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1D3786E2-BBAC-48A2-9732-4149238E10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armik" sheetId="61" r:id="rId1"/>
    <sheet name="Sheet6" sheetId="76" r:id="rId2"/>
    <sheet name="Fire 25" sheetId="1" r:id="rId3"/>
    <sheet name="bachav" sheetId="2" r:id="rId4"/>
    <sheet name="Pantion" sheetId="3" r:id="rId5"/>
    <sheet name="Forest " sheetId="4" r:id="rId6"/>
    <sheet name="Cumm Fire audit " sheetId="60" r:id="rId7"/>
    <sheet name="Fire Audit" sheetId="53" r:id="rId8"/>
    <sheet name="NOC" sheetId="5" r:id="rId9"/>
    <sheet name="17-18-19-20-21" sheetId="6" r:id="rId10"/>
    <sheet name="Drill (E)" sheetId="68" r:id="rId11"/>
    <sheet name="Drill" sheetId="7" r:id="rId12"/>
    <sheet name="Bhawan" sheetId="64" r:id="rId13"/>
    <sheet name="Bhumi " sheetId="63" r:id="rId14"/>
    <sheet name="niriksan" sheetId="8" r:id="rId15"/>
    <sheet name="Reward" sheetId="65" r:id="rId16"/>
    <sheet name="Punishment" sheetId="66" r:id="rId17"/>
    <sheet name="VVIP" sheetId="12" r:id="rId18"/>
    <sheet name="Hydremt" sheetId="14" r:id="rId19"/>
    <sheet name="vehicle" sheetId="15" r:id="rId20"/>
    <sheet name="wireless set" sheetId="17" r:id="rId21"/>
    <sheet name="manak Vehicle" sheetId="42" r:id="rId22"/>
    <sheet name="Sheet10" sheetId="43" r:id="rId23"/>
    <sheet name="jan 24 to apr 24" sheetId="51" r:id="rId24"/>
    <sheet name="Sheet4" sheetId="54" r:id="rId25"/>
    <sheet name="Sheet13" sheetId="55" r:id="rId26"/>
    <sheet name="Sheet15" sheetId="58" r:id="rId27"/>
    <sheet name="Sheet16" sheetId="59" r:id="rId28"/>
    <sheet name="Sheet17" sheetId="62" r:id="rId29"/>
    <sheet name="Sheet1" sheetId="67" r:id="rId30"/>
    <sheet name="Sheet5 (4)" sheetId="72" r:id="rId31"/>
    <sheet name="Sheet3" sheetId="73" r:id="rId32"/>
    <sheet name="Sheet5 (3)" sheetId="71" r:id="rId33"/>
    <sheet name="Sheet5 (2)" sheetId="70" r:id="rId34"/>
    <sheet name="Sheet5" sheetId="69" r:id="rId35"/>
    <sheet name="Sheet2" sheetId="74" r:id="rId36"/>
    <sheet name="2024 &amp;  apr 2025 upto APR 25 md" sheetId="75" r:id="rId37"/>
  </sheets>
  <definedNames>
    <definedName name="_xlnm._FilterDatabase" localSheetId="3" hidden="1">bachav!#REF!</definedName>
    <definedName name="_xlnm._FilterDatabase" localSheetId="10" hidden="1">'Drill (E)'!$A$2:$I$2</definedName>
    <definedName name="_xlnm._FilterDatabase" localSheetId="23" hidden="1">'jan 24 to apr 24'!$C$2:$C$177</definedName>
    <definedName name="_xlnm._FilterDatabase" localSheetId="21" hidden="1">'manak Vehicle'!$A$1:$M$50</definedName>
    <definedName name="_xlnm._FilterDatabase" localSheetId="25" hidden="1">Sheet13!$D$1:$D$262</definedName>
    <definedName name="_xlnm._FilterDatabase" localSheetId="28" hidden="1">Sheet17!$A$1:$H$430</definedName>
    <definedName name="_xlnm._FilterDatabase" localSheetId="31" hidden="1">Sheet3!$A$1:$F$236</definedName>
    <definedName name="_xlnm._FilterDatabase" localSheetId="24" hidden="1">Sheet4!$B$2:$B$284</definedName>
    <definedName name="_xlnm._FilterDatabase" localSheetId="34" hidden="1">Sheet5!$A$1:$F$587</definedName>
    <definedName name="_xlnm._FilterDatabase" localSheetId="33" hidden="1">'Sheet5 (2)'!$A$1:$F$470</definedName>
    <definedName name="_xlnm._FilterDatabase" localSheetId="32" hidden="1">'Sheet5 (3)'!$A$1:$F$235</definedName>
    <definedName name="_xlnm._FilterDatabase" localSheetId="30" hidden="1">'Sheet5 (4)'!$A$1:$F$1</definedName>
    <definedName name="_xlnm.Print_Titles" localSheetId="3">bachav!$61:$62</definedName>
    <definedName name="_xlnm.Print_Titles" localSheetId="12">Bhawan!$174:$174</definedName>
    <definedName name="_xlnm.Print_Titles" localSheetId="13">'Bhumi '!$164:$164</definedName>
    <definedName name="_xlnm.Print_Titles" localSheetId="11">Drill!$89:$89</definedName>
    <definedName name="_xlnm.Print_Titles" localSheetId="10">'Drill (E)'!$2:$2</definedName>
    <definedName name="_xlnm.Print_Titles" localSheetId="2">'Fire 25'!$118:$119</definedName>
    <definedName name="_xlnm.Print_Titles" localSheetId="7">'Fire Audit'!$168:$168</definedName>
    <definedName name="_xlnm.Print_Titles" localSheetId="5">'Forest '!$116:$117</definedName>
    <definedName name="_xlnm.Print_Titles" localSheetId="18">Hydremt!$51:$51</definedName>
    <definedName name="_xlnm.Print_Titles" localSheetId="0">Karmik!$80:$82</definedName>
    <definedName name="_xlnm.Print_Titles" localSheetId="8">NOC!$142:$143</definedName>
    <definedName name="_xlnm.Print_Titles" localSheetId="35">Sheet2!$2:$2</definedName>
    <definedName name="_xlnm.Print_Titles" localSheetId="19">vehicle!$223:$223</definedName>
    <definedName name="_xlnm.Print_Titles" localSheetId="17">VVIP!$3:$6</definedName>
    <definedName name="_xlnm.Print_Titles" localSheetId="20">'wireless set'!$160:$161</definedName>
  </definedNames>
  <calcPr calcId="181029" iterate="1"/>
</workbook>
</file>

<file path=xl/calcChain.xml><?xml version="1.0" encoding="utf-8"?>
<calcChain xmlns="http://schemas.openxmlformats.org/spreadsheetml/2006/main">
  <c r="G57" i="53" l="1"/>
  <c r="F57" i="53"/>
  <c r="E57" i="53"/>
  <c r="D57" i="53"/>
  <c r="G50" i="17"/>
  <c r="F50" i="17"/>
  <c r="E50" i="17"/>
  <c r="D50" i="17"/>
  <c r="AO219" i="15"/>
  <c r="AN219" i="15"/>
  <c r="AM219" i="15"/>
  <c r="AL219" i="15"/>
  <c r="AK219" i="15"/>
  <c r="AJ219" i="15"/>
  <c r="AI219" i="15"/>
  <c r="AH219" i="15"/>
  <c r="AG219" i="15"/>
  <c r="AF219" i="15"/>
  <c r="AE219" i="15"/>
  <c r="AD219" i="15"/>
  <c r="AC219" i="15"/>
  <c r="AB219" i="15"/>
  <c r="AA219" i="15"/>
  <c r="Z219" i="15"/>
  <c r="Y219" i="15"/>
  <c r="X219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AO218" i="15"/>
  <c r="AN218" i="15"/>
  <c r="AM218" i="15"/>
  <c r="AL218" i="15"/>
  <c r="AK218" i="15"/>
  <c r="AJ218" i="15"/>
  <c r="AI218" i="15"/>
  <c r="AH218" i="15"/>
  <c r="AG218" i="15"/>
  <c r="AF218" i="15"/>
  <c r="AE218" i="15"/>
  <c r="AD218" i="15"/>
  <c r="AC218" i="15"/>
  <c r="AB218" i="15"/>
  <c r="AA218" i="15"/>
  <c r="Z218" i="15"/>
  <c r="Y218" i="15"/>
  <c r="X218" i="15"/>
  <c r="W218" i="15"/>
  <c r="V218" i="15"/>
  <c r="U218" i="15"/>
  <c r="T218" i="15"/>
  <c r="S218" i="15"/>
  <c r="R218" i="15"/>
  <c r="Q218" i="15"/>
  <c r="P218" i="15"/>
  <c r="O218" i="15"/>
  <c r="N218" i="15"/>
  <c r="M218" i="15"/>
  <c r="L218" i="15"/>
  <c r="K218" i="15"/>
  <c r="J218" i="15"/>
  <c r="I218" i="15"/>
  <c r="H218" i="15"/>
  <c r="G218" i="15"/>
  <c r="F218" i="15"/>
  <c r="E218" i="15"/>
  <c r="AO217" i="15"/>
  <c r="AN217" i="15"/>
  <c r="AM217" i="15"/>
  <c r="AL217" i="15"/>
  <c r="AK217" i="15"/>
  <c r="AJ217" i="15"/>
  <c r="AI217" i="15"/>
  <c r="AH217" i="15"/>
  <c r="AG217" i="15"/>
  <c r="AF217" i="15"/>
  <c r="AE217" i="15"/>
  <c r="AD217" i="15"/>
  <c r="AC217" i="15"/>
  <c r="AB217" i="15"/>
  <c r="AA217" i="15"/>
  <c r="Z217" i="15"/>
  <c r="Y217" i="15"/>
  <c r="X217" i="15"/>
  <c r="W217" i="15"/>
  <c r="V217" i="15"/>
  <c r="U217" i="15"/>
  <c r="T217" i="15"/>
  <c r="S217" i="15"/>
  <c r="R217" i="15"/>
  <c r="Q217" i="15"/>
  <c r="P217" i="15"/>
  <c r="O217" i="15"/>
  <c r="N217" i="15"/>
  <c r="M217" i="15"/>
  <c r="L217" i="15"/>
  <c r="K217" i="15"/>
  <c r="J217" i="15"/>
  <c r="I217" i="15"/>
  <c r="H217" i="15"/>
  <c r="G217" i="15"/>
  <c r="F217" i="15"/>
  <c r="E217" i="15"/>
  <c r="AO216" i="15"/>
  <c r="AN216" i="15"/>
  <c r="AM216" i="15"/>
  <c r="AL216" i="15"/>
  <c r="AK216" i="15"/>
  <c r="AJ216" i="15"/>
  <c r="AI216" i="15"/>
  <c r="AH216" i="15"/>
  <c r="AG216" i="15"/>
  <c r="AF216" i="15"/>
  <c r="AE216" i="15"/>
  <c r="AD216" i="15"/>
  <c r="AC216" i="15"/>
  <c r="AB216" i="15"/>
  <c r="AA216" i="15"/>
  <c r="Z216" i="15"/>
  <c r="Y216" i="15"/>
  <c r="X216" i="15"/>
  <c r="W216" i="15"/>
  <c r="V216" i="15"/>
  <c r="U216" i="15"/>
  <c r="T216" i="15"/>
  <c r="S216" i="15"/>
  <c r="R216" i="15"/>
  <c r="Q216" i="15"/>
  <c r="P216" i="15"/>
  <c r="O216" i="15"/>
  <c r="N216" i="15"/>
  <c r="M216" i="15"/>
  <c r="L216" i="15"/>
  <c r="K216" i="15"/>
  <c r="J216" i="15"/>
  <c r="I216" i="15"/>
  <c r="H216" i="15"/>
  <c r="G216" i="15"/>
  <c r="F216" i="15"/>
  <c r="E216" i="15"/>
  <c r="AO215" i="15"/>
  <c r="AN215" i="15"/>
  <c r="AM215" i="15"/>
  <c r="AL215" i="15"/>
  <c r="AK215" i="15"/>
  <c r="AJ215" i="15"/>
  <c r="AI215" i="15"/>
  <c r="AH215" i="15"/>
  <c r="AG215" i="15"/>
  <c r="AF215" i="15"/>
  <c r="AE215" i="15"/>
  <c r="AD215" i="15"/>
  <c r="AC215" i="15"/>
  <c r="AB215" i="15"/>
  <c r="AA215" i="15"/>
  <c r="Z215" i="15"/>
  <c r="Y215" i="15"/>
  <c r="X215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K47" i="14"/>
  <c r="J47" i="14"/>
  <c r="I47" i="14"/>
  <c r="H47" i="14"/>
  <c r="G47" i="14"/>
  <c r="F47" i="14"/>
  <c r="E47" i="14"/>
  <c r="D47" i="14"/>
  <c r="F43" i="5"/>
  <c r="J43" i="5" s="1"/>
  <c r="F42" i="5"/>
  <c r="J42" i="5" s="1"/>
  <c r="F41" i="5"/>
  <c r="J41" i="5" s="1"/>
  <c r="F40" i="5"/>
  <c r="J40" i="5" s="1"/>
  <c r="J39" i="5"/>
  <c r="F39" i="5"/>
  <c r="F38" i="5"/>
  <c r="J38" i="5" s="1"/>
  <c r="F37" i="5"/>
  <c r="J37" i="5" s="1"/>
  <c r="F36" i="5"/>
  <c r="J36" i="5" s="1"/>
  <c r="J35" i="5"/>
  <c r="F35" i="5"/>
  <c r="J34" i="5"/>
  <c r="F34" i="5"/>
  <c r="F33" i="5"/>
  <c r="J33" i="5" s="1"/>
  <c r="F32" i="5"/>
  <c r="J32" i="5" s="1"/>
  <c r="F31" i="5"/>
  <c r="J31" i="5" s="1"/>
  <c r="J30" i="5"/>
  <c r="F30" i="5"/>
  <c r="F29" i="5"/>
  <c r="J29" i="5" s="1"/>
  <c r="J28" i="5"/>
  <c r="F28" i="5"/>
  <c r="J27" i="5"/>
  <c r="F27" i="5"/>
  <c r="J26" i="5"/>
  <c r="F26" i="5"/>
  <c r="F25" i="5"/>
  <c r="J25" i="5" s="1"/>
  <c r="F24" i="5"/>
  <c r="J24" i="5" s="1"/>
  <c r="J23" i="5"/>
  <c r="F23" i="5"/>
  <c r="F22" i="5"/>
  <c r="J22" i="5" s="1"/>
  <c r="F21" i="5"/>
  <c r="J21" i="5" s="1"/>
  <c r="J20" i="5"/>
  <c r="F20" i="5"/>
  <c r="F19" i="5"/>
  <c r="J19" i="5" s="1"/>
  <c r="J18" i="5"/>
  <c r="F18" i="5"/>
  <c r="F17" i="5"/>
  <c r="J17" i="5" s="1"/>
  <c r="F16" i="5"/>
  <c r="J16" i="5" s="1"/>
  <c r="F15" i="5"/>
  <c r="J15" i="5" s="1"/>
  <c r="F14" i="5"/>
  <c r="J14" i="5" s="1"/>
  <c r="F13" i="5"/>
  <c r="J13" i="5" s="1"/>
  <c r="F12" i="5"/>
  <c r="J12" i="5" s="1"/>
  <c r="F11" i="5"/>
  <c r="J11" i="5" s="1"/>
  <c r="J10" i="5"/>
  <c r="F10" i="5"/>
  <c r="F9" i="5"/>
  <c r="J9" i="5" s="1"/>
  <c r="F8" i="5"/>
  <c r="J8" i="5" s="1"/>
  <c r="F7" i="5"/>
  <c r="J7" i="5" s="1"/>
  <c r="F6" i="5"/>
  <c r="J6" i="5" s="1"/>
  <c r="F5" i="5"/>
  <c r="J5" i="5" s="1"/>
  <c r="N29" i="2"/>
  <c r="M29" i="2"/>
  <c r="L29" i="2"/>
  <c r="K29" i="2"/>
  <c r="J29" i="2"/>
  <c r="I29" i="2"/>
  <c r="H29" i="2"/>
  <c r="G29" i="2"/>
  <c r="F29" i="2"/>
  <c r="E29" i="2"/>
  <c r="D29" i="2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Z78" i="61"/>
  <c r="Y78" i="61"/>
  <c r="X78" i="61"/>
  <c r="W78" i="61"/>
  <c r="V78" i="61"/>
  <c r="U78" i="61"/>
  <c r="T78" i="61"/>
  <c r="S78" i="61"/>
  <c r="R78" i="61"/>
  <c r="Q78" i="61"/>
  <c r="P78" i="61"/>
  <c r="O78" i="61"/>
  <c r="N78" i="61"/>
  <c r="M78" i="61"/>
  <c r="L78" i="61"/>
  <c r="K78" i="61"/>
  <c r="J78" i="61"/>
  <c r="I78" i="61"/>
  <c r="H78" i="61"/>
  <c r="G78" i="61"/>
  <c r="F78" i="61"/>
  <c r="E78" i="61"/>
  <c r="F12" i="61"/>
  <c r="G12" i="61"/>
  <c r="H12" i="61"/>
  <c r="I12" i="61"/>
  <c r="J12" i="61"/>
  <c r="K12" i="61"/>
  <c r="L12" i="61"/>
  <c r="M12" i="61"/>
  <c r="N12" i="61"/>
  <c r="O12" i="61"/>
  <c r="P12" i="61"/>
  <c r="Q12" i="61"/>
  <c r="R12" i="61"/>
  <c r="S12" i="61"/>
  <c r="T12" i="61"/>
  <c r="U12" i="61"/>
  <c r="V12" i="61"/>
  <c r="W12" i="61"/>
  <c r="E12" i="61"/>
  <c r="H435" i="15"/>
  <c r="I435" i="15"/>
  <c r="J435" i="15"/>
  <c r="K435" i="15"/>
  <c r="L435" i="15"/>
  <c r="M435" i="15"/>
  <c r="N435" i="15"/>
  <c r="O435" i="15"/>
  <c r="P435" i="15"/>
  <c r="Q435" i="15"/>
  <c r="R435" i="15"/>
  <c r="S435" i="15"/>
  <c r="T435" i="15"/>
  <c r="U435" i="15"/>
  <c r="V435" i="15"/>
  <c r="W435" i="15"/>
  <c r="X435" i="15"/>
  <c r="Y435" i="15"/>
  <c r="Z435" i="15"/>
  <c r="AA435" i="15"/>
  <c r="AB435" i="15"/>
  <c r="AC435" i="15"/>
  <c r="AD435" i="15"/>
  <c r="AE435" i="15"/>
  <c r="AF435" i="15"/>
  <c r="AG435" i="15"/>
  <c r="AH435" i="15"/>
  <c r="AI435" i="15"/>
  <c r="AJ435" i="15"/>
  <c r="AK435" i="15"/>
  <c r="AL435" i="15"/>
  <c r="AM435" i="15"/>
  <c r="AN435" i="15"/>
  <c r="AO435" i="15"/>
  <c r="H436" i="15"/>
  <c r="I436" i="15"/>
  <c r="J436" i="15"/>
  <c r="K436" i="15"/>
  <c r="L436" i="15"/>
  <c r="M436" i="15"/>
  <c r="N436" i="15"/>
  <c r="O436" i="15"/>
  <c r="P436" i="15"/>
  <c r="Q436" i="15"/>
  <c r="R436" i="15"/>
  <c r="S436" i="15"/>
  <c r="T436" i="15"/>
  <c r="U436" i="15"/>
  <c r="V436" i="15"/>
  <c r="W436" i="15"/>
  <c r="X436" i="15"/>
  <c r="Y436" i="15"/>
  <c r="Z436" i="15"/>
  <c r="AA436" i="15"/>
  <c r="AB436" i="15"/>
  <c r="AC436" i="15"/>
  <c r="AD436" i="15"/>
  <c r="AE436" i="15"/>
  <c r="AF436" i="15"/>
  <c r="AG436" i="15"/>
  <c r="AH436" i="15"/>
  <c r="AI436" i="15"/>
  <c r="AJ436" i="15"/>
  <c r="AK436" i="15"/>
  <c r="AL436" i="15"/>
  <c r="AM436" i="15"/>
  <c r="AN436" i="15"/>
  <c r="AO436" i="15"/>
  <c r="H437" i="15"/>
  <c r="I437" i="15"/>
  <c r="J437" i="15"/>
  <c r="K437" i="15"/>
  <c r="L437" i="15"/>
  <c r="M437" i="15"/>
  <c r="N437" i="15"/>
  <c r="O437" i="15"/>
  <c r="P437" i="15"/>
  <c r="Q437" i="15"/>
  <c r="R437" i="15"/>
  <c r="S437" i="15"/>
  <c r="T437" i="15"/>
  <c r="U437" i="15"/>
  <c r="V437" i="15"/>
  <c r="W437" i="15"/>
  <c r="X437" i="15"/>
  <c r="Y437" i="15"/>
  <c r="Z437" i="15"/>
  <c r="AA437" i="15"/>
  <c r="AB437" i="15"/>
  <c r="AC437" i="15"/>
  <c r="AD437" i="15"/>
  <c r="AE437" i="15"/>
  <c r="AF437" i="15"/>
  <c r="AG437" i="15"/>
  <c r="AH437" i="15"/>
  <c r="AI437" i="15"/>
  <c r="AJ437" i="15"/>
  <c r="AK437" i="15"/>
  <c r="AL437" i="15"/>
  <c r="AM437" i="15"/>
  <c r="AN437" i="15"/>
  <c r="AO437" i="15"/>
  <c r="H438" i="15"/>
  <c r="I438" i="15"/>
  <c r="J438" i="15"/>
  <c r="K438" i="15"/>
  <c r="L438" i="15"/>
  <c r="M438" i="15"/>
  <c r="N438" i="15"/>
  <c r="O438" i="15"/>
  <c r="P438" i="15"/>
  <c r="Q438" i="15"/>
  <c r="R438" i="15"/>
  <c r="S438" i="15"/>
  <c r="T438" i="15"/>
  <c r="U438" i="15"/>
  <c r="V438" i="15"/>
  <c r="W438" i="15"/>
  <c r="X438" i="15"/>
  <c r="Y438" i="15"/>
  <c r="Z438" i="15"/>
  <c r="AA438" i="15"/>
  <c r="AB438" i="15"/>
  <c r="AC438" i="15"/>
  <c r="AD438" i="15"/>
  <c r="AE438" i="15"/>
  <c r="AF438" i="15"/>
  <c r="AG438" i="15"/>
  <c r="AH438" i="15"/>
  <c r="AI438" i="15"/>
  <c r="AJ438" i="15"/>
  <c r="AK438" i="15"/>
  <c r="AL438" i="15"/>
  <c r="AM438" i="15"/>
  <c r="AN438" i="15"/>
  <c r="AO438" i="15"/>
  <c r="H439" i="15"/>
  <c r="I439" i="15"/>
  <c r="J439" i="15"/>
  <c r="K439" i="15"/>
  <c r="L439" i="15"/>
  <c r="M439" i="15"/>
  <c r="N439" i="15"/>
  <c r="O439" i="15"/>
  <c r="P439" i="15"/>
  <c r="Q439" i="15"/>
  <c r="R439" i="15"/>
  <c r="S439" i="15"/>
  <c r="T439" i="15"/>
  <c r="U439" i="15"/>
  <c r="V439" i="15"/>
  <c r="W439" i="15"/>
  <c r="X439" i="15"/>
  <c r="Y439" i="15"/>
  <c r="Z439" i="15"/>
  <c r="AA439" i="15"/>
  <c r="AB439" i="15"/>
  <c r="AC439" i="15"/>
  <c r="AD439" i="15"/>
  <c r="AE439" i="15"/>
  <c r="AF439" i="15"/>
  <c r="AG439" i="15"/>
  <c r="AH439" i="15"/>
  <c r="AI439" i="15"/>
  <c r="AJ439" i="15"/>
  <c r="AK439" i="15"/>
  <c r="AL439" i="15"/>
  <c r="AM439" i="15"/>
  <c r="AN439" i="15"/>
  <c r="AO439" i="15"/>
  <c r="F435" i="15"/>
  <c r="G435" i="15"/>
  <c r="F436" i="15"/>
  <c r="G436" i="15"/>
  <c r="F437" i="15"/>
  <c r="G437" i="15"/>
  <c r="F438" i="15"/>
  <c r="G438" i="15"/>
  <c r="F439" i="15"/>
  <c r="G439" i="15"/>
  <c r="E436" i="15"/>
  <c r="E437" i="15"/>
  <c r="E438" i="15"/>
  <c r="E439" i="15"/>
  <c r="E435" i="15"/>
  <c r="E54" i="2"/>
  <c r="F54" i="2"/>
  <c r="G54" i="2"/>
  <c r="H54" i="2"/>
  <c r="I54" i="2"/>
  <c r="J54" i="2"/>
  <c r="K54" i="2"/>
  <c r="L54" i="2"/>
  <c r="M54" i="2"/>
  <c r="N54" i="2"/>
  <c r="E110" i="4"/>
  <c r="F110" i="4"/>
  <c r="G110" i="4"/>
  <c r="H110" i="4"/>
  <c r="I110" i="4"/>
  <c r="J110" i="4"/>
  <c r="K110" i="4"/>
  <c r="L110" i="4"/>
  <c r="M110" i="4"/>
  <c r="N110" i="4"/>
  <c r="O110" i="4"/>
  <c r="D110" i="4"/>
  <c r="H36" i="75"/>
  <c r="G36" i="75"/>
  <c r="F36" i="75"/>
  <c r="E36" i="75"/>
  <c r="D36" i="75"/>
  <c r="C36" i="75"/>
  <c r="H16" i="75"/>
  <c r="G16" i="75"/>
  <c r="F16" i="75"/>
  <c r="E16" i="75"/>
  <c r="D16" i="75"/>
  <c r="C16" i="75"/>
  <c r="AB17" i="12"/>
  <c r="Z146" i="61"/>
  <c r="Y146" i="61"/>
  <c r="X146" i="61"/>
  <c r="W146" i="61"/>
  <c r="V146" i="61"/>
  <c r="U146" i="61"/>
  <c r="T146" i="61"/>
  <c r="S146" i="61"/>
  <c r="R146" i="61"/>
  <c r="Q146" i="61"/>
  <c r="P146" i="61"/>
  <c r="O146" i="61"/>
  <c r="N146" i="61"/>
  <c r="M146" i="61"/>
  <c r="L146" i="61"/>
  <c r="K146" i="61"/>
  <c r="J146" i="61"/>
  <c r="I146" i="61"/>
  <c r="H146" i="61"/>
  <c r="G146" i="61"/>
  <c r="F146" i="61"/>
  <c r="E146" i="61"/>
  <c r="G103" i="17"/>
  <c r="F103" i="17"/>
  <c r="E103" i="17"/>
  <c r="D103" i="17"/>
  <c r="K95" i="14"/>
  <c r="J95" i="14"/>
  <c r="I95" i="14"/>
  <c r="H95" i="14"/>
  <c r="G95" i="14"/>
  <c r="F95" i="14"/>
  <c r="E95" i="14"/>
  <c r="D95" i="14"/>
  <c r="F89" i="5"/>
  <c r="J89" i="5" s="1"/>
  <c r="F88" i="5"/>
  <c r="J88" i="5" s="1"/>
  <c r="F87" i="5"/>
  <c r="J87" i="5" s="1"/>
  <c r="F86" i="5"/>
  <c r="J86" i="5" s="1"/>
  <c r="F85" i="5"/>
  <c r="J85" i="5" s="1"/>
  <c r="F84" i="5"/>
  <c r="J84" i="5" s="1"/>
  <c r="F83" i="5"/>
  <c r="J83" i="5" s="1"/>
  <c r="F82" i="5"/>
  <c r="J82" i="5" s="1"/>
  <c r="F81" i="5"/>
  <c r="J81" i="5" s="1"/>
  <c r="F80" i="5"/>
  <c r="J80" i="5" s="1"/>
  <c r="F79" i="5"/>
  <c r="J79" i="5" s="1"/>
  <c r="F78" i="5"/>
  <c r="J78" i="5" s="1"/>
  <c r="F77" i="5"/>
  <c r="J77" i="5" s="1"/>
  <c r="F76" i="5"/>
  <c r="J76" i="5" s="1"/>
  <c r="F75" i="5"/>
  <c r="J75" i="5" s="1"/>
  <c r="F74" i="5"/>
  <c r="J74" i="5" s="1"/>
  <c r="F73" i="5"/>
  <c r="J73" i="5" s="1"/>
  <c r="F72" i="5"/>
  <c r="J72" i="5" s="1"/>
  <c r="F71" i="5"/>
  <c r="J71" i="5" s="1"/>
  <c r="F70" i="5"/>
  <c r="J70" i="5" s="1"/>
  <c r="F69" i="5"/>
  <c r="J69" i="5" s="1"/>
  <c r="F68" i="5"/>
  <c r="J68" i="5" s="1"/>
  <c r="F67" i="5"/>
  <c r="J67" i="5" s="1"/>
  <c r="F66" i="5"/>
  <c r="J66" i="5" s="1"/>
  <c r="F65" i="5"/>
  <c r="J65" i="5" s="1"/>
  <c r="F64" i="5"/>
  <c r="J64" i="5" s="1"/>
  <c r="F63" i="5"/>
  <c r="J63" i="5" s="1"/>
  <c r="F62" i="5"/>
  <c r="J62" i="5" s="1"/>
  <c r="F61" i="5"/>
  <c r="J61" i="5" s="1"/>
  <c r="F60" i="5"/>
  <c r="J60" i="5" s="1"/>
  <c r="F59" i="5"/>
  <c r="J59" i="5" s="1"/>
  <c r="F58" i="5"/>
  <c r="J58" i="5" s="1"/>
  <c r="F57" i="5"/>
  <c r="J57" i="5" s="1"/>
  <c r="F56" i="5"/>
  <c r="J56" i="5" s="1"/>
  <c r="F55" i="5"/>
  <c r="J55" i="5" s="1"/>
  <c r="F54" i="5"/>
  <c r="J54" i="5" s="1"/>
  <c r="F53" i="5"/>
  <c r="J53" i="5" s="1"/>
  <c r="F52" i="5"/>
  <c r="J52" i="5" s="1"/>
  <c r="F51" i="5"/>
  <c r="J51" i="5" s="1"/>
  <c r="G110" i="53"/>
  <c r="F110" i="53"/>
  <c r="E110" i="53"/>
  <c r="D110" i="53"/>
  <c r="D54" i="2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E5" i="74"/>
  <c r="F5" i="74"/>
  <c r="G5" i="74"/>
  <c r="H5" i="74"/>
  <c r="I5" i="74"/>
  <c r="J5" i="74"/>
  <c r="K5" i="74"/>
  <c r="E24" i="74"/>
  <c r="F24" i="74"/>
  <c r="G24" i="74"/>
  <c r="H24" i="74"/>
  <c r="I24" i="74"/>
  <c r="J24" i="74"/>
  <c r="K24" i="74"/>
  <c r="E10" i="74"/>
  <c r="F10" i="74"/>
  <c r="G10" i="74"/>
  <c r="H10" i="74"/>
  <c r="I10" i="74"/>
  <c r="J10" i="74"/>
  <c r="K10" i="74"/>
  <c r="D10" i="74"/>
  <c r="E57" i="74"/>
  <c r="F57" i="74"/>
  <c r="G57" i="74"/>
  <c r="H57" i="74"/>
  <c r="I57" i="74"/>
  <c r="J57" i="74"/>
  <c r="K57" i="74"/>
  <c r="D57" i="74"/>
  <c r="E49" i="74"/>
  <c r="F49" i="74"/>
  <c r="G49" i="74"/>
  <c r="H49" i="74"/>
  <c r="I49" i="74"/>
  <c r="J49" i="74"/>
  <c r="K49" i="74"/>
  <c r="D49" i="74"/>
  <c r="E45" i="74"/>
  <c r="F45" i="74"/>
  <c r="G45" i="74"/>
  <c r="H45" i="74"/>
  <c r="I45" i="74"/>
  <c r="J45" i="74"/>
  <c r="K45" i="74"/>
  <c r="D45" i="74"/>
  <c r="E42" i="74"/>
  <c r="F42" i="74"/>
  <c r="G42" i="74"/>
  <c r="H42" i="74"/>
  <c r="I42" i="74"/>
  <c r="J42" i="74"/>
  <c r="K42" i="74"/>
  <c r="D42" i="74"/>
  <c r="E38" i="74"/>
  <c r="F38" i="74"/>
  <c r="G38" i="74"/>
  <c r="H38" i="74"/>
  <c r="I38" i="74"/>
  <c r="J38" i="74"/>
  <c r="K38" i="74"/>
  <c r="D38" i="74"/>
  <c r="E34" i="74"/>
  <c r="F34" i="74"/>
  <c r="G34" i="74"/>
  <c r="H34" i="74"/>
  <c r="I34" i="74"/>
  <c r="J34" i="74"/>
  <c r="K34" i="74"/>
  <c r="D34" i="74"/>
  <c r="E31" i="74"/>
  <c r="F31" i="74"/>
  <c r="G31" i="74"/>
  <c r="H31" i="74"/>
  <c r="I31" i="74"/>
  <c r="J31" i="74"/>
  <c r="K31" i="74"/>
  <c r="D31" i="74"/>
  <c r="D24" i="74"/>
  <c r="E18" i="74"/>
  <c r="F18" i="74"/>
  <c r="G18" i="74"/>
  <c r="H18" i="74"/>
  <c r="I18" i="74"/>
  <c r="J18" i="74"/>
  <c r="K18" i="74"/>
  <c r="D18" i="74"/>
  <c r="E14" i="74"/>
  <c r="F14" i="74"/>
  <c r="G14" i="74"/>
  <c r="H14" i="74"/>
  <c r="I14" i="74"/>
  <c r="J14" i="74"/>
  <c r="K14" i="74"/>
  <c r="D14" i="74"/>
  <c r="D5" i="74"/>
  <c r="K58" i="74" l="1"/>
  <c r="D132" i="59"/>
  <c r="E132" i="59"/>
  <c r="F132" i="59"/>
  <c r="G132" i="59"/>
  <c r="H132" i="59"/>
  <c r="I132" i="59"/>
  <c r="J132" i="59"/>
  <c r="K132" i="59"/>
  <c r="L132" i="59"/>
  <c r="D105" i="59"/>
  <c r="E105" i="59"/>
  <c r="F105" i="59"/>
  <c r="G105" i="59"/>
  <c r="H105" i="59"/>
  <c r="I105" i="59"/>
  <c r="J105" i="59"/>
  <c r="K105" i="59"/>
  <c r="L105" i="59"/>
  <c r="M105" i="59"/>
  <c r="D165" i="59"/>
  <c r="E165" i="59"/>
  <c r="F165" i="59"/>
  <c r="G165" i="59"/>
  <c r="H165" i="59"/>
  <c r="I165" i="59"/>
  <c r="J165" i="59"/>
  <c r="K165" i="59"/>
  <c r="L165" i="59"/>
  <c r="C165" i="59"/>
  <c r="C132" i="59"/>
  <c r="C105" i="59"/>
  <c r="L152" i="59"/>
  <c r="K152" i="59"/>
  <c r="J152" i="59"/>
  <c r="I152" i="59"/>
  <c r="H152" i="59"/>
  <c r="G152" i="59"/>
  <c r="F152" i="59"/>
  <c r="E152" i="59"/>
  <c r="D152" i="59"/>
  <c r="C152" i="59"/>
  <c r="L120" i="59"/>
  <c r="K120" i="59"/>
  <c r="J120" i="59"/>
  <c r="I120" i="59"/>
  <c r="H120" i="59"/>
  <c r="G120" i="59"/>
  <c r="F120" i="59"/>
  <c r="E120" i="59"/>
  <c r="D120" i="59"/>
  <c r="C120" i="59"/>
  <c r="M94" i="59"/>
  <c r="L94" i="59"/>
  <c r="K94" i="59"/>
  <c r="J94" i="59"/>
  <c r="I94" i="59"/>
  <c r="H94" i="59"/>
  <c r="G94" i="59"/>
  <c r="F94" i="59"/>
  <c r="E94" i="59"/>
  <c r="D94" i="59"/>
  <c r="C94" i="59"/>
  <c r="D47" i="59"/>
  <c r="E47" i="59"/>
  <c r="F47" i="59"/>
  <c r="G47" i="59"/>
  <c r="H47" i="59"/>
  <c r="I47" i="59"/>
  <c r="J47" i="59"/>
  <c r="K47" i="59"/>
  <c r="L47" i="59"/>
  <c r="C47" i="59"/>
  <c r="D21" i="59"/>
  <c r="E21" i="59"/>
  <c r="F21" i="59"/>
  <c r="G21" i="59"/>
  <c r="H21" i="59"/>
  <c r="I21" i="59"/>
  <c r="J21" i="59"/>
  <c r="K21" i="59"/>
  <c r="L21" i="59"/>
  <c r="M21" i="59"/>
  <c r="C21" i="59"/>
  <c r="E79" i="59"/>
  <c r="F79" i="59"/>
  <c r="G79" i="59"/>
  <c r="H79" i="59"/>
  <c r="I79" i="59"/>
  <c r="J79" i="59"/>
  <c r="K79" i="59"/>
  <c r="L79" i="59"/>
  <c r="C79" i="59"/>
  <c r="D36" i="59" l="1"/>
  <c r="E36" i="59"/>
  <c r="F36" i="59"/>
  <c r="G36" i="59"/>
  <c r="H36" i="59"/>
  <c r="I36" i="59"/>
  <c r="J36" i="59"/>
  <c r="K36" i="59"/>
  <c r="L36" i="59"/>
  <c r="D67" i="59"/>
  <c r="E67" i="59"/>
  <c r="F67" i="59"/>
  <c r="G67" i="59"/>
  <c r="H67" i="59"/>
  <c r="I67" i="59"/>
  <c r="J67" i="59"/>
  <c r="K67" i="59"/>
  <c r="L67" i="59"/>
  <c r="C67" i="59"/>
  <c r="C36" i="59"/>
  <c r="D11" i="59"/>
  <c r="E11" i="59"/>
  <c r="F11" i="59"/>
  <c r="G11" i="59"/>
  <c r="H11" i="59"/>
  <c r="I11" i="59"/>
  <c r="J11" i="59"/>
  <c r="K11" i="59"/>
  <c r="L11" i="59"/>
  <c r="M11" i="59"/>
  <c r="C11" i="59"/>
  <c r="E6" i="53"/>
  <c r="F6" i="53"/>
  <c r="G6" i="53"/>
  <c r="D6" i="53"/>
  <c r="E7" i="4"/>
  <c r="F7" i="4"/>
  <c r="G7" i="4"/>
  <c r="H7" i="4"/>
  <c r="I7" i="4"/>
  <c r="J7" i="4"/>
  <c r="K7" i="4"/>
  <c r="L7" i="4"/>
  <c r="M7" i="4"/>
  <c r="N7" i="4"/>
  <c r="O7" i="4"/>
  <c r="D7" i="4"/>
  <c r="E8" i="2"/>
  <c r="F8" i="2"/>
  <c r="G8" i="2"/>
  <c r="H8" i="2"/>
  <c r="I8" i="2"/>
  <c r="J8" i="2"/>
  <c r="K8" i="2"/>
  <c r="L8" i="2"/>
  <c r="M8" i="2"/>
  <c r="N8" i="2"/>
  <c r="D8" i="2"/>
  <c r="D7" i="1"/>
  <c r="E7" i="1"/>
  <c r="F7" i="1"/>
  <c r="G7" i="1"/>
  <c r="H7" i="1"/>
  <c r="I7" i="1"/>
  <c r="J7" i="1"/>
  <c r="K7" i="1"/>
  <c r="L7" i="1"/>
  <c r="M7" i="1"/>
  <c r="C7" i="1"/>
  <c r="Q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E161" i="4"/>
  <c r="F161" i="4"/>
  <c r="G161" i="4"/>
  <c r="H161" i="4"/>
  <c r="I161" i="4"/>
  <c r="J161" i="4"/>
  <c r="K161" i="4"/>
  <c r="L161" i="4"/>
  <c r="M161" i="4"/>
  <c r="N161" i="4"/>
  <c r="O161" i="4"/>
  <c r="D161" i="4"/>
  <c r="F119" i="5" l="1"/>
  <c r="F120" i="5"/>
  <c r="G156" i="17" l="1"/>
  <c r="F156" i="17"/>
  <c r="E156" i="17"/>
  <c r="D156" i="17"/>
  <c r="AO650" i="15"/>
  <c r="AN650" i="15"/>
  <c r="AM650" i="15"/>
  <c r="AL650" i="15"/>
  <c r="AK650" i="15"/>
  <c r="AJ650" i="15"/>
  <c r="AI650" i="15"/>
  <c r="AH650" i="15"/>
  <c r="AG650" i="15"/>
  <c r="AF650" i="15"/>
  <c r="AE650" i="15"/>
  <c r="AD650" i="15"/>
  <c r="AC650" i="15"/>
  <c r="AB650" i="15"/>
  <c r="AA650" i="15"/>
  <c r="Z650" i="15"/>
  <c r="Y650" i="15"/>
  <c r="X650" i="15"/>
  <c r="W650" i="15"/>
  <c r="V650" i="15"/>
  <c r="U650" i="15"/>
  <c r="T650" i="15"/>
  <c r="S650" i="15"/>
  <c r="R650" i="15"/>
  <c r="Q650" i="15"/>
  <c r="P650" i="15"/>
  <c r="O650" i="15"/>
  <c r="N650" i="15"/>
  <c r="M650" i="15"/>
  <c r="L650" i="15"/>
  <c r="K650" i="15"/>
  <c r="J650" i="15"/>
  <c r="I650" i="15"/>
  <c r="H650" i="15"/>
  <c r="G650" i="15"/>
  <c r="F650" i="15"/>
  <c r="E650" i="15"/>
  <c r="AO649" i="15"/>
  <c r="AN649" i="15"/>
  <c r="AM649" i="15"/>
  <c r="AL649" i="15"/>
  <c r="AK649" i="15"/>
  <c r="AJ649" i="15"/>
  <c r="AI649" i="15"/>
  <c r="AH649" i="15"/>
  <c r="AG649" i="15"/>
  <c r="AF649" i="15"/>
  <c r="AE649" i="15"/>
  <c r="AD649" i="15"/>
  <c r="AC649" i="15"/>
  <c r="AB649" i="15"/>
  <c r="AA649" i="15"/>
  <c r="Z649" i="15"/>
  <c r="Y649" i="15"/>
  <c r="X649" i="15"/>
  <c r="W649" i="15"/>
  <c r="V649" i="15"/>
  <c r="U649" i="15"/>
  <c r="T649" i="15"/>
  <c r="S649" i="15"/>
  <c r="R649" i="15"/>
  <c r="Q649" i="15"/>
  <c r="P649" i="15"/>
  <c r="O649" i="15"/>
  <c r="N649" i="15"/>
  <c r="M649" i="15"/>
  <c r="L649" i="15"/>
  <c r="K649" i="15"/>
  <c r="J649" i="15"/>
  <c r="I649" i="15"/>
  <c r="H649" i="15"/>
  <c r="G649" i="15"/>
  <c r="F649" i="15"/>
  <c r="E649" i="15"/>
  <c r="AO648" i="15"/>
  <c r="AN648" i="15"/>
  <c r="AM648" i="15"/>
  <c r="AL648" i="15"/>
  <c r="AK648" i="15"/>
  <c r="AJ648" i="15"/>
  <c r="AI648" i="15"/>
  <c r="AH648" i="15"/>
  <c r="AG648" i="15"/>
  <c r="AF648" i="15"/>
  <c r="AE648" i="15"/>
  <c r="AD648" i="15"/>
  <c r="AC648" i="15"/>
  <c r="AB648" i="15"/>
  <c r="AA648" i="15"/>
  <c r="Z648" i="15"/>
  <c r="Y648" i="15"/>
  <c r="X648" i="15"/>
  <c r="W648" i="15"/>
  <c r="V648" i="15"/>
  <c r="U648" i="15"/>
  <c r="T648" i="15"/>
  <c r="S648" i="15"/>
  <c r="R648" i="15"/>
  <c r="Q648" i="15"/>
  <c r="P648" i="15"/>
  <c r="O648" i="15"/>
  <c r="N648" i="15"/>
  <c r="M648" i="15"/>
  <c r="L648" i="15"/>
  <c r="K648" i="15"/>
  <c r="J648" i="15"/>
  <c r="I648" i="15"/>
  <c r="H648" i="15"/>
  <c r="G648" i="15"/>
  <c r="F648" i="15"/>
  <c r="E648" i="15"/>
  <c r="AO647" i="15"/>
  <c r="AN647" i="15"/>
  <c r="AM647" i="15"/>
  <c r="AL647" i="15"/>
  <c r="AK647" i="15"/>
  <c r="AJ647" i="15"/>
  <c r="AI647" i="15"/>
  <c r="AH647" i="15"/>
  <c r="AG647" i="15"/>
  <c r="AF647" i="15"/>
  <c r="AE647" i="15"/>
  <c r="AD647" i="15"/>
  <c r="AC647" i="15"/>
  <c r="AB647" i="15"/>
  <c r="AA647" i="15"/>
  <c r="Z647" i="15"/>
  <c r="Y647" i="15"/>
  <c r="X647" i="15"/>
  <c r="W647" i="15"/>
  <c r="V647" i="15"/>
  <c r="U647" i="15"/>
  <c r="T647" i="15"/>
  <c r="S647" i="15"/>
  <c r="R647" i="15"/>
  <c r="Q647" i="15"/>
  <c r="P647" i="15"/>
  <c r="O647" i="15"/>
  <c r="N647" i="15"/>
  <c r="M647" i="15"/>
  <c r="L647" i="15"/>
  <c r="K647" i="15"/>
  <c r="J647" i="15"/>
  <c r="I647" i="15"/>
  <c r="H647" i="15"/>
  <c r="G647" i="15"/>
  <c r="F647" i="15"/>
  <c r="E647" i="15"/>
  <c r="AO646" i="15"/>
  <c r="AN646" i="15"/>
  <c r="AM646" i="15"/>
  <c r="AL646" i="15"/>
  <c r="AK646" i="15"/>
  <c r="AJ646" i="15"/>
  <c r="AI646" i="15"/>
  <c r="AH646" i="15"/>
  <c r="AG646" i="15"/>
  <c r="AF646" i="15"/>
  <c r="AE646" i="15"/>
  <c r="AD646" i="15"/>
  <c r="AC646" i="15"/>
  <c r="AB646" i="15"/>
  <c r="AA646" i="15"/>
  <c r="Z646" i="15"/>
  <c r="Y646" i="15"/>
  <c r="X646" i="15"/>
  <c r="W646" i="15"/>
  <c r="V646" i="15"/>
  <c r="U646" i="15"/>
  <c r="T646" i="15"/>
  <c r="S646" i="15"/>
  <c r="R646" i="15"/>
  <c r="Q646" i="15"/>
  <c r="P646" i="15"/>
  <c r="O646" i="15"/>
  <c r="N646" i="15"/>
  <c r="M646" i="15"/>
  <c r="L646" i="15"/>
  <c r="K646" i="15"/>
  <c r="J646" i="15"/>
  <c r="I646" i="15"/>
  <c r="H646" i="15"/>
  <c r="G646" i="15"/>
  <c r="F646" i="15"/>
  <c r="E646" i="15"/>
  <c r="K144" i="14"/>
  <c r="J144" i="14"/>
  <c r="I144" i="14"/>
  <c r="H144" i="14"/>
  <c r="G144" i="14"/>
  <c r="F144" i="14"/>
  <c r="E144" i="14"/>
  <c r="D144" i="14"/>
  <c r="F136" i="5"/>
  <c r="J136" i="5" s="1"/>
  <c r="F135" i="5"/>
  <c r="J135" i="5" s="1"/>
  <c r="F134" i="5"/>
  <c r="J134" i="5" s="1"/>
  <c r="F133" i="5"/>
  <c r="J133" i="5" s="1"/>
  <c r="F132" i="5"/>
  <c r="J132" i="5" s="1"/>
  <c r="F131" i="5"/>
  <c r="J131" i="5" s="1"/>
  <c r="F130" i="5"/>
  <c r="J130" i="5" s="1"/>
  <c r="F129" i="5"/>
  <c r="J129" i="5" s="1"/>
  <c r="F128" i="5"/>
  <c r="J128" i="5" s="1"/>
  <c r="F127" i="5"/>
  <c r="J127" i="5" s="1"/>
  <c r="F126" i="5"/>
  <c r="J126" i="5" s="1"/>
  <c r="F125" i="5"/>
  <c r="J125" i="5" s="1"/>
  <c r="F124" i="5"/>
  <c r="J124" i="5" s="1"/>
  <c r="F123" i="5"/>
  <c r="J123" i="5" s="1"/>
  <c r="F122" i="5"/>
  <c r="J122" i="5" s="1"/>
  <c r="F121" i="5"/>
  <c r="J121" i="5" s="1"/>
  <c r="J120" i="5"/>
  <c r="J119" i="5"/>
  <c r="F118" i="5"/>
  <c r="J118" i="5" s="1"/>
  <c r="F117" i="5"/>
  <c r="J117" i="5" s="1"/>
  <c r="F116" i="5"/>
  <c r="J116" i="5" s="1"/>
  <c r="F115" i="5"/>
  <c r="J115" i="5" s="1"/>
  <c r="F114" i="5"/>
  <c r="J114" i="5" s="1"/>
  <c r="F113" i="5"/>
  <c r="J113" i="5" s="1"/>
  <c r="F112" i="5"/>
  <c r="J112" i="5" s="1"/>
  <c r="F111" i="5"/>
  <c r="J111" i="5" s="1"/>
  <c r="F110" i="5"/>
  <c r="J110" i="5" s="1"/>
  <c r="F109" i="5"/>
  <c r="J109" i="5" s="1"/>
  <c r="F108" i="5"/>
  <c r="J108" i="5" s="1"/>
  <c r="F107" i="5"/>
  <c r="J107" i="5" s="1"/>
  <c r="F106" i="5"/>
  <c r="J106" i="5" s="1"/>
  <c r="F105" i="5"/>
  <c r="J105" i="5" s="1"/>
  <c r="F104" i="5"/>
  <c r="J104" i="5" s="1"/>
  <c r="F103" i="5"/>
  <c r="J103" i="5" s="1"/>
  <c r="F102" i="5"/>
  <c r="J102" i="5" s="1"/>
  <c r="F101" i="5"/>
  <c r="J101" i="5" s="1"/>
  <c r="F100" i="5"/>
  <c r="J100" i="5" s="1"/>
  <c r="F99" i="5"/>
  <c r="J99" i="5" s="1"/>
  <c r="F98" i="5"/>
  <c r="J98" i="5" s="1"/>
  <c r="G163" i="53"/>
  <c r="F163" i="53"/>
  <c r="E163" i="53"/>
  <c r="D163" i="53"/>
  <c r="N76" i="2"/>
  <c r="M76" i="2"/>
  <c r="L76" i="2"/>
  <c r="K76" i="2"/>
  <c r="J76" i="2"/>
  <c r="I76" i="2"/>
  <c r="H76" i="2"/>
  <c r="G76" i="2"/>
  <c r="F76" i="2"/>
  <c r="E76" i="2"/>
  <c r="D76" i="2"/>
  <c r="D166" i="1"/>
  <c r="Z217" i="61"/>
  <c r="Y217" i="61"/>
  <c r="X217" i="61"/>
  <c r="W217" i="61"/>
  <c r="V217" i="61"/>
  <c r="U217" i="61"/>
  <c r="T217" i="61"/>
  <c r="S217" i="61"/>
  <c r="R217" i="61"/>
  <c r="Q217" i="61"/>
  <c r="P217" i="61"/>
  <c r="O217" i="61"/>
  <c r="N217" i="61"/>
  <c r="M217" i="61"/>
  <c r="L217" i="61"/>
  <c r="K217" i="61"/>
  <c r="J217" i="61"/>
  <c r="I217" i="61"/>
  <c r="H217" i="61"/>
  <c r="G217" i="61"/>
  <c r="F217" i="61"/>
  <c r="E217" i="61"/>
  <c r="F145" i="5"/>
  <c r="J145" i="5" s="1"/>
  <c r="F146" i="5"/>
  <c r="J146" i="5" s="1"/>
  <c r="F147" i="5"/>
  <c r="J147" i="5" s="1"/>
  <c r="F148" i="5"/>
  <c r="J148" i="5" s="1"/>
  <c r="F149" i="5"/>
  <c r="J149" i="5" s="1"/>
  <c r="F150" i="5"/>
  <c r="J150" i="5" s="1"/>
  <c r="F151" i="5"/>
  <c r="J151" i="5" s="1"/>
  <c r="F152" i="5"/>
  <c r="J152" i="5" s="1"/>
  <c r="F153" i="5"/>
  <c r="J153" i="5" s="1"/>
  <c r="F154" i="5"/>
  <c r="J154" i="5" s="1"/>
  <c r="F155" i="5"/>
  <c r="J155" i="5" s="1"/>
  <c r="F156" i="5"/>
  <c r="J156" i="5" s="1"/>
  <c r="F157" i="5"/>
  <c r="J157" i="5" s="1"/>
  <c r="F158" i="5"/>
  <c r="J158" i="5" s="1"/>
  <c r="F159" i="5"/>
  <c r="J159" i="5" s="1"/>
  <c r="F160" i="5"/>
  <c r="J160" i="5" s="1"/>
  <c r="F161" i="5"/>
  <c r="J161" i="5" s="1"/>
  <c r="F162" i="5"/>
  <c r="J162" i="5" s="1"/>
  <c r="F163" i="5"/>
  <c r="J163" i="5" s="1"/>
  <c r="F164" i="5"/>
  <c r="J164" i="5" s="1"/>
  <c r="F165" i="5"/>
  <c r="J165" i="5" s="1"/>
  <c r="F166" i="5"/>
  <c r="J166" i="5" s="1"/>
  <c r="F167" i="5"/>
  <c r="J167" i="5" s="1"/>
  <c r="F168" i="5"/>
  <c r="J168" i="5" s="1"/>
  <c r="F169" i="5"/>
  <c r="J169" i="5" s="1"/>
  <c r="F170" i="5"/>
  <c r="J170" i="5" s="1"/>
  <c r="F171" i="5"/>
  <c r="J171" i="5" s="1"/>
  <c r="F172" i="5"/>
  <c r="J172" i="5" s="1"/>
  <c r="F173" i="5"/>
  <c r="J173" i="5" s="1"/>
  <c r="F174" i="5"/>
  <c r="J174" i="5" s="1"/>
  <c r="F175" i="5"/>
  <c r="J175" i="5" s="1"/>
  <c r="F176" i="5"/>
  <c r="J176" i="5" s="1"/>
  <c r="F177" i="5"/>
  <c r="J177" i="5" s="1"/>
  <c r="F178" i="5"/>
  <c r="J178" i="5" s="1"/>
  <c r="F179" i="5"/>
  <c r="J179" i="5" s="1"/>
  <c r="F180" i="5"/>
  <c r="J180" i="5" s="1"/>
  <c r="F181" i="5"/>
  <c r="J181" i="5" s="1"/>
  <c r="F182" i="5"/>
  <c r="J182" i="5" s="1"/>
  <c r="F144" i="5"/>
  <c r="J144" i="5" s="1"/>
  <c r="G257" i="17" l="1"/>
  <c r="F257" i="17"/>
  <c r="E257" i="17"/>
  <c r="D257" i="17"/>
  <c r="AO1070" i="15"/>
  <c r="AN1070" i="15"/>
  <c r="AM1070" i="15"/>
  <c r="AL1070" i="15"/>
  <c r="AK1070" i="15"/>
  <c r="AJ1070" i="15"/>
  <c r="AI1070" i="15"/>
  <c r="AH1070" i="15"/>
  <c r="AG1070" i="15"/>
  <c r="AF1070" i="15"/>
  <c r="AE1070" i="15"/>
  <c r="AD1070" i="15"/>
  <c r="AC1070" i="15"/>
  <c r="AB1070" i="15"/>
  <c r="AA1070" i="15"/>
  <c r="Z1070" i="15"/>
  <c r="Y1070" i="15"/>
  <c r="X1070" i="15"/>
  <c r="W1070" i="15"/>
  <c r="V1070" i="15"/>
  <c r="U1070" i="15"/>
  <c r="T1070" i="15"/>
  <c r="S1070" i="15"/>
  <c r="R1070" i="15"/>
  <c r="Q1070" i="15"/>
  <c r="P1070" i="15"/>
  <c r="O1070" i="15"/>
  <c r="N1070" i="15"/>
  <c r="M1070" i="15"/>
  <c r="L1070" i="15"/>
  <c r="K1070" i="15"/>
  <c r="J1070" i="15"/>
  <c r="I1070" i="15"/>
  <c r="H1070" i="15"/>
  <c r="G1070" i="15"/>
  <c r="F1070" i="15"/>
  <c r="E1070" i="15"/>
  <c r="AO1069" i="15"/>
  <c r="AN1069" i="15"/>
  <c r="AM1069" i="15"/>
  <c r="AL1069" i="15"/>
  <c r="AK1069" i="15"/>
  <c r="AJ1069" i="15"/>
  <c r="AI1069" i="15"/>
  <c r="AH1069" i="15"/>
  <c r="AG1069" i="15"/>
  <c r="AF1069" i="15"/>
  <c r="AE1069" i="15"/>
  <c r="AD1069" i="15"/>
  <c r="AC1069" i="15"/>
  <c r="AB1069" i="15"/>
  <c r="AA1069" i="15"/>
  <c r="Z1069" i="15"/>
  <c r="Y1069" i="15"/>
  <c r="X1069" i="15"/>
  <c r="W1069" i="15"/>
  <c r="V1069" i="15"/>
  <c r="U1069" i="15"/>
  <c r="T1069" i="15"/>
  <c r="S1069" i="15"/>
  <c r="R1069" i="15"/>
  <c r="Q1069" i="15"/>
  <c r="P1069" i="15"/>
  <c r="O1069" i="15"/>
  <c r="N1069" i="15"/>
  <c r="M1069" i="15"/>
  <c r="L1069" i="15"/>
  <c r="K1069" i="15"/>
  <c r="J1069" i="15"/>
  <c r="I1069" i="15"/>
  <c r="H1069" i="15"/>
  <c r="G1069" i="15"/>
  <c r="F1069" i="15"/>
  <c r="E1069" i="15"/>
  <c r="AO1068" i="15"/>
  <c r="AN1068" i="15"/>
  <c r="AM1068" i="15"/>
  <c r="AL1068" i="15"/>
  <c r="AK1068" i="15"/>
  <c r="AJ1068" i="15"/>
  <c r="AI1068" i="15"/>
  <c r="AH1068" i="15"/>
  <c r="AG1068" i="15"/>
  <c r="AF1068" i="15"/>
  <c r="AE1068" i="15"/>
  <c r="AD1068" i="15"/>
  <c r="AC1068" i="15"/>
  <c r="AB1068" i="15"/>
  <c r="AA1068" i="15"/>
  <c r="Z1068" i="15"/>
  <c r="Y1068" i="15"/>
  <c r="X1068" i="15"/>
  <c r="W1068" i="15"/>
  <c r="V1068" i="15"/>
  <c r="U1068" i="15"/>
  <c r="T1068" i="15"/>
  <c r="S1068" i="15"/>
  <c r="R1068" i="15"/>
  <c r="Q1068" i="15"/>
  <c r="P1068" i="15"/>
  <c r="O1068" i="15"/>
  <c r="N1068" i="15"/>
  <c r="M1068" i="15"/>
  <c r="L1068" i="15"/>
  <c r="K1068" i="15"/>
  <c r="J1068" i="15"/>
  <c r="I1068" i="15"/>
  <c r="H1068" i="15"/>
  <c r="G1068" i="15"/>
  <c r="F1068" i="15"/>
  <c r="E1068" i="15"/>
  <c r="AO1067" i="15"/>
  <c r="AN1067" i="15"/>
  <c r="AM1067" i="15"/>
  <c r="AL1067" i="15"/>
  <c r="AK1067" i="15"/>
  <c r="AJ1067" i="15"/>
  <c r="AI1067" i="15"/>
  <c r="AH1067" i="15"/>
  <c r="AG1067" i="15"/>
  <c r="AF1067" i="15"/>
  <c r="AE1067" i="15"/>
  <c r="AD1067" i="15"/>
  <c r="AC1067" i="15"/>
  <c r="AB1067" i="15"/>
  <c r="AA1067" i="15"/>
  <c r="Z1067" i="15"/>
  <c r="Y1067" i="15"/>
  <c r="X1067" i="15"/>
  <c r="W1067" i="15"/>
  <c r="V1067" i="15"/>
  <c r="U1067" i="15"/>
  <c r="T1067" i="15"/>
  <c r="S1067" i="15"/>
  <c r="R1067" i="15"/>
  <c r="Q1067" i="15"/>
  <c r="P1067" i="15"/>
  <c r="O1067" i="15"/>
  <c r="N1067" i="15"/>
  <c r="M1067" i="15"/>
  <c r="L1067" i="15"/>
  <c r="K1067" i="15"/>
  <c r="J1067" i="15"/>
  <c r="I1067" i="15"/>
  <c r="H1067" i="15"/>
  <c r="G1067" i="15"/>
  <c r="F1067" i="15"/>
  <c r="E1067" i="15"/>
  <c r="AO1066" i="15"/>
  <c r="AN1066" i="15"/>
  <c r="AM1066" i="15"/>
  <c r="AL1066" i="15"/>
  <c r="AK1066" i="15"/>
  <c r="AJ1066" i="15"/>
  <c r="AI1066" i="15"/>
  <c r="AH1066" i="15"/>
  <c r="AG1066" i="15"/>
  <c r="AF1066" i="15"/>
  <c r="AE1066" i="15"/>
  <c r="AD1066" i="15"/>
  <c r="AC1066" i="15"/>
  <c r="AB1066" i="15"/>
  <c r="AA1066" i="15"/>
  <c r="Z1066" i="15"/>
  <c r="Y1066" i="15"/>
  <c r="X1066" i="15"/>
  <c r="W1066" i="15"/>
  <c r="V1066" i="15"/>
  <c r="U1066" i="15"/>
  <c r="T1066" i="15"/>
  <c r="S1066" i="15"/>
  <c r="R1066" i="15"/>
  <c r="Q1066" i="15"/>
  <c r="P1066" i="15"/>
  <c r="O1066" i="15"/>
  <c r="N1066" i="15"/>
  <c r="M1066" i="15"/>
  <c r="L1066" i="15"/>
  <c r="K1066" i="15"/>
  <c r="J1066" i="15"/>
  <c r="I1066" i="15"/>
  <c r="H1066" i="15"/>
  <c r="G1066" i="15"/>
  <c r="F1066" i="15"/>
  <c r="E1066" i="15"/>
  <c r="K239" i="14"/>
  <c r="J239" i="14"/>
  <c r="I239" i="14"/>
  <c r="H239" i="14"/>
  <c r="G239" i="14"/>
  <c r="F239" i="14"/>
  <c r="E239" i="14"/>
  <c r="D239" i="14"/>
  <c r="G262" i="53" l="1"/>
  <c r="F262" i="53"/>
  <c r="E262" i="53"/>
  <c r="D262" i="53"/>
  <c r="O260" i="4"/>
  <c r="N260" i="4"/>
  <c r="M260" i="4"/>
  <c r="L260" i="4"/>
  <c r="K260" i="4"/>
  <c r="J260" i="4"/>
  <c r="I260" i="4"/>
  <c r="H260" i="4"/>
  <c r="G260" i="4"/>
  <c r="F260" i="4"/>
  <c r="E260" i="4"/>
  <c r="D260" i="4"/>
  <c r="N116" i="2"/>
  <c r="M116" i="2"/>
  <c r="L116" i="2"/>
  <c r="K116" i="2"/>
  <c r="J116" i="2"/>
  <c r="I116" i="2"/>
  <c r="H116" i="2"/>
  <c r="G116" i="2"/>
  <c r="F116" i="2"/>
  <c r="E116" i="2"/>
  <c r="D116" i="2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Z355" i="61"/>
  <c r="Y355" i="61"/>
  <c r="X355" i="61"/>
  <c r="W355" i="61"/>
  <c r="V355" i="61"/>
  <c r="U355" i="61"/>
  <c r="T355" i="61"/>
  <c r="S355" i="61"/>
  <c r="R355" i="61"/>
  <c r="Q355" i="61"/>
  <c r="P355" i="61"/>
  <c r="O355" i="61"/>
  <c r="N355" i="61"/>
  <c r="M355" i="61"/>
  <c r="L355" i="61"/>
  <c r="K355" i="61"/>
  <c r="J355" i="61"/>
  <c r="I355" i="61"/>
  <c r="H355" i="61"/>
  <c r="G355" i="61"/>
  <c r="F355" i="61"/>
  <c r="E355" i="61"/>
  <c r="F227" i="5"/>
  <c r="J227" i="5" s="1"/>
  <c r="F226" i="5"/>
  <c r="J226" i="5" s="1"/>
  <c r="F225" i="5"/>
  <c r="J225" i="5" s="1"/>
  <c r="F224" i="5"/>
  <c r="J224" i="5" s="1"/>
  <c r="F223" i="5"/>
  <c r="J223" i="5" s="1"/>
  <c r="F222" i="5"/>
  <c r="J222" i="5" s="1"/>
  <c r="F221" i="5"/>
  <c r="J221" i="5" s="1"/>
  <c r="F220" i="5"/>
  <c r="J220" i="5" s="1"/>
  <c r="F219" i="5"/>
  <c r="J219" i="5" s="1"/>
  <c r="F218" i="5"/>
  <c r="J218" i="5" s="1"/>
  <c r="F217" i="5"/>
  <c r="J217" i="5" s="1"/>
  <c r="F216" i="5"/>
  <c r="J216" i="5" s="1"/>
  <c r="F215" i="5"/>
  <c r="J215" i="5" s="1"/>
  <c r="F214" i="5"/>
  <c r="J214" i="5" s="1"/>
  <c r="F213" i="5"/>
  <c r="J213" i="5" s="1"/>
  <c r="F212" i="5"/>
  <c r="J212" i="5" s="1"/>
  <c r="F211" i="5"/>
  <c r="J211" i="5" s="1"/>
  <c r="F210" i="5"/>
  <c r="J210" i="5" s="1"/>
  <c r="F209" i="5"/>
  <c r="J209" i="5" s="1"/>
  <c r="F208" i="5"/>
  <c r="J208" i="5" s="1"/>
  <c r="F207" i="5"/>
  <c r="J207" i="5" s="1"/>
  <c r="F206" i="5"/>
  <c r="J206" i="5" s="1"/>
  <c r="F205" i="5"/>
  <c r="J205" i="5" s="1"/>
  <c r="F204" i="5"/>
  <c r="J204" i="5" s="1"/>
  <c r="F203" i="5"/>
  <c r="J203" i="5" s="1"/>
  <c r="F202" i="5"/>
  <c r="J202" i="5" s="1"/>
  <c r="F201" i="5"/>
  <c r="J201" i="5" s="1"/>
  <c r="F200" i="5"/>
  <c r="J200" i="5" s="1"/>
  <c r="F199" i="5"/>
  <c r="J199" i="5" s="1"/>
  <c r="J198" i="5"/>
  <c r="F198" i="5"/>
  <c r="F197" i="5"/>
  <c r="J197" i="5" s="1"/>
  <c r="J196" i="5"/>
  <c r="F196" i="5"/>
  <c r="F195" i="5"/>
  <c r="J195" i="5" s="1"/>
  <c r="F194" i="5"/>
  <c r="J194" i="5" s="1"/>
  <c r="F193" i="5"/>
  <c r="J193" i="5" s="1"/>
  <c r="F192" i="5"/>
  <c r="J192" i="5" s="1"/>
  <c r="F191" i="5"/>
  <c r="J191" i="5" s="1"/>
  <c r="F190" i="5"/>
  <c r="J190" i="5" s="1"/>
  <c r="F189" i="5"/>
  <c r="J189" i="5" s="1"/>
  <c r="M286" i="61"/>
  <c r="N286" i="61"/>
  <c r="O286" i="61"/>
  <c r="P286" i="61"/>
  <c r="Q286" i="61"/>
  <c r="R286" i="61"/>
  <c r="S286" i="61"/>
  <c r="T286" i="61"/>
  <c r="U286" i="61"/>
  <c r="V286" i="61"/>
  <c r="W286" i="61"/>
  <c r="X286" i="61"/>
  <c r="Y286" i="61"/>
  <c r="Z286" i="61"/>
  <c r="F286" i="61"/>
  <c r="G286" i="61"/>
  <c r="H286" i="61"/>
  <c r="I286" i="61"/>
  <c r="J286" i="61"/>
  <c r="K286" i="61"/>
  <c r="L286" i="61"/>
  <c r="E286" i="61"/>
  <c r="E96" i="2" l="1"/>
  <c r="F96" i="2"/>
  <c r="G96" i="2"/>
  <c r="H96" i="2"/>
  <c r="I96" i="2"/>
  <c r="J96" i="2"/>
  <c r="K96" i="2"/>
  <c r="L96" i="2"/>
  <c r="M96" i="2"/>
  <c r="N96" i="2"/>
  <c r="D96" i="2"/>
  <c r="E211" i="4"/>
  <c r="F211" i="4"/>
  <c r="G211" i="4"/>
  <c r="H211" i="4"/>
  <c r="I211" i="4"/>
  <c r="J211" i="4"/>
  <c r="K211" i="4"/>
  <c r="L211" i="4"/>
  <c r="M211" i="4"/>
  <c r="N211" i="4"/>
  <c r="O211" i="4"/>
  <c r="D211" i="4"/>
  <c r="K192" i="14"/>
  <c r="J192" i="14"/>
  <c r="I192" i="14"/>
  <c r="H192" i="14"/>
  <c r="G192" i="14"/>
  <c r="F192" i="14"/>
  <c r="E192" i="14"/>
  <c r="D192" i="14"/>
  <c r="E51" i="12" l="1"/>
  <c r="F51" i="12"/>
  <c r="G51" i="12"/>
  <c r="H51" i="12"/>
  <c r="I51" i="12"/>
  <c r="J51" i="12"/>
  <c r="K51" i="12"/>
  <c r="L51" i="12"/>
  <c r="M51" i="12"/>
  <c r="N51" i="12"/>
  <c r="O51" i="12"/>
  <c r="P51" i="12"/>
  <c r="Q51" i="12"/>
  <c r="R51" i="12"/>
  <c r="S51" i="12"/>
  <c r="T51" i="12"/>
  <c r="U51" i="12"/>
  <c r="V51" i="12"/>
  <c r="W51" i="12"/>
  <c r="X51" i="12"/>
  <c r="Y51" i="12"/>
  <c r="Z51" i="12"/>
  <c r="AA51" i="12"/>
  <c r="D51" i="12"/>
  <c r="AB8" i="12"/>
  <c r="AB9" i="12"/>
  <c r="AB10" i="12"/>
  <c r="AB11" i="12"/>
  <c r="AB12" i="12"/>
  <c r="AB13" i="12"/>
  <c r="AB14" i="12"/>
  <c r="AB15" i="12"/>
  <c r="AB16" i="12"/>
  <c r="AB18" i="12"/>
  <c r="AB19" i="12"/>
  <c r="AB20" i="12"/>
  <c r="AB21" i="12"/>
  <c r="AB22" i="12"/>
  <c r="AB23" i="12"/>
  <c r="AB24" i="12"/>
  <c r="AB25" i="12"/>
  <c r="AB26" i="12"/>
  <c r="AB27" i="12"/>
  <c r="AB28" i="12"/>
  <c r="AB29" i="12"/>
  <c r="AB30" i="12"/>
  <c r="AB31" i="12"/>
  <c r="AB32" i="12"/>
  <c r="AB33" i="12"/>
  <c r="AB34" i="12"/>
  <c r="AB35" i="12"/>
  <c r="AB36" i="12"/>
  <c r="AB37" i="12"/>
  <c r="AB38" i="12"/>
  <c r="AB39" i="12"/>
  <c r="AB40" i="12"/>
  <c r="AB41" i="12"/>
  <c r="AB42" i="12"/>
  <c r="AB43" i="12"/>
  <c r="AB44" i="12"/>
  <c r="AB45" i="12"/>
  <c r="AB46" i="12"/>
  <c r="AB47" i="12"/>
  <c r="AB48" i="12"/>
  <c r="AB49" i="12"/>
  <c r="AB50" i="12"/>
  <c r="E857" i="15"/>
  <c r="F857" i="15"/>
  <c r="G857" i="15"/>
  <c r="H857" i="15"/>
  <c r="I857" i="15"/>
  <c r="J857" i="15"/>
  <c r="K857" i="15"/>
  <c r="L857" i="15"/>
  <c r="M857" i="15"/>
  <c r="N857" i="15"/>
  <c r="O857" i="15"/>
  <c r="P857" i="15"/>
  <c r="Q857" i="15"/>
  <c r="R857" i="15"/>
  <c r="S857" i="15"/>
  <c r="T857" i="15"/>
  <c r="U857" i="15"/>
  <c r="V857" i="15"/>
  <c r="W857" i="15"/>
  <c r="X857" i="15"/>
  <c r="Y857" i="15"/>
  <c r="Z857" i="15"/>
  <c r="AA857" i="15"/>
  <c r="AB857" i="15"/>
  <c r="AC857" i="15"/>
  <c r="AD857" i="15"/>
  <c r="AE857" i="15"/>
  <c r="AF857" i="15"/>
  <c r="AG857" i="15"/>
  <c r="AH857" i="15"/>
  <c r="AI857" i="15"/>
  <c r="AJ857" i="15"/>
  <c r="AK857" i="15"/>
  <c r="AL857" i="15"/>
  <c r="AM857" i="15"/>
  <c r="AN857" i="15"/>
  <c r="AO857" i="15"/>
  <c r="E858" i="15"/>
  <c r="F858" i="15"/>
  <c r="G858" i="15"/>
  <c r="H858" i="15"/>
  <c r="I858" i="15"/>
  <c r="J858" i="15"/>
  <c r="K858" i="15"/>
  <c r="L858" i="15"/>
  <c r="M858" i="15"/>
  <c r="N858" i="15"/>
  <c r="O858" i="15"/>
  <c r="P858" i="15"/>
  <c r="Q858" i="15"/>
  <c r="R858" i="15"/>
  <c r="S858" i="15"/>
  <c r="T858" i="15"/>
  <c r="U858" i="15"/>
  <c r="V858" i="15"/>
  <c r="W858" i="15"/>
  <c r="X858" i="15"/>
  <c r="Y858" i="15"/>
  <c r="Z858" i="15"/>
  <c r="AA858" i="15"/>
  <c r="AB858" i="15"/>
  <c r="AC858" i="15"/>
  <c r="AD858" i="15"/>
  <c r="AE858" i="15"/>
  <c r="AF858" i="15"/>
  <c r="AG858" i="15"/>
  <c r="AH858" i="15"/>
  <c r="AI858" i="15"/>
  <c r="AJ858" i="15"/>
  <c r="AK858" i="15"/>
  <c r="AL858" i="15"/>
  <c r="AM858" i="15"/>
  <c r="AN858" i="15"/>
  <c r="AO858" i="15"/>
  <c r="E859" i="15"/>
  <c r="F859" i="15"/>
  <c r="G859" i="15"/>
  <c r="H859" i="15"/>
  <c r="I859" i="15"/>
  <c r="J859" i="15"/>
  <c r="K859" i="15"/>
  <c r="L859" i="15"/>
  <c r="M859" i="15"/>
  <c r="N859" i="15"/>
  <c r="O859" i="15"/>
  <c r="P859" i="15"/>
  <c r="Q859" i="15"/>
  <c r="R859" i="15"/>
  <c r="S859" i="15"/>
  <c r="T859" i="15"/>
  <c r="U859" i="15"/>
  <c r="V859" i="15"/>
  <c r="W859" i="15"/>
  <c r="X859" i="15"/>
  <c r="Y859" i="15"/>
  <c r="Z859" i="15"/>
  <c r="AA859" i="15"/>
  <c r="AB859" i="15"/>
  <c r="AC859" i="15"/>
  <c r="AD859" i="15"/>
  <c r="AE859" i="15"/>
  <c r="AF859" i="15"/>
  <c r="AG859" i="15"/>
  <c r="AH859" i="15"/>
  <c r="AI859" i="15"/>
  <c r="AJ859" i="15"/>
  <c r="AK859" i="15"/>
  <c r="AL859" i="15"/>
  <c r="AM859" i="15"/>
  <c r="AN859" i="15"/>
  <c r="AO859" i="15"/>
  <c r="E860" i="15"/>
  <c r="F860" i="15"/>
  <c r="G860" i="15"/>
  <c r="H860" i="15"/>
  <c r="I860" i="15"/>
  <c r="J860" i="15"/>
  <c r="K860" i="15"/>
  <c r="L860" i="15"/>
  <c r="M860" i="15"/>
  <c r="N860" i="15"/>
  <c r="O860" i="15"/>
  <c r="P860" i="15"/>
  <c r="Q860" i="15"/>
  <c r="R860" i="15"/>
  <c r="S860" i="15"/>
  <c r="T860" i="15"/>
  <c r="U860" i="15"/>
  <c r="V860" i="15"/>
  <c r="W860" i="15"/>
  <c r="X860" i="15"/>
  <c r="Y860" i="15"/>
  <c r="Z860" i="15"/>
  <c r="AA860" i="15"/>
  <c r="AB860" i="15"/>
  <c r="AC860" i="15"/>
  <c r="AD860" i="15"/>
  <c r="AE860" i="15"/>
  <c r="AF860" i="15"/>
  <c r="AG860" i="15"/>
  <c r="AH860" i="15"/>
  <c r="AI860" i="15"/>
  <c r="AJ860" i="15"/>
  <c r="AK860" i="15"/>
  <c r="AL860" i="15"/>
  <c r="AM860" i="15"/>
  <c r="AN860" i="15"/>
  <c r="AO860" i="15"/>
  <c r="F856" i="15"/>
  <c r="G856" i="15"/>
  <c r="H856" i="15"/>
  <c r="I856" i="15"/>
  <c r="J856" i="15"/>
  <c r="K856" i="15"/>
  <c r="L856" i="15"/>
  <c r="M856" i="15"/>
  <c r="N856" i="15"/>
  <c r="O856" i="15"/>
  <c r="P856" i="15"/>
  <c r="Q856" i="15"/>
  <c r="R856" i="15"/>
  <c r="S856" i="15"/>
  <c r="T856" i="15"/>
  <c r="U856" i="15"/>
  <c r="V856" i="15"/>
  <c r="W856" i="15"/>
  <c r="X856" i="15"/>
  <c r="Y856" i="15"/>
  <c r="Z856" i="15"/>
  <c r="AA856" i="15"/>
  <c r="AB856" i="15"/>
  <c r="AC856" i="15"/>
  <c r="AD856" i="15"/>
  <c r="AE856" i="15"/>
  <c r="AF856" i="15"/>
  <c r="AG856" i="15"/>
  <c r="AH856" i="15"/>
  <c r="AI856" i="15"/>
  <c r="AJ856" i="15"/>
  <c r="AK856" i="15"/>
  <c r="AL856" i="15"/>
  <c r="AM856" i="15"/>
  <c r="AN856" i="15"/>
  <c r="AO856" i="15"/>
  <c r="E856" i="15"/>
  <c r="AB51" i="12" l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D219" i="1"/>
  <c r="G207" i="17" l="1"/>
  <c r="F207" i="17"/>
  <c r="E207" i="17"/>
  <c r="D207" i="17"/>
  <c r="G213" i="53"/>
  <c r="F213" i="53"/>
  <c r="E213" i="53"/>
  <c r="D213" i="53"/>
  <c r="AC16" i="60" l="1"/>
  <c r="AD16" i="60"/>
  <c r="AE16" i="60"/>
  <c r="AF16" i="60"/>
  <c r="AG16" i="60"/>
  <c r="AH16" i="60"/>
  <c r="AI16" i="60"/>
  <c r="AJ16" i="60"/>
  <c r="AK16" i="60"/>
  <c r="AL16" i="60"/>
  <c r="AM16" i="60"/>
  <c r="AB16" i="60"/>
  <c r="AN16" i="60" l="1"/>
  <c r="G16" i="60"/>
  <c r="H16" i="60"/>
  <c r="I16" i="60"/>
  <c r="J16" i="60"/>
  <c r="K16" i="60"/>
  <c r="L16" i="60"/>
  <c r="M16" i="60"/>
  <c r="N16" i="60"/>
  <c r="O16" i="60"/>
  <c r="P16" i="60"/>
  <c r="Q16" i="60"/>
  <c r="F16" i="60"/>
  <c r="AB7" i="12" l="1"/>
  <c r="E174" i="51" l="1"/>
  <c r="D174" i="51"/>
  <c r="AJ188" i="43" l="1"/>
  <c r="AI188" i="43"/>
  <c r="AH188" i="43"/>
  <c r="AG188" i="43"/>
  <c r="AF188" i="43"/>
  <c r="AE188" i="43"/>
  <c r="AD188" i="43"/>
  <c r="AB188" i="43"/>
  <c r="AA188" i="43"/>
  <c r="Z188" i="43"/>
  <c r="Y188" i="43"/>
  <c r="X188" i="43"/>
  <c r="W188" i="43"/>
  <c r="V188" i="43"/>
  <c r="U188" i="43"/>
  <c r="T188" i="43"/>
  <c r="S188" i="43"/>
  <c r="R188" i="43"/>
  <c r="Q188" i="43"/>
  <c r="O188" i="43"/>
  <c r="N188" i="43"/>
  <c r="M188" i="43"/>
  <c r="K188" i="43"/>
  <c r="J188" i="43"/>
  <c r="I188" i="43"/>
  <c r="H188" i="43"/>
  <c r="AJ187" i="43"/>
  <c r="AI187" i="43"/>
  <c r="AH187" i="43"/>
  <c r="AG187" i="43"/>
  <c r="AF187" i="43"/>
  <c r="AE187" i="43"/>
  <c r="AD187" i="43"/>
  <c r="AB187" i="43"/>
  <c r="AA187" i="43"/>
  <c r="Z187" i="43"/>
  <c r="Y187" i="43"/>
  <c r="X187" i="43"/>
  <c r="W187" i="43"/>
  <c r="V187" i="43"/>
  <c r="U187" i="43"/>
  <c r="T187" i="43"/>
  <c r="S187" i="43"/>
  <c r="R187" i="43"/>
  <c r="Q187" i="43"/>
  <c r="O187" i="43"/>
  <c r="N187" i="43"/>
  <c r="M187" i="43"/>
  <c r="K187" i="43"/>
  <c r="J187" i="43"/>
  <c r="I187" i="43"/>
  <c r="H187" i="43"/>
  <c r="AJ186" i="43"/>
  <c r="AI186" i="43"/>
  <c r="AH186" i="43"/>
  <c r="AG186" i="43"/>
  <c r="AF186" i="43"/>
  <c r="AE186" i="43"/>
  <c r="AD186" i="43"/>
  <c r="AB186" i="43"/>
  <c r="AA186" i="43"/>
  <c r="Z186" i="43"/>
  <c r="Y186" i="43"/>
  <c r="X186" i="43"/>
  <c r="W186" i="43"/>
  <c r="V186" i="43"/>
  <c r="U186" i="43"/>
  <c r="T186" i="43"/>
  <c r="S186" i="43"/>
  <c r="R186" i="43"/>
  <c r="Q186" i="43"/>
  <c r="O186" i="43"/>
  <c r="N186" i="43"/>
  <c r="M186" i="43"/>
  <c r="K186" i="43"/>
  <c r="J186" i="43"/>
  <c r="I186" i="43"/>
  <c r="H186" i="43"/>
  <c r="AJ185" i="43"/>
  <c r="AI185" i="43"/>
  <c r="AH185" i="43"/>
  <c r="AG185" i="43"/>
  <c r="AF185" i="43"/>
  <c r="AE185" i="43"/>
  <c r="AD185" i="43"/>
  <c r="AB185" i="43"/>
  <c r="AA185" i="43"/>
  <c r="Z185" i="43"/>
  <c r="Y185" i="43"/>
  <c r="X185" i="43"/>
  <c r="W185" i="43"/>
  <c r="V185" i="43"/>
  <c r="U185" i="43"/>
  <c r="T185" i="43"/>
  <c r="S185" i="43"/>
  <c r="R185" i="43"/>
  <c r="Q185" i="43"/>
  <c r="O185" i="43"/>
  <c r="N185" i="43"/>
  <c r="M185" i="43"/>
  <c r="K185" i="43"/>
  <c r="J185" i="43"/>
  <c r="I185" i="43"/>
  <c r="H185" i="43"/>
  <c r="N3" i="42"/>
  <c r="N4" i="42"/>
  <c r="N5" i="42"/>
  <c r="N6" i="42"/>
  <c r="N7" i="42"/>
  <c r="N8" i="42"/>
  <c r="N9" i="42"/>
  <c r="N10" i="42"/>
  <c r="N11" i="42"/>
  <c r="N12" i="42"/>
  <c r="N13" i="42"/>
  <c r="N14" i="42"/>
  <c r="N15" i="42"/>
  <c r="N16" i="42"/>
  <c r="N17" i="42"/>
  <c r="N18" i="42"/>
  <c r="N19" i="42"/>
  <c r="N20" i="42"/>
  <c r="N21" i="42"/>
  <c r="N22" i="42"/>
  <c r="N23" i="42"/>
  <c r="N24" i="42"/>
  <c r="N25" i="42"/>
  <c r="N26" i="42"/>
  <c r="N27" i="42"/>
  <c r="N28" i="42"/>
  <c r="N29" i="42"/>
  <c r="N30" i="42"/>
  <c r="N31" i="42"/>
  <c r="N32" i="42"/>
  <c r="N33" i="42"/>
  <c r="N34" i="42"/>
  <c r="N35" i="42"/>
  <c r="N36" i="42"/>
  <c r="N37" i="42"/>
  <c r="N38" i="42"/>
  <c r="N39" i="42"/>
  <c r="N40" i="42"/>
  <c r="N41" i="42"/>
  <c r="N42" i="42"/>
  <c r="N43" i="42"/>
  <c r="N44" i="42"/>
  <c r="N45" i="42"/>
  <c r="N46" i="42"/>
  <c r="N47" i="42"/>
  <c r="N48" i="42"/>
  <c r="N49" i="42"/>
  <c r="N2" i="42"/>
  <c r="N50" i="42" s="1"/>
  <c r="F50" i="42" l="1"/>
  <c r="G50" i="42"/>
  <c r="H50" i="42"/>
  <c r="I50" i="42"/>
  <c r="J50" i="42"/>
  <c r="K50" i="42"/>
  <c r="L50" i="42"/>
  <c r="M50" i="42"/>
  <c r="E50" i="42"/>
  <c r="F286" i="6" l="1"/>
  <c r="E286" i="6"/>
  <c r="D286" i="6"/>
  <c r="G285" i="6"/>
  <c r="G284" i="6"/>
  <c r="G283" i="6"/>
  <c r="G282" i="6"/>
  <c r="G281" i="6"/>
  <c r="G280" i="6"/>
  <c r="G279" i="6"/>
  <c r="K272" i="6"/>
  <c r="J272" i="6"/>
  <c r="I272" i="6"/>
  <c r="H272" i="6"/>
  <c r="G272" i="6"/>
  <c r="N254" i="6"/>
  <c r="M254" i="6"/>
  <c r="L254" i="6"/>
  <c r="K254" i="6"/>
  <c r="J254" i="6"/>
  <c r="I254" i="6"/>
  <c r="G254" i="6"/>
  <c r="F254" i="6"/>
  <c r="E254" i="6"/>
  <c r="D254" i="6"/>
  <c r="N236" i="6"/>
  <c r="M236" i="6"/>
  <c r="L236" i="6"/>
  <c r="K236" i="6"/>
  <c r="J236" i="6"/>
  <c r="I236" i="6"/>
  <c r="H236" i="6"/>
  <c r="G236" i="6"/>
  <c r="F236" i="6"/>
  <c r="E236" i="6"/>
  <c r="D236" i="6"/>
  <c r="C236" i="6"/>
  <c r="P219" i="6"/>
  <c r="O219" i="6"/>
  <c r="N219" i="6"/>
  <c r="M219" i="6"/>
  <c r="L219" i="6"/>
  <c r="K219" i="6"/>
  <c r="J219" i="6"/>
  <c r="I219" i="6"/>
  <c r="H219" i="6"/>
  <c r="G219" i="6"/>
  <c r="F219" i="6"/>
  <c r="E219" i="6"/>
  <c r="D219" i="6"/>
  <c r="C219" i="6"/>
  <c r="C52" i="6"/>
  <c r="E52" i="6"/>
  <c r="G52" i="6"/>
  <c r="H52" i="6"/>
  <c r="I52" i="6"/>
  <c r="J52" i="6"/>
  <c r="K52" i="6"/>
  <c r="L52" i="6"/>
  <c r="D39" i="6"/>
  <c r="E39" i="6"/>
  <c r="F39" i="6"/>
  <c r="G39" i="6"/>
  <c r="H39" i="6"/>
  <c r="I39" i="6"/>
  <c r="J39" i="6"/>
  <c r="K39" i="6"/>
  <c r="L39" i="6"/>
  <c r="M39" i="6"/>
  <c r="N39" i="6"/>
  <c r="G286" i="6" l="1"/>
  <c r="Z54" i="12" l="1"/>
  <c r="Z53" i="12"/>
  <c r="F24" i="6" l="1"/>
  <c r="F23" i="6"/>
  <c r="F22" i="6"/>
  <c r="F21" i="6"/>
  <c r="F20" i="6"/>
  <c r="D199" i="6" l="1"/>
  <c r="N190" i="6"/>
  <c r="M190" i="6"/>
  <c r="M199" i="6" s="1"/>
  <c r="L190" i="6"/>
  <c r="K190" i="6"/>
  <c r="J190" i="6"/>
  <c r="I190" i="6"/>
  <c r="H190" i="6"/>
  <c r="G190" i="6"/>
  <c r="F190" i="6"/>
  <c r="E190" i="6"/>
  <c r="N171" i="6"/>
  <c r="M171" i="6"/>
  <c r="L171" i="6"/>
  <c r="K171" i="6"/>
  <c r="J171" i="6"/>
  <c r="I171" i="6"/>
  <c r="H171" i="6"/>
  <c r="G171" i="6"/>
  <c r="F171" i="6"/>
  <c r="E171" i="6"/>
  <c r="Z52" i="12" l="1"/>
  <c r="C200" i="6"/>
  <c r="E200" i="6"/>
  <c r="G200" i="6"/>
  <c r="H200" i="6"/>
  <c r="I200" i="6"/>
  <c r="J200" i="6"/>
  <c r="K200" i="6"/>
  <c r="L200" i="6"/>
  <c r="Z55" i="12" l="1"/>
  <c r="N152" i="6"/>
  <c r="M152" i="6"/>
  <c r="L152" i="6"/>
  <c r="K152" i="6"/>
  <c r="J152" i="6"/>
  <c r="I152" i="6"/>
  <c r="F152" i="6"/>
  <c r="D152" i="6"/>
  <c r="N136" i="6"/>
  <c r="M136" i="6"/>
  <c r="L136" i="6"/>
  <c r="K136" i="6"/>
  <c r="J136" i="6"/>
  <c r="I136" i="6"/>
  <c r="H136" i="6"/>
  <c r="G136" i="6"/>
  <c r="F136" i="6"/>
  <c r="E136" i="6"/>
  <c r="D136" i="6"/>
  <c r="N112" i="6"/>
  <c r="M112" i="6"/>
  <c r="L112" i="6"/>
  <c r="K112" i="6"/>
  <c r="J112" i="6"/>
  <c r="I112" i="6"/>
  <c r="H112" i="6"/>
  <c r="G112" i="6"/>
  <c r="F112" i="6"/>
  <c r="E112" i="6"/>
  <c r="D112" i="6"/>
  <c r="K91" i="6"/>
  <c r="J91" i="6"/>
  <c r="H91" i="6"/>
  <c r="F91" i="6"/>
  <c r="D91" i="6"/>
  <c r="N68" i="6"/>
  <c r="M68" i="6"/>
  <c r="L68" i="6"/>
  <c r="K68" i="6"/>
  <c r="J68" i="6"/>
  <c r="I68" i="6"/>
  <c r="H68" i="6"/>
  <c r="G68" i="6"/>
  <c r="F68" i="6"/>
  <c r="E68" i="6"/>
  <c r="D68" i="6"/>
</calcChain>
</file>

<file path=xl/sharedStrings.xml><?xml version="1.0" encoding="utf-8"?>
<sst xmlns="http://schemas.openxmlformats.org/spreadsheetml/2006/main" count="24952" uniqueCount="1681">
  <si>
    <t xml:space="preserve">dz0la0 </t>
  </si>
  <si>
    <t xml:space="preserve">tuin </t>
  </si>
  <si>
    <t xml:space="preserve">vfXu'keu dsUnz dk uke </t>
  </si>
  <si>
    <t>dqy dky</t>
  </si>
  <si>
    <t xml:space="preserve">vlR; dky </t>
  </si>
  <si>
    <t>lR;   dkWy</t>
  </si>
  <si>
    <t>?kVukLFky dk fooj.k</t>
  </si>
  <si>
    <t xml:space="preserve">vfXudk.M dk dkj.k </t>
  </si>
  <si>
    <t xml:space="preserve">vfXudk.M dk dkj.k@fdl oLrq esa yxh gSA  </t>
  </si>
  <si>
    <t>vuqekfur {kfr lEifRr</t>
  </si>
  <si>
    <t>vuqekfur cpk;h lEifRr</t>
  </si>
  <si>
    <t xml:space="preserve">tho ejs </t>
  </si>
  <si>
    <t>tho cps</t>
  </si>
  <si>
    <t>tho ?kk;y</t>
  </si>
  <si>
    <t xml:space="preserve">euq"; </t>
  </si>
  <si>
    <t>i'kq</t>
  </si>
  <si>
    <t xml:space="preserve">pekssyh </t>
  </si>
  <si>
    <t xml:space="preserve">xksis'oj </t>
  </si>
  <si>
    <t>&amp;</t>
  </si>
  <si>
    <t>tks'kheB</t>
  </si>
  <si>
    <t>:nziz;kx</t>
  </si>
  <si>
    <t xml:space="preserve">ikSMh x&lt;oky </t>
  </si>
  <si>
    <t xml:space="preserve">dksV}kj </t>
  </si>
  <si>
    <t xml:space="preserve">mRrjdk'kh </t>
  </si>
  <si>
    <t xml:space="preserve">cMdksV </t>
  </si>
  <si>
    <t>fVgjh x&lt;oky</t>
  </si>
  <si>
    <t xml:space="preserve">ujsUnz uxj </t>
  </si>
  <si>
    <t xml:space="preserve">ubZ fVgjh </t>
  </si>
  <si>
    <t xml:space="preserve">gfj}kj </t>
  </si>
  <si>
    <t xml:space="preserve">ek;kiqj </t>
  </si>
  <si>
    <t xml:space="preserve">yDlj </t>
  </si>
  <si>
    <t>flMdqy</t>
  </si>
  <si>
    <t xml:space="preserve">:Mdh </t>
  </si>
  <si>
    <t xml:space="preserve">nsgjknwu </t>
  </si>
  <si>
    <t xml:space="preserve">_f"kds'k </t>
  </si>
  <si>
    <t xml:space="preserve">ealwjh </t>
  </si>
  <si>
    <t xml:space="preserve">fodkluxj </t>
  </si>
  <si>
    <t xml:space="preserve">lsykdqbZ </t>
  </si>
  <si>
    <t xml:space="preserve">vYeksMk </t>
  </si>
  <si>
    <t>jkuh[ksr</t>
  </si>
  <si>
    <t xml:space="preserve">ckxs'koj </t>
  </si>
  <si>
    <t>Qk0;w0 didksV</t>
  </si>
  <si>
    <t xml:space="preserve">Qk0;w0 x:M </t>
  </si>
  <si>
    <t xml:space="preserve">pEikor </t>
  </si>
  <si>
    <t xml:space="preserve">yksgk?kkV </t>
  </si>
  <si>
    <t xml:space="preserve">Vudiqj </t>
  </si>
  <si>
    <t>fiFkkSjkx&lt;</t>
  </si>
  <si>
    <t xml:space="preserve">fiFkkSjkx&lt; </t>
  </si>
  <si>
    <t>/kkjpwyk Qk0;w</t>
  </si>
  <si>
    <t xml:space="preserve">uSuhrky </t>
  </si>
  <si>
    <t xml:space="preserve">jkeuxj </t>
  </si>
  <si>
    <t xml:space="preserve">gY}kuh </t>
  </si>
  <si>
    <t xml:space="preserve">m/keflag uxj </t>
  </si>
  <si>
    <t xml:space="preserve">:nziqj </t>
  </si>
  <si>
    <t xml:space="preserve">iUruxj </t>
  </si>
  <si>
    <t xml:space="preserve">dk'khiqj </t>
  </si>
  <si>
    <t xml:space="preserve">flrkjxat </t>
  </si>
  <si>
    <t xml:space="preserve">[kVhek </t>
  </si>
  <si>
    <t>tliqj</t>
  </si>
  <si>
    <t xml:space="preserve">cktiqj </t>
  </si>
  <si>
    <t xml:space="preserve">;ksx </t>
  </si>
  <si>
    <t xml:space="preserve">vfHk;ku </t>
  </si>
  <si>
    <t xml:space="preserve">?kVuk dk fooj.k </t>
  </si>
  <si>
    <t>vkink</t>
  </si>
  <si>
    <t>lM+d</t>
  </si>
  <si>
    <t>jkgr cpko</t>
  </si>
  <si>
    <t xml:space="preserve">peskyh </t>
  </si>
  <si>
    <t xml:space="preserve">in </t>
  </si>
  <si>
    <t xml:space="preserve">uke vf/k0@deZ0 </t>
  </si>
  <si>
    <t xml:space="preserve">firk dk uke </t>
  </si>
  <si>
    <t xml:space="preserve">ls0fu0   vf/ko"kZrk </t>
  </si>
  <si>
    <t>ls0fu0      ,sfPNd</t>
  </si>
  <si>
    <t xml:space="preserve">e`R;q dk fooj.k </t>
  </si>
  <si>
    <t xml:space="preserve">vfXudk.M dk dkj.k@fdl oLrq esa vkx yxh gSa  </t>
  </si>
  <si>
    <t xml:space="preserve">ukSxkao@cMdksV </t>
  </si>
  <si>
    <t>/kkjpwyk Qk0;wfuV</t>
  </si>
  <si>
    <t>dz0la0</t>
  </si>
  <si>
    <t xml:space="preserve">,u0vks0lh0 dk izdkj  </t>
  </si>
  <si>
    <t xml:space="preserve">ekg ds iwoZ esa yfEcr </t>
  </si>
  <si>
    <t xml:space="preserve">ekg esa izkIr  </t>
  </si>
  <si>
    <t xml:space="preserve">ekg esa fuLrkfjr </t>
  </si>
  <si>
    <t xml:space="preserve"> Ekkg esa fujLr </t>
  </si>
  <si>
    <t xml:space="preserve">fujLr djus dk dkj.k </t>
  </si>
  <si>
    <t>peksyh</t>
  </si>
  <si>
    <t xml:space="preserve">(a)      Pre-establishment </t>
  </si>
  <si>
    <t>(b)      Pre-Operation N.O.C</t>
  </si>
  <si>
    <t xml:space="preserve">(c)      Annual N.O.C </t>
  </si>
  <si>
    <t xml:space="preserve">fVgjh x&lt;+oky </t>
  </si>
  <si>
    <t xml:space="preserve">ckxs'oj </t>
  </si>
  <si>
    <t>pEikor</t>
  </si>
  <si>
    <t>fiFkkSjkx&lt;+</t>
  </si>
  <si>
    <t>uSuhrky</t>
  </si>
  <si>
    <t xml:space="preserve">o"kZ </t>
  </si>
  <si>
    <t xml:space="preserve">lR; </t>
  </si>
  <si>
    <t xml:space="preserve">vlR; </t>
  </si>
  <si>
    <t xml:space="preserve">dqy dky </t>
  </si>
  <si>
    <t xml:space="preserve">vuqekfur tksf[ke lEifRr </t>
  </si>
  <si>
    <t xml:space="preserve">vuqekfur cpk;h lEifRr </t>
  </si>
  <si>
    <t xml:space="preserve">tho cps </t>
  </si>
  <si>
    <t xml:space="preserve">i'kq </t>
  </si>
  <si>
    <t>22]45]89]545&amp;00</t>
  </si>
  <si>
    <t>1]07]36]12]627&amp;00</t>
  </si>
  <si>
    <t>;ksx</t>
  </si>
  <si>
    <t xml:space="preserve">o"kZ 2018 esa gq;s vfXudk.Mksa dk ekgokj fooj.k  </t>
  </si>
  <si>
    <t>ekg</t>
  </si>
  <si>
    <t>vuqekfur  tksf[ke lEifRr</t>
  </si>
  <si>
    <t xml:space="preserve">vuqekfur cpk;h x;h lEifRRk </t>
  </si>
  <si>
    <t>euq";</t>
  </si>
  <si>
    <t xml:space="preserve">tuojh </t>
  </si>
  <si>
    <t xml:space="preserve">Qjojh </t>
  </si>
  <si>
    <t>ekpZ</t>
  </si>
  <si>
    <t>vizSy</t>
  </si>
  <si>
    <t>ebZ</t>
  </si>
  <si>
    <t xml:space="preserve">twu </t>
  </si>
  <si>
    <t>tqykbZ</t>
  </si>
  <si>
    <t>vxLr</t>
  </si>
  <si>
    <t>flrEcj</t>
  </si>
  <si>
    <t>vDVwcj</t>
  </si>
  <si>
    <t xml:space="preserve">uoEcj </t>
  </si>
  <si>
    <t xml:space="preserve">fnlEcj </t>
  </si>
  <si>
    <t xml:space="preserve">mRrjk[k.M jkT; esa o"kZ 2018 esa dqy gq;s vfXudk.Mksa dk  fooj.k </t>
  </si>
  <si>
    <t>d0la0</t>
  </si>
  <si>
    <t xml:space="preserve">vfXu'keu ,oa vkikr lsok mŸkjk[k.M }kjk jkgr ,oa cpko@vkink@jsLdw vkfn fd;s x;s dk;kZs dk fooj.k tuin peksyh </t>
  </si>
  <si>
    <t xml:space="preserve">peksyh </t>
  </si>
  <si>
    <t xml:space="preserve">:nziz;kx </t>
  </si>
  <si>
    <t xml:space="preserve">mRRkjdk'kh </t>
  </si>
  <si>
    <t xml:space="preserve">fVgjh </t>
  </si>
  <si>
    <t>nsgjknwu</t>
  </si>
  <si>
    <t xml:space="preserve"> </t>
  </si>
  <si>
    <t>vfXudk.M vkadM+s tuin okj ekg okj 2019 vfXu'keu ,oa vkikr lsok mŸkjk[k.MA</t>
  </si>
  <si>
    <t xml:space="preserve">ebZ </t>
  </si>
  <si>
    <t>twu</t>
  </si>
  <si>
    <t xml:space="preserve">vDVwcj </t>
  </si>
  <si>
    <t>vb</t>
  </si>
  <si>
    <t>uoEcj</t>
  </si>
  <si>
    <t>vfXu'keu ,oa vkikr lsok mŸkjk[k.M }kjk jkgr ,oa cpko@vkink@jsLdw vkrfn fd;s x;s dk;kZs  ekg dk fooj.k      o"kZ 2019</t>
  </si>
  <si>
    <t>vfXudk.M vkadM+s tuin okj ekg okj 2020 vfXu'keu ,oa vkikr lsok mŸkjk[k.MA</t>
  </si>
  <si>
    <t xml:space="preserve">&amp; </t>
  </si>
  <si>
    <t>vfXu'keu ,oa vkikr lsok mŸkjk[k.M }kjk jkgr ,oa cpko@vkink@jsLdw vkrfn fd;s x;s dk;kZs dk fooj.k  o"kZ 2020</t>
  </si>
  <si>
    <t xml:space="preserve"> Ekkg ds vUr esa 'ks"kA </t>
  </si>
  <si>
    <t xml:space="preserve">ukSxkao@  cMdksV </t>
  </si>
  <si>
    <t>MksbZokyk</t>
  </si>
  <si>
    <t>MhMhgkV</t>
  </si>
  <si>
    <t>Jhuxj Qk0;wfuV</t>
  </si>
  <si>
    <t>FkSyhlSa.k Qk0;wfuV</t>
  </si>
  <si>
    <t>Qk0 ;w0?kulkyh</t>
  </si>
  <si>
    <t>fooj.k</t>
  </si>
  <si>
    <t>izfrHkkfx;ksa dh la[;k</t>
  </si>
  <si>
    <t>laf{kIr fooj.k</t>
  </si>
  <si>
    <t>Ø-la-</t>
  </si>
  <si>
    <t>ekWd fMªy</t>
  </si>
  <si>
    <t>tu tkx:drk</t>
  </si>
  <si>
    <t>Ø0 la0</t>
  </si>
  <si>
    <t>fujh{k.k drkZ jktif=r vf/kdkjh dk uke o inuke</t>
  </si>
  <si>
    <t>fujh{k.k dk fnukad</t>
  </si>
  <si>
    <t>fujh{k.k dk izdkj</t>
  </si>
  <si>
    <t>fujh{k.k ds nkSjku ik;h x;h dfe;ka@lq&gt;ko</t>
  </si>
  <si>
    <t>okf"kZd fujh{k.k</t>
  </si>
  <si>
    <t>v}Z okf"kZd fujh{k.k</t>
  </si>
  <si>
    <t>vkdkfLed fujh{k.k</t>
  </si>
  <si>
    <t>DIG</t>
  </si>
  <si>
    <t>CFO</t>
  </si>
  <si>
    <t>CO</t>
  </si>
  <si>
    <t>Jhuxj</t>
  </si>
  <si>
    <t>dksV}kj</t>
  </si>
  <si>
    <t>ikSMh x&lt;oky</t>
  </si>
  <si>
    <t>dqy fd;s x;s dk;Z dh la[;k</t>
  </si>
  <si>
    <t>mRrjdk'kh</t>
  </si>
  <si>
    <t>izf'k{k.k</t>
  </si>
  <si>
    <t>fVgjh</t>
  </si>
  <si>
    <t>xksis'oj</t>
  </si>
  <si>
    <t>yDlj</t>
  </si>
  <si>
    <t>_f"kds'k</t>
  </si>
  <si>
    <t>fodkluxj</t>
  </si>
  <si>
    <t>lsykdqbZ</t>
  </si>
  <si>
    <t>jkeuxj</t>
  </si>
  <si>
    <t>yksgk?kkV</t>
  </si>
  <si>
    <t>:nziqj</t>
  </si>
  <si>
    <t>[kVhek</t>
  </si>
  <si>
    <t>dk'khiqj</t>
  </si>
  <si>
    <t>AD-SP</t>
  </si>
  <si>
    <t>DD(T)</t>
  </si>
  <si>
    <t xml:space="preserve">Qk;j LVs'ku </t>
  </si>
  <si>
    <t>vuqekfur cpk;h xbZ lEifRr</t>
  </si>
  <si>
    <t>gY}kuh</t>
  </si>
  <si>
    <t>Vudiqj</t>
  </si>
  <si>
    <t>vYeksMk</t>
  </si>
  <si>
    <t>cktiqj</t>
  </si>
  <si>
    <t>flrkjxat</t>
  </si>
  <si>
    <t xml:space="preserve">Ø0 </t>
  </si>
  <si>
    <t>SSP/SP</t>
  </si>
  <si>
    <t>ikSMh</t>
  </si>
  <si>
    <t>vU; fooj.k</t>
  </si>
  <si>
    <t>Qjojh</t>
  </si>
  <si>
    <t xml:space="preserve">  lR;   dkWy</t>
  </si>
  <si>
    <t xml:space="preserve">vfXu'keu ,oa vkikr lsok mŸkjk[k.M }kjk jkgr ,oa cpko@vkink@jsLdw vkfn fd;s x;s dk;kZs dk fooj.k o"kZ 2018 ls 2021 tqykbZ rd </t>
  </si>
  <si>
    <t>tuojh</t>
  </si>
  <si>
    <t>ohvkbZih fM0 dh la0</t>
  </si>
  <si>
    <t>ohohvkbZih fM0 dh la0</t>
  </si>
  <si>
    <t>dkuwu O;0 fM0 la0</t>
  </si>
  <si>
    <t>FkSyhlS.k</t>
  </si>
  <si>
    <t>Hkxokuiqj</t>
  </si>
  <si>
    <t>R;wuh</t>
  </si>
  <si>
    <t>oh-vkbZ-ih fM;wVh dh la[;k</t>
  </si>
  <si>
    <t>oh-oh-vkbZ-ih- fM;wVh dh la[;k</t>
  </si>
  <si>
    <t>dkuwu O;oLFkk fM;wVh dh la[;k</t>
  </si>
  <si>
    <t>dqy ;ksx</t>
  </si>
  <si>
    <t>ek;kiqj</t>
  </si>
  <si>
    <t>fØ;k'khy gkbZMªsUV dh la[;k</t>
  </si>
  <si>
    <t>vfØ;k'khy gkbZMªsUV dh la[;k</t>
  </si>
  <si>
    <t>vfrØfer gkbZMªsUV dh la[;k</t>
  </si>
  <si>
    <t>Ø0la0</t>
  </si>
  <si>
    <t>izLrkfor gkbZMªsUV dh la[;k</t>
  </si>
  <si>
    <t>uohu yxk;s x;s gkbZMªsUV dh la[;k</t>
  </si>
  <si>
    <t>vfrØe.k ls eqDr djk;s x;s gkbZMªsUV dh la[;k</t>
  </si>
  <si>
    <t>iquZthfor fd;s x;s gkbZMªsUV dh la[;k</t>
  </si>
  <si>
    <t>fVIi.kh</t>
  </si>
  <si>
    <t>tuin</t>
  </si>
  <si>
    <t>uke Qk;j LVs'ku</t>
  </si>
  <si>
    <t>fu;ru</t>
  </si>
  <si>
    <t>Qkse Vs.Mj</t>
  </si>
  <si>
    <t>okVj Vs.Mj</t>
  </si>
  <si>
    <t>feuh okVj VS.Mj</t>
  </si>
  <si>
    <t>Mhlhih Vs.Mj</t>
  </si>
  <si>
    <t>jsLD;w Vs.Mj</t>
  </si>
  <si>
    <t>cSd iSd lSV e; ckbd</t>
  </si>
  <si>
    <t>iksVZcy iEi</t>
  </si>
  <si>
    <t>QyksVj iEi</t>
  </si>
  <si>
    <t>VªksbZx osfgdy</t>
  </si>
  <si>
    <t>Vªkyh</t>
  </si>
  <si>
    <t>bufQysVsM ykbZV</t>
  </si>
  <si>
    <t>tsujsVj</t>
  </si>
  <si>
    <t>,vj dEizszs'kj</t>
  </si>
  <si>
    <t>Cyksoj ,DtkLVj</t>
  </si>
  <si>
    <t>Leksd ,XtkLVj</t>
  </si>
  <si>
    <t>Mk;e.M pSu lkW</t>
  </si>
  <si>
    <t>ldqZyj lkW</t>
  </si>
  <si>
    <t>gkbZMªksfyd LisMj</t>
  </si>
  <si>
    <t>gkbMªksfyd dVj</t>
  </si>
  <si>
    <t>okVj iEi</t>
  </si>
  <si>
    <t xml:space="preserve">gkbZ izslj iEi </t>
  </si>
  <si>
    <t>cksyjks thi</t>
  </si>
  <si>
    <t>ftIlh</t>
  </si>
  <si>
    <t>thi egsUnzk</t>
  </si>
  <si>
    <t>dqysUV iEi</t>
  </si>
  <si>
    <t>Loh0</t>
  </si>
  <si>
    <t>mi0</t>
  </si>
  <si>
    <t>fjDr</t>
  </si>
  <si>
    <t>dk;Z0</t>
  </si>
  <si>
    <t>ukSxko] cMdksV</t>
  </si>
  <si>
    <t>elwjh</t>
  </si>
  <si>
    <t>ikSM+h</t>
  </si>
  <si>
    <t>iUruxj</t>
  </si>
  <si>
    <t>:M+dh</t>
  </si>
  <si>
    <t>uSSuhrky</t>
  </si>
  <si>
    <t>ubZ fVgjh</t>
  </si>
  <si>
    <t>ujsUnzuxj</t>
  </si>
  <si>
    <t>ckxs'oj</t>
  </si>
  <si>
    <t>vdk;Z0</t>
  </si>
  <si>
    <t>eYVhijit Qk;j VS.Mj</t>
  </si>
  <si>
    <t>ih ih lh oh</t>
  </si>
  <si>
    <t>,EcqySUl</t>
  </si>
  <si>
    <t>eksVj lkbZfdy</t>
  </si>
  <si>
    <t>VkVk thuksu</t>
  </si>
  <si>
    <t>Qk-;w- x:M</t>
  </si>
  <si>
    <t>Qk-;w- didksV</t>
  </si>
  <si>
    <t>gkbZMªksfyd IysVQkeZ</t>
  </si>
  <si>
    <t>m/keflaguxj</t>
  </si>
  <si>
    <t>Qk0;w0 ?kulkyh</t>
  </si>
  <si>
    <t>Qk0;w0 Jhuxj</t>
  </si>
  <si>
    <t>IG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</si>
  <si>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</si>
  <si>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</si>
  <si>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</si>
  <si>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</si>
  <si>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</si>
  <si>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</si>
  <si>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</si>
  <si>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</si>
  <si>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</si>
  <si>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</si>
  <si>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</si>
  <si>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</si>
  <si>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</si>
  <si>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vfXudk.M vkadM+s o"kZ 2021 vfXu'keu ,oa vkikr lsok mŸkjk[k.MA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</si>
  <si>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</si>
  <si>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</si>
  <si>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</si>
  <si>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</si>
  <si>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</si>
  <si>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</si>
  <si>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</si>
  <si>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</si>
  <si>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</si>
  <si>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</si>
  <si>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</si>
  <si>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</si>
  <si>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tho j{kk@jkgr ,oa cpko@jsLD;w tuin o"kZ 2021 vfXu'keu ,oa vkikr lsok mŸkjk[k.MA</t>
  </si>
  <si>
    <t xml:space="preserve">2021
</t>
  </si>
  <si>
    <t xml:space="preserve">tuinokj vfXudk.Mksa dk fooj.k] ohohckbZih M;wVh] ,oa ,y0vks0 M;wVh dk fooj.k vafdr  fd;k tkuk gSA </t>
  </si>
  <si>
    <t xml:space="preserve">tho ?kk;y </t>
  </si>
  <si>
    <t>tuojh 22</t>
  </si>
  <si>
    <t>Qjojh 22</t>
  </si>
  <si>
    <t>ekpZ 22</t>
  </si>
  <si>
    <t>taxy</t>
  </si>
  <si>
    <t>Qk0;w0 R;w.kh</t>
  </si>
  <si>
    <t xml:space="preserve">2022  vizSy </t>
  </si>
  <si>
    <t xml:space="preserve">ekpZ </t>
  </si>
  <si>
    <t>Qk;j ;wfuV R;w.kh</t>
  </si>
  <si>
    <t>LVSfVd</t>
  </si>
  <si>
    <t>eksckbZy</t>
  </si>
  <si>
    <t>gS.MlSV</t>
  </si>
  <si>
    <t>,eMhVh</t>
  </si>
  <si>
    <t>dz0</t>
  </si>
  <si>
    <t>MhMhgkV Qk0;w0</t>
  </si>
  <si>
    <t>Mk;e.M dVj</t>
  </si>
  <si>
    <t>ldqZyj dVj</t>
  </si>
  <si>
    <t>-</t>
  </si>
  <si>
    <t>fnlEcj</t>
  </si>
  <si>
    <t xml:space="preserve">viZzy </t>
  </si>
  <si>
    <t>ukSxkao
¼cMdksV ½</t>
  </si>
  <si>
    <t xml:space="preserve">oukfXu dk o"kZ 2018&amp;22 esa ?kfVr gq;s vfXudk.Mksa dk fooj.kA </t>
  </si>
  <si>
    <t xml:space="preserve">o"kZ 2016&amp;22 esa gq;s ?kfVr gq;s vfXudk.Mksa dk fooj.kA </t>
  </si>
  <si>
    <t xml:space="preserve">vfXu'keu ,oa vkikr lsok mŸkjk[k.M }kjk jkgr ,oa cpko@vkink@jsLdw vkfn fd;s x;s dk;kZs dk fooj.k o"kZ 2017 ls 2022 </t>
  </si>
  <si>
    <t xml:space="preserve">o"kZ 22 esa gq;s ?kfVr gq;s oukfXu dk fooj.kA </t>
  </si>
  <si>
    <t xml:space="preserve">vfXu'keu ,oa vkikr lsok mŸkjk[k.M }kjk jkgr ,oa cpko@vkink@jsLdw vkfn fd;s x;s dk;kZs dk fooj.k o"kZ 2022 </t>
  </si>
  <si>
    <t>Tkuin</t>
  </si>
  <si>
    <t>Qk;j ,DlfVaX;q”kj fujh{k.k “kqYd ls izkIr /kujkf”k</t>
  </si>
  <si>
    <t>Qk;j fjiksVZ udy “kqYd ls izkIr /kujkf”k</t>
  </si>
  <si>
    <t>Qk;j lfoZl fM;wVh “kqqYd  ls izkIr /kujkf”k</t>
  </si>
  <si>
    <t>ifEiax “kqYd ls izkIr /kujkf”k</t>
  </si>
  <si>
    <t xml:space="preserve"> o"kZ 2022 esa vfXu'keu ,oa vkikr lsok ls izkIr dqy /kujkf'k dk tuinokj  fooj.k </t>
  </si>
  <si>
    <t xml:space="preserve">dqy fd;s x;s  fujh{k.kksa dh la[;k </t>
  </si>
  <si>
    <t>fn0 01-01-2022 ls fn0 31-12-2022 rd jktif+=r vf/kdkfj;ksa }kjk fd;s x;s fujh{k.k Qk;j LVs'ku@;wfuV ds fujh{k.k dk fooj.k</t>
  </si>
  <si>
    <t>Total</t>
  </si>
  <si>
    <t>Qk0;w0 FkyhlS.k</t>
  </si>
  <si>
    <t>fdPNk</t>
  </si>
  <si>
    <t xml:space="preserve"> 'kkWVZ lfdZV</t>
  </si>
  <si>
    <t>vKkr</t>
  </si>
  <si>
    <t>ukSxkao</t>
  </si>
  <si>
    <t>fdlds }kjk iznku fd;k x;k</t>
  </si>
  <si>
    <t>cMdksV</t>
  </si>
  <si>
    <t>?kulkyh</t>
  </si>
  <si>
    <t>Qk-;w-Hkxokuiqj</t>
  </si>
  <si>
    <t xml:space="preserve">ukSxkao ¼cMdksV½ </t>
  </si>
  <si>
    <t>?kj</t>
  </si>
  <si>
    <t>Year</t>
  </si>
  <si>
    <t>Fire Calls</t>
  </si>
  <si>
    <t>Rescue Calls</t>
  </si>
  <si>
    <t>Property Saved</t>
  </si>
  <si>
    <t>Property Lost</t>
  </si>
  <si>
    <t>Life Saved (Hum)</t>
  </si>
  <si>
    <t>Life Saved (Ani)</t>
  </si>
  <si>
    <t>Life Lost (Hum)</t>
  </si>
  <si>
    <t>Life Lost (Ani)</t>
  </si>
  <si>
    <t>h</t>
  </si>
  <si>
    <t xml:space="preserve">dqy vkx dh ?kVuk </t>
  </si>
  <si>
    <t xml:space="preserve">vkx dh ?kVuk </t>
  </si>
  <si>
    <t xml:space="preserve">vlR; ?kVuk  </t>
  </si>
  <si>
    <t xml:space="preserve">o"kZ 2001 ls 2022  esa ?kfVr gq;s vfXudk.Mksa dk fooj.kA </t>
  </si>
  <si>
    <t>eYyhrky</t>
  </si>
  <si>
    <t>u0uxj</t>
  </si>
  <si>
    <t>oqMu dVj</t>
  </si>
  <si>
    <t>Øs'k Qk;j VS.Mj</t>
  </si>
  <si>
    <t>FSSO</t>
  </si>
  <si>
    <t>LFM</t>
  </si>
  <si>
    <t>DVR</t>
  </si>
  <si>
    <t>FM</t>
  </si>
  <si>
    <t>okVj VS.Mj</t>
  </si>
  <si>
    <t>ihihlhoh</t>
  </si>
  <si>
    <t>cSd iSd lSV</t>
  </si>
  <si>
    <t>eYVhijit Mhlhih VS.Mj</t>
  </si>
  <si>
    <t>feuh okWVj VS.Mj@okWVj feLV</t>
  </si>
  <si>
    <t>Qkse VS.Mj</t>
  </si>
  <si>
    <t>okVj@Qkse VS.Mj@ckmtj</t>
  </si>
  <si>
    <t>jsLd;w VS.Mj ,MokUl fon VwYl</t>
  </si>
  <si>
    <t>FkyhlS.k</t>
  </si>
  <si>
    <t>xSjlS.k</t>
  </si>
  <si>
    <t>ioZrh; tuin eq[;ky;</t>
  </si>
  <si>
    <t>vkS/kSfxd {ks=</t>
  </si>
  <si>
    <t>rglhy ioZrh;</t>
  </si>
  <si>
    <t>eSnkuh tuin eq[;ky;</t>
  </si>
  <si>
    <t>rglhy eSnkuh tuin</t>
  </si>
  <si>
    <t>Jh cnzhukFk</t>
  </si>
  <si>
    <t xml:space="preserve">pkj /kke </t>
  </si>
  <si>
    <t>dqy</t>
  </si>
  <si>
    <t>izk:i&amp;  ekWd fMªy@tutkx:drk@izf'k{k.k  tuin okj ekg tuojh 2024 vfXu'keu ,oa vkikr lsok mŸkjk[k.MA</t>
  </si>
  <si>
    <t>jkbZdk ckSu iaft;kyk mRrjdk'kh
jkbZdk HkVokMh</t>
  </si>
  <si>
    <t>jk0lkeq0 Lok0 dsUnz ukSxkao
jk0 lkeq0 Lok0 dsUnz ukSxkao</t>
  </si>
  <si>
    <t>jkbZdk D;kdZ</t>
  </si>
  <si>
    <t>gksVy vyksgk vkWu n xaxst riksou
jkbZdk nsoy/kkj</t>
  </si>
  <si>
    <t>lS.V ,Ufkksuh ifCyd Ldwy &lt;qaxh/kkj</t>
  </si>
  <si>
    <t>gksVy jkt jkts'ojh
csEckS xkMZu dkWVst ,.M dSQs
vYikbZu fjVªhV riksou</t>
  </si>
  <si>
    <t>jkt0 uflZax dkWyst ifV;ky/kkj
jkbZdk xkSpj
Vh,pMhlh ihiydksVh
ftyk fpfdRlky; xksis'oj</t>
  </si>
  <si>
    <t>vkbZ,e, nsgjknwu]
iSflfQd xksYQ bLVsV] nsgjknwu
_f"kds'k cktkj {ks=
vadqj ifCyd Ldwy izxfr fogkj _f"k-
gksVy ykbZczsjh izsthMsalh]ealwjh
gksVy }kij ealwjh
mMhih jsLVkSjs.V &gt;k&gt;jk
bf.M;u vksojlht cSad
f'k[kj gksVy jlwyiqj
gksVy vkj-Mh-bu dSuky jksM fo0uxj
ioZrh; fQfyax LVs'ku eq[; cktkj</t>
  </si>
  <si>
    <t>gksVy uVjkt _f"kds'k
fMD'ku VsDuksykWth izk0fy0 lsykdqbZ
jkbZdk cjksVhokyk]gksVy f=os.kh]xksYMu yhQ osf.Max IokbZaV]fouj ,Eikj izk0fy0] bf.M;u ,DlVªtu izk0fy0] MhvkbZlh Vsd os;j izk0fy0] izdk'k gksVy] ;equk fQfyax LVs'ku] fNcjkS ikWoj gkÅl</t>
  </si>
  <si>
    <t>vfHkuo ¶;wy iS0iEi _f"kds'k
bUVjdkslZ izk0fy0da0 jk;iqj
ljLorh fo|k eafnj fodkluxj
MkdiRFkj cSjkt 
Qsclksy vkS/kksfxd bdkbZ ykyrIiM</t>
  </si>
  <si>
    <t>jsyos LVs'ku gfj}kj]fizUl ikbZi ,.M fQfVax gfj}kj]dsosafMl fy0 yDlj]gk;Qu gksVy lsDVj 11] xkMsZfu;k gksVy lSDVj 11] eS0 esLdksV QkekZL;wfVdy lSDVj 06</t>
  </si>
  <si>
    <t>ftYkk U;k;ky; ckxs'oj] xk;=h fo|kk eafnj] vVy mRd`"V baVj dkWyst x:M</t>
  </si>
  <si>
    <t>eS0 flYoj n Msu gksVy]eS0 n dqu[ksr fjtkWVZ</t>
  </si>
  <si>
    <t>lkscu flag thuk fpfDRlky;]vkehZ ifCyd Ldwy jkuh[ksr</t>
  </si>
  <si>
    <t>jkt0 izk0 fo|k0 pYFkh] pEikor</t>
  </si>
  <si>
    <t>fQVoSy eksfcfyVh] ohohesM izk-fy- dk'khiqj] Mh,oh ifCyd Ldwy</t>
  </si>
  <si>
    <t>lkO;k QkEkkZL;wfVdy] iUruxj
ckykth Qk;j oDlZ
iSjkMkbZt gksVy] Hkkjrh; gksVy tliqj
uhydaB fQfyax LVs'ku tliqj]
'kkdqEcjh IykfLVd tliqj
Hkkjr xSl ,tsUlh xksnke
b.Msu xSl xksnke] ,,u&gt;k b.Vj dk0
vkWDlQksMZ ,dsMeh :nziqj</t>
  </si>
  <si>
    <t>eS0 vYiyk bf.M;k izk0fy0 flrkjxat
dquky iSdsftax izk0fy0 flrkjxat</t>
  </si>
  <si>
    <t>Hkkjrh; jsM ØkWl lkslkbVh uSuhrky esfMdy dkWyst gY}kuh</t>
  </si>
  <si>
    <t>Hkkjrh; jsM ØkWl lkslkbVh uSuhrky esfMdy dkWyst gY}kuh
vkn'kZ fo|k0 jkbZdk jkeuxj
gksVy LVfyZax uSuhrky</t>
  </si>
  <si>
    <t xml:space="preserve">fl)kFkZ ifCyd Ldwy gY}kuh
gksyh ,atsYl ifCyd Ldwy gY)kuh
uSuh oSyh lh0ds0 Ldwy dkBxksnke
ySeu Vªh fjlksVZ eksgku jkeuxj
v'kksd gksVy]jktHkou uSuhrky]izse jkst gksVy uSuhrky] ds0oh0,e0ih0,l iS0i0 Hkherky]foyksMsy Hkherky
</t>
  </si>
  <si>
    <t>vk;ju dVj</t>
  </si>
  <si>
    <t>okWVj feLV Cyksoj</t>
  </si>
  <si>
    <t>y{ke.k&gt;wyk</t>
  </si>
  <si>
    <t xml:space="preserve"> /kkjpwyk</t>
  </si>
  <si>
    <t>jkW;y flusek fiFkkSjkx&lt;</t>
  </si>
  <si>
    <t>b.Msu xSl xksnke fiFkkSjkx&lt;</t>
  </si>
  <si>
    <t>nqX/k mRiknd lgdkjh la?k fiFkkSjk&lt;
vkse Mhty fo.k] fiFkkSjkx&lt;</t>
  </si>
  <si>
    <t>izk:i&amp;  ekWd fMªy@tutkx:drk@izf'k{k.k  tuin okj ekg Qjojh 2024 vfXu'keu ,oa vkikr lsok mŸkjk[k.MA</t>
  </si>
  <si>
    <t>jkt0 egkfo|ky; ubZ fVgjh
jkt0 mPp izkFk0 fo|k0fg.Mksyk[kky</t>
  </si>
  <si>
    <t>lqjd.Mk jksios izkstsDV dnnw[kky
gksVy ;ksx o~{k riksou u0uxj
gksVy fo|k dqat riksou u0uxj
gksVy vk'kk fMykbZV riksou u0uxj</t>
  </si>
  <si>
    <t>flyD;kjk lqjax czge[kky
CykWd laLFkku dsUnz Mq.Mk</t>
  </si>
  <si>
    <t xml:space="preserve">[k.M f'k{kk vf/kdkjh dk;kZ0]ukSxkao fn0 09-02-24
[k.M f'k{kk vf/kdkjh dk;kZ0]ukSxkao fn0 13-02-24
[k.M f'k{kk vf/kdkjh dk;kZ0]iqjksyk fn0 15-02-24
ch0vkj0lh0 dk;kZy; eksjh
</t>
  </si>
  <si>
    <t>,l,lch Jhuxj</t>
  </si>
  <si>
    <t>Qkm.Ms'ku gkfLiVy lriqyh
';ke enj ,.M pkbZYM ds;j lsUVj tkSuiqj dksV}kj</t>
  </si>
  <si>
    <t>foosdkuUn f'k'kq fogkj ifCyd Ldwy dk'khiqj
ekSjklh QkekZL;wfVdy flMdqy
,lchvkbZ flrkjxat
jkt0 vkbZ0Vh0vkbZ flrkjxat</t>
  </si>
  <si>
    <t>Vhoh,y bUthuh;lZ] ls0 9 iUruxj
iUruxj lhbZVhih izk-fy-
,lvkj ¶yksj fey ihyhHkhr
dsMhih,l Ldwy :nziqj</t>
  </si>
  <si>
    <t>thul buksos'ku izk-fy- cgknjkckn
chihlh,y] ckWVfyax IykaV y.&lt;kSjk
fØLV T;ksfr ,dsMeh pqfM;kyk Hkxokuiqj
izhre b.V0 ,dsMeh jk;iqj</t>
  </si>
  <si>
    <t>xzke iapk;r ltuiqj ihyh
xzke jlwyiqj dVscM gfj0
xzke iapk;r  leliqj gfj0
xzke iapky; yky&lt;kax gfj0
xzke iapky; dkaxM gfj0
xzke feLljiqj gfj0
xzke iapky; uxyk :Mdh
xzke [kVdk] xzke tkSjklh] xzke VksMk dY;k.kiqj
okMZ ua0 10 nf{k.kh eksguiqjk :Mdh
xzke VksMk dY;k.kiqj :Mdh
xzke tykyiqj :Mdh] xzke iapk;r HkSaloky</t>
  </si>
  <si>
    <t>dSyk'korh oekZ eSeksfj;y ifCyd Ldwy _f"kds'k
vkbZth,y da0 QkekZflfV lsykdqbZ
fØ'fp;u gkWfLiVy ysgeu fodkluxj
jk0bZdk0 cjksVhokyk</t>
  </si>
  <si>
    <t xml:space="preserve">dSyk'korh oekZ eSeksfj;y ifCyd Ldwy _f"kds'k
loksZn; Hkkjr xSl lfoZl u;kxkao ek.Mwokyk
,yLVksu izk-fy- fodkluxj
dSyk'k gksVy ckcwx&lt; fodkluxj
jkbZdk yka?kk] vej ykWt eq[; cktkj] ek/kks ykWt] eq[; cktkj fo0uxj]
gSfjVst ¼osf.Max IokabZV½ ckcwx&lt; fo0u0
xksYMu yhQ ¼osf.Max IokabZV½ thoux&lt; fo0u0
gksVy ize Iyktk] eq[; cktkj fo0u0
jk.kk fDyfud] fo0uxj
</t>
  </si>
  <si>
    <t>_f"kds'k cktkj {ks=
Mhch,l dkWyst lsykdqbZ
nwu laLd`r Ldwy &gt;k&gt;jk
bfUnjk Hkou dkWEiySDl izf'k0 laLFkku
dS.Vjcjh oSYl Ldwy ukxy Tokykiqj</t>
  </si>
  <si>
    <t>v'kksdk gkWYk xYlZ Ldwy et[kkyh
tokgj uoksn; fo|ky; rkMh[ksr</t>
  </si>
  <si>
    <t>n t; xksyw fQfyax LVs'ku et[kkyh
n dksyuy ,.M iSjkMkbZt
foosdkuUn fpfdRlky; isV'kky vYeksMk</t>
  </si>
  <si>
    <t>fte dkcsZV b.Vjus'kuy Ldwy ckxs'oj</t>
  </si>
  <si>
    <t>yhlk fMiks</t>
  </si>
  <si>
    <t>jkdsV bf.M;k izk-fy- iUruxj
vkbZ-th-,y QSDVªh dk'khiqj
;wfudks IykLV izk0fy0 dk'khiqj
Jh jke lkYosaV ,DlVªs'ku izk0fy0
ds0fo0 yksgk?kkV
ljLorh f'k'kq eafnj Vudiqj</t>
  </si>
  <si>
    <t>Kku izdk'k fo|ky; /keksyk jkeuxj
,jht ifjlj uSuhrky</t>
  </si>
  <si>
    <t>vksje n Xykscy ifCyd Ldwy gY}kuh
vkuUnk ,dsMeh Mgfj;k gY}kuh
gksVy gjf'k[kj Hkherky
flVh gkVZ gksVy eYyhrky
n okWVj xsV gksVy Hkherky
jkt0 yhykorh b.Vj dkWyst Hkherky
n ek:fr vksojlht flMdqy Hkherky</t>
  </si>
  <si>
    <t>_f"kds'k d.kZiz;kx jsyos izkstsDV ds vUrxZr fuek.kk/khu iSdst HkVVuxj xkSpj d.kZiz;kx rFkk iSdst 9 dkys'oj lkbZM d.kZiz;kx</t>
  </si>
  <si>
    <t>vkehZ okbZQ osyQs;j ,'kksfl,'ku dqvkam jsthesUV fiFkSjkx&lt;</t>
  </si>
  <si>
    <t>csl vLirky fiFkkSjkx&lt;</t>
  </si>
  <si>
    <t>uSuh lSuh ,vjiksVZ fiFkkSjkx&lt;
lathouh vLirky i.Mk fiFkkSjkx&lt;</t>
  </si>
  <si>
    <t>izk:i&amp;  ekWd fMªy@tutkx:drk@izf'k{k.k  tuin okj ekg ekpZ 2024 vfXu'keu ,oa vkikr lsok mŸkjk[k.MA</t>
  </si>
  <si>
    <t xml:space="preserve">uspj ,lsUl Ikzk0fy0 vkbZih 2 lyseiqj egnwn
iFkjh ikWoj gkml cgknjkckn gfj}kj
eS0 cSDlh b.M0izk0fy0 eq.M;kdh eaxykSj :Mdh
eS0 foizks b.VjizkbZtst fy0 IykWV ua0 99&amp;104 lSDVj 6 ch
eS0 ,edksj b.M0 izk0fy0 IykWV ua0 ,Q 1 lSDVj 7
eS0 oSDVl b.M0 IykWV ua0  14 lSDVj 3
eS0 yksVl C;wVh ds;j izksMDVl izk0fy0 IykWV ua0 06]07 
eS0 ,sojsLV b.M0 izk0fy0 Hkxokuiqj
iSjkMkbZt ,dsMeh cqXxkokyk
eS0 oh xkMZ b.M0 izk0fy0 Hkxokuiqj
 </t>
  </si>
  <si>
    <t>xzke vdcjiqj dkylh rglhy Hkxokuiqj gfj}kj</t>
  </si>
  <si>
    <t>,u,l,l dSEi xaxk ;ksx fuokl  cSjkxh dSEi gfj}kj</t>
  </si>
  <si>
    <t xml:space="preserve">jkt0 uflZax dkWyst] MksHk JhdksV ikSMh
</t>
  </si>
  <si>
    <t>jkt0 egkfo/kky; dYth[kky ikSMh
ih-Mcyw-Mh xSLV gkÅl dk.Mh ;eds'oj ikSMh</t>
  </si>
  <si>
    <t>LVfyZax ike fCyl fjlksVZ] eqfudhjsrh
ihVhlh u0uxj</t>
  </si>
  <si>
    <t xml:space="preserve">lS.V eSjh dkUosaV Ldwy ?ku'kkyh
jkt0 ftyk fpfd0 ckSjkMh </t>
  </si>
  <si>
    <t>jkt0vkS/kks0izf'k0 laLFkku ubZ fVgjh
n xksYM cMZ riksou
gksVy bUnztksr riksou
X;kfu'k jsftMsU'kh riksou</t>
  </si>
  <si>
    <t xml:space="preserve"> 'kghn lqoko fQfyax LVs'ku jkuhiks[kjh
vxzoky fQfyax LVs'ku ckbZikl pkSd _f"kds'k
ekWMuZ Ldwy izxfr fogkj _f"kds'k
vkbZth,y da0 QkekZflfV lsykdqbZ</t>
  </si>
  <si>
    <t>vkbZMhVhvkj &gt;k&gt;jk
lqHkkjrh vLirky &gt;k&gt;jk
fMD'ku dEiuh VSDuksykWth dSEijksM lsykdqbZ
buØk¶V izk0fy0 teuiqj lsykdqbZ
f'k"; ifCyd Ldwy vVdQkeZ lsykdqbZ
ekuo Hkkjrh b.V0 Ldwy elwjh</t>
  </si>
  <si>
    <t>,lih,l jkt0fpfd0 _f"kds'k
VIijos;j da0 dSEijksM lsykdqbZ
ohj 'kghn dsljh pan jk0 Luk0 egkfo/kky; fodkluxj
egkohj  Vªkalfe'ku fy0 fo0u0</t>
  </si>
  <si>
    <t xml:space="preserve">vkWVksesfVo LVkfEiax ,.M ,lsEcyhl fy0 iUruxj
pUnzkorh frokjh dU;k Luk0 egkfo/kky; dk'khiqj
dsohvkj gkWfLiVy eqjknkckn jksM dk'khiqj
oh&amp;xkMZ b.M0 fy0 dk'khiqj
</t>
  </si>
  <si>
    <t>eS0 lqjhu vkWVksesfVo izk0fy0 flrkjxat
eS0 ikjys fcfLdV izk0fy0 flrkjxat
eS0 fljku bySDVªhdYl flrkjxat
eS0 oSyeSDl izk-fy- flrkjxat</t>
  </si>
  <si>
    <t xml:space="preserve"> 'kkfUr iSdsftax e&gt;ksyh [kVhek
lgksrk isij fy0 tliqj
fl)kFkZ isilZ izk0fy0 tliqj
,El lSVsykbZV lsUVj fdPNk
jkt0 dU;k izkFk0 fo|ky; xnjiqj</t>
  </si>
  <si>
    <t>,lbZ ,dsMeh yksgk?kkV
dLrwjck xka/kh ckfydk vkoklh; fo|ky; fiFkkSjkx&lt;</t>
  </si>
  <si>
    <t>1
1</t>
  </si>
  <si>
    <t>ohj f'kok ifCyd Ldwy</t>
  </si>
  <si>
    <t>eS0 ikoZrh fjVªhV
eS0 gksVy LVksuoqM
lkeq0 LokLFk; dsUnz rkdqyk vYeksMk</t>
  </si>
  <si>
    <t>ekryh gSyhiSM</t>
  </si>
  <si>
    <t>tkx`fr ifCyd gk;j lSds.Mjh Ldwy ukSxkao</t>
  </si>
  <si>
    <t>jsyos Vuy ?kksyrhj</t>
  </si>
  <si>
    <t>chihlh ,y dkBxksnke
yhlk fMiks lqYrkuiqjh  dkBxksnke
MhMhlh,e ifCyd Ldwy jkeuxj
,vj QkslZ LVs'ku Hkokyh</t>
  </si>
  <si>
    <t>Mh,oh Ldwy dkyk&lt;waxh jksM gY}kuh
gksVy foØkUr uSuhrky
eksguyky 'kkg ckfydk fo|k eafnj uSuhrky
vekjh fjlksVZ jkex&lt;
jk/kk fpYMªu ,dsMeh uSuhrky
gksVy euksgj eSuksj uSuhrky</t>
  </si>
  <si>
    <t>jkt0 iksyhVsfDud dkWyst xSjlS.k</t>
  </si>
  <si>
    <t>55 oh okfguh ,l,lch fiFkkSjkx&lt;</t>
  </si>
  <si>
    <t>iq0yk0 ckxs'oj] lS.V tkslsQ Ldwy ckxs'oj
ftyk izf'k{k.k laLFkku¼Mk;V½
gksVy ckxukFk ckxs'oj</t>
  </si>
  <si>
    <t>gfj}kj</t>
  </si>
  <si>
    <t>m/keflag uxj</t>
  </si>
  <si>
    <t>izk:i&amp;  ekWd fMªy@tutkx:drk@izf'k{k.k  tuin okj ekg vizSy 2024 vfXu'keu ,oa vkikr lsok mŸkjk[k.MA</t>
  </si>
  <si>
    <t>dsew cl vMMk fiFkkSjkx&lt;</t>
  </si>
  <si>
    <t>,DlhyS.V ifCyd Ldwy fo.k</t>
  </si>
  <si>
    <t>fofHkUu LFkkuksa ij tutkx:drk jSyh ds ek/;e ls</t>
  </si>
  <si>
    <t>feuh b.M0 ,fj;k dkys'oj
ds0 fo|ky; xksis'oj
jkt0 uflZax dkWyst ifV;ky/kkj
th0,e0oh0,u0 xSl xksnke fleyh
132 ds0oh mi laLFkku fleyh
efgyk csl fpfdRlky; fleyh</t>
  </si>
  <si>
    <t>iq0yk0 jrwMk
jsyos Vuy esxk bUQzkLVªDpj da0 lqesjiqj</t>
  </si>
  <si>
    <t>ds0fo|k0 ikSMh
jkt0m0ek0fo|k0 mQYMk
nsoHkwfe ifCyd Ldwy foydsnkj Jhuxj</t>
  </si>
  <si>
    <t>,lchvkbZ ikSMh
ih,uch ikSMh
,lchvkbZ Jhuxj
ih,uch Jhuxj
jkbZdk Hk`xq[kky ;eds'oj</t>
  </si>
  <si>
    <t xml:space="preserve"> 'kghn dqynhi fQfyax LVs'ku ikSMh
Jhuxj {ks= ds isVªksy iEi
egf"kZ fo|k eafnj Ldwy dksV}kj
Jhosnk lRok izk0fy0 flxMMh dksV}kj
,e ds oh ,u Ldwy d.o?kkV dksV}kj</t>
  </si>
  <si>
    <t>lh0,p0lh0 pkS[kqfV;k
lh0,p0lh0 +}kjkgkV
xksfoUn flag esgjk gkWfLiVy
lh0,p0lh0 fHkfD;klS.k</t>
  </si>
  <si>
    <t>efgyk fpfdRlky; vYeksMk
ohjf'kok ifCyd Ldwy jkuh[ksr</t>
  </si>
  <si>
    <t>dksYM LVksj Fkjkyh</t>
  </si>
  <si>
    <t>xksLokeh ,oa vk| 'kadjkpk;Z 
lkeq0 Lok0 dsUnz iqjksyk] ukSxkao ,oa ,p,Q,eVh ukSxkao] jkbZdk dyksxh] gkdZ laLFkku ukSxkao</t>
  </si>
  <si>
    <t>oSfnd esfMdy ,.M eSusteS.V dkWyst pEck 
lS.V ,aFkksuh ifCyd Ldwy &lt;qaxh/kkj</t>
  </si>
  <si>
    <t>jkt0vkS/kks0 izf'k0 laLFkku  vkbZVhvkbZ ubZ fVgjh
ekm.V dkeZy fØf'p;u Ldwy cxM/kkj
bFksfj;y ,jksesfVDl izk0fy0 &lt;kyokyk</t>
  </si>
  <si>
    <t xml:space="preserve">HkkxhjFkh fo|ky; gfjiqjdyka _f"kds'k
gksVy ekSlsd] elwjh
lsykdqbZ b.V0 Ldwy QkekZflVh lsykdqbZ
n buQhYM b.Vj dkWyst fodkluxj
tqMMks Mse fodkluxj
lkYVsd ;wfuV 1 ykyrIiM MksbZokyk
us'kuy VsfDudy fjlpZ vkxsZukbZts'ku  tksyhxzkUV ns0nwu
</t>
  </si>
  <si>
    <t xml:space="preserve">_f"kds'k @jkuhiks[kjh {ks=
ykWMZ y{ehukjk;.k Qkm.Ms'ku Ldwy elwjh
uoksn; fo|ky; 'kadjiqj lgliqj
lsykdqbZ isVªksy iEi
vkbZlhvkbZlhvkbZ cSad
vkehZ osyQs;j lkslk;Vh 
bIdk ysckSjsVªh QkeZj MsoysiesUV
jSyh MksbZokyk Hkkfu;kokyk
ih,uch Hkkfu;kokyk
</t>
  </si>
  <si>
    <t>dksVk Dyklsl _f"kds'k
,lchvkbZ jsyos jksM _f"kds'k
ih,uch gfj}kj jksM _f"kds'k
VªsaM QS'ku jsyos jksM _f"kds'k
lsUVj QkWj ,xzhdYpj QkeZj MoyiesaV
gR;kjh ikWoj gkml
gksVy ;kaf=d y[kokM
jkt0 ikWyh0 Dokalh
gksVy xzhu oSyh
U;w mikluk flusek
dey iSdsftax 
,lthvkjvkj ifCyd Ldwy
egf"kZ vjfoUn ?kks"k b0dk0 MkdiRFkj
jkbZdk cjksVhokyk
ehuk tSu fDyhfud 
,lchvkbZ fodkluxj
vYeksMk cSad gjcVZiqj
lsUVªy cSad vkWQ bf.M;k gjcVZiqj
fouj ,Eik;j IykfLVd izk0fy0 fo0u0
,yLVksu izk0fy0 fo0u0
jkBkSj iSysl oSfMax IokbZV cjksVhoky
fouj ,Eik;j IykfLVd izk0fy0 ;wfuV 2 fo0u0
xzke esagwokyk@vEckMh ou foHkkx dfeZ;ksa ds lkFk
pk.kD; LVMh IokabZV</t>
  </si>
  <si>
    <t>efYydktqZu Ldwy yksgk?kkV
foosdkuUn b.Vj dkWyst Vudiqj</t>
  </si>
  <si>
    <t>ikoZrh fQfyax LVs'ku</t>
  </si>
  <si>
    <t>MOCK DRILL</t>
  </si>
  <si>
    <t>JAN JAGRUKTA</t>
  </si>
  <si>
    <t>TRAINING</t>
  </si>
  <si>
    <t xml:space="preserve">fgy oqM ,dsMeh Ldwy xscqvk jkeuxj
Mk0 lq'khyk frokjh jkt0 fpfdRlky; gY}kuh
yhlk fMiks guqekux&lt;h dkBxksnke
,vj QkslZ LVs'ku Hkokyh
</t>
  </si>
  <si>
    <t>csl vLirky gY}kuh
jkt0 efgyk fpfdRlky; gY}kuh
mtkyk flXuslk lsUVªy gkWfLiVy gY}kuh
ctkt lqijLisf'kfyVh gkWfLiVy gY}kuh
lkabZ vLirky eq[kkuh
nzks.kk ifCyd Ldwy gY}kuh
xzkeks/kksx jkt0 eafMdy dkWyst gY)kuh
Lo;a lsoh laLFkku ykekpkSM
thou nku gkWfLiVy eksVkgYnw
flaf/k;k ifCyd Ldwy lhuh0lS0 gY}kuh
eSfVªDl vLirky yky&lt;kax jksM gY}kuh
rYyhrky MkV Hkokyh
v0vkn'kZ ththvkbZlh rYyhrky
thvkbZlh rYyhrky
uSuhrky cSad eq[;ky; uSuhrky
bykgkckn cSad uSuhrky
ih,uch uSuhrky
th0Mh0 xks;udk Ldwy ukSdqfp;krky
nhfIr fQfyax LVs'ku Hkokyh
ioZr fQfyax LVs'ku lw[kkrky uSuhrky
eka 'khryk m/kksx Hkherky</t>
  </si>
  <si>
    <t>usLys bf.M;k izk0fy0 iUruxj
iksyhIySDl dkiksZ0 izk0fy0
Jh lkabZ ifCyd Ldwy pSrh
usohxsVj dksfpax lsUVj :nziqj
jkt0 ckfydk b0dk0 tliqj
usDVk Qzs'k ,xzks QwMl tliqj
Jh 'kkunkj b.M ukansMh tliqj
n fcyoj Ldwy flMdqy</t>
  </si>
  <si>
    <t>Hkkjr fodkl ifj"kn laLFkk
'kkfUr Qzkstu QwMl egqvk[ksMk
,lchvkbZ] ih,uch] dSujk],fDll],pMh,Qlh]cSad vkWQ cMkSnk
vkj ,e ,y fMxzh dkWyst
mfeZyk lhek gkWfLiVy
xgyksr uflZx gkse
gksVy iSjkMkbZt
lqHkk"k pkSd Bkdqjiqj jksM cktkj {ks=
ydMh O;kikj e.My
ou foHkkx dk;kZ0 ijjkeiqj
lkoZtfud LFky irjkeiqj</t>
  </si>
  <si>
    <t xml:space="preserve"> 'kkjnk ikWoj gkml
fnYyh ifCyd Ldwy
,lchvkbZ eq[;  'kk[kk :nziqj
elkyk Vkmu :nziqj
,El lSVsykbZV lsUVj
ckykth gcZy fdPNk jksM
bEikVZ laLFkk :nziqj
</t>
  </si>
  <si>
    <t xml:space="preserve">• gkssyh pkSd] /kuiqjk yDlj jksM+ gfj}kjA
• gfj}kj flVh {ks= ¼f”koewfrZ] jsyosa LVs”ku]
  nsoiqjk] _f’kdqy] jkuhiqj eksM] “kadj 
  vkJe] vk;Zuxj pkSd] Tokykiqj½ vkfn 
  {ks=A
</t>
  </si>
  <si>
    <t xml:space="preserve">1&amp;eSllZ n ,lih Xykscy Ldwy iqgkuk pkSd :M+dh gfj}kjA
2&amp;eSllZ Lojkt Qkm.Ms’ku@
lfpnkuUn ,twds'kuy VªLV pUnziqjh :M+dh tuin gfj}kj
</t>
  </si>
  <si>
    <t>t;k eSDlcSyh gkWfLiVy cgknjkckn
EkS0 eqatky lksok fya0] vkbZ0 ih0&amp;2] lyseiqj egnwn~] gfj}kjA 
ftyk efgyk fpfdRlky;] gfj}kjA
Jh xq: jkejk; ifCyd Ldwy] txthriqj] gfj}kj
eS0 fuiksu yhdySl VkWyczkl izk-fy] b.MLVªh;y ,fj;k&amp;4 csxeiqj] gfj}kj
eS0 Qksjsl Lis”kfyVh dse izk0fy0]b.MLVªh;y ,fj;k cgknjkcknA
esyk vLirky] fcYds”oj jksM+ gfj}kj
eSllZ bf.M;u vkW;y dkiksZjs’ku fy0 y.&lt;kSjk yDlj jksM+ :M+dh tuin gfj}kjA
eSllZ T;ksft ySCl fy0] dkbZ b.MLVªh;y ,fj;k eq.M;kdh eaxykSj gfj}kjA
eS0 eSVªks gkWfLiVy ,.M gkVZ bUlVhV~;wV] IykV ua0&amp;,Q &amp;01] lsDVj 06,]
eS0 jktdh; ikWyhVsfDud flMdqy gfj}kj]  lsDVj&amp;11]
eS0 vkbZ0Vh0lh0 fy0] IykaV u0&amp;01] lsDVj 11]o eS0 czkbV cznlZ izk0 fy0] IykV ua0&amp;28]29 lsDVj&amp;02]
eS0 thou T;ksfr u”kk eqfDr vkJe lyseiqj gfj}kj]
eS0 ijQSDV QwM b.MLVªht] lsDVj&amp;05]
eSllZ iatkc us”kuy cSad Hkxokuiqj  
eSllZ ,p0Mh0,Q0lh0 cSad Hkxokuiqj  
eSllZ mRrjk[k.M xzkeh.k cSad Hkxokuiqj  
eSllZ ctkt ,.M lUl yds”ojh Hkxokuiqj  
uxj iapk;r Hkxokuiqj@Loae lgk;rk lewg Hkxokuiqj 
Eksfg;ky QwMl izk0fy0 c&lt;sMh cqtqxZ</t>
  </si>
  <si>
    <t>dUVªh okbZM ifCyd Ldwy ckxs'oj
foDVj eksgu tks'kh  jkbZdk ckxs'oj
fte dkcsZV  Ldwy ckxs'oj</t>
  </si>
  <si>
    <t>yhlk fMiks dk.Mk
eka mek cky f'k{kk LokLFk; eafnj didksV</t>
  </si>
  <si>
    <t>vkehZ ifCyd Ldwy jkuh[ksr</t>
  </si>
  <si>
    <t>fnYyh ifCyd Ldwy</t>
  </si>
  <si>
    <t>Hkxoar Xykscy ;wfuoflZVh &gt;.MhpkSM</t>
  </si>
  <si>
    <t xml:space="preserve">foosdkuUn Ldwy </t>
  </si>
  <si>
    <t>xkSpj gSyhiSM ij lsuk ,o ok;q lsuk] ds lkFk</t>
  </si>
  <si>
    <t>mock drill 01 jan 24 to 30 apr 24</t>
  </si>
  <si>
    <t>vyduank vkWVkseksckbZy is0i0</t>
  </si>
  <si>
    <t>ftyk gksexkM dk;kZ0 mRrjdk'kh
/kuoarjh ifCyd Ldwy ukSxkao
laLdkj b.V0 Ldwy iqjksyk</t>
  </si>
  <si>
    <t>vfLrRo fQfyax LVs'ku fdluk</t>
  </si>
  <si>
    <t>jk0bZ0dk D;kdZ</t>
  </si>
  <si>
    <t>e0gksexkMZ izf'k{kq
ftyk gksexkMZ dek.Ms.V dk;Zk0</t>
  </si>
  <si>
    <t>jk0tw0gk0Ldwy vkS.kh u0uxj
'kwVSd] vkS/kks0 {ks0 &lt;kyoky</t>
  </si>
  <si>
    <t xml:space="preserve">Lokeh foosdkuUn ,dsMeh Ldwy pEck
</t>
  </si>
  <si>
    <t>fcUns'ojh ,fDte izk0fy0 fV0x0
eS0 izks0 DykstlZ] &lt;kyokyk
xSlksusV lfoZlst ;wdsfy0 &lt;kyokyk</t>
  </si>
  <si>
    <t xml:space="preserve">vkbZvkslh,y mRrjh {ks= ikbZiykbZu y.&lt;kSjk gfj}kj
vkbZvkslh,y ;wih,lvkbZMhlh ,fj;k y.&lt;kSjk gfj}kj
gksyh Økl Ldwy yDlj
vkbZ0ih0 Ldwy yDlj
Hkokuh iSdsftax IykaV ua0 28 ,,y flMdqy
eS0 iksyh ¶ySDl b.V0 IykV ua0 22 lsDVj 3 flMdqy
</t>
  </si>
  <si>
    <t>31 mRrjk[k.M ch,u ,ulhlh gfj-</t>
  </si>
  <si>
    <t>gksyh ,atsy ifCyd Ldwy xS.Mh[kkrk
nh{kk jkbZftax ifCyd Ldwy 
flapkbZ foHkkx eq[; dk;kZy; :Mdh
dkSf'kd ifCyd Ldwy fijku dfy;j</t>
  </si>
  <si>
    <t xml:space="preserve">jsyos LVs'ku nsgjknwu
vkbZ,lvkj dkyhnkl jksM ns-nwu
fueZy vkJe nhiekyk ';keiqj
nwu oSyh b.V0 Ldwy fodkluxj
fouj ,Eik;j izk0fy0 fodkluxj
xqMfoy IykfLVd b.M0 ykyrIiM
 </t>
  </si>
  <si>
    <t xml:space="preserve">_f"kds'k cktkj {ks=] dkfuZoky LVkWy
gksVy fxjukj fodkluxj
gksVyh lanhi igkMh xyh fo0uxj
chdkusj LohV 'kkWi] fodkluxj
gSfjVSt oSfMax IokabZV] fo0uxj
</t>
  </si>
  <si>
    <t xml:space="preserve">vfHklwpuk eq[;ky;
xaxk fQfyax LVs'ku _f"kds'k
gksVy egknso dkWEiySDl _f"kds'k
,pVwvks izk0fy0 fo0uxj
Mhih,l Ldwy gjcVZiqj fo0uxj
Qk0LVs0 ij mi0 jk0o0ek0fo|ky; fdykSM fg0iz0 f'k{kdks] Nk= Nk=kvksa dks
</t>
  </si>
  <si>
    <t>vkbZVhvkbZ Qylhek vYeksMk
dqeka;q ifCyd Ldwy }kjkgkV</t>
  </si>
  <si>
    <t>flYoj vkWd jkuh[ksr
,e0ih0lh0,y eksgku</t>
  </si>
  <si>
    <t>fMxzh dkWyst ckxs'oj
tokgj uoksn; fo|ky; flekj</t>
  </si>
  <si>
    <t>ia0 nhun;ky mik/;k; dkS'ky fodkl ;kstuk</t>
  </si>
  <si>
    <t>jkt0 iksfyVSfDud yksgk?kkV
xYlZ gkWLVy tsih,l Vudiqj</t>
  </si>
  <si>
    <t>jkbZdk ikVh]
jk0gk0Ldwy fuykSVh</t>
  </si>
  <si>
    <t>eS0 vfEcdk Lvksu Øs'kj pEikor</t>
  </si>
  <si>
    <t xml:space="preserve">ch0Mh0 ik.Ms; ftyk vLirky 
</t>
  </si>
  <si>
    <t>equL;kjh egksRlo fiFkkSjkx&lt;</t>
  </si>
  <si>
    <t>foosdkuUn fo|k eafnj b0dk fi0
tokgj uoksn; fo|ky; elkSyhgkV</t>
  </si>
  <si>
    <t>guqekux&lt;h xksykikj gY}kuh
chihlh,y dkBxksnke
gkbZdksVZ uSuhrky</t>
  </si>
  <si>
    <t xml:space="preserve">oh,y,e ,dsMeh gY}kuh
mRrjk[k.M U;kf;d ,oa fof/kd vdkne mtkyk Hkokyh]
x.ks'oj gksVy Hkokyh
boku oSyh lqUnj[kky /kkjh
gksVy uSuh fjVªhV uSuhrky
</t>
  </si>
  <si>
    <t xml:space="preserve">ojjksd bUth0 fy0 ls0 9 iUruxj
VkVk eksVlZ iUruxj
bZLVj b.M0izk0fy0 [kVhek
vkbZth,y QSDVªh dk'khiqj
czkbZV LVkVZ b.V0tliqj
ukseksfud dkUosaV Ldwy dkyk&lt;waxh
</t>
  </si>
  <si>
    <t>xq:dqy Qkm.Ms'ku Ldwy dk'khiqj
eS0 Vhlh,y flMdqy flrkjxat
iSdsftax b.M0 flMdqy flrkjxat
n ckx fjlksVZ] ikVdksV</t>
  </si>
  <si>
    <t>fr:ekyk IykV ua0 17 iUruxj
tokgj uoksn; fo|ky;</t>
  </si>
  <si>
    <t>dLck peksyh ,oa ihiydksVh
dLck d.kZiz;kx
dLck peksyh ,oa ihiydksVh
,lchvkbZ xksis'oj</t>
  </si>
  <si>
    <t>jk0dhrhZ b0dk0</t>
  </si>
  <si>
    <t>jkbZdk dyksxh] /kkjhdQukSy
jkbZdk cuhZxkM</t>
  </si>
  <si>
    <t>ftyk f'k{kk ,oa izf'k{k.k laLFkku cMdksV</t>
  </si>
  <si>
    <t>eS0 ,osU;w 18 fjlksVZ eksgupVVh</t>
  </si>
  <si>
    <t>O;kikj eaMy ikSMh ds inkf/kdkfj;ksa</t>
  </si>
  <si>
    <t>,lchvkbZ ikSMh]ftyk dek.Ms.V ikSMh dk;kZ0] eS0 usxh csdlZ ,.M LohV 'kkWi</t>
  </si>
  <si>
    <t>jkbZdk QdksV</t>
  </si>
  <si>
    <t>vkWy lSUV dkUosaV Ldwy ubZ fVgjh</t>
  </si>
  <si>
    <t>gksVy n lujkbZt gSfjVst riksou
ihVhlh u0uxj</t>
  </si>
  <si>
    <t>eS0 flD;ksfjiSd iSdsftax fy0]
chihlh,y :Mdh ;wih,lvkbZMhlh
jsyos LVs'ku yDlj]eS0 ih,e,l lUiw ykbZfVax da0 fy0</t>
  </si>
  <si>
    <t>Jh jke i0Ldwy ';keiqj
jkt0e0egkfo|ky; du[ky
vkbZvkbZVh dSEil :Mdh</t>
  </si>
  <si>
    <t>xsy da0 esa vks,uthlh] 108] ,lMhvkj,Q ds lkFk
jsyos LVs'ku _f"kds'k]
frCcfr;u Ldwy] gSIih oSyh eaalwjh
HkVVk Qksy] jksi&amp;os elwjh
thMh xks;udk Ldwy 
jkbZdk cjksVhokyk
bf.M;u ,DlVªs'ku izk0fy0</t>
  </si>
  <si>
    <t>lfpoky;] 
vksfMZusUl QSDVªh jk;iqj
+_f"kds'k cktkj
gksVy feyu iSysl gjcVZiqj
jkds'k fQfyax LVs'ku gjcVZiqj
uUnh'oj fQfyax LVs'ku gjcVZiqj
gksVy xq: d`ik fodkluxj
ioZrh; fQfyax LVs'ku fodkluxj
Hkkfu;kckyk] MksbZokyk cktkj {ks=</t>
  </si>
  <si>
    <t>,lchvkbZ _f"kds'k
ih,uch _f"kds'k
okyej yksjh fou yhj lsykdqbZ
,yLVksu izk0fy0 yka?kk jksM
jkbZdk yka?kk</t>
  </si>
  <si>
    <t>fgeky;u gkbZos fQfyax LVs'ku dkslh]
eS0 egklsj fQfyax dSEi ejpwyk</t>
  </si>
  <si>
    <t>jkt0 gkbZLdwy feLrksyk
egkRek xka/kh jkt0vkn'kZ fo/kky; pEikor</t>
  </si>
  <si>
    <t>jk0gk0Ldwy iYlks
jk0gk0Ldwy ujflag Mk.Mk</t>
  </si>
  <si>
    <t>bf.M;u vkW;y fMiks gYnwpkSM</t>
  </si>
  <si>
    <t>nwu ifCyd Ldwy dykorh pkSjkgk
dksjy b.V0 Ldwy gY}kuh
,evkbZ fjlksVZ taxfy;k xkao
jksfgYyk ykWt rYyhrky
Vhih xSLV gkml eYyhrky
DykmM&amp;07 uSuhrky
,de ykWt tw jksM uSuhrky</t>
  </si>
  <si>
    <t>vkj,lch VªkUlfe'ku fy0
xkek bUQzkVsd izk0fy0</t>
  </si>
  <si>
    <t>bdjk ifCyd Ldwy
,l ,p gkfLiVy
la/kq Oghy ,.M ,ykW; flMdqy</t>
  </si>
  <si>
    <t>eaxye QwMl izks0
Mhoh,l b.M
gSYiykbZu i0 Ldwy
guh 'kqxj izksMDVl
x.kifr fczdsfVax oDlZ
xzhu QksMZ ,dsMeh
LVksu fjt b.V0</t>
  </si>
  <si>
    <t xml:space="preserve">
</t>
  </si>
  <si>
    <t xml:space="preserve">HkkxhjFkh fo|ky; gfjiqjdyka _f"kds'k
n buQhYM b.Vj dkWyst fodkluxj
us'kuy VsfDudy fjlpZ vkxsZukbZts'ku  tksyhxzkUV ns0nwu
</t>
  </si>
  <si>
    <t xml:space="preserve">
ohjf'kok ifCyd Ldwy jkuh[ksr</t>
  </si>
  <si>
    <t xml:space="preserve">fgy oqM ,dsMeh Ldwy xscqvk jkeuxj
</t>
  </si>
  <si>
    <t xml:space="preserve">
Jh lkabZ ifCyd Ldwy pSrh
usohxsVj dksfpax lsUVj :nziqj
jkt0 ckfydk b0dk0 tliqj
n fcyoj Ldwy flMdqy</t>
  </si>
  <si>
    <t xml:space="preserve">
ihVhlh u0uxj</t>
  </si>
  <si>
    <t xml:space="preserve">
iSjkMkbZt ,dsMeh cqXxkokyk
 </t>
  </si>
  <si>
    <t xml:space="preserve">,lih,l jkt0fpfd0 _f"kds'k
ohj 'kghn dsljh pan jk0 Luk0 egkfo/kky; fodkluxj
</t>
  </si>
  <si>
    <t xml:space="preserve">
dLrwjck xka/kh ckfydk vkoklh; fo|ky; fiFkkSjkx&lt;</t>
  </si>
  <si>
    <t xml:space="preserve">
MhMhlh,e ifCyd Ldwy jkeuxj
</t>
  </si>
  <si>
    <t xml:space="preserve">
pUnzkorh frokjh dU;k Luk0 egkfo/kky; dk'khiqj
</t>
  </si>
  <si>
    <t xml:space="preserve">
fØLV T;ksfr ,dsMeh pqfM;kyk Hkxokuiqj
izhre b.V0 ,dsMeh jk;iqj</t>
  </si>
  <si>
    <t>dSyk'korh oekZ eSeksfj;y ifCyd Ldwy _f"kds'k
jk0bZdk0 cjksVhokyk</t>
  </si>
  <si>
    <t xml:space="preserve">Kku izdk'k fo|ky; /keksyk jkeuxj
</t>
  </si>
  <si>
    <t xml:space="preserve">
ds0fo0 yksgk?kkV
ljLorh f'k'kq eafnj Vudiqj</t>
  </si>
  <si>
    <t xml:space="preserve">
jkbZdk nsoy/kkj</t>
  </si>
  <si>
    <t xml:space="preserve">
ljLorh fo|k eafnj fodkluxj
</t>
  </si>
  <si>
    <t xml:space="preserve">Hkkjrh; jsM ØkWl lkslkbVh uSuhrky esfMdy dkWyst gY}kuh
vkn'kZ fo|k0 jkbZdk jkeuxj
</t>
  </si>
  <si>
    <t>Mh,oh ifCyd Ldwy</t>
  </si>
  <si>
    <t>01-01-2024 ls 30-04-2024 rd f'k{k.k laLFkku esa dh x;h ekWd fMªy</t>
  </si>
  <si>
    <t>ekul ,dsMeh nkSyk Ldwy fiFkkSjkx&lt;</t>
  </si>
  <si>
    <t xml:space="preserve">iaps'oj yksgk?kkV esa 
,cV ekm.V </t>
  </si>
  <si>
    <t>vkbZVhchih xypkSMk yksgk?kkV
jkt0 mPp izkFkfed fo|ky; lSykuhxksB
,l0bZ ,dsMeh yksgk?kkV</t>
  </si>
  <si>
    <t>bZVhlh¼izlkj izf'k{k.k dsUnz f?ka?kjk.k½
dkbZLV ,dsMeh dksfB;kylS.k peksyh</t>
  </si>
  <si>
    <t>fofHkUu f'k{k.k laLFkku mRrjdk'kh
Jh d`".kk QkeZ ,.M fjtksVZ pØxkao
gksVy dey xaxk ukSxkao cMdksV</t>
  </si>
  <si>
    <t>,lbZvkslh }kjk vk;ksftr ftyk Lrjh; ekWd fMªy</t>
  </si>
  <si>
    <t>latks Ldwy pkSjkl dhfrZuxj
jsuckS Ldwy pkSjkl dhfrZuxj</t>
  </si>
  <si>
    <t>gksVy yh jkW; fLFkr dksfV dkWyksuh fV0x0
Mh,l oSyh riksou
gksVy flYoj bu ?kq?kR;k.kh u0uxj</t>
  </si>
  <si>
    <t>lkscu flag thuk esfMdy dkWyst csl fpfd0 vYeksMk
okRlY; , cSDosV fjlksVZ
,l-,u gkfLiVy ,.M gkVZ lsUVj
us'kuy b.Vj dkWyst jkuh[ksr</t>
  </si>
  <si>
    <t>gcZy fØ,'ku QSDVªh u;k xkao dkyk&lt;waxh
uhe djkSyh vLirky</t>
  </si>
  <si>
    <t>bf.M;y vkW;y fMiks gYnwpkSM ykydqavk
ou fuxe fMiks ykydqavk
yhlk fMiks lqYrkuiqjh dkBxksnke
fMxzh dkWyst jkeuxj
xkWMZu oSyh ifCyd Ldwy dkfu;k
jktHkou uSuhrky</t>
  </si>
  <si>
    <t xml:space="preserve">lhrkiqj vkbZ vLirky uSuhrky jksM gY}kuh
OgkbZV gkWy Ldwy Åpkiqy gY}kuh
ioZr lsds0 Ldwy xkSykikj gY}kuh
mtkyk lsUVj vLirky
d`".kk vLirky uSuhrky jksM gY}kuh
ysd fgy gksVy Hkherky 
gksVy oufoykl Hkherky
dUVªhbu gksVy Hkherky
lh,plh Hkherky
oqM fczt Ldwy lkrrky jksM Hkokyh
jktk xSLV gkml twjksM uSuhrky
</t>
  </si>
  <si>
    <t>dLck Jhuxj esa ,lMhvkj,Q],uMhvkj,Q o  vU; foHkkxks ds lkFk ekWd fMªy</t>
  </si>
  <si>
    <t>_f"kds'k ;k=k cl vMMk@pkj/kke ;k=k {ks= _f"kds'k
cywuh ifCyd Ldwy ds'kksokyk</t>
  </si>
  <si>
    <t>gksVy ikjl Iyktk ;k=k cl vMMk _f"kds'k
gksVy ,D;wjsV ;k=k cl vMMk _f"kds'k
gksVy vjk/;k ;k=k cl vMMk _f"kds'k
osUVst Ldwy Mw¡xk
gksVy vej ykWt fo0uxj
fouj ,Eik;j IykfLVd izk0fy0 fo0uxj
&lt;djkuh ikWoj gkml fo0uxj
nwu ifCyd ,dsMeh fo0uxj
33@11 fo/kqr lcLVs'ku pdjkrk
,pihlh,y is0iEi dksjok pdjkrk
gksVy xzhu O;w ckMokyk fo0uxj
05 dsoh fo/kqr lcLVs'ku :nziqj
iYyoh xSl ,tsUlh dkylh 
,u0ds0xqIrk ,.M lUl ¼vks0bZ0½ dkylh
dkfyUnh gkWfLiVy thoux&lt; fo0uxj
egkohj uflZax gkse fo0uxj
jk.kk fDyhfud fo0uxj
Hk.Mkjh uflZax gkse ckbZikl jksM fo0uxj
/kuoUrjh gkWfLiVy ckbZikl jksM fo0uxj
d`".kk lftZdy lsUVj fo0uxj
Lokeh foosdkuUn pSfjVscy gkWfLiVy gjcVZiqj</t>
  </si>
  <si>
    <t>eka vkuUne;h esekSfj;y ifCyd Ldwy jk;okyk
,uMhvkj,Q &gt;k&gt;jk
xq: ukud fQ¶Fk lsUVsujh Ldwy elwjh
gSEiVu dksVZ Ldwy elwjh
dkfyUnh gksVy fodkluxj
vkjksX; Dyhfud fodkluxj
eksfpdks LiksVZl izk0fy0 MksbZokyk</t>
  </si>
  <si>
    <t>VkbZe VSDuksIykLV fy0 iUruxj
fyfVy LdkWylZ Ldwy dk'khiqj
latksx xkMZu flrkjxat</t>
  </si>
  <si>
    <t xml:space="preserve">,l0ch0vkbZ 'kk[kk fllbZ[ksMk flrkjxat
eS0 rq’kkj ,Dly flMdqy flrkjxat
ukyUnk Ldwy fdPNk jksM :nziqj
</t>
  </si>
  <si>
    <t>izseizdk'k pSfjVscy VªLV Hkwirokyk
ehuk{kh iksyhe'kZ b.M ,fj;k lyseiqj
,yihth ckWVfyax IykaV cgknjkckn
,lds,Q b.M0 lyseiqj
,lch,y izk0fy0 IykWV ua0 3 lsDVj 12
,y,y,Q bUth0 da0 lsDVj 7
ifCyflVh lsDVj 6 ,
esVªks Qzkstu QwMl ,.M QkDl izk-fy- Hkxokuiqj
,y0,u ,dsMeh Hkxokuiqj
Dok.Ve ;wfuoflZVh Hkxokuiqj
izk0 Lok0 dsUnz cqXxkokyk</t>
  </si>
  <si>
    <t>vpholZ gkse ifCyd Ldwy txthriqj
&gt;qXxh &gt;ksiMh vLFkk;h fuokl fijku dfy;j {ks]</t>
  </si>
  <si>
    <t>tokgj uoksn; fo|ky; flekj</t>
  </si>
  <si>
    <t xml:space="preserve">jsat iSdsftx teksj] [kVhek A
fgy ekmaVsu gksVsy pdjiqj] [kVhek A
jktdh; lkeqnkf;d LokLF; dsUn tliqj  
,e0ih0 flag uflaZx gkse tliqj 
thfodk uflaZx gkse tliqj
turk uflZx gkse tliqj 
</t>
  </si>
  <si>
    <t>mRrjk[k.M jkT; vkink izca/ku izkf/kdj.k }kjk fn0 02-05-2024 dks LFkku cktiqj esa vk;ksftr ekWd fMªy
mRrjk[k.M jkT; vkink izca/ku izkf/kdj.k }kjk fn0 02-05-2024 dks LFkku bZVhlh f?ka?kjk.k esa  ekWd fMªy
,uVhihlh riksou</t>
  </si>
  <si>
    <t>Qk;j LVs'ku@;wfuV dk uke</t>
  </si>
  <si>
    <t>fd;s x;s Qk;j vkWfMV dh la[;k</t>
  </si>
  <si>
    <t>eka vkuUne;h esekSfj;y 
elwjh b.Vjus'kuy Ldwy] elwjh
frCcru gkse Qkm.Ms'ku Ldwy] elwjh
csu ySc izk0fy0] ;wih,lvkbZMhlh] b.M0 lsykdqbZ</t>
  </si>
  <si>
    <t>_f"kds'k ;k=k cl vMMk@pkj/kke ;k=k {ks= _f"kds'k
&lt;kck 90 ektjhxzkUV
[kSjk &lt;kck ektjhxzkUV
gksVy fgeky;u tkSyhxzkUV
lhisV MksbZokyk 
vkbZVhvkbZ dkyst MksbZokyk
xqIrk besftax lsUVj MksbZokyk
xjhcksa dk gkWfLiVy
,pMh,Qlh cSad@ds0ds0 VkWoj  MksbZokyk
Qzh ¶yks jsLVksjs.V tkSyhxzkUV
,ldsoh dkWEiySDl
rfM;ky; dkWEiySDl
Jh ukjk;.k QSfeyh jsLVkSjs.V MksbZokyk</t>
  </si>
  <si>
    <t>izlkn gkWfLiVy _f"kds'k
nso laLd`fr fo'ofo/kky; _f"kds'k
vjk/; fcYMlZ xzqi gkmflax Hkou _f"kds'k
bUVkl QkekZflVhdYl dSEi jksM lsykdqbZ
ioZrh; lfoZl LVs'ku fodkluxj
vfuy ,.M lUl isVªksy iEi fodkluxj
tequk fQfyax LVs'ku fodkluxj
fxjhjkt 'kekZ iq= dyh jke fodkluxj
egkjktk &lt;kck ikoakVk jksMk fodkluxj
jsMlu gksyhMs gkse ikokaVk jksM fodkluxj
,l,Q,Q,Q fQfyax LVs'ku gjcVZiqj 
tequk fQfyax LVs'ku [kq'kgkyiqj fodkluxj
Mk0 galjkt vjksMk fDyhfud fodkluxj
nkok fjUtw Ldy yky&lt;kax fodkluxj
nsoHkwfe uflax gkse fodkluxj
gksVy izdk'k ykWt eq[; cktkj fodkluxj
gksVy uhjt iSysl jlwyiqj fodkluxj
f=os.kh ¶;wYl ykbZu thoux&lt; fodkluxj
foHkwfr fcYMlZ isVªksy iEi dqUtk xzkUV fodkluxj
uUnh'oj fQfyax LVs'ku gjcVZiqj
egkoj dkWEiySDl
'ksM gkWfLiVy MksbZokyk
pUnzk jsftMsUlh Hkkfu;kokyk
Fkkuksa fQfyax LVs'ku Fkkuks jksM
ikWoj VsDuksykWth izk0fy0 ykyrIiM</t>
  </si>
  <si>
    <t xml:space="preserve"> eS0 uhuk osaplZ jksios dSEiVh fV0x0
eSDl bUQzk fy0 &lt;kyokyk</t>
  </si>
  <si>
    <t>vkbZVhvkbZ izf'k{k.k laLFkku fV0x0</t>
  </si>
  <si>
    <t>eS0 vk;qosZnk xzke vVkyh ekaty</t>
  </si>
  <si>
    <t>mock drill</t>
  </si>
  <si>
    <t>jan jagrukta</t>
  </si>
  <si>
    <t>prasikshan</t>
  </si>
  <si>
    <t>eS0 lhu ck;ksfVd izk0fy0 
Fkkuk HkrjkSt[kku
e0 ,e ,u gkWfLiVy</t>
  </si>
  <si>
    <t>vkehZ ifCyd Ldwy
j?kqukFk flVh ekWy] [kR;kMh vYeksMk</t>
  </si>
  <si>
    <t>/kjklw ikWoj gkml
fryksFk ikWoj gkml
eusjh Mse
olqU/kjk ekWy
ftyk fpfdRlky;
,ltsoh,u,y eksjh</t>
  </si>
  <si>
    <t>,p,uch;w Jhuxj
fiVdqy [kUnq[kky
csl gkWfLiVy Jhuxj
eS0 flEiSDl QkekZ xzksFk lsaVj  flxMMh
eS0 chbZ,y dEiuh cyHknziqj dksV}kj</t>
  </si>
  <si>
    <t>vyduank gkbMªks izkstsDV dksVs'oj dkyksuh Jhuxj
fgeky;u bLikr izk-fy- t'kks/kjiqj dksV}kj
fgy b.Vjus'kuy Ldwy nsoiz;kx jksM ikSMh</t>
  </si>
  <si>
    <t xml:space="preserve">jked`".k fe'ku gkfLiVy] du[ky gfj}kj
flVh gkWfLiVy jkuhiqj eksM gfj}kj
iFkjh fo|qr x`g cgknjkckn gfj}kj
ch,e,y eqatky xzhu ehMkst Ldwy] gfj}kjA
jk.kk Qzkstu QwMl :Mdh gfj}kjA
dksVsd gSYFk ds;j izk0fy0 :Mdh
,pihlh,y ;w,,lvkbZMh y.&lt;kSjk gfj}kj
vkLdk bD;wieS.V izk0fy0 :Mdh gfj}kj
mRrjk[k.M cVkfy;u ,ulhlh :Mdh okf"kZd f'kfoj pkS0 Hkjr flag b0dkWyst &gt;cjsMk gfj}kj
vkbZvkslh,y ;w,,lvkbZMh b.M ,fj;k yDlj jksM y.&lt;kSjk gfj}kj
dsosafUMl fy0 [ksMheqckfjdiqj
Jh lhesUV izk0fy0 yDlj
xkMsZfu;k gksVy Lik ,.M fjlksVZ flMdqy gfj}kj
gkbZQu gksVy fn isUVkxu ekWy flMdqy gfj}kjA
;'kgSy¼jsfMlu½ Cyw gksVy flMdqy gfj}kjA
jkt0iksyh0flMdqy gfj}kj
esVªks gkWfLiVy ,.M gkVZ bUlVVh;wV flMdqy gfj}kjA
ehuk{kh ikWyhe'kZ izk0fy0
fxUuh fQykesUV fy0 flMdqy gfj}kj
oh,ylhlh ilZuy ds;j fy0 flMdqy gfj}kj
tsEl ykbZQ lkbZal izk0fy0 Hkxokuiqj gfj}kjA
thou gkWfLiVy@Vªkek lsUVj jk;iqj Hkxokuiqj gfj}kj
jkfxc vyh vkbZl QSDVªh Hkxokuiqj gfj}kja
</t>
  </si>
  <si>
    <t>,ulhlh dSEi uSpjksiSFkh] ;ksx foKku] iratfy fofo vkSjaxkckn gfj0</t>
  </si>
  <si>
    <t>ththvkbZlh yksgk?kkV</t>
  </si>
  <si>
    <t>jkenRr tks'kh la;qDr fpfdRlky; jkeuxj
Hkkjr isVªksfy;e fMiks dkBxksnke
mRrjk[k.M lgdkjh la?k vkapy ykydqavk uSuhrky
lSUpqjh isij ,.M iYi ykydqvka
jksios uSuhrky
vkj0,l0 Vksfy;k mRrjk[k.M iz'kklfud vdkneh uSuhrky</t>
  </si>
  <si>
    <t>ikbZu ØsLV Ldwy v;kjikVk
n dk'kk fjlksVZ
ckck cSu'ku gksVy dSaph
dSfiVy flusek uSuhrky
dSph /kke eafnj
n ysd fgy fjlksVZ ,.M jsLVksjs.V
gksVy foyk ,LVksfj;k n ekWy uSuhrky</t>
  </si>
  <si>
    <t>lkeq0 Lok0 dsUnz t[kksyh</t>
  </si>
  <si>
    <t>flaxksyh&amp;HkVokMh ty fo/kqr ifj;kstuk csMw cxM vxLreqfu</t>
  </si>
  <si>
    <t>VkVk eksVlZ fy0 iUruxj
mtkyk gkfLiVy dpuky xkth dk'khiqj
flokUrk LiquVsDl izk0fy0 tliqj
,pihlh,y isVªksfy;e IykaV flrkjxat</t>
  </si>
  <si>
    <t>lhvkj,y jcj izk0fy0 flMdqy flrkjxat
Jh ';ke ,xzks fcTVh jksM flrkjxat
Jh ckykth vkbZlØhe m/kksx ukudeRrk
xkSre gkWfLiVy :nziqj</t>
  </si>
  <si>
    <t xml:space="preserve">Li'kZ gkWfLiVy [kVhek
ukud gkWfLiVy [kVhek
lsok gkWfLiVy tliqj
</t>
  </si>
  <si>
    <t>izk0Lok0 dsUnz e.My peksyh
tMh cwVh laLFkku dsUnz e.My peksyh
?ku';ke Le`fr igkMh QwM izksMDV izk0fy0 tuin peksyh
izk0 Lok0 dsUnz n'kksyh peksyh
izk0 Lok0 dsUnz ihiydksVh peksyh
izk0 Lok0 dsUnz xkSpj peksyh
mi ftyk fpfdRlky; d.kZiz;kx peksyh
izk0 Lok0 dsUnz ukjk;.kcxM peksyh
izk0 Lok0 dsUnz ryokjh peksyh
izk0 Lok0 dsUnz Xokyne
jkt0 vk;qZosfnd Lok0 dsUnz ok.k peksyh
izk0 Lok0 dsUnz tSufo"V peksyh
lkeq0 Lok0 dsUnz Fkjkyh peksyh
izk0 Lok0 dsUnz nsoky peksyh
xzhu O;w gksVy pksirk peksyh
rqaxukFk cqD;ky gkse LVs pksirk peksyh
xq:}kjk xksfoUn?kkV peksyh
xq:}kjk ?kka?kfj;k peksyh</t>
  </si>
  <si>
    <t>,uch,l;w ftyk fpfdRlky; ckxs'oj</t>
  </si>
  <si>
    <t>D;k dk;Zokgh dh xbZ</t>
  </si>
  <si>
    <t>iq0yk0 xksis'oj esa</t>
  </si>
  <si>
    <t xml:space="preserve">_f"kds'k ;k=k cl vMMk 
vkWDlh QkekZ] lsykdqbZ </t>
  </si>
  <si>
    <t>eka vkuUne;h eSeksfj;y ifCyd Ldwy xksgjhekQh _f"kds'k 
frCcru ifCyd Ldwy /kwydksV lsykdqbZ
vVy mRd`"V ?kukuan jkt0b0dk0 elwjh
lujst b.V0 Ldwy fodkluxj</t>
  </si>
  <si>
    <t xml:space="preserve">gksVy iSjkMkbZLk et[kkyh jkuh[ksr
lh0,p0lh0 rkM+h[ksr jkuh[ksr
th0vkbZ0lh0 rkMh[ksr
ikWoj LVs'ku uSuh et[kkyh jkuh[ksr
ekul[k.M+ foKku dsUnz L;kyh/kkj vYEkksM+k
</t>
  </si>
  <si>
    <t>lsBh vLirky ,oa eSVjfuVh gkWfLiVy _f"kds'k
fo'kky esxk ekVZ nsgjknwu jksM _f"kds'k
;ksx uxjh jsyos LVs'ku _f"kds'k
QkWjsLV O;w oSfMax IokabZV nsgjknwu jksM _f"kds'k
gksVy iSjkMkbTk xaxk f=os.kh ?kkV _f"kds'k
xksfoUn iSysl cSjkt jksM _f"kds'k
Jh xaxk iSdsftax xaxk fogkj gfj- jksM _f"kds'k
nso laLd`fr fo'ofo/kky; gfjiqjdyk _f"kds'k
usVdks QkekZ fy0 ;wih,lvkbZMhlh lsykdqbZ 
egkohj uflZax gkse jlwyiqj fo0uxj
eka Hkxorh fjlksVZ fo0uxj
ckywokyk b.Msu xSl lfoZl thoux&lt; fo0uxj
gksVy vkjMhbu dSuky jksM fo0uxj
Hk.Mkjh gkWfLiVy ckbZikl jksM fo0uxj
lck vksojlht ,DliksVZ ,Vuckx fo0uxj
gksVy f'k[kj eSu cktkj fo0uxj
lkxj fQfyax LVs'ku ,Vuckx fo0uxj
dkfyfUnh gkWfLiVy thoux&lt; fo0uxj
Mh,l gSfjVst oSf.Max IokabZV fo0uxj
Lokeh foosdkuUn pSfjVscy gkWfLiVy fo0uxj
gksVy lanhi fodkluxj
gksVy f'kok eSu cktkj fo0uxj
fgy VkWi bdks fjlksVZ] ek[kVh pdjkrk
fgeky;u gksVy tkSyhxzkUV pkSd MksbZokyk</t>
  </si>
  <si>
    <t>vkWy lS.V dkUosUV Ldwy ?kulkyh fV0x0
,ylh,e czkbZV LdksylZ ,dsMeh jkuhpkSjh fV0x0
jk0bZ0dk0 Nke fV0x0</t>
  </si>
  <si>
    <t>gksVy rkt] flaxVkyh O;klh</t>
  </si>
  <si>
    <t>gksVy vyksgk
gksVy n xzsV xaxk
xaxk fjVªhV riksou
gksVy y{e.k&gt;wyk riksou
gksVy fCyl xaxk riksou
xaxk chp fjlksVZ 'ks"k/kkjk riksou
vfgY;k gksVy ,.M fjlksVZ riksou
uhjt xaxk gSfjVst iSysl] eqfudhjsrh
;ksx fudsru xSLV gkÅl eqfudhjsrh
vkuUndk'kh gkWfLiVfyVh ,y,yih
,DokVsjk vYVjusfVo ykbZQ LVkbZy ] bfuVSfVo vVkyh O;klh
gksVy vkse f'kok; bu] riksou
n Dykfl;ksa ckbZ Mh,y,l riksou</t>
  </si>
  <si>
    <t xml:space="preserve">d`".kkuUn mizrh jkbZdk fiFkkSjkx&lt; </t>
  </si>
  <si>
    <t>gksVy g;kn fudV Vksy Iyktk cgknjkckn gfj0</t>
  </si>
  <si>
    <t>eksnh ,vj izksMDV cgknjkckn gfj0
eksnh b.M xSlst bckzfgeiqj Tokykiqj gfj}kj
m"kk czsdks da0 p.Mh nsoh jskios gfj}kj
chihlh,y gfj}kj  ihvks,y fMiksa leliqj dfVokMk  yky&lt;kax gfj0
Mh,oh lsUVsujh ifCyd Ldwy txthriqj gfj0
eS0 lkFkZd CysaMlZ ,.M ckWVylZ izk0fy0 c/kZeku cgknjkckn gfj0
eS0 fnO;k QkesZlh b.M ,fj;k 
jsyos LVs'ku gfj}kj
dkSf'kd ifCyd Ldwy beyh[ksMk :Mdh gfj0
eS0 xzhuos  lhuh0 lSds0 Ldwy vkn'kZuxj :Mdh gfj0
eS0 jk"Vªh; ty foKku laLFkku :Mdh gfj}kj
VhvkbZMhlh izk0fy0 xaxukSyh
fo|qr ikWoj gkÅl
eS0 fjySDlks QqVfo;lZ fy0 flMdqy gfj}kj
eS0 pkSykbZy izk0fy0 flMdqy gfj0
eS0 foØkUr dSfedy b.M IykV flMdqy gfj0
eS0 veksfu;k ,IykbZUlsl izk0fy0  flMdqy gfj0
eS0 eksUVst bUVh izk0fy0 flMdqy gfj}kj
eS0 HkksysukFk vkxZsfud Msjh izk0fy0 Hkxokuiqj gfj0
eS0 lSuh uflZax dkWyst Hkxokuiqj 
eS0 Mhih,ulh gkfLiVy 'kkgiqj Hkxokuiqj</t>
  </si>
  <si>
    <t>xk;=h fo|k eafnj ckxs'oj
fte dkcsZV b.V Ldwy ckxs'oj</t>
  </si>
  <si>
    <t>lkeq0 Lok0 dsUnz cStukFk ckxs'oj</t>
  </si>
  <si>
    <t>dsUnzh; fo|ky; yksgk?kkV
fotu ifCyd Ldwy Vudiqj</t>
  </si>
  <si>
    <t>ch0vkj0 ekWMuZ Ldwy ikSMh</t>
  </si>
  <si>
    <t>iqfyl ykbZu ikSMh
gksexkMZ izf'k{k.k dsUnz JhdksV Jhuxj
eS0 jkbZftax lu ifCyd Ldwy nqxkZiqj dksV}kj
eS0 i`Foh fo|k eafnj Ldwy &gt;.MhpkSM dksV}kj</t>
  </si>
  <si>
    <t xml:space="preserve">iksyj vkWVks ,.M bUth0 iUruxj 
dsUnzh; fo|ky; tehj tekSj cfUM;k [kVhek
MhMh,eMh,oh ifCyd Ldwy dk'khiqj
Jkoarh buthZ izk0fy0 dk'khiqj
ikjys ,xzks flrkjxat
</t>
  </si>
  <si>
    <t>vkse gkWfLiVy [kVhek
ikbZfu;j ,dsMeh tliqj
tliqj esVªks gkWfLiVy tliqj
,lchvkbZ dq.Mk tliqj
b,lvkbZlh gkWfLiVy tliqj</t>
  </si>
  <si>
    <t>lSejkWd vyhZ cMZ Ldwy fpyfd;k jkeuxj
Vhoh lSfuVksfj;e fpfd0 Hkokyh
132 ds oh fo|qr lcLVs'ku Hkherky
yko.;k gksVy Hkherky
vVy vkn'kZ jkbZdk /kkjh
uspqjy Qzsxusal Hkherky
lh,plh jkex&lt;
vxzoky fDyhfud ,.M eSVjfuVh gkfLiVy gY}kuh
jkoy eSVjfuVh gkWfLiVy dkyk&lt;waxh uSuhrky
uhyd.B vLirky gY}kuh
'kadj vLirky gY}kuh
ctkt vLirky gY}kuh
lqcgk vLirky gY}kuh
LoLr;ku ifCyd Ldwy gY}kuh
xzhu Xyksc ifCyd Ldwy gY}kuh
lSaV ikWy lhuh0 lS0 Ldwy gY}kuh</t>
  </si>
  <si>
    <t>Mock drill</t>
  </si>
  <si>
    <t>Jan Jagrukta</t>
  </si>
  <si>
    <t>Training</t>
  </si>
  <si>
    <t>Add-SP</t>
  </si>
  <si>
    <t xml:space="preserve">lSUV FkSjsll ifCyd Ldwy </t>
  </si>
  <si>
    <t>jkt0 ikWfyVsfDud dkWyst dqylkjh peksyh</t>
  </si>
  <si>
    <t>ekm.V fyVªk th ifCyd Ldwy jksgkydh cgknjkckn
ehuk{kh ikWyhe'kZ vkbZih 2 lyseiqj egnwn
f'koe vkWVks fy0 vkbZih 2 lyseiqj egnwn
Qksjsl ikWyhe'kZ cgknjkckn
chihlh,y fy0 ,yihth ckWVfyax IykaV y.&lt;kSjk :Mdh
,vj fyfDoM ukFkZ fMohtu  eaxykSj :Mdh
,pvkj ifCyd Ldwy yDlj
VhvkbZMhlh izk0fy0 xaxukSyh yDlj
ekWydkse bf.M;k fy0 flMdqy gfj}kj
fnO; 'kkWIl izk0fy0 lsDVj 11 flMdqy gfj}kj
lkeq0 LokLFk; dsUnz Hkxokuiqj
larks"k cky fo|k eafnj Hkxokuiqj
izhre b.Vjus'ky izk0fy0 jk;iqj Hkxokuiqj</t>
  </si>
  <si>
    <t>jk/ksyky ifCyd Ldwy 'kkUrj'kkg :Mdh
jkt0 dU;k mPprj ek/;fed fo|ky; :Mdh</t>
  </si>
  <si>
    <t>ykbZQ ykax izk0fy0 vkbZih 2 lyseiqj egnwn gfj}kj</t>
  </si>
  <si>
    <t>jk0bZ0dk0 fVdksph</t>
  </si>
  <si>
    <t>mPp izkFkfed fo|ky; nqpk.kw</t>
  </si>
  <si>
    <t>vVy mRd`"V jkbZdk ikodh nsoh
gksVy vkuUndk'kh ,y,yih O;klh</t>
  </si>
  <si>
    <t>Vh,pMhlh bUth0 dkWyst ch0iqje ubZ fVgjh
lujkbZt ifCyd Ldwy udksV pEck fV0x0</t>
  </si>
  <si>
    <t xml:space="preserve">ts0 Mcyw esfj;ksV okyuV ,.M Lik fV0x0
oheksUd oSyusl riksou
gksVy y{e.k xzkUM riksou
gksVy vkjksoe xaxk riksou
gksVy nso riksou
gksyh f'kokuk riksou
gksVy Dykfld bu riksou
</t>
  </si>
  <si>
    <t xml:space="preserve">jk0d0bZ0dk0 yksgk?kkV
fotu ifCyd Ldwy Vudiqj
</t>
  </si>
  <si>
    <t xml:space="preserve">furs'k tks'kh V;w'ku Dyklst Vudiqj
vkjrh V;w'ku Dyklst Vudiqj
U;w jkSrsyk gksVy fudV jksMost cuclk
;qok dY;k.k u'kk eqfDr ,oa iquokZl dsUnz fudV ikVuh frjkgk] cuclk
</t>
  </si>
  <si>
    <t>,l0ih0bZ0 lksyj ns?kkV
Jh fl)ukFk izkstsDV Msoyij izk0fy0 pkS[kqfV;k</t>
  </si>
  <si>
    <t>dqeka;q ifCyd Ldwy rkMh[ksr
ekul[k.M foKku dsUnz L;kyh/kkj vYeksMk</t>
  </si>
  <si>
    <t>oh xkMZ dUT;wej izksMDV iUruxj
v'kksd yhyS.M fy0  iUruxj
vkbZvkslh,y flrkjxat</t>
  </si>
  <si>
    <t xml:space="preserve">vkj,yds twfu;j gkbZLdwy [kVhek 
i'kqifr ysfeusVlZ izk0fy0 tliqj
uSuh isilZ fy0 tliqj
ihrkEcjk vk;qZosn Hkou fy0 tliqj
</t>
  </si>
  <si>
    <t xml:space="preserve">lej LVMh gkWy dq.Ms'ojh dk'khiqj
ia0 jke'kqesj 'kqDyk esfMdy dkWyst :nziqj
ftyk f'k{kk ,oa izf'k{k.k laLFkku
</t>
  </si>
  <si>
    <t>gksVy uVjkt _f"kds'k
vadqj ifCyd Ldwy izxfr fogkj _f'kds'k
nk nzks.kk Ldwy 'kadjiqj lgliqj
nsoHkwfe dkWyst ek.Mw[kkyk 
ek;k nsoh bUlVhV;wV lsykdqabZ
egkRek ;ksxs'oj ljLorh fo|k eafnj b0dk0 dqyMh elwjh
lsfi;Ul lhuh;j ls0Ldwy thoux&lt; fodkluxj
nwu ifCyd ,dsMeh y{ehiqj fodkluxj</t>
  </si>
  <si>
    <t xml:space="preserve">nsgjknwu jksM _f"kds'k O;olkf;d izfr"Bku ,oa ;k=k cl vMMk _f"kds'k
lqHkkjrh vLirky &gt;k&gt;jk nsgjknwu
th0Mh0 xks;udk Ldwy f'keyk ckbZikl flaguhokyk
fcjyk vksiu ekbZaM flaguhokyk
xksYMu yhQ oSfMax IokabZV fodkluxj
gksVy f'ko ykWt fodkluxj
foHkwfr fcYMj isVªksy iEi
&lt;djkuh ikWoj gkml  &lt;djkuh
xkSjo fMthVy ykbZczsjh fnudj fogkj 
U;w fotu lksojl ykbZxzsjh o dksfpax Dyklst
bafMisaMl fctusl lsUVj fodkluxj
vkbZchlhlhlh gjcVZiqj
gksVy xzhu O;w ckMokyk fodkluxj
</t>
  </si>
  <si>
    <t>gksVy ,ych xaxk _f@kds'k
vxzoky fQfyax LVs'ku _f'kds'k
jktk is0iEi _f'kds'k
gksVy uVjkt nsgjknwu
lkbZ vueksy xSLV gkÅl
vadqj ifCyd Ldwy  izxfr fogkj _f'kds'k
tks'kh eYVhLisf'kfyVh gkWfLiVy lsykdqbZ
dkylh fQfyax LVs'ku  fodkluxj
,uds xqIrk ,.M lUl dkylh
jkbdk MkdiRFkj
dqYgky ikWoj gkml dqYgky
,ybZMh dkWLesfVd izk0fy0
fouj ,Eik;j IykfLVd izk0fy0</t>
  </si>
  <si>
    <t>jkt0 lq'khyk frokjh vLirky gY}kuh
yhlk fMiks guqekux&lt;h dkBxksnke
uSuh fjVªhV gksVy uSuhrky
yhykorh b.Vj dkWyst Hkherky</t>
  </si>
  <si>
    <t>Mhih,l gY}kuh
vk;Zeku foØe fcjyk Ldwy jktkjkuh fogkj gY}kuh
dsoh,e ifCyd Ldwy ghjkuxj gY}kuh
flaf/k;k ifCyd Ldwy  eq[kkuh gY}kuh
ckWEcs vLirky gY}kuh
mtkyk flxusl lsUVj gY}kuh
vkdk'k bUlVVh;wV dkBxksnke
flVh vLirky gY}kuh
xqzi lsUVj lhvkjih,Q dkBxksnke
tokgj uoksn; fo|ky; lq;kyokMh uSuhrky
vkyksd vxzoky gkseLVs Hkokyh
foyk foUdk gksVy Hkokyh</t>
  </si>
  <si>
    <t>,f'k;u ,dsMeh pkSdksMh fiFkkSjkx&lt;</t>
  </si>
  <si>
    <t>ih,e Jh dsUnzh; fo|ky; fiFkkSjkx&lt;</t>
  </si>
  <si>
    <t>jkbZdk veL;kjh x:M ckxs'oj
f'k[kj oSyh ekWMuZ ifCyd Ldwy jhek
ikbZuoqM b.Vj us'kuy Ldwy iukSjk didksV</t>
  </si>
  <si>
    <t>eksuky fjlksVZ fry.kh :nziz;kx</t>
  </si>
  <si>
    <t xml:space="preserve">vxLr </t>
  </si>
  <si>
    <t>Vh,pMhlh chiqje 
lqjd.Mk nsoh jksios dnnw[kky fV0x0</t>
  </si>
  <si>
    <t>okfudh fo'ofo|ky; jkuhpkSjh 
vVy mRd`"V jkbZdk pfe;kyk</t>
  </si>
  <si>
    <t>uekfe xaxk chp fjlkWVZ f'koiqjh
jsorh fjlksVZ nqvk/kkj ujsUnz uxj</t>
  </si>
  <si>
    <t xml:space="preserve">ukSxkao@ cMdksV </t>
  </si>
  <si>
    <t>Ldwyksa</t>
  </si>
  <si>
    <t>Lokeh ?ku';kekuUn ljLorh fo|k eafnj y{ksa'oj 
xksLokeh x.ks'knRr ljLorh fo|k eafnj b0dk0 mRrjdk'kh
jktsUnz esekSfj;y ifCyd Ldwy cMdksV</t>
  </si>
  <si>
    <t>thvkbZlh ckjkdksV
jkt0 ikWyhVSfDud dkWyst yksgk?kkV</t>
  </si>
  <si>
    <t>chvkbZVh,e yksgk?kkV
ds0fo|k0 ua0 2 ,u,pihlh cuclk</t>
  </si>
  <si>
    <t>Qk;j vkWfMV @laLFkku dh la[;k ftuesa Qk;j fjLd fujh{k.k ds nkSjku  ikbZ xbZ dfe;ka</t>
  </si>
  <si>
    <t>gksVy fjtsUVk gfjiqjdykW
HkkxhjFkh fo|ky; gfjiqjdyk
osUVst gkWy Ldwy Mw¡xk Hkkmokyk
oqM LVkWd Ldwy ealwjh
gksVy Dyc efgUnzk jkWd fDyQ elwjh
,dyO; ekWMy jsth0 Ldwy dkylh nsgjknwu
MhvkbZlh Vsdos;j yka?kk jksM nsgjknwu</t>
  </si>
  <si>
    <t>cktkj _f"k0 {ks= vkfr'kckth foØsrkvksa ,oa vU; O;kikfjd izfr"Bkuksa dks vfXu lqj{kk tutkx:drk dk;Zøe
lfPpnkuUn ,DlhysUl Ldwy ek.Mwokyk dkalokyh
gksVy izse Iyktk fodkl uxj
gksVy vej ykWt fodkluxj
,pVwvks izk0fy0 yka?kk jksM fo0uxj
,ybZMh dkWLesfVd izk0fy0 yka?kk jksM fo0uxj
xk;=h fdlku lsok dsUnz /kekZokky fo0uxj
Jh lR; lkabZ fQfyax LVs'ku dkylh nsgjknwu
lsds.M bfuax jsLVksjs.V Fkkuksa
Lokxre jsLVkSjs.V Fkkuksa</t>
  </si>
  <si>
    <t>vejkorh fQyhax LVs'ku fNnnjokyk
fxzy Vw fpy jsLVkSjs.V
HkkjrHkw"k.k jkoy vkfr'kckth xksnke
flejuthr flag vkfr'kckth xksnke ?ke.Miqj
vrqY;e fjlksV nq/kbZ Hkkmokyk
Mk0 fpjatho flag fodkluxj
f'kokfyd ykWt eq[; cktkj fo0uxj
gksVy Lokxr fo0uxj
R;kxh QkeZ gkml fo0uxj
gjcVZiqj fØ'fp;u gkWfLiVy fo0uxj
D;w ,p Vkyczksl izk0fy0 yka?kk jksM nsgjknwu
eYVhxzkfQDl fizUV izk0fy0 fo0uxj
t; Hkkjr jksftu ,.M dSfedy izksMDV ykyrIiM</t>
  </si>
  <si>
    <t>eS0 ewu gksVy jkuh[ksr
,yvkbZlh jkuh[ksr
izk0 Lok0 dsUnz HkrjkSt[kku</t>
  </si>
  <si>
    <t xml:space="preserve">flVh ekWUVsljh xfu;k?kkSyh jkuh[ksr
fujis{k vfHkyk"kk twfu;j gkbZLdwy cjlheh vYeksMk
</t>
  </si>
  <si>
    <t xml:space="preserve">vizSy 2023 ls ekpZ 2024 rd  Qk;j vkWfMV @Qk;j fjLd fujh{k.k </t>
  </si>
  <si>
    <t>Ø-l-</t>
  </si>
  <si>
    <t xml:space="preserve">tqykbZ </t>
  </si>
  <si>
    <t>Lokeh foosdkuUn gkbZLdwy xSjlS.k ,oa izk0fo0 xSjlS.k peksyh
Jh xq:jkejk; ifCyd Ldwy xSjlS.k</t>
  </si>
  <si>
    <t xml:space="preserve">vVy mRd`"V jkbZdk nsoky peksyh
uoksn; fo|ky; xSjlS.k ,oa ,lchvkbZ cSad ekbZFkku peksyh
xSjlS.k fLFkr dfri; gksVy
jktdh; LukrdksRrj egkfo|ky; xSjlS.k peksyh
</t>
  </si>
  <si>
    <t>u;kj ?kkVh lfoZl lsUVj ikVhlS.k
fnO;ka'kh iSFkkSysth ySc Jhuxj</t>
  </si>
  <si>
    <t>Hkkjr isVªksfy;e fMiks gY}kuh
czkbZV ¶;wpj ifCyd Ldwy jkeuxj
vVy mRd`"V b.Vj dkWyst lr[kksy</t>
  </si>
  <si>
    <t>nh{kkar ifCyd Ldwy
VSxkSj ifCyd Ldwy
flafFk;k ifCyd Ldwy
DohUl ifCyd Ldwy
ukeg uSuhrky¼n ;wfuV vkWQ gksVy eUuw egkjkuh ½ uSuhrky
gksVy feLVh vkWd Hkokyh
fgeky;u ysdfgy eqDrs'oj lrcwaxk
gksVy jkWfcUlu lr[kksy</t>
  </si>
  <si>
    <t>jkbZdk L;kdksV ckxs'oj
fylk fMiks nksQkM
foosdkuUn fo|k eafnj fgpksMh didksV
n xkftZ;u gSfjVst ifCyd Ldwy didksV</t>
  </si>
  <si>
    <t>jkt0 iksyhVsfDud dkWyst jrwMk</t>
  </si>
  <si>
    <t>tokgj uoksn; fo|ky; elkZsyhgkV</t>
  </si>
  <si>
    <t>gkbZizs'kj okWVj feLV VkVk thuksu</t>
  </si>
  <si>
    <r>
      <rPr>
        <sz val="14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PILIBHIT HOUSE-IHCL SELEQTION</t>
    </r>
    <r>
      <rPr>
        <sz val="12"/>
        <color theme="1"/>
        <rFont val="Kruti Dev 010"/>
      </rPr>
      <t>S</t>
    </r>
    <r>
      <rPr>
        <sz val="14"/>
        <color theme="1"/>
        <rFont val="Kruti Dev 010"/>
      </rPr>
      <t xml:space="preserve"> ]Jo.kukFkuxj] gfj}kjA
EkS0 ds;j dkWyst jksgydh] gfj}kjA
EkS0 eqatkylksok fya0] vkbZ-ih&amp;2] lyseiqj] gfj}kjA
eS0 ,l-ds-,Q bafM;k fy0] vkbZih0&amp;2] lyseiqj] gfj}k
eSllZ fgUnqLrkuisVªksfy;edkiksZjs’ku fy0 IykV&amp;ua0&amp;02 yDljjksM+ y.&lt;kSjk :M+dhtuingfj}kjA
eSllZ uaniz;kx QwM~l fyfeVsMxqM+ eaMheaxykSj+ :M+dhtuingfj}kjA
eSllZ /kuJh ,xzksizkMDV~l izk0fy0]bdckyiqjjksM+ :M+dhtuingfj}kjA
eSllZgksyhdzkalLdwyyDlj
eSllZ Vh0vkbZ0Mh0lh0 izk0fy0 xzke&amp;xaxukSyhyDlj
eS0 b.MksgcZyizksMDVlIykWV u0 28&amp;29] lsDVj 01ch] flMdqygfj}kjA
eS0 DykfldfLVªIt izk0 fy0] IykV ua0&amp;03@ih3] lsDVj&amp;10]  flMdqygfj}kjA
eSllZuothougkWfLiVyHkxokuiqjtuingfj}kjA
eSllZ ch0 ds0 dsuoDlZ ¼IykbZoqM½ jk;iqjHkxokuiqjtuin&amp;gfj}kjA
eSllZxzkfQdifCydLdwypqfM;kykHkxokuiqjtuin&amp;gfj}kjA
eSllZHkksysckckvkWxzsZfudMk;jhfeYd izk0 fy0 xzkeNkiqj “ksjvQxuiqjHkxokuiqjtuingfj}kjA</t>
    </r>
  </si>
  <si>
    <t>jktdh; izkFkfedfo|ky; ua0&amp;11] iwokZoyhx.ks’kiqj :M+dhgfj}kjA
eSllZ jktdh; dU;kbUVjdkyst :M+dhtuingfj}kjA</t>
  </si>
  <si>
    <t xml:space="preserve">ljLorh fo|k efUnj b.Vj dkWyst dk”khiqj  </t>
  </si>
  <si>
    <t>Y;wfeul ikWoj VSDuksykWthl izk-fy-vkbZvkbZbZ iUruxj
ikWyhIySDl dkiksZ0 izk0fy0
esVªks MsdksjsfVo izk0fy0 xzke dV;k egqvk[ksMk dk'khiqj
oh,e,e ikWfyvksYl izk0fy0 xzke jk;iqj tliqj
,pihlh,y flMdqy flrkjxat</t>
  </si>
  <si>
    <t>kadj gSYFk ds;j lsUVj ihyhHkhr jksM [kVhek
ds-,e-fQfyax LVs'ku Bkdqj}kjk jksM tliqj
ckck uhedjkSyh fQfyax LVs'ku Bkdqj}kjk jksM tliqj
pUnzlsu jke;'kiky isVªksy iEi dk'khiqj jksM tliqj</t>
  </si>
  <si>
    <t>vVy mRd`"V thvkbZlh Ldwy dyksxh</t>
  </si>
  <si>
    <t>iVk[kk foØsrkvksa Jhuxj
O;kikj lHkk iSBk.kh</t>
  </si>
  <si>
    <t>,lthvkjvkj ifCyd Ldwy fodkl ekxZ ikSMh
Cywfeax oSy ifCyd Ldwy xkMh?kkV dksV}kj</t>
  </si>
  <si>
    <t>th,eoh,u vkSyh Ldh fjtksVZ</t>
  </si>
  <si>
    <t>O;kikj e.My xksis'oj
O;kikj e.My ihiydksVh
dLck xksis'oj] ihiydksVh peksyh
vEcs LohV 'kkWi tks'kheB</t>
  </si>
  <si>
    <t>bVhlh izf'k0 dsUnz xksis'oj
dsUnzh; fo|k0 ,l,lch Xokyne
ih,plh Xokyne
jkt0 ikWyh0 dkWyst xSjlS.k</t>
  </si>
  <si>
    <t>;ksx ¼dkye 4$5½</t>
  </si>
  <si>
    <t>eS efyd ykbZQ lkbZalst] o/keku b.M ,fj;k cgknjkckn 
eS0 ckWVfyax IykaV cgknjkckn gfj}kj
eS0 ehuk{kh ikWyhelZ vkbZih 2 lyseiqj gfj}kj
iratfy QkesZlh thvkjih ykbZu jsyos LVs'ku gfj}kj
eS0 Qksjsl b.M0 izk0fy0 b.M ,fj;k gfj}kj
eS0 ckWVfyax IykaV cgknjkckn gfj}kj 
eS0 vkbZvkslh,y  ;w,,lvkbMhlh lkbZV yDlj jksM y.&lt;kSjk :Mdh
eS0 VhVhvkj b.M0 fy0 b.M bLVsV iqgkuk :Mdh
eS0 chihlh,y ,yihth IykaV y.&lt;kSjk :Mdh
eS0 ih,e Jh tokgj uoksn; fo|ky; jks'kukckn gfj}kj
eS0 Qksj,oj ckWMhds;j izk0fy0 jk;iqj Hkxokuiqj gfj}kj
eS0 jk?kksey vkseizdk'k xks;y fMxzh dkWyst Hkxokuiqj gfj}kj</t>
  </si>
  <si>
    <t>&gt;qXxh &gt;ksiMh p.Mh?kkV gfj}kj
&gt;qXxh &gt;ksiMh ctjhokyk gfj}kj
ewyjkt dU;k b.Vj dkyst jkeuxj :Mdh
tSlfod yscksjsVªh yrhQiqj [kqCcuxj Hkxokuiqj gfj}kj
izk0 Lok0 dsUnz cqXxkokyk gfj}kj
Fkkuk Hkxokuiqj gfj}kj</t>
  </si>
  <si>
    <t>,Vhlh izf'k{k.k dsUnz ih,lh gfj}kj
bjk b.Vjus'kyu ifCyd Ldwy lqeu uxj cgknjkckn</t>
  </si>
  <si>
    <t xml:space="preserve">o"kZ 2023  Qk;j vkWfMV @Qk;j fjLd fujh{k.k </t>
  </si>
  <si>
    <t>_f"kds'k cktkj {ks= vkfr'kckth foØsrk 
:Q dSQs eSu jksM lsykdqbZ
ioZrh; fQfyax LVs'ku fodkluxj
gksVy f=os.kh eq[; cktkj fodkluxj
xksYMu yhQ oSf.Max IokabZV fodkluxj
izdk'k gksVy fodkluxj
fouj ,Eik;j izk0fy0 fodkluxj
;equk fQfyax LVs'ku jlwyiqj fodkluxj</t>
  </si>
  <si>
    <t>fgUnqLrku us'kuy Xykl b.M0 _f"kds'k
uofufeZr isfM,fVªd ds;j ;wfuV ,El _f"kds'k
;ksx uxjh jsyos LVs'ku _f"kds'k 
iqjkuk jsyos LVs'ku _f"kds'k 
gksVy gksyh fook'kk nsgjknwu jksM +_f"kds'k
jktdqekj 'kjn dqekj is0iEi  
fMD'ku VSDuksykWth lksY;w'ku izk0fy0 lsykdqbZ
'kkS;kZ gkVy fodkluxj
vkjksX; fDyhfud fodkluxj
dkylh fQfyax LVs'ku dkylh
fouj ,Eik;j izk0fy0 fodkluxj
egkohj VªkUlfe'ku fy0 fodkluxj
,yLVksu izk0fy0 fodkluxj</t>
  </si>
  <si>
    <t>vf[ky Hkkjrh; vk;qZfoKku laLFkku ,El _f"kds'k 
ekWMuZ Ldwy thouh ekbZ jksM _f"kds'k
bZdks Xykscy Ldwy lsykdqbZ
lS.V Dysjsal dkUosUV Ldwy y.&lt;kSj elwjh
,ybZMh dkWLesfVd izk0fy0 fodkluxj
Hk.Mkjh gkWfLiVy dSuky jksM fodkluxj
eksfpdks 'kwt izk0fy0 ;wfuV 7 ykyrIiM MksbZokyk</t>
  </si>
  <si>
    <t>xksfoan flag egkjk jktdh; vLirky jkuh[ksr
lqdwu gksVy jkuh[ksr</t>
  </si>
  <si>
    <t>dsUnzh; fo|ky; L;kyh/kkj vYeksMk
dukSlk ifCyd Ldwy jkuh[ksr</t>
  </si>
  <si>
    <t>xq:dqy vdkneh gksjkyh
iVk[kk ekdsZV ckxs'oj</t>
  </si>
  <si>
    <t xml:space="preserve">rglhy lHkkxkj x:M
jkbZdk Maxksyh
jkbZdk x:M
</t>
  </si>
  <si>
    <t>vkWdyS.M ifCyd Ldwy yksgk?kkV</t>
  </si>
  <si>
    <t>ukjk;.k b.M0 Xykscy fy0 iUruxj
dkR;k;uh isilZ izk0fy0 tliqj</t>
  </si>
  <si>
    <t>iVk[kk cktkj Fkk: b.Vj dkWyst [kVhek
foeyk fQfyax LVs'ku tliqj</t>
  </si>
  <si>
    <t>gksVy ,aty ifCyd Ldwy dk'khiqj
jkeyhyk xzkm.M flrkjxat
vkfnR; vkWVksesfVo lhV eSVy dEiksusUV
Jh ukudeRrk xq:}kjk lkfgc
fo}kuh ekdsZV :nziqj
VªkfUtV dSEi :nziqj
VªkfUtV dSEi :nziqj
tSu Xykscy Ldwy clUr xkMZu fdPNk
tSu Xykscy Ldwy clUr xkMZu fdPNk</t>
  </si>
  <si>
    <t>,ojxzhu Ldwy gYnwpkSM</t>
  </si>
  <si>
    <t>lS.V Fksjslk Ldwy gY}kuh
okWdos ekWy gY}kuh
fo'kky esxk ekVZ uSuhrky jksM gY}kuh
fueZyk dkUosaV Ldwy uSuhrky jksM gY}kuh</t>
  </si>
  <si>
    <t>yhlk fMiks 'kh'kegy gY}kuh
yhlk fMiks guqekux&lt;h gY}kuh
flafFk;k ifCyd Ldwy gY}kuh
bLVk dkUosaV Ldwy jkeuxj
jksios uSuhrky</t>
  </si>
  <si>
    <t>LokLFk; dsUnz xaxksyhgkV fiFkkSjkx&lt;</t>
  </si>
  <si>
    <t>vyduank vkWVkseksckbZy¼is0iEi½ :nziz;kx</t>
  </si>
  <si>
    <t>lkeq0 Lok0 dsUnz Fkjkyh
jkt0 izks/kkSfxdh laLFkku d.kZiz;kx
ftyk fpfdRlky; xksis'oj</t>
  </si>
  <si>
    <t>ts0ih0 fo|keafnj tks'kheB</t>
  </si>
  <si>
    <t>csl Vhfpax vLirky JhdksV Jhuxj</t>
  </si>
  <si>
    <t>nso Hkwfe gkfLiVy jkuhiqj eksM
m"kk czsdks da0 fy0 p.Mh nsoh jksios gfj}kj
vkbZvkslh,y y.&lt;kSjk :Mdh
vkbZih Ldwy yDlj
Mh,l jksfyax izk0fy0
eSLdksV gSYFklhfjt izk0fy0
esVªks gkWfLiVy ,.M gkVZ lasVj 
izhre b.Vjus'kuy jk;iqj Hkxokuiqj</t>
  </si>
  <si>
    <t xml:space="preserve"> &gt;qXxh &gt;ksifM;ksa ykythokyk gfj}kj
&gt;qXxh &gt;ksiMh iUr}hi gfj}kj
pUnz'ks[kj ifCyd Ldwy jkeuxj :Mdh
jk0d0m0ek0fo|k0 pUnziqjh :Mdh
,yksDlsu gSYFkds;j izk0fy0 jk;iqj Hkxokuiqj
uothou gkWfLiVy eD[kuiqj Hkxokuiqj
ckck yDdh 'kkg catkjk ifCyd Ldwy cq)ok'kghn  gfj}kj
jkts'k ,DlIyksflo catkjkokyk cqXxkokyk gfj}kj
ewu fpYMªu ,dsMeh Hkxokuiqj gfj}kj
lk/kqjke mPprj ek/;fed fo|ky; xzke MkaMk] Hkxokuiqj gfj}kjA</t>
  </si>
  <si>
    <t>usrkth lqHkk"k pUnz cksl vkoklh; Nk=kokl yky&lt;kax gfj}kj
,pihlh,y y.&lt;kSjk :Mdh gfj}kj
uUniz;kx QwM ;wds izk0fy0  xqaMe.Mh eaxykSj</t>
  </si>
  <si>
    <t>jk0ik0 }kjkgkV jkuh[ksr</t>
  </si>
  <si>
    <t xml:space="preserve">Mh,oh Ldwy yksgk?kkV
ckfydk fo|k eafnj yksgk?kkV
efYydktqZu Ldwy yksgk?kkV
lS.V Qzkflal Ldwy Vudiqj
cpiu Iys Ldwy Vudiqj
jk0m0ek0fo|k0 mapksyhxksB Vudiqj
jk0b0dk0 xS.Mk[kkyh
jk0izk0fo|k0 mapksyhxksB Vudiqj
jk0m0ek0fo|k0 mapksyhxksB Vudiqj
</t>
  </si>
  <si>
    <t>eSu ekdsZV pEikor
ftyk lHkkxkj pEikor
nsoh/kqjk ekdsZV
ikVh ekdsZV</t>
  </si>
  <si>
    <t>bLVk dkUosaV Ldwy dkfu;k jkeuxj
lkeqnkf;d Lok0dsUnz dkyk&lt;waxh jkeuxj</t>
  </si>
  <si>
    <t>cl vLirky gY}kuh
efgyk vLirky gY}kuh
c`tyky vLirky uSuhrky jksM gY}kuh
Mk0 vkj0,l0Vksfy;k mRrjk[k.M iz'kklfud vdkneh uSuhrky</t>
  </si>
  <si>
    <t>_f"kds'k cktkj {ks=
vk/kqfud ;a= da0 lkl b.M0 ,fj;k jkeiqj
gsek yscksjsVh QkekZflVh lsykdqbZ
Mh0,l0 gSfjVst oSfMax IokabZV fo0u0
Lokeh foosdkuUn pSfjVscy gkfLiVy /kekZokyk fo0u0
Jh lR; lkabZ fQfyax Lvsa'ku gfjiqj dkylh fo0u0
dkylh fQfyax LVs'ku dkylh fo0u0
VkbZe oYMZ Ldwy dSuky jksM fo0u0
lS.V eSjh dkUosaV lh0 lS0 Ldwy ckbZikl jksM fo0u0</t>
  </si>
  <si>
    <t>vxzoky fQfyax LVs'ku ckbZikl jksM _fZ"kds'k
uk;jk is0 iEi jkuhiks[kjh
flejuthr flg iVk[kk xksnke jkuhiks[kjh
Hkkjr Hkw"k.k jkoy iVk[kk xksnke jkuhiks[kjh
jktk VkUUliksV izk0 fy0 _f"kds'k
gksVy n ,efj'k _f"kds'k
tyok;q VkWoj &gt;k&gt;jk
lck vksojlht ,DliksVZ ,Vuckx gjcVZiqj
dSyk'k gksVy ckcwx&lt; fo0u0
pdjkrk bu fjlksVZ iqjksMh pdjkrk
Jh lR; lkabZ fQfyax LVs'ku gfjiqj dkylh
MhvkbZlh Vsdos;j yka?kk jksM fo0u0
,yLVksu izk0fy0 yka?kk jksM fo0u0</t>
  </si>
  <si>
    <t>jk0 ek0 fo|k0 dksaMlh Hkksxiqj jkuhiks[kjh
f'kokfyd ,dsMeh jktk jksM lsykdqbZ
lsykdqbZ b.V0 Ldwy
dkuosUV thll ,.M eSjh oScyhZ Ldwy
eYVh xzkfQDl fizUV izk0fy0 yka?kk jksM fodkluxj
fouj ,Eik;j IykfLVd izk0fy0 fodkluxj
tkSyhxzk.V ,vjiksVZ</t>
  </si>
  <si>
    <t>bekeh fy0 IykWV ua0 40 iUruxj
QkbZcj QSDVªh yksfg;k gSM jksM [kVhek
bZLVj b.M0 fy0 pk:csVk [kVhek
uSuh isilZ fey izk0fy0 eqjknkckn jksM tliqj
i0 jke'kqesj 'kqDrk esfMdy dkWyst :nziqj</t>
  </si>
  <si>
    <t>Lo:i mPprj ek/;fed fo|ky; eqMSyh [kVhek
,l0vkj0,Q0 fy0 ;wfuV 2 jEiqjk jksM dk'khiqj
ds'ko lw;Zeq[kh ifCyd Ldwy 'kfDrQkeZ flrkjxat
cgqmnns'kh; f'kfoj fllkSuk flrkjxat
lokZ QkekZL;qfVdYl
tSu Xykscy ifCyd Ldwy :nziqj
lh0,e0vks0 dk;kZy; :nziqj</t>
  </si>
  <si>
    <t>yhykorh fQfyax LVs'ku tliqj</t>
  </si>
  <si>
    <t>ftyk U;k;ky; fiFkkSjkx&lt;
exye ykWt fudV cl LVs'ku fiFkkSjkx&lt;</t>
  </si>
  <si>
    <t>fyfVy ,atsy ulZjh ifCyd Ldwy csjhukx
ts0ch0 esekSfj;y ekud ,dsMeh flfV dSEil fiFkkSjkx&lt;</t>
  </si>
  <si>
    <t>fo|k eafnj csy.kh :nziz;kx</t>
  </si>
  <si>
    <t>fHkyaxuk gkbZMªks ikWoj ?kqRrq
gksVy ySeu Vªh riksou
gksVy nkfeuh y{e.k&gt;wyk jksM</t>
  </si>
  <si>
    <t>ohoh,l ifCyd Ldwy dqVVk
dkeZy ifCy Ldwy
lkeq0 Lok0 dsUnz csys'oj
vkSrkj flag rksioky jktdh; ftyk fpfdRlky; ckSjkMh
lkeq0 Lok0 dsUnz pEck</t>
  </si>
  <si>
    <t xml:space="preserve">gksVy bUnzk iSysl riksou
lkeq0 Lok0 dsUnz nsoiz;kx
</t>
  </si>
  <si>
    <t xml:space="preserve">foosdkuUn fo/kk eafnj b.Vj dkWyst e.Mylsjk
dsihoh b.Vjus'kuy Ldwy e.Mylsjk
yhlk fMiks gj}kjNhuk
gal Qkm.Ms'ku ou foHkkx ckxs'oj
ia0 nhun;ky mik/;k; fo|k eafnj xkxjhxksy
lkeqnkf;d LokLFk; dsUnz x:M cStukFk
</t>
  </si>
  <si>
    <t>Lohd`r fu;ru</t>
  </si>
  <si>
    <t>FSO</t>
  </si>
  <si>
    <t>COOK/KAHAR</t>
  </si>
  <si>
    <t>OP</t>
  </si>
  <si>
    <t>SWR</t>
  </si>
  <si>
    <t>miyC/krk</t>
  </si>
  <si>
    <t xml:space="preserve"> csl fpfdRlky; ,o lakscu flag thuk esfMdy dkWyst [kR;kMh vYeksMk
ojnku vkbZ lsUVj
xksiky bUth0 ikoj izk0 fy0 jkuh[ksr</t>
  </si>
  <si>
    <t xml:space="preserve">egk ;ksx </t>
  </si>
  <si>
    <t>JAN TO NOV 24</t>
  </si>
  <si>
    <t>?ku'kkyh</t>
  </si>
  <si>
    <t xml:space="preserve">                 vfXudk.M ds vkadM+s tuinokj ekg tuojh 2025 vfXu'keu ,oa vkikr lsok mŸkjk[k.MA</t>
  </si>
  <si>
    <t>tho j{kk@jkgr ,oa cpko@jsLD;w tuin okj ekg tuojh 2025 vfXu'keu ,oa vkikr lsok mŸkjk[k.MA</t>
  </si>
  <si>
    <t>lsokfuo`Rr@e`rd vf/kdkjh@deZ0 ekg tuojh 2025 vfXu'keu ,oa vkikr lsok mŸkjk[k.MA</t>
  </si>
  <si>
    <t>oukfXudk.M vkadM+s tuin okj ekg tuojh 2025 vfXu'keu ,oa vkikr lsok mŸkjk[k.MA</t>
  </si>
  <si>
    <t>Qk;j fjLd fujh{k.k dk fooj.k  vfXu'keu ,oa vkikr lsok mŸkjk[k.M ekg tuojh 2025</t>
  </si>
  <si>
    <t>izk:i&amp;3 vukifRr izek.k i= ¼,u0vks0lh0½ i=ksa dk fooj.k] ekg tuojh 2025</t>
  </si>
  <si>
    <t>izk:i&amp;  ekWd fMªy@tutkx:drk@izf'k{k.k tuin okj ekg tuojh 2025 vfXu'keu ,oa vkikr lsok mŸkjk[k.MA</t>
  </si>
  <si>
    <t>izk:i&amp;5]  jktif+=r vf/kdkfj;ksa }kjk fujh{k.k dk fooj.kA ekg tuojh 2025</t>
  </si>
  <si>
    <t>vfXu'keu ,oa vkikr lsok esa fu;qDr dkfeZdksa }kjk o"kZ 2025 esa dh xbZ  ohvkbZih@ohohvkbZih@dkuwu O;oLFkk M;wfV;ksa dk fooj.kA</t>
  </si>
  <si>
    <t>mRrjk[k.M vfXu'keu ,oa vkikr lsok esa Qk;j gkbZMªsUV dk fooj.k ekg tuojh  2025</t>
  </si>
  <si>
    <t>vfXu'keu ,oa vkikr lsok okgu@midj.k dk fooj.k ekg tuojh 2025</t>
  </si>
  <si>
    <t>mRrjk[k.M vfXu'keu ,oa vkikr lsok lapkj midj.kksa dk fooj.k ekg tuojh 2025</t>
  </si>
  <si>
    <t xml:space="preserve">09-01-2025
10-01-2025
22-01-2025
</t>
  </si>
  <si>
    <t>Qk0LVs0 ujsUnz uxj
Qk0LVs0 ubZ fVgjh
Qk0LVs0 ujsUnz uxj</t>
  </si>
  <si>
    <t>Qk;j LVs'ku dk uke</t>
  </si>
  <si>
    <t>Hkwfe miyC/k gS vFkok ugh</t>
  </si>
  <si>
    <t>Hkwfe ryk'k gsrq D;k iz;kl fd;s tk jgs gSA</t>
  </si>
  <si>
    <t>Hkwfe ls lEcfU/kr okn@fookn</t>
  </si>
  <si>
    <t>miyC/k gSA</t>
  </si>
  <si>
    <t>Vh,pMhlh }kjk o"kZ 2004 esa 1650-13 oxZehVj Hkwfe esa 650 oxZehVj esa Qk;j LVs'ku ubZ fVgjh ds Hkou dk pkj ryu esa fuekZ.k dj lqiqnZ fd;k x;k gSA</t>
  </si>
  <si>
    <t>ujsUnz uxj</t>
  </si>
  <si>
    <t>miyC/k ugh gSA</t>
  </si>
  <si>
    <t>ofj0iq0v/kh0 fVgjh x&lt;oky }kjk iqjkuh iq0yk0 ujsUnzuxj dh dqy Hkwfe 0-6970 gS0 esa ls 0-3920 gS0 Hkwfe Qk;j LVs'ku ujsUnzuxj ds uke ij gLrkUrj.k djk;s tkus ds laca/k esa eq[;ky; Lrj ij i=kpkj izpfyr gSA</t>
  </si>
  <si>
    <t>ubZ Hkwfe p;fur dh x;h gSA</t>
  </si>
  <si>
    <t>iwoZ esa tks Hkwfe miyC/k gqbZ Fkh mls Hkw&amp;oSKkfud }kjk fujLr fd;k x;k gS RkFkk ofj0iq0v/kh0 ubZ fVgjh }kjk ubZ Hkwfe ryk'kus gsrq funsZf'kr fd;k x;k rr~Øe esa ubZ Hkwfe p;fur dh x;h ftls Hkw&amp;oSKkfud }kjk Hkwfe dks mi;ksxkFkZ crk;k x;k rFkk orZeku esa Qk;j ;wfuV ?ku'kkyh CykWd ds Hkou esa lapkfyr gSA</t>
  </si>
  <si>
    <t>LFkkbZ Hkou esa lapkfyr gSA</t>
  </si>
  <si>
    <t>vLFkkbZ Hkou esa lapkfyr gSA</t>
  </si>
  <si>
    <t>fdjk;s dk Hkou gS ;k fdlh vU; foHkkx ds Hkou esa lapkfyr gSA</t>
  </si>
  <si>
    <t>Hkou dk izdkj
¼vkoklh;@vukoklh;½</t>
  </si>
  <si>
    <t>¼vkoklh;@vukoklh;½</t>
  </si>
  <si>
    <t xml:space="preserve">LFkkbZ </t>
  </si>
  <si>
    <t xml:space="preserve"> ubZ fVgjh</t>
  </si>
  <si>
    <t xml:space="preserve">ugh </t>
  </si>
  <si>
    <t>gk¡</t>
  </si>
  <si>
    <t>1&amp; orZeku esa Qk;j LVs'ku u0uxj iqjkuh iq0yk0 u0uxj ds Hkfe@Hkou esa lapkfyr gSA
2&amp; ,Q,lvks dk;kZ0 gsrq cktkj ykbZu u0uxj esa yk0fu0fo0 {kjk 02 d{k vkoafVr gSA</t>
  </si>
  <si>
    <t xml:space="preserve">xSl flys.Mj ls Hkjk Vªd nq?kZVukxzLr gksuk]'kkWVZ lfdZV] </t>
  </si>
  <si>
    <t xml:space="preserve">xSl flys.Mj ls Hkjk Vªd] jsyos izkstsDV eysFkk dSEi o eSl]lgdkjh lfefr Hkou </t>
  </si>
  <si>
    <t>&gt;kfM;ksa o isM</t>
  </si>
  <si>
    <t>xSl flyS.Mj yhdst</t>
  </si>
  <si>
    <t xml:space="preserve">xqtjkMk ekxZ ds fudV 300 ehVj xgjh [kkbZ esa fxjk ikyrw dqRrk dk jsLd;w </t>
  </si>
  <si>
    <t>1- eS0 fcUns'ojh ,fDte izk0fy0 dhfrZuxj
2- eS0 daLVksdkse bf.M;k fy0]b.M0 ,fj;k &lt;kyokyk
3- gksVy LVfyZax ike fCyl eqfu dh jsrh</t>
  </si>
  <si>
    <t>1-uk;jk buthZ tk[kMh/kkj fV0x0
2- ftyk dkjkxkj ubZ fVgjh
3- xkSre jsthMsUlh ubZ fVgjh
4- gksVy ghlhvkj ubZ fVgjh
5- iq0yk0 pEck fV0x0</t>
  </si>
  <si>
    <t xml:space="preserve">1- ljLorh f'k'kq efUnj fV0x0
2- uo;qxk dEiuh dhfrZuxj tuin fV0x0
</t>
  </si>
  <si>
    <t xml:space="preserve">?ku'kkyh </t>
  </si>
  <si>
    <t>ukSxkao ¼cMdksV½</t>
  </si>
  <si>
    <t>Qk;j LVs'ku ukSxkao ¼cMdksV½ gsrqw Hkwfe miyC/k gS tks fd ftykf/kdkjh ds vkns"k la0 5699@X;kjg&amp;fofo/k ¼2023&amp;24½ fn0 27-05-2024 ds }kjk iqfyl foHkkx ds uke gLrkUrj.k gks x;h gSA ftldks foHkkx ds uke  ntZ djk;s tkus dh dk;Zokgh miftykf/kdkjh cMdksV Lrj ij izpfyr gSA</t>
  </si>
  <si>
    <t>Qk;j ;wfuV fpU;kyhlkSM gsrq Hkwfe miyC/k gS tks fd ftykf/kdkjh mRrjdk'kh ds vkns'k la0 4615@X;kjg&amp;fofo/k¼2022&amp;23½ fn0 20-03-2023 ds ek/;e ls Qk;j ;wfuV fpU;kyhlkSM ds dk;kZy;@Hkou fuekZ.k gsrq fpU;kyhlkSM esa mMM;u foHkkx dh gokbZ iVVh ds lehi vafdr [kljk ua0 4271 e- jdck 0-0300 gS0 Hkwfe Qk;j lfoZl¼vfXu'keu ,oa vkikr lsok½ foHkkx mRrjdk'kh ds uke gLrkUrfjr@ukekUrj.k dh Lohd`fr iznku dh x;h gSA</t>
  </si>
  <si>
    <t>fpU;kyhlkSM</t>
  </si>
  <si>
    <t>iqjksyk</t>
  </si>
  <si>
    <t>eksjh</t>
  </si>
  <si>
    <t>vkoklh;</t>
  </si>
  <si>
    <t>vukoklh;</t>
  </si>
  <si>
    <t>ugh</t>
  </si>
  <si>
    <t>Qk;j LVs'ku LFkkbZ :i ls vius Hkou esa lapkfyr gSSA</t>
  </si>
  <si>
    <t>gokbZ iVVh }kjk cus Hkou ds 02 dejksa esa lapkfyr gSA</t>
  </si>
  <si>
    <t>flapkbZ foHkkx ds th.kZ&amp;'kh.kZ Hkou esa lapkfyr gSA</t>
  </si>
  <si>
    <t>ukSxkao CykWd }kjk vkoafVr 02 eaftyk vLFkk;h Hkou esa lapkfyr gS</t>
  </si>
  <si>
    <t>rglhy iqjksyk }kjk vkoafVr 01 dejs esa lapkfyr gSA</t>
  </si>
  <si>
    <t xml:space="preserve">ou foHkkx ls izkIr 01 dejs esa lapkfyr rFkk okgu ih-Mcyw-Mh xSLV gkÅl esa [kMk gSA </t>
  </si>
  <si>
    <t>jsfyax ij osfYMax djrs gq, ¼ykijokgh½] vKkr O;fDr }kjk¼ykijokgh½] 'kkWVZ lfdZV</t>
  </si>
  <si>
    <t>xkS'kkyk
ijky
fizfVax izsl</t>
  </si>
  <si>
    <t xml:space="preserve">iwtk ds nhid </t>
  </si>
  <si>
    <t>?kj¼tkap izpfyr½</t>
  </si>
  <si>
    <t>fd;s x;s Qk;j fjLd fujh{k.k dh la[;k</t>
  </si>
  <si>
    <t>uksfVl fn;k x;k</t>
  </si>
  <si>
    <t>1- fryksFk ikWoj gkml
2- eusjh Mse
3-/kjklw ikWoj gkml
4- jk0ft0fpfd0
5- clqa/kjk ekWy
6- ,l-ts-oh-,u-,y uSVokM
7- ou jast lkUnzk] rglhy eksjh
8- ou jsat xksfoUn oU;tho fogkj uSVokM cSfj;y] rglhy eksjh</t>
  </si>
  <si>
    <t>1- gfj flag jkor jk0bZ0dk0 xaxksjh
2- fiyaxkMZ ty fo|qr ;kstuk HkVokMh
3- jk0bZ0dk0 Mw.Mk
4- jk-bZ0dk0 eksjh</t>
  </si>
  <si>
    <t>1- dLrwjck xka/kh vkoklh; ckfydk fo|ky;] [kjlkMh] rglhy eksjh</t>
  </si>
  <si>
    <t>4+
1
(UPNL)</t>
  </si>
  <si>
    <t>iqjLd`r vf/k0@deZ0 dk fu;qfDr Qk;j LVs'ku</t>
  </si>
  <si>
    <t>iqjLd`r vf/k0@deZ0 dk uke</t>
  </si>
  <si>
    <t>fnukad</t>
  </si>
  <si>
    <t>vU; fooj.k ¼fdl dk;Z gsrq iq:Ld`r fd;k x;k½</t>
  </si>
  <si>
    <t>,y,Q,e j.k/khj flag</t>
  </si>
  <si>
    <t>ftykf/kdkjh ikSMh ,oa ofj0iq0v/kh0 ikSMh</t>
  </si>
  <si>
    <t>iqjLdkj dk fooj.k</t>
  </si>
  <si>
    <t>iz'kfLr i=</t>
  </si>
  <si>
    <t>o"kZ 2024 ds nkSjku dksV}kj vkS/kkSfxd bdkbZ;ksa] vLirkyksa] f'k{k.k laLFkkuksas] gksVy fjtksVZ vkfn laLFkkuksa esa Qk;j MsekS] izf'k{k.k] ekWd fMªy dk vk;kstu fd;k x;k</t>
  </si>
  <si>
    <t>vkoklh;@vukoklh;</t>
  </si>
  <si>
    <t>ch-bZ-,y- jksM xzke jruiqj eksVk&lt;kd esa 2-37 ,dM Hkwfe Qk;j LVs'ku gsrq miyC/k gS ftl ij VkbZi 3 ds 02 ] VkbZi 2 ds 10 ,oa VkbZi 1 ds 03 vkokllh; Hkouksa dk fuekZ.k dk;Z iw.kZ gks pqdk gS] ftuesa Qk;j lfoZl vf/k0@deZ0 }kjk vf/kxzg.k dj fy;k x;k gS] rFkk vukoklh; Hkouksa ds fuekZ.kdk;Z djk;s tkus ds laca/k esa i=kpkj izpfyr gSA</t>
  </si>
  <si>
    <t>ch-bZ-,y- jksM xzke jruiqj eksVk&lt;kd esa 2-37 ,dM Hkwfe Qk;j LVs'ku gsrq miyC/k gS  vukoklh; Hkouksa ds fuekZ.kdk;Z djk;s tkus ds laca/k esa i=kpkj izpfyr gSA</t>
  </si>
  <si>
    <t>iqfyl ykbZu ikSMh ds Hkou esa lapkfyr gS</t>
  </si>
  <si>
    <t>gS</t>
  </si>
  <si>
    <t>fodkl [k.M FkSyhlS.k ds Hkou esa lapkfyr gSA</t>
  </si>
  <si>
    <t xml:space="preserve">&gt;kfM;ksa </t>
  </si>
  <si>
    <t>dwMk tykuk</t>
  </si>
  <si>
    <t>vKkr]Mhty HkVVh es</t>
  </si>
  <si>
    <t>[ksrks esa] LohV 'kkWi</t>
  </si>
  <si>
    <t>?kj] eSl@cSjd</t>
  </si>
  <si>
    <t>lq&gt;ko i= fn;k x;k</t>
  </si>
  <si>
    <t>Qk0 ;w0 ?kulkyh</t>
  </si>
  <si>
    <t>1- gs0u0cgqxq.kk x&lt;0 ;wfu0 Jhuxj
2- fiVdqy [kUnq[kky Jhuxj
3- ou foHkkx ikSMh
4- fiVdqy [kUnq[kky Jhuxj
5- mRrjk[k.M vcZu lsUVj MsoyiesaV ,tsUlh dksV}kj
6- Hkkjrh; [kk| fuxe] d.Mh jksM eksVk&lt;kd dksV}kj</t>
  </si>
  <si>
    <t>1- gksVy jkW;y bu ikSMh
2- gs0u0cgq0 x&lt;oky ;wfuoflZVh Jhuxj
3- fiVdqy [kUnq[kky Jhuxj
4- th-,e-vks-;w isVªksy iEi Jhuxj
5- gksVy lR;e ] gksVy vyduUnk ,uDyso] efgyk Fkkuk Jhuxj] 
dksrokyh Jhuxj] iqfyl xSLV gkml Jhuxj
6- vksedkjkuUn nwu ifCyd Ldwy FkyhlS.k
7-oSfnd vkJe xq:dqy egkfo|ky; d.OkkJe dksV}kj
8- czgenso VkWoj ¼fjykbUl VªsaM½ dksV}kj</t>
  </si>
  <si>
    <t>1- ijkt bUlVhV;wV ikSMh
2- lezkV gksVy Jhuxj
3- gksVy nsoyksd] moZ'kh yodq'k ,oa th,evks;w isVªksy iEi Jhuxj
4- gksVy vfgalk] gksVy ch0th0bu] Jh vkWVks eksckbZy odZ 'kkWi
5- d`".kk xSLV gkÅl] [kq'kh gkseLVs] lqn'kZu gksVy] lkdsr gksVy
6- ,p-vkj-ts- LVhy izk0fy0 t'kks/kjiqj dksV}kj 
7- fgeky;u gcsZfj;k bad] xzksFk lsUVj flxMMh dksV}kjA</t>
  </si>
  <si>
    <t>eq0v0vf/k0</t>
  </si>
  <si>
    <t xml:space="preserve"> 'kkWVZ lfdZV]pwYgs dh jk[k]fpeuh]vKkr</t>
  </si>
  <si>
    <t>?kj] fo|qr rkj]nqdku]VªkalQkeZj</t>
  </si>
  <si>
    <t>dkj]xksnke] fo|qr rkjksa</t>
  </si>
  <si>
    <t>dkj o LdwVj dh VDdj ls ?kk;yks dk jsLd;w dj vLirky igqapkuk
lkabZ eafnj eksgCcsokyk ds fudV ukys esa Qals xkSoa'k dk jsLd;w
tksxhokyk eksgdeiqj ¶ykbZvksoj ds ikl nq?kZVukxzLr dkj ls yksxks dk jsLd;w
fl)kFkZ fogkj fpMksokyh ds fudV xSyjh esa Qalh xk; dk jsLd;w
,u0Mh0,l0 Ldwy ';keiqj _f"kds'k es eksckbZy VkWoj ij p&lt;s O;fDr dk jsLd;w 
gfj}kj ckbZikl jksM eUlk nsoh QkVd ds fudV fxjs isM dks dkVdj gVkrs gq, ;krk;kr fuckZf/kr djuk</t>
  </si>
  <si>
    <t>lsykdqabZ</t>
  </si>
  <si>
    <t>,Q,l dkfeZdksa gsrq vkoklh; Hkouksa dh vko';drk gSA</t>
  </si>
  <si>
    <t>fo|qr iksy</t>
  </si>
  <si>
    <t>1- jsyos LVs'ku ;ksxuxjh _f"kds'k
2- iqjkuk jsyos LVs'ku _f"kds'k
3- yhlk fMiks _f"kds'k
4- QwM dkWiksZjs'ku vkWQ bf.M;k jsyos jksM _f"kds'k
5- ;k=k cl vMMk _f"kds'k
6- fnYyh ifCyd Ldwy jkuhiks[kjh
7- nwu b.Vjus'kuy ifCyd Ldwy _f"kds'k
8- QwM dkWiksZjs'ku vkWQ bf.M;k jsyos jksM _f"kds'k
9- 250 ,e0ch0,l0 xYlZ gkWLVy _f"kds'k
10- gksVy n xzs.M gSfjVst jkuhiks[kjh 
11- Jh txeksgu flag gksVy ts0,l0lsofjax jkuhiks[kjh _f"kds'k
12- gksVy 7 gSou jkuhiks[kjh _f"kds'k
13- uVjkt gksVy _f"kds'k
14- ,l-ih-,l jktdh; fpfd0 _f"kds'k
15- yhlk fMiks _f"kds'k
16- ft;ks isVªksy iEi jkeiqj] lsykdqbZ
17- LikbZl gksVy eSu jksM lsykdqbZ</t>
  </si>
  <si>
    <t>orZeku esa Qk;j LVs'ku iqjkus Hkou esa lapkfyr gS ftlds /oLrhdj.k ds i'pkr u;k Hkou cuuk izLrkfor gSA</t>
  </si>
  <si>
    <t>dSQs</t>
  </si>
  <si>
    <t>rglhy R;wuh ds vkoklh; Hkou esa lapkfyr gSA</t>
  </si>
  <si>
    <t xml:space="preserve">VkbZi 3 </t>
  </si>
  <si>
    <t>vukoklh;@vkoklh;</t>
  </si>
  <si>
    <t xml:space="preserve"> 'kkWVZ lfdZV] vyko] vyko ls] okgu ds czsd 'kw fpid tkus ls] ykijokgh ls /kweziku</t>
  </si>
  <si>
    <t>VkVk eSftd okgu]Nkfu;ksa]fo|qr dscy]vkjk e'khu]Vky]MEQj]xUus ds [ksr</t>
  </si>
  <si>
    <t>1 ;k=k cl vMMk _f"kds'k vke tuekul ,oa O;olkf;d laLFkkuksa dks vfXu lqj{kk ds izfr tkx:d fd;k x;kA
2 tyok;q VkWoj &gt;k&gt;jk lsykdqbZ
3- vkjksX; fDyhfud vLirky jksM fodkluxj
4- Hk.Mkjh gkWfLiVy dSuky jksM fodkluxj
5- dSyk'k gkWfLiVy ckcwx&lt; fodkluxj
6- Mh0,l0gSfjVst osf.Max IokabZV  ckcwx&lt; fodkluxj
7- fo'k xSLV gkÅl rglhy jksM fodkluxj
8- leHkkSrk frCcrh Ldwy] gjcVZiqj nsgjknwu</t>
  </si>
  <si>
    <t>R;w.kh</t>
  </si>
  <si>
    <t>ykijokgh ls /kweziku</t>
  </si>
  <si>
    <t>MkssbZokyk</t>
  </si>
  <si>
    <t>isVªksy iEi] okgu</t>
  </si>
  <si>
    <t>1- jsyos LVs'ku ;ksxuxjh _f"kds'k
2- iqjkuk jsyos LVs'ku _f"kds'k
3- yhlk fMiks _f"kds'k
4- QwM dkWiksZjs'ku vkWQ bf.M;k jsyos jksM _f"kds'k
5- fnYyh ifCyd Ldwy jkuhiks[kjh
6- gSc QkekZL;wfVdy QkekZflVh lsykdqbZ
7- mRrjk;.k gksVy tkSulkj Hkkcj pdjkrk nsgjknwu
8- ,p0ih0 isVªksy iEi dksjck pdjkrk
9- ¶ySDl QwM fy0 ykyrIiM] MksbZokyk</t>
  </si>
  <si>
    <t>,Q,e 366 y{e.k flag</t>
  </si>
  <si>
    <t>,Q,e mes'k pUnz</t>
  </si>
  <si>
    <t>e0,Q,e fdju tks'kh</t>
  </si>
  <si>
    <t>iq0v/kh0 pEikor</t>
  </si>
  <si>
    <t>ftykf/kdkjh pEikor</t>
  </si>
  <si>
    <t>o"k 2024 ds nkSjku 100 ls vf/kd Ldwyks laLFkkuksa esa tutkx:drk izf'k{k.k dk;ZØe gsrq</t>
  </si>
  <si>
    <t>okgu nq?kZVuk esa ?kk;y O;fDr ds jsLd;w esa egRoiw.kZ dk;Z ij</t>
  </si>
  <si>
    <t>yxu o esgur ls drZO; ikyu gsrq</t>
  </si>
  <si>
    <t>miyC/k Hkwfe ij vukoklh;@vkoklh; Hkou fuekZ.k dh vko';drk gSA</t>
  </si>
  <si>
    <t>vukoklh; Hkou</t>
  </si>
  <si>
    <t>iz'kklfud Hkou esa 5 dejs miyC/k gSA deZpkfj;ksa ds jgus ds fy;s Fkkuk yksgk?kkV dh iqjkuh cSjdksa dk mi;ksx fd;k tk jgk gSA u;s cSjd Hkou fuekZ.k dh vko';drk gSA LVksj esa lkexzh j[kus ds fy;s i;kZIr txg ugh gSA cSjd ,oa vkoklh; Hkou ds fuekZ.k dh vko';drk gSA</t>
  </si>
  <si>
    <t>vkoklh; Hkouksa ds fuekZ.k dh vko';drk gSA</t>
  </si>
  <si>
    <t>vukoklh; ,oa vkoklh; Hkou fuEkkZ.k dh vko';drk gSA</t>
  </si>
  <si>
    <t>?kkl ds ywVks esa</t>
  </si>
  <si>
    <t>ijky</t>
  </si>
  <si>
    <t>vDdy/kkjk yksgk?kkV ds fudV [kkbZ esa fxjs Vªd ls jsLd;w dk;Z
nsojkMh cS.M yksgk?kkV ds ikl [kkbZ esa fxjh dkj jsLd;w dk;Z
cuclk esa ugj esa fxjs O;fDr dk lfpZax vfHk;ku</t>
  </si>
  <si>
    <t>1- xksjy pkSM eSnku pEikor
2- cpiu Iys Ldwy Vudiqj</t>
  </si>
  <si>
    <t>1- yhlk fMiks fHkaxjkMk
2- yhlk fMiks pkSMkesagrk
3- yhlk fMiksa Vkd[kUnd
4- 'kkjnk jsUt ou {ks= Vudiqwj
5- f'kok jsthMsUlh
6- xksyT;w jsthMsUlh</t>
  </si>
  <si>
    <t xml:space="preserve">1-yhlk fMiks Lokyk
2- yhlk fMiks cu[ksy
3- yhlk fMiks /kwuk?kkV
4- Vudiqj ikWoj LVs'ku ,u,pihlh dSEil cuclk
5- yhlk fMiks Vudiqj
6- mRrjk[k.M ou fodkl fuxe lky fMiks ua0&amp;01 Vudiqj
7- ih0,e0 Jh vVy mRd`"V jk0ckfydk b.Vj dkWyst Vudiqj
 </t>
  </si>
  <si>
    <t>:Mdh</t>
  </si>
  <si>
    <t>lqugjk jksM dk'khiqjh esa Hkwfe ns[kh x;h gS ftldss laca/k esa jktLo foHkkx Lrj ls dk;Zokgh izpfyr gsA</t>
  </si>
  <si>
    <r>
      <t>01%&amp;</t>
    </r>
    <r>
      <rPr>
        <sz val="11"/>
        <color theme="1"/>
        <rFont val="Kruti Dev 010"/>
      </rPr>
      <t>oknfjV ;kfpdk la[;k% 822@¼,e@,l½@2017 ujsUnz dqekj cuke mRrjk[k.M jkT; vkfn ek0 mPp U;k;ky; uSuhrky esa nk;j gS] ftlesa ;FkkfLFkfr cuk;s j[kus ds vkns'k ikfjr gq;s gSA
02%&amp;ewy okn la[;k% 26@2015 ujsUnzdqekj cuke mRrjk[k.MjkT; vkfn ek0 U;k;y; flfoytt ¼,l0Mh0½ yDlj e sank;j gSAftldh fu;r frfFk 140-03-2025 gSA
03%&amp;oknla[;k% 16@2015 ujsUnz dqekj cuke gfj"pUnz lseoky vkfn ek0 U;k;y; flfoy tt ¼,l0Mh0½ yDlj esa nk;j gSA ftldh fu;r frfFk 14-03-2025gSA
04%&amp;okn la[;k% 27@2015 mRrjk[k.M jkT; cuke ujsUnz dqekj vkfn ek0 U;k;y; flfoy tt ¼,l0Mh0½ yDlj esa nk;j gSAftldh fu;r frfFk 14-03-2025 gSA</t>
    </r>
  </si>
  <si>
    <t>jks'kukckn ¼flMdqy½</t>
  </si>
  <si>
    <t>dksrokyh flfoy ykbZu :M+dh ds ifjlj esa Qk;j LVs'ku lapkfyr g Sftles aQk;j LVs'ku dk vyx ls Hkou miyC/k gSA</t>
  </si>
  <si>
    <t>rglhy Hkou yDlj esa lapkfyr gSA</t>
  </si>
  <si>
    <t>orZeku esa Qk;j ;wfuV ds ikl 01 cSfjd] 01 xSjkt] 01 okp:e] 2 'kkSpky;@Lukukxkj miyC/k gSA</t>
  </si>
  <si>
    <t xml:space="preserve"> 'kkWVZ lfdZV] xSl fjlko] [kkuk cukrs le; vksojghV ls]ykijokgh ls /kweaziku</t>
  </si>
  <si>
    <t xml:space="preserve">?kj] xksnke] okgu] </t>
  </si>
  <si>
    <t xml:space="preserve"> 'kkWVZ lfdZV] tkap izpfyr] vKkr</t>
  </si>
  <si>
    <t>okf'kax e'khu] miyks] ckal ds isM</t>
  </si>
  <si>
    <t>vKkr] xSl yhdst] tkap izpfyr</t>
  </si>
  <si>
    <t>jlksbZ?kj] dwMs ds &lt;sj</t>
  </si>
  <si>
    <t xml:space="preserve"> 'kkWVZ lfdZV] xje jk[k Mkyus ls] ykijokgh ls /kweziku</t>
  </si>
  <si>
    <t>Vªd] xUus ds [ksr] miyks esa</t>
  </si>
  <si>
    <t>vKkr O;fDr }kjk ykijokgh ls /kweziku</t>
  </si>
  <si>
    <t>dckM dk xksnke</t>
  </si>
  <si>
    <t>“kkfUr Hkou dkWEiySDl fu;j caxkyh vLirky ds ikl 01 dejs esa ckck us Qkalh yxk j[kh Fkh] lgk;rkFkZ iqfyl us njoktk ds ykWd dkVus gsrq jsLD;w ;wfuV ?kVukLFky ij cqyk;hAvk;ju dVj ls ykWd dks dkVk x;kA</t>
  </si>
  <si>
    <t xml:space="preserve">1- t; JhikWfyelZ] vkbZ0ih0&amp;4] csxeiqj gfj0A
2- ,YkqMsdksj izk0fy0] vkbZ0ih0&amp;4] csxeiqj gfj0A
3- thulbuksos”ku fy0] vkbZ0ih0&amp;4] csxeiqj gfj0A
4- gksVyljksojiksfVZdksHkwirokykA
5- gksVyxaxkfcfyl] HkwirokykA
6- gksVyvfjgUrMh-,y-,l- gksVyizk-fy- HkwirokykA
7- efydykbZQlkbZalst izk0fy0A
8- bf.M;uvkW;ydkiksZjs’kufyfeVsM] y.&lt;kSjk
9- jk.kkQzkstuQwM~l] xkzetkSjklh   
10-  uspj osyuslQwMizksMDV~l] nkSyriqj 
11- HkkjriSVªksfy;edkiksZjs’kufyfeVsM] y.&lt;kSjk
12- eS0 fgUnqLrku ;wfuyhoj fy0] IykWV u0 01] lsDVj 0,
13- eS0 dwydkWLesfVDl izk0 fy0] IykWV ua0 10&amp;11] lsDVj 08ch
14- eS0 oh-,y-lh-lhilZuyds;j fy0] IyWkV ua0 11&amp;12] lsDVj 06,
15- eSllZeksfg;kyQwMl izk0fy0 xzke c&lt;sMhcqtqx [kljk u0%&amp;97  Hkxokuiqjtuingfj}kjA
</t>
  </si>
  <si>
    <t>1- ljLorh fo|k efUnj ek;kiqj ds ,u-,l-,l- f”kfoj
2- eSllZ Jh vEckb.MLVªht izk0fy0 yds”ojhHkxokuiqjtuingfj}kjA
3- eSllZ ;qohZ iSdsftax izk0fy0 jk;iqj Hkxokuiqj tuin gfj}kjA</t>
  </si>
  <si>
    <t>1- eS0 Fkzh Vh0 yksftfLVd [kljk u0 764 lyseiqj gfj0 
2- ,fEc’kuifCydLdwy] xq:dqyukjlujksM+ &gt;cjsM+k
3- eSllZ ch0,e0,y0 isjsUVhjyxzkefldUnjiqjHkxokuiqjtuingfj}kjA
4- eSllZvkn”kZtwfu;jgkbZLdwyxzkeMkMkiVVhHkxokuiqjtuingfj}kjA
5-eSllZ%&amp;us”kuypSfjVscyDyhfud “kkgiqjHkxokuiqjtuin&amp;gfj}kjA</t>
  </si>
  <si>
    <t>miyC/k gSA
¼j{kk foHkkx dh Hkwfe yht ij½</t>
  </si>
  <si>
    <t>j{kk foHkkx ls yht ij izkIr Hkwfe ij Hkou cuk;s tkus gsrq vuqefr vof/k dk foLrkjhdj.k ds laca/k esa vukifRr izek.k i= nsgjknwu }kjk fuxZr fd;k tk pqdk gS tks fd Nkouh ifj"kn jkuh[ksr ds ek/;e ls izkIr dj vkids dk;kZy; dks voxr djk;k x;k gS ,oa fnukad 22-01-2024 dks iss;ty fuekZ.k bdkbZ f?ka?kkjh[kky ls izkIr Mhihvkj dks Jheku eq0vfXu0vf/k0 vYekswMk egksn; ds dk;kZy; esa izLrqr fd;k x;k gsA</t>
  </si>
  <si>
    <t>vLFkk;h fVu 'kSM esa lapkfyr gSA</t>
  </si>
  <si>
    <t xml:space="preserve">dckM dk xksnke] ?kkl fd ywVks </t>
  </si>
  <si>
    <t>1- gokyckx vYeksM+k 
2 yhlk fMiks dkfydk 
3 lu ,.M Luks C;w  
4 jkW;y ekmUVsu gksVy
5 b.Msu xSl ,atslh
6 dqekZpy lgdkjh cSad
7 vksfj;u eSVy QSDVªh
8 ,l ds Dyhu ,uthZ
9 fdzLVekamUV Luks C;w
10 ,l0Mh0eaxksyh iSVªksy iEi
11 vkbZ0Vh0lh0
12 nsodh nsoh fQfyax LVs”ku
13 fge n”kZu fjlkWVZ
14 ikjhtkr gksVy
15 132ds0oh0 lc LVs”ku
16 Jh ckck gSMk[kku pSfjVsfcy gkWfLiVy] 
17 Hkksys ckck vk;qZoSfnd gkWfLiVy] gSMk[kkuh lekt
18 earkxh b.MfVªt
19 ds0,e0oh0,u0 rkMh[ksr
20 dkcsZV fjoj cSyh
21 lYV ikWfyVsfDud ekSys[kky
22 xzsV bfM;u vkmV Mksj izk0fy0</t>
  </si>
  <si>
    <t>1 ekWMZu ifCyd Ldwy</t>
  </si>
  <si>
    <t>,Q,l,lvks egs'k pUnz</t>
  </si>
  <si>
    <t>iqfyl egkfuns'kd</t>
  </si>
  <si>
    <t>flYoj fMLd¼lsok ds vk/kkj ij ½</t>
  </si>
  <si>
    <t>,y,Q,e y{e.k flag usxh</t>
  </si>
  <si>
    <t>ek0 jkT;iky</t>
  </si>
  <si>
    <t>vfXZu'keu ljkguh; lsok ind</t>
  </si>
  <si>
    <t>vkoklh; Hkou</t>
  </si>
  <si>
    <t>xyh esa Qals dqRrs dk jsLd;w</t>
  </si>
  <si>
    <t>30-01-2025
30-01-2025</t>
  </si>
  <si>
    <t>Qk0LVs0 gY}kuh
Qk0LVs0 uSuhrky</t>
  </si>
  <si>
    <t>didksV</t>
  </si>
  <si>
    <t>x:M</t>
  </si>
  <si>
    <t>&gt;kfM;ksa</t>
  </si>
  <si>
    <t>1-dBk;r ckM+k fMxzh dkWyst xsV ds ikl jksM ls uhps x/ksjs esa ,d xk; dk cNM+k ftls Qk;j jsLD;w Vhe }kjk mDr cNMs+ dk jsLD;w dj ldq’ky cpk;kA
2-xzke rh[k ds ikl ,d vkWYVks dkj uEcj ;w0ds0&amp;2676 tks jksM ls uhps 300 ehVj [kkbZ esa fxj x;h Fkh ftlesa lokj 04 O;fDr;ksa dh ekSds ij gh e`R;w gks x;h Fkh ftudks ,lMhvkj,Q o Qk;j jsLD;w Vhe }kjk jsLD;w fd;k x;kA
3-didksV esa [kkrh esa jksM fuekZ.k esa dk;Z dj jgk ,d O;fDr igkM+h ls iRFkj fudkyrs le; isM+ esa vVdk gqvk Fkk ftls Qk;j jsLD;w Vhe ds igqapus ls iwoZ gh LFkkuh; yksxksa }kjk vk/ks jkLrs rd yk;k atk jgk Fkk ftlds ckn Qk;j jsLD;w Vhe }kjk mDr O;fDr dks LokLF; dsUnz [kkrh igqapk;k x;kA</t>
  </si>
  <si>
    <t xml:space="preserve">1 yhlk fMiks didksV 
2 fMxzh dkWyst ckxs’oj 
3 ftyk vLirky ckxs’oj
4 yhlk fMiks Nrhuk 
</t>
  </si>
  <si>
    <t xml:space="preserve">1 ftyk U;k;ky; ckxs’oj
2 xk;=h fo|k efUnj ckxs’oj
</t>
  </si>
  <si>
    <t>ugh A</t>
  </si>
  <si>
    <t>Qk;j ;wfuV Jh cnzhukFk dh LFkkiuk gsrq Hkwfe ds laca/k esa tuin Lrj ij ekLVj Iyku ds rgr dk;Zokgh izpfyr gSA</t>
  </si>
  <si>
    <t>iz'kklfud Hkou &amp; 1
VkbZi 3 vkokl  &amp; 1</t>
  </si>
  <si>
    <t xml:space="preserve">Fkkuk cnzhukFk Hkou esa </t>
  </si>
  <si>
    <t>izkFkfed fo|ky; xSjlS.k esa</t>
  </si>
  <si>
    <t>Qk;j LVs'ku xSjlS.k esa Hkou fuekZ.k dk;Z izpfyr gsA</t>
  </si>
  <si>
    <t>ekufld jksxh }kjk vkx yxk;k tkuk]</t>
  </si>
  <si>
    <t>lHkor /kweziku</t>
  </si>
  <si>
    <t>ikWyh gkml ds fudV &gt;kfM;ksa es</t>
  </si>
  <si>
    <t>ladjh xyh esa 03 fnu ls Qalh xk; dk jsLd;w</t>
  </si>
  <si>
    <t>1- cnzhukFk ou izHkkx
2- dsnkjukFk ou izHkkx
3- uUnk nsoh ou izHkkx</t>
  </si>
  <si>
    <t>cky j{kk Hkkjr lewg tks'kheB</t>
  </si>
  <si>
    <t xml:space="preserve">1- Qk;j LVs'ku xksis'oj
2- Qk;j LVs'ku xksis'oj
3- vVy mRd`"V jk0bZ0dk0 jksfgjk peksyh
</t>
  </si>
  <si>
    <t>1- nsofj;krky pksirk Vªsfdax :V ij taxyks esa vkx yxus ds dkj.k ykirk 03 O;fDr;ksa dk jsLd;w
2 HkVokMhlS.k esa nq?kZVukxzLr dkj ls jsLd;w</t>
  </si>
  <si>
    <t xml:space="preserve">1- jkt0 ftyk fpfdRlky; :nziz;kx
2- clZw ou iapk;r
3- fjU;woy buthZ izk0fy0 csMwcxM vxLr;eqfu
4- xzke iapk;r tokMh@jruiqj {ks=
</t>
  </si>
  <si>
    <t>1- yk&amp;¶;wyh fjlksVZ eS[k.Mk QkVk
2 gksVy lu bu eS[k.Mk QkVk</t>
  </si>
  <si>
    <t>Qk0LVs0 Vudiqj
Qk0LVs0 fiFkkSjkx&lt;</t>
  </si>
  <si>
    <t>pkyd v'kksd flag</t>
  </si>
  <si>
    <t>e0,Q,e 783 jktdkSj flag</t>
  </si>
  <si>
    <t>iq0v/kh0 fiFkkjkx&lt;</t>
  </si>
  <si>
    <t>fn0 27-12-2024 xzke ?kqulsjk esa ?kfVr vfXudk.M esa ljkguh; dk;Z djus ij</t>
  </si>
  <si>
    <t>,y,Q,e ujsUnz izlkn</t>
  </si>
  <si>
    <t>e0,Q,e 877 'khry</t>
  </si>
  <si>
    <t>ftykf/kdkjh fiFkkSjkx&lt;</t>
  </si>
  <si>
    <t>Le`fr fpUg</t>
  </si>
  <si>
    <t>o"kZ 2024 ds nkSjku mRd`"V dk;Z djus ij ftykf/kdkjh egksn; }kjk Le`fr fpUg iznku fd;k x;k</t>
  </si>
  <si>
    <t>fnukad 26-01-2025 x.kra= fnol ds volj ij eap dk dq'ky lapkyu djus ij ftykf/kdkjh egksn; }kjk Le`fr fpUg iznku fd;k x;k</t>
  </si>
  <si>
    <t>/kkjpwyk</t>
  </si>
  <si>
    <t>;qok Hkou esa</t>
  </si>
  <si>
    <t>edku</t>
  </si>
  <si>
    <t>/kweziku</t>
  </si>
  <si>
    <t>1- vkbZdu ifCyd Ldwy fiFkkSjkx&lt;
2- 'ksj flag dkdhZ ljLorh fogkj fo|ky; eqokuh fiFkkSjkx&lt;</t>
  </si>
  <si>
    <t>1 gksVy lqesjs /kkjpwyk lYeksMk
2- ch0lh0 tks'kh gksVy tktynso
3- Jh gfj flag Fkkik LiksVZl dkWyst ysyw fiFkkSjkx&lt;</t>
  </si>
  <si>
    <t>1- clsMk gksWfLiVy dS.V jksM tk[kuh fiFkkSjkx&lt;</t>
  </si>
  <si>
    <t xml:space="preserve">अग्निशमन केन्द्र हल्द्वानी जनपद नैनीताल को वन विभाग, द्वारा दिनांक 23.02.2010 को 0.989 है0 भूमि हस्तान्तरण की गयी है । उक्त भूमि से सम्बन्धित बाद संख्या 22/956 सन् 2015,माननीय न्यायालय श्रीमान सहायक कलेक्टर प्रथम श्रेणी भबर छः हल्द्वानी में लम्बित / विचाराधीन है जिलाधिकारी महोदय, एवं आपके आदेश पत्रांकःय-54/2018 दिनांक 02.11.2018 के द्वारा नामित शासकीय अधिक्ता श्री महेश सुयाल,(9927085366) राजस्व/ दीवानी द्वारा श्रीमान सहायक कलेक्टर प्रथम श्रेणी भाबर छः हल्द्वानी में पैरवी की जा रही है फायर स्टेशन हल्द्वानी स्तर से भी आवशयक पैरवी/ कार्यवाही की जाती है । </t>
  </si>
  <si>
    <t xml:space="preserve"> 'kkWVZ lfdZV] xSl fjlko] vKkr</t>
  </si>
  <si>
    <t>?kj] ?kjsy xSl flys.Mj] &gt;ksiMh] ty laLFkku dk;kZy;] fo|qr iksy] &gt;ksiMh] [kkyh eSnku</t>
  </si>
  <si>
    <t>1 loksZn; izkbZosV vkbZVhvkbZ ykekpkSM gY}kuh</t>
  </si>
  <si>
    <t>vukoklh; ,oa vkoklh;</t>
  </si>
  <si>
    <t>dkj</t>
  </si>
  <si>
    <t>1 enjlu lweh çk0fy0
2 gYnwpkSMHkkjr isVkspkfy;e fMik
3 uSuhrky jksM dkBxksnke yhlk fMiks lqYrkuuxjh
4 dkBxksnkeyhlk fMiks guqekuxMh uSuhrky jksM dkBxksnke
5 bf.M;u v‚;y fMiks gYnwpkSM
6 ljLorh fo|k efUnj b.Vj dkWyst Ldwy NksbZ jkeuxj</t>
  </si>
  <si>
    <t xml:space="preserve"> 'kkWVZ lfdZV] lh,uth xSl yhdst</t>
  </si>
  <si>
    <t>lh,uth Vsadj] lSfud Ldwy ?kksMk[kky] gSd 'kkWi b.MLVªht</t>
  </si>
  <si>
    <t>csyckck efUnj ds ikl jkeiqj jksM esa ,d Vªd o dkj dh vkil esa Vôjkus ds dkj.k dkj pkyd okgu esa Ql x;k Fkk ftls Qk;j jsLd;w ;wfuV }kjk rRdky vkÃju dVj ls njoktk dkVdj Qals O;fä dks ckgj fudkyk x;k rFkk ?kk;y O;fä dks ,acqysUl ds }kjk vLirky igqpk;k x;k 
2&amp; xzke D;kjh esa ck?k }kjk 01 O;fDr dks ck?k }kjk ekj fn;k x;k Fkk ftls Qk;j ;wfuV ou foHkkx dh la;qDr Vhe }kjk fjdoj dj vLirky igqapk;k x;kA
3&amp; cfYn;k[kku {ks= esa oSxuvkj dkj xgjh [kkbZ esa fxjus ds dkj.k grkgr O;fDr;ksa dk jsLd;w
4&amp; vkeiMko efV;kuh cSM ds ikl eksVjlkbZfdy lokj O;fDr;ksa ds xgjh [kkbZ esa fxjus ij jsLd;w dk;Z
5&amp; uFkqok[kku ds ikl nq?kZVuk gksus dh lwpuk ij Qk;j Vhe jokuk gqbZ e/;e ekxZ ij Mhlhvkj }kjk ?kk;yks dks fudky fy;s tkus ,oa Qk;j lfoZl dh vko';drk u gksus dh lwpuk ij e/; ekxZ ls okfil vk;s</t>
  </si>
  <si>
    <t xml:space="preserve">1  o‚d os e‚y
2  uSuhrky jksM dkBxksnke vk¡py nqxèk mRiknd lgdkjh la?k]ykydq¡vk
3  gksVy U;w iSosfy;u] uSuhrky
4  ioZrh; xzke LojkT; e.My] csMpwyk] uSuhrky
5  eS0 dqekj bUVjizkbZtst]csMpwyk uSuhrky
6  fovkse jslhMsUlh] rYYkk fuxykV] uSuhrky
7  nhfIr fQfyaXk LVs”ku] vYeksMk jksM uSuhrky
8  uSuhrky fgy fjlksVZ] eqDrs”oj] uSuhrky
9  ftyk dkjkxkj] uSuhrky
10  mi ftyk dkjkxkj]gy}kuh] uSuhrky
</t>
  </si>
  <si>
    <t xml:space="preserve">22-01-2025
14-01-2025
10-01-2025
11-01-2025
13-01-2025
17-01-2025
</t>
  </si>
  <si>
    <t>1
1
1
1
1
1</t>
  </si>
  <si>
    <t>Qk0LVs0 ujsUnz uxj
Qk0LVs0 yDlj
Qk0LVs0 [kVhek
Qk0LVs0 cktiqj
Qk0LVs0 iUruxj
Qk0LVs0 flrkjxat</t>
  </si>
  <si>
    <t>pkyd lqUnj iFkuh</t>
  </si>
  <si>
    <t>yhQkeS- eksgu flag</t>
  </si>
  <si>
    <t>ofj0iq0v/kh0 m/keflaguxj</t>
  </si>
  <si>
    <t>AUSP for 2019-20</t>
  </si>
  <si>
    <t>lsok ds vk/kkjij</t>
  </si>
  <si>
    <t>iqfyl eq[;ky; mŸkjk[k.M] nsgjknwu }kjkAUSP for 2019-20  ls lEcfU/kr</t>
  </si>
  <si>
    <t>nf.Mr vf/k0@deZ0 dk fu;qfDr Qk;j LVs'ku</t>
  </si>
  <si>
    <t>nf.Mr vf/k0@deZ0 dk uke</t>
  </si>
  <si>
    <t>n.M dk izdkj</t>
  </si>
  <si>
    <t>vU; fooj.k ¼fdl dk;Z gsrq nf.Mr fd;k x;k½</t>
  </si>
  <si>
    <t>pkyd enu flag</t>
  </si>
  <si>
    <t>iq0v/kh0 uxj</t>
  </si>
  <si>
    <t>ih0Mh0</t>
  </si>
  <si>
    <t>vuq'kklughurk ds dkj.k</t>
  </si>
  <si>
    <t>vuqpj</t>
  </si>
  <si>
    <t>Jh egs”kkuUn jrwMh</t>
  </si>
  <si>
    <t>Jh ?ku';ke mizsrh</t>
  </si>
  <si>
    <t>Lo0 Jh ds”kouUn jrwMh</t>
  </si>
  <si>
    <t>Lo0 Jh uUnkcYYkHk mizSrh</t>
  </si>
  <si>
    <t>miyC/k gSa</t>
  </si>
  <si>
    <t>Ckktiqj</t>
  </si>
  <si>
    <t>flMdqyiUruxj</t>
  </si>
  <si>
    <t>flMdqy flrkjxat</t>
  </si>
  <si>
    <t>izLrkfor Qk;jLVs'kuxnjiqj</t>
  </si>
  <si>
    <t>izLrkfor Qk;jLVs'kufdPNk</t>
  </si>
  <si>
    <t>ugha</t>
  </si>
  <si>
    <t>gkW</t>
  </si>
  <si>
    <t>vkoklh;@</t>
  </si>
  <si>
    <t>vU; foHkkx ds Hkou esa lapkfyrA</t>
  </si>
  <si>
    <t>xUuk fodkl lferh cktiqj ds Hkou esa lapkfyr gSA</t>
  </si>
  <si>
    <t>deZpkfj;ksa ds fuokl gsrq cSfjd ugh agS 
02 cSfjdks dk fuekZ.k fd;k tkuk vko”;d gSA</t>
  </si>
  <si>
    <t xml:space="preserve"> 'kkWVZ lfdZV] 'kjkjrh rRoksa }kjk</t>
  </si>
  <si>
    <t>?kj] VªkUlQkeZj] &gt;kMh] isVªksy iEi</t>
  </si>
  <si>
    <t xml:space="preserve"> 'kkWVZ lfdZV] tyrs fn;s</t>
  </si>
  <si>
    <t>okgu] &gt;ksisMh&amp;xkS'kkyk] dwMk Mafix tksu</t>
  </si>
  <si>
    <t>xSl yhdst] ykijokgh ls /kweziku vKkr</t>
  </si>
  <si>
    <t>QSSDVªh] ?kj] Vªd]isM] &gt;kfM;ksa</t>
  </si>
  <si>
    <t>fo|qr ehVj] ?kj</t>
  </si>
  <si>
    <t>fjtksVZ] &gt;ksiMh]ydfM;ksa</t>
  </si>
  <si>
    <t>?kj] &lt;kck</t>
  </si>
  <si>
    <t xml:space="preserve"> 'kkWVZ lfdZV]vKkr</t>
  </si>
  <si>
    <t>?kj] &gt;kfM;ksa</t>
  </si>
  <si>
    <t>us”kuy gkbZos fu;j ;wds 18 &lt;kck dk”khiqj ds ikl nks Vªdks ds vkil es Vdjkus dh lwpuk ij Qk;j LVs”ku dk”khiqj ls 01 Qk;j jsLD;w Vhe ?kVukLFky ds fy;s jokuk gqbZ igqWpdj ns[kk dh dh nks Vªd vkil es Vdjkus ds dkj.k gkbZos ds chpks&amp;chp iMs gSaA ftl dkj.k gkbo stke gk sx;k FkkA ts0lh0ch0 dh lgk;rk ls lh/kk djk;k tk jgk Fkk ftl dkj.k mudh jxM ls fpaxkjh fudyus ds dkj.k vkx yxus dh lEHkkouk cuh gqbZ FkhA ftl dkj.k Qk;j ;wfuV }kjk ekSds ij :d dj nksuks Vªdks dks lh/kk djkdj ;krk;kr dks lwpk: :Ik ls pkyw djk;kA</t>
  </si>
  <si>
    <t>1&amp;Qk0 LVs0 ikSMh }kjk ikSMh&amp;nsgypkSjh eksVj ekxZ esa cl [kkbZ esa fxjus ds ls jsLd;w dk;
2&amp; nsoiz;kx jksM  ij fxjs 01 fo'kkydk; isM dks dkVdj gVkrs gq, ;krk;kr fuckZf/kr djuk
3&amp; dksV}kj jksM ij fxjs 01 fo'kkydk; isM dks dkVdj gVkrs gq, ;krk;kr fuckZf/kr djuk
4&amp;Qk0 LVs0 Jhuxj }kjk ikSMh&amp;nsgypkSjh eksVj ekxZ esa cl [kkbZ esa fxjus ds ls jsLd;w dk;</t>
  </si>
  <si>
    <t xml:space="preserve"> Jh lqjs'k pUnz</t>
  </si>
  <si>
    <t>iq:"dkj dk fooj.k vfXu'keu ,oa vkikr lsok ekg tuojh 2025</t>
  </si>
  <si>
    <t>flYoj fMLd
¼lsok ds vk/kkj ij ½</t>
  </si>
  <si>
    <t>n.M dk fooj.k vfXu'keu ,oa vkikr lsok ekg tuojh 2025</t>
  </si>
  <si>
    <t>Hkwfe Hkou ctV dk fooj.k vfXu'keu ,oa vkikr lsok mRrjk[k.M ekg tuojh 2025</t>
  </si>
  <si>
    <t xml:space="preserve">Qk;j LVs'ku yDlj gsrq vkoafVr Hkwfe [kljk ua0&amp; 57 fe0 jdck 0-188 gsDVs;j xzke 'ks[kiqjh rFkk [kljk ua0&amp; 284 fe0 jdck 0-092 gsDVs;j xzke lheyh yDlj esa 'kklu }kjk Qk;j LVs'ku yDlj dks vkoafVr gqbZ FkhA
mDr Hkwfe ij fookn gksus ds dkj.k orZeku le; esa ;FkkfLFkfr ds vkns'k ekuuh; mPp U;k;ky; uSuhrky }kjk fn;s x;s gS] rFkk ek0 U;k;y; flfoy tt ¼,l0Mh0½ yDlj esa ik'oZvafdr okn izpfyrgSA
</t>
  </si>
  <si>
    <t xml:space="preserve">   </t>
  </si>
  <si>
    <t xml:space="preserve">  </t>
  </si>
  <si>
    <t>SI(M)</t>
  </si>
  <si>
    <t>ASI(M)</t>
  </si>
  <si>
    <t>OS IV</t>
  </si>
  <si>
    <t>fVgjh&amp;mRrjdk'kh</t>
  </si>
  <si>
    <t>xaxks=h ;equks=h</t>
  </si>
  <si>
    <t>peksyh&amp; :nziz;kx</t>
  </si>
  <si>
    <t>Jh cnzhukFk eafnj</t>
  </si>
  <si>
    <t>dsnkjukFk eafnj</t>
  </si>
  <si>
    <t>vYeksMk&amp;ckxs'oj</t>
  </si>
  <si>
    <t>fiFkkjkx&lt;&amp;pEikor</t>
  </si>
  <si>
    <t>eq[;ky;</t>
  </si>
  <si>
    <t>DDT</t>
  </si>
  <si>
    <t>izk:i&amp;3 vukifRr izek.k i= ¼,u0vks0lh0½ i=ksa dk fooj.k] ekg Qjojh 2025</t>
  </si>
  <si>
    <t>vfXu'keu ,oa vkikr lsok dkfeZdksa dk Lohd`r fu;ru miyC/krk ekg tuojh 2025</t>
  </si>
  <si>
    <t>vfXu'keu ,oa vkikr lsok dkfeZdksa dk Lohd`r fu;ru miyC/krk ekg Qjojh 2025</t>
  </si>
  <si>
    <t xml:space="preserve">                 vfXudk.M ds vkadM+s tuinokj ekg Qjojh 2025 vfXu'keu ,oa vkikr lsok mŸkjk[k.MA</t>
  </si>
  <si>
    <t>tho j{kk@jkgr ,oa cpko@jsLD;w tuin okj ekg Qjojh 2025 vfXu'keu ,oa vkikr lsok mŸkjk[k.MA</t>
  </si>
  <si>
    <t>lsokfuo`Rr@e`rd vf/kdkjh@deZ0 ekg Qjojh 2025 vfXu'keu ,oa vkikr lsok mŸkjk[k.MA</t>
  </si>
  <si>
    <t>oukfXudk.M vkadM+s tuin okj ekg Qjojh 2025 vfXu'keu ,oa vkikr lsok mŸkjk[k.MA</t>
  </si>
  <si>
    <t>Qk;j fjLd fujh{k.k dk fooj.k  vfXu'keu ,oa vkikr lsok mŸkjk[k.M ekg Qjojh 2025</t>
  </si>
  <si>
    <t>izk:i&amp;  ekWd fMªy@tutkx:drk@izf'k{k.k tuin okj ekg Qjojh 2025 vfXu'keu ,oa vkikr lsok mŸkjk[k.MA</t>
  </si>
  <si>
    <t>Hkou dk fooj.k] vfXu'keu ,oa vkikr lsok mRrjk[k.M ekg tuojh 2025</t>
  </si>
  <si>
    <t>Hkou dk  fooj.k] vfXu'keu ,oa vkikr lsok mRrjk[k.M ekg Qjojh 2025</t>
  </si>
  <si>
    <t>Hkwfe Hkou ctV dk fooj.k vfXu'keu ,oa vkikr lsok mRrjk[k.M ekg Qjojh 2025</t>
  </si>
  <si>
    <t>izk:i&amp;5]  jktif+=r vf/kdkfj;ksa }kjk fujh{k.k dk fooj.kA ekg Qjojh 2025</t>
  </si>
  <si>
    <t>iq:"dkj dk fooj.k vfXu'keu ,oa vkikr lsok ekg Qjojh 2025</t>
  </si>
  <si>
    <t>n.M dk fooj.k vfXu'keu ,oa vkikr lsok ekg Qjojh 2025</t>
  </si>
  <si>
    <t>mRrjk[k.M vfXu'keu ,oa vkikr lsok esa Qk;j gkbZMªsUV dk fooj.k ekg Qjojh  2025</t>
  </si>
  <si>
    <t>vfXu'keu ,oa vkikr lsok okgu@midj.k dk fooj.k ekg Qjojh 2025</t>
  </si>
  <si>
    <t>mRrjk[k.M vfXu'keu ,oa vkikr lsok lapkj midj.kksa dk fooj.k ekg Qjojh  2025</t>
  </si>
  <si>
    <t>16]33]800</t>
  </si>
  <si>
    <t>5]45]13]000</t>
  </si>
  <si>
    <t xml:space="preserve"> 'kkWV lfdZV pwYgs dh fpaxkjh] okgu ds fo|qr iksy ij Vdjkus ls] /kweziku</t>
  </si>
  <si>
    <t>?kj]&gt;ksiMh] nqdku] xUus dh [kksbZ] fo|qr VªkUlQkWeZj</t>
  </si>
  <si>
    <t>27]18]000</t>
  </si>
  <si>
    <t>2]93]02]000</t>
  </si>
  <si>
    <t xml:space="preserve"> 'kkWVZ lfdZV] vKkr]/kweziku] xSl fjlko</t>
  </si>
  <si>
    <t>dkj] Vªd] xUus ds [ksr &gt;kfM;ksa] xSl flys.Mj] &gt;kfM;ksa</t>
  </si>
  <si>
    <t>6]00]000-</t>
  </si>
  <si>
    <t>14]00]000-</t>
  </si>
  <si>
    <t>vkfr'kckth] 'kkWVZ lfdZV] ykijokgh ls /kweziku] ou foHkkx }kjk &gt;kfM;ska dks tykuk</t>
  </si>
  <si>
    <t>2]37]000</t>
  </si>
  <si>
    <t xml:space="preserve">2]48]000 </t>
  </si>
  <si>
    <t>taxyh ljd.Mksa] &gt;ksiMh] &gt;kfM;ksa] miyksa] xUus dh [kksbZ</t>
  </si>
  <si>
    <t>15]000</t>
  </si>
  <si>
    <t>4]85]000</t>
  </si>
  <si>
    <t xml:space="preserve">1-Hkxr flag pkSd ch-,p-bZ-,y- jksM+ gfj}kj esa ,d fo”kky isM+ m[kM+ x;k Fkk ftlls ;krk;kr ckf/kr gks x;k Fkk] ftls Qk;j lfoZl ;wfuV }kjk oqMu dVj fd lgk;rk ls cM+h e”kDdr ds ckn fxjs isM+ dks NksVs&amp;NksVs VqdMksa esa dkVdj lMd ls gVk;k x;k rFkk lM+d dks “kqpkj :i ls pkyw fd;k x;kA 
2&amp; QkmUMªh xsV ch-,p-bZ-,y- jksM+ gfj}kj esa ,d fo”kky isM+ m[kM+ x;k Fkk ftlls ;krk;kr ckf/kr gks x;k Fkk] ftls Qk;j lfoZl ;wfuV }kjk 02 oqMu dVj fd lgk;rk ls cM+h e”kDdr ds ckn fxjs isM+ dks dkVdj lMd ls gVk;k x;k rFkk lM+d dks “kqpk: :i ls pkyw fd;k x;kA </t>
  </si>
  <si>
    <t xml:space="preserve">1- Mh-,-ch- lsUVªujh ifCyd Ldwy] txthiqj] gfj}kj
2- eSllZ Qksjs”k ikWyhelZ izk0fy0] cgknjkckn] gfj}kj 
3&amp;,pihlh,y y.&lt;kSjk
4&amp;uUn iz;kx QwM~l] xqM+e.Mh eaxykSj
5&amp;eSllZ vkj0ch0,u0 “kqxj fey yDlj
6&amp;eSllZ  ,p0vkj0 Ldqy yDlj
7&amp;eS0 uhy esVy izksMDVl fy0] IykWV u0 04&amp;06]11&amp;16] lsDVj 05
8&amp;eS0 vkbZ-ih-,y ck;ksykWftdy fy0] IykWV ua0 42&amp;46] lsDVj 05
9&amp;eS0 lh&amp;lsd VsDuksyksth izk0 fy0] IyWkV ua0 10] lsDVj 11
10&amp;eS0 dkus iSdsftax izk0 fy0 IykWV ua0 01&amp;02] lsDVj 04
11&amp;jkT; Lrjh; HkwdEi ekWd fMªy LVsftax ,fj;k fodkl Hkou jks”kukckn
12&amp;eSllZ xzhu MkWV QwMl izk0fy0 yds”ojh Hkxokuiqj tuin gfj}kjA
13&amp;eSllZ Qykoj oSyh QwMl QkeZl izk0fy0 yds”ojh Hkxokuiqj tuin gfj}kjA
</t>
  </si>
  <si>
    <t xml:space="preserve">1- &gt;XqXkh cLrh uhy/kkjk] gfj}kjA
2- &gt;qXXkh cLrh ykythokyk] gfj}kjA
3&amp;eSllZ ykbZQ ds;j uflZax gkse@gkWfLiVy fldUnjiqj HkSaloky Hkxokuiqj tuin gfj}kjA
</t>
  </si>
  <si>
    <t xml:space="preserve">1- fujek;e ;ksx&amp;uSpqjksiSFkh ,.M iapdeZ VªhVesUV lsUVj] xzke&amp;vkSjaxkckn] gfj}kj 
2&amp; vkjts b.MLVªh;y ,fj;k dkWiksZjs’ku] :M+dh
3&amp; Lokeh n;kuUn ljLorh Ldwy] dksVk eqjknuxj xqEekokyk
4&amp;eSllZ ih0,e0 Jh jktdh; b.Vj dkWyst fldUnjiqj HkSaloky Hkxokuiqj  tuin gfj}kjA
</t>
  </si>
  <si>
    <t xml:space="preserve"> 'kkWVZ lfdZV] vKkr] xSl yhdst</t>
  </si>
  <si>
    <t>5]00]000</t>
  </si>
  <si>
    <t>1]14]27]000</t>
  </si>
  <si>
    <t>dkj] nqdku] &gt;ksiMh] VªkUlQkWeZj] dwMs ds &lt;sj</t>
  </si>
  <si>
    <t>vKkr] 'kkSVZ lfdZV] /kweziku</t>
  </si>
  <si>
    <t>?kj] dwMs ds &lt;sj</t>
  </si>
  <si>
    <t>3]10]000</t>
  </si>
  <si>
    <t>47]90]000</t>
  </si>
  <si>
    <t>ijky] dwMs ds &lt;sj] &gt;kfM;ksa</t>
  </si>
  <si>
    <t>4]00]000</t>
  </si>
  <si>
    <t>7]000</t>
  </si>
  <si>
    <t>35]000</t>
  </si>
  <si>
    <t>90]000</t>
  </si>
  <si>
    <r>
      <rPr>
        <sz val="10"/>
        <color theme="1"/>
        <rFont val="Kruti Dev 010"/>
      </rPr>
      <t xml:space="preserve">1- मिलम बैंकट हॉल के पास बरेली रोड में  वाहन संख्या </t>
    </r>
    <r>
      <rPr>
        <sz val="12"/>
        <color theme="1"/>
        <rFont val="Times New Roman"/>
        <family val="1"/>
      </rPr>
      <t>UK02A9035</t>
    </r>
    <r>
      <rPr>
        <sz val="12"/>
        <color theme="1"/>
        <rFont val="Kruti Dev 010"/>
      </rPr>
      <t xml:space="preserve">  </t>
    </r>
    <r>
      <rPr>
        <sz val="10"/>
        <color theme="1"/>
        <rFont val="Kruti Dev 010"/>
      </rPr>
      <t xml:space="preserve">में एक कार की </t>
    </r>
    <r>
      <rPr>
        <sz val="12"/>
        <color theme="1"/>
        <rFont val="Kruti Dev 010"/>
      </rPr>
      <t xml:space="preserve">vKkr  </t>
    </r>
    <r>
      <rPr>
        <sz val="10"/>
        <color theme="1"/>
        <rFont val="Kruti Dev 010"/>
      </rPr>
      <t xml:space="preserve">वाहन से टक्कराने के कारण 03 आदमी वाहन में फंसें थे जिसे फायर रेस्कयू यूनिट द्वारा तत्काल आईरन कटर से दरवाजा काटकर फंसे लोगो को बाहर निकाला </t>
    </r>
    <r>
      <rPr>
        <sz val="12"/>
        <color theme="1"/>
        <rFont val="Kruti Dev 010"/>
      </rPr>
      <t>rFkk</t>
    </r>
    <r>
      <rPr>
        <sz val="10"/>
        <color theme="1"/>
        <rFont val="Kruti Dev 010"/>
      </rPr>
      <t xml:space="preserve"> घायल व्यक्ति को एंबुलेन्स के द्वारा अस्पताल पहुचाया गया 
2&amp; अबदुल बिल्डिंग के पास एक घर में कुछ लोग लॉक हो गये थे रेस्कयू यूनिट द्वारा सीढी की मद्द से तीसरी मंजिल से परिवार के सदस्यो को निकाला 
3&amp;</t>
    </r>
    <r>
      <rPr>
        <sz val="12"/>
        <color theme="1"/>
        <rFont val="Kruti Dev 010"/>
      </rPr>
      <t>dSyk[kku vkehZ ,fj;k ds ikl ,d xk; iSj fQly dj 5&amp;6 QhV xgjh [kkbZ esa fxj x;h Fkh ekSds ij i”kq ekfyd ,ao Ik”kq fpfdRld Hkh igqWp x;s Fks Ik”kq fpfdRld }kjk xk; dks bUtsD”ku o nokbZ;k nh vkSj crk;k dqN nsj ckn xk; [kMh gksdj vius vki ckgj vk tk;sxh ckn lekIr jsLD; Vhe dk;Z dj okil Qk;j LVs”ku ij mifLFkr gqbZA</t>
    </r>
  </si>
  <si>
    <t xml:space="preserve">1&amp; jktdh; ckfydk b.Vj Dkyst] rYYkhrky
2&amp; lh0vkj0,l0Vh0 jktdh; b.Vj dkyst eYYkhrkyA
</t>
  </si>
  <si>
    <t>,y-,Q-,e</t>
  </si>
  <si>
    <t>izdk'k pUnz ik.Ms;</t>
  </si>
  <si>
    <t>Lo0 Jh iz;kx nRr ik.Ms;</t>
  </si>
  <si>
    <t>22]20]000</t>
  </si>
  <si>
    <t>39]20]000</t>
  </si>
  <si>
    <t xml:space="preserve"> 'kkWVZ lfdZV] ,yihth fjlko] ykijokgh ls /kweziku] eafnj ds fn;s</t>
  </si>
  <si>
    <t xml:space="preserve"> ?kj] gksVy] nokbZ LVksj] cUn iMh QSDVªh] dkj] &gt;ksiMh] tujsVj</t>
  </si>
  <si>
    <t>1]000</t>
  </si>
  <si>
    <t xml:space="preserve"> 'kkWVZ lfdZV] ykijokgh ls /kweziku] vKkr</t>
  </si>
  <si>
    <t>vkbZvkslh,y IykaV ds ikl &gt;kfM;ksa esa] ckWVfyax IykaV ds ikl &gt;kfM;ksa esa] iku ds [kks[ks</t>
  </si>
  <si>
    <t>xkS'kkyk] &gt;kfM;ksa</t>
  </si>
  <si>
    <t>50]000</t>
  </si>
  <si>
    <t>17]00]000</t>
  </si>
  <si>
    <t>xSl fjlko] vKkr] ykijokgh ls /kweziku</t>
  </si>
  <si>
    <t>?kj] ijkyh xSl flys.Mj</t>
  </si>
  <si>
    <t>31]000</t>
  </si>
  <si>
    <t>32]76]000</t>
  </si>
  <si>
    <t>96]000</t>
  </si>
  <si>
    <t>63]16]000</t>
  </si>
  <si>
    <t xml:space="preserve"> 'kkWVZ lfdZV] /kweziku</t>
  </si>
  <si>
    <t xml:space="preserve"> fo|qr rkjksa] &gt;kfM;ksa</t>
  </si>
  <si>
    <t>6]000</t>
  </si>
  <si>
    <t>1]44]000</t>
  </si>
  <si>
    <t xml:space="preserve"> 'kkWVZ lfdZV] vKkr</t>
  </si>
  <si>
    <t>vkWVks da0 ds ,DtkLV Qsu] fctyh?kj ds fo|qr iSuy</t>
  </si>
  <si>
    <t>97]01]00]000</t>
  </si>
  <si>
    <r>
      <rPr>
        <sz val="12"/>
        <color theme="1"/>
        <rFont val="Kruti Dev 010"/>
      </rPr>
      <t xml:space="preserve">cktiqj jksM xksreh gksVy ds ikl jksM ij dSfedy fxj tkus ds dkj.k fQlyu gks jgh FkhA ftlls vkus tkus okys okgu fQlydj fxj jgs FksA Qk;j ;wfuV }kjk ekSds ij igqWpdj eksVj Qk;j batu ls 01 gkst yxkdj </t>
    </r>
    <r>
      <rPr>
        <sz val="11"/>
        <color theme="1"/>
        <rFont val="Kruti Dev 010"/>
      </rPr>
      <t>ifEiax dj dsfedy dks ikuh ds lkFk cgkdj jksM ls lkQ fd;k rFkk ;krk;kr dks lwpk: :Ik ls pkyw djk;kA</t>
    </r>
  </si>
  <si>
    <t xml:space="preserve">1&amp;eS0 ohth,Q jsLVksja.V Hkwriqjh jkt tlijq
2&amp;bZ0,l0vkbZ0lh0 gkWfLiVy :nziqj 
</t>
  </si>
  <si>
    <t xml:space="preserve">1-eSfDlek lksY;w'ku lSDVj vkbZvkbZMhlh flMdqy iUruxj
2-lSV eSjh  Ldwy  fu;j “kwxj fey cktiqj 
3-dSysfj,V vkbZ0th0,y0 cktiqj jksM dk”khiqj 
4-eS0 flokark LiquVSDl izk0fy0 uknsgh jksM tliqj
5-vkfnR; vkVkseksCkkby  çk0fy0 flMdqy
6- f.M;u vk;y dkiksZjs”ku fyfeVsM flMdqy
</t>
  </si>
  <si>
    <t>okbZczsVj jksyj] ?kj] dwMk MfEiax tksu</t>
  </si>
  <si>
    <t>5]40]000</t>
  </si>
  <si>
    <t>81]70]000</t>
  </si>
  <si>
    <t>5]000</t>
  </si>
  <si>
    <t>17]95]000</t>
  </si>
  <si>
    <t xml:space="preserve">1-fn0 27-02-2025 :nziz;kx cktkj guqeku eafnj ds ikl 
2--fn0 27-02-2025 u;w cl vMMk :nziz;kx ,oa ukSykikuh fudV fryokjk
</t>
  </si>
  <si>
    <t xml:space="preserve">1-नवदीप आदर्श चिल्ड्रन अकेडमी गुप्तकाशी
2-लवकुश होटल &amp; रेस्टोरेंट नगरासू
3-होटल सत्यम शिवम चन्द्रपुरी
</t>
  </si>
  <si>
    <t>4]99]500</t>
  </si>
  <si>
    <t>ykijokgh</t>
  </si>
  <si>
    <t>Nr esa j[ks ?kkl o ydfM;ksa</t>
  </si>
  <si>
    <t>isM</t>
  </si>
  <si>
    <t>dwMs ds &lt;sj</t>
  </si>
  <si>
    <t>3]50]000</t>
  </si>
  <si>
    <t>1-HkjkM+h VSDlh LVS.M ds ikl ,d O;fDr lj;w unh ds ikl fxjk gqvk Fkk ftldks Qk;j jsLD;w Vhe }kjk LVsªpj esa j[kdj ftyk vLirky ckxs’oj esa HkrhZ djk;k x;kA</t>
  </si>
  <si>
    <t xml:space="preserve">1-lsaV tkslsQ Ldwy unhxkao
2-n`f”V lsUVj QkWj ,Mokal vkbZ lsUVj ckxs’oj
3-ifjgkj okfuZ’k +m|ksx ijdksV dkaMk da/kkj
4-gksVy fl)kFkZ LVs’ku jksM ckxs’oj
5-fte dkWcsZV baVj us’kuy Ldwy rkdqyk jksM ckxs’oj
6-ds,eoh,u VwfjLV jsLV gkml dkSlkuh
7-fczt ohfMax IokbaV lwjt dq.M dBk;rckM+k
8-‘kqHkkuq vkbZ gkWfLiVy ckxs’oj
9-dkQy jsLVksjsUV Xokyne jksM x:M+ ckxs’oj
10-dR;wj ckj ,.M jsLVksjsUV x:M+ Xokyne jksM ckxs’oj
11-gfj eksgu ckj ,.M jsLVksjsUV didksV
12-Lokxr ckj ,.M jsLVksjsUV dk.Mk jksM ckxs’oj
13-fgUnqLrku isVªksfy;e QYVfu;ka iV~Vh rg0 ckxs’oj
14-f&gt;jksSyh yhlk fMIkks
15-yhlk fMiks |kax.k
16-yhlk fMiks Maxksyh
17-Yhlk fMiks oT;wyk
18-yhlk fMiks gfj}kj Nhuk
19-yhlk fMiks x&lt;+[ksr
</t>
  </si>
  <si>
    <t xml:space="preserve"> 'kkWVZ lfdZV] ykijokgh]vKkr]</t>
  </si>
  <si>
    <t>?kj] okgu]&gt;ksiMh] Lik lsaVj] nwdku] dwMs ds &lt;sj] [kkyh IykWV</t>
  </si>
  <si>
    <t xml:space="preserve"> 'kkWVZ lfdZV] ykijokgh] /kweziku</t>
  </si>
  <si>
    <t xml:space="preserve">fo|qr rkjksa]isM o &gt;kfM;ks] okgu] </t>
  </si>
  <si>
    <t>dEiuh] fctyh?kj ds VªkalQkWeZj]?kj</t>
  </si>
  <si>
    <t>Vªdksa dh vkilh VDdj]vyko] 'kkWVZ lfdZV]ykijokgh ls /kweziku</t>
  </si>
  <si>
    <t>Vªd]xUus ds [ksr]VªkalQkWeZj] ?kj</t>
  </si>
  <si>
    <t>vKkr] vksojghV</t>
  </si>
  <si>
    <t>uxj ikfydk Hkou]cSad dk tujsVj</t>
  </si>
  <si>
    <t xml:space="preserve"> 'kkWVZ lfdZV]</t>
  </si>
  <si>
    <t>xkS'kkyk</t>
  </si>
  <si>
    <t>1- elwjh eas [kkbZ esa fxjh dkj ls ?kk;y O;fDr dk jsLd;w dk;Z
2- ikWyhxkWu dSfedy esa e'khUk esa Qals O;fDr dk jsLd;w dk;Z</t>
  </si>
  <si>
    <t>1- fo/kkulHkk Hkou
2- vks[kyk xkao jk;iqj
3- ;wfuolZy ,dsMeh
4- lhek MsUVy dkWyst@gkfLiVy _f'kds'k
5- fiVdqy ifjpkyu ,o avuqj{k.k dsUnz ohjHknz +_f"kds'k 220@132 ds0oh0
6- fiVdqy ifjpkyu ,o avuqj{k.k dsUnz ohjHknz +_f"kds'k 400 ds0oh0
7- tschvkbZVh dkWyst jkeiqj
8- ckyej yksjh osu yhj [kljk ua0 122 lsykdqbZ
9- vekVks vkWVks izk0fy0 bZ&amp;33 ;wih,lvkbZMhlh lsyksdqbZ
10- dqekj vkWVks izk0fy0 lsykdqbZ
11- HkVVk QkWy jksios elwjh
12- fouj ,Eik;j IykfLVd izk0fy0 fodkluxj
13- xk;=h iSdlZ izk0fy0 fodkluxj
14- fØ'fp;u gkWfLiVy ¼ysgeu½ fodkluxj
15- [kUuk vkFkksZds;j lsUVj] fodkluxj
16- FkkukS jSat MksbZokyk</t>
  </si>
  <si>
    <t xml:space="preserve">1- lhek MsUVy dkWyst gkWfLiVy _f"kds'k
2- fiVdqy ifjpkyu ,o avuqj{k.k dsUnz ohjHknz +_f"kds'k 220@132 ds0oh0
3- fiVdqy ifjpkyu ,o avuqj{k.k dsUnz ohjHknz +_f"kds'k 400 ds0oh0
4- fo/kqr midsUnz 132 dsoh ohjHknz _f"kds'k
5- Hkkjr Hkw"k.k jkoy vkfr'kckth xksnke ?ke.Miqj jkuhiks[kjh
6- flejuthr flag vkfr'kckth xksnke ?ke.Miqj jkuhiks[kjh
7- fojsUnz nRr gfjjke isVªksy iEi uVjkt pkSd _f"kds'k
8- fojsUnz nRr gfjjke isVªksy iEi y{e.k &gt;wyk jksM _f"kds'k
9- lqjsUnz ,.M lUl ¶;wy LVs'ku ,pihlh,y is0i0 _f"kds'k
10- gksVy xaxk O;w gfj}kj jksM _f"kds'k
11- QkWjsLV O;w nsgjknwu jksM _f"kds'k
12- n LdkbZ jsLVksjs.V lsykdqbZ 
13- ts0,e0Mh QqVfo;j [kljk ua0 122 lsykdqbZ
14- flXuspj QkbZFkks dSfedy izk0fy0 lsykdqbZ
15- buVsd dkiksZjs'ku ;wih,lvkbZMhlh lsykdqbZ
16- jktdh; ikWfyVsfDud Dokalh pdjkrk
17- ,u0ds0xqIrk ,.M lUl [k0ua0 420  dkylh nsgjknwu
18- gSYFk ,.M osyusl lsUVj Dokalh
19- ikWyhxkWu dSfedYl izk0fy0  fodkluxj
20- D;w0,p0 Vkyczksl izk0fy0 fodkluxj
21- [kksnjh ikWoj gkml@MSe [kksnjh MkdiRFj
22- Qk;j LVs'ku MksbZokyk
</t>
  </si>
  <si>
    <t>?kj] &gt;ksiMh</t>
  </si>
  <si>
    <t>vksojghV</t>
  </si>
  <si>
    <t>fcVqfeu fMiks</t>
  </si>
  <si>
    <t xml:space="preserve">1- xSjlS.k dqfy;ku cS.M ds ikl cSy dk jsLd;w
2-th,eoh,u xSjlS.k ds ikl cSy dk jsLd;w
3- xSjlS.k fdeksyh fj[kksyh x/ksjs esa iMs 'ko dks fudkyuk
4 tks'kheB esa [kkbZ es fxjs okgu ls grkgrks dk jsLd;w dk;Z
5- cnzhukFk {ks= esa ,oykap dh lwpuk ij izLFkku fd;k ik.Mqds'oj esa Hkkjh cQZokjh ds dkj.k ekxZ vo:) Fkk
</t>
  </si>
  <si>
    <t>1- Vh,pMhlh ihiydksVh
2- ,QlhvkbZ fleyh
3- ,l,lch Xokyne</t>
  </si>
  <si>
    <t xml:space="preserve">21-01-2025
15-01-2025
</t>
  </si>
  <si>
    <t>diMs dh nqdku] dwMk MfEiax tksu</t>
  </si>
  <si>
    <t>ijky]edku</t>
  </si>
  <si>
    <t xml:space="preserve">1- jk0m0ek0fo0 mRrjdk'kh
2- yhlk fMiks dY;k.kh mRrjdk'kh
3- izk0Lok0dsUnz eusjh
</t>
  </si>
  <si>
    <t>1- dksrokyh eusjh mRrjdk'kh
2- lS.V eSjh Ldwy ikWUVh cMdksV
3- Fkkuk eksjh xzke izgjh o LFkkuh; turk
4- Fkkuk cMdksV vf/kdkjh@deZpkjh</t>
  </si>
  <si>
    <t>VªkalQkWeZj</t>
  </si>
  <si>
    <t>vkokl] okgu</t>
  </si>
  <si>
    <t>[ksr</t>
  </si>
  <si>
    <t xml:space="preserve">nsoiz;kx jksM esa lMd ij fxjs isM dks dkVdj gVk;k x;k </t>
  </si>
  <si>
    <t>1- lS.V FkkWel ifCyd Ldwy dksV}kj jksMh
2- Yokyh jksM ikSMh ¼oukfXu½
3- ikckS jksM ikSMh ¼oukfXu½</t>
  </si>
  <si>
    <t>1- gksVy iSflfQd JhdksV
2- gksVy lkSjHk gksVy] flfodk Qjklw fgYl
3- gksVy eksfudk] ,yvkbZlh Jhuxj] xk;=h xYlZ gkWLVy 132 ds0oh lc LVs'ku Jhuxj</t>
  </si>
  <si>
    <t>1-gksVy e;wj ,.M jsLVkSjs.V ySUlMkSu</t>
  </si>
  <si>
    <t>isVªks0 Vsadj dk [kkbZ esa fxjus ls] 'kjkjrh rRoksa }kjk</t>
  </si>
  <si>
    <t>lksyj Iyk¡V] ykijokgh ls /kweziku] 'kkWVZ lfdZV</t>
  </si>
  <si>
    <t>ikrky nsoh jksM ds fudV [kkbZ esa fxjs O;fDr dk jsLd;w
2- iqfyl mik/kh{kd dk;kZy; ds fudV fxjs isM dks dkVdj lMd ekxZ fuckZf/kr djuk</t>
  </si>
  <si>
    <t>1- lksuh yhlk fMiks
2 foeyk okfuZ'k m|ksx
3- dqanu fQfyax LVs'ku fHkfd;klS.k
4- gksVy LVfyZu 
5- fdjkSyk okfuZ'k m|ksx
6- vfEcdk okfuZ'k m|ksx ,.M iS.V
7- 'kkg yhlk m|ksx
8- dS.Mh xSLV gkÅl ,.M jsLVkSjs.V 
9 pkS/kjh fQfyax LVs'ku
10- QkWjsLV oqM gksVy
11- gksVy vYikbZu
12- v'kksdk gkWy xYlZ jsthMsfU'k;y Ldwy 
13- vf/kdkjh y?kq m|ksx
14- thuk lksyj IykaV 
15 lgt gksVY
16- 'kqHke ckj ,.M jsLVksjs.V
17- gksVy ikoZrh bu</t>
  </si>
  <si>
    <t>1 jkT; Lrjh; ekWd fMªy
2- xzhu oqM ifCyd twfu0gkbZLdwy jkuh[ksr</t>
  </si>
  <si>
    <t>&amp;
&amp;
&amp;
&amp;
1
1
1
1
1</t>
  </si>
  <si>
    <t>,Q,e 281 nyohj flag fc"V</t>
  </si>
  <si>
    <t>yxu o esgur ls drZO; ikyu ,oa vfHkys[kksa ds j[k&amp;j[kko gsrq</t>
  </si>
  <si>
    <t>,Q,e 201 nhid jkor</t>
  </si>
  <si>
    <t>03 fnol
 ih-Mh</t>
  </si>
  <si>
    <t>ohvkbZih fM;wVh esa vuq0 jgus ij</t>
  </si>
  <si>
    <t>vkfr'kckth</t>
  </si>
  <si>
    <t>?kkl ds ywVVksa</t>
  </si>
  <si>
    <t>?kj] okgu] dwMs ds &lt;sj</t>
  </si>
  <si>
    <t xml:space="preserve">1- fcYns?kkj iqYyk jksM dksrokyh iaps'oj ds ikl ckjkr dk eSDl okgu [kkbZ esa fxjus ls grkgrksa dk jsLd;w
2- xzke lqbZ esa xgjh [kkbZ esa fxjh xk; dk jsLd;w
3- u0ik0 vEcsMdj ikdZ Vudiqj isM dks gVkrs gq, ekxZ ck/kkjfgr djuk
</t>
  </si>
  <si>
    <t>1- oukfXu laca/kh ekWd fMªy fn0 13-02-2025
2- dsUnzh; fo|ky; pEikor fn0 16-02-2025
3-'kkjnk jSat ou {ks= Vudiqj fn0 14-02-2025
4- oukfXu laca/kh ekWd fMªy pEikor fn0 13-02-2025</t>
  </si>
  <si>
    <t>1- cl LVs'ku yksgk?kkV
2- u'kk eqfDr dsUnz cuclk
3- gksyh fVªfuVh ifCyd Ldwy Vudiqj</t>
  </si>
  <si>
    <t>1- CykWd lHkkxkj ikVh fn0 14-02-2025
2- Cykd lHkkxkj yksgk?kkV 
3- Cykd lHkkxkj ckjkdksV
4- Cykd lHkkxkj ikVh fn0 12-02-2025</t>
  </si>
  <si>
    <t>1
1
1
1
1
1
1</t>
  </si>
  <si>
    <t>Qk0LVs0 [kVhek
Qk0LVs0 dk'khiqj
Qk0LVs0 xksis'oj
Qk0LVs0 tks'kheB
Qk0LVs0 cMdksV
Qk0LVs0 cMdksV
Qk0LVs0 ubZ fVgjh</t>
  </si>
  <si>
    <t xml:space="preserve">11-02-2025
13-02-2025
15-02-2025
15-02-2025
17-02-2025
17-02-2025
10-02-2025
</t>
  </si>
  <si>
    <t>Qk0LVs0 ubZ fVgjh</t>
  </si>
  <si>
    <t>VªkalQkeZj</t>
  </si>
  <si>
    <t>tkap izpfyr</t>
  </si>
  <si>
    <t>1- dksfV dkWyksuh fVgjh x&lt;+oky esa 38osa jk”Vªh; [ksyksa esa O;oLFkkiu gsrq dk;Zjr deZpkjhA</t>
  </si>
  <si>
    <t xml:space="preserve">1- Fkkuk FkR;wM+ tuin fVgjh x&lt;+oky A
2-38osa jk”Vªh; [ksyksa gsrq lapkfyr dhpu ¼teZu gSaxj½ dksfV dkWyksuh fVgjh x&lt;+okyA
</t>
  </si>
  <si>
    <t xml:space="preserve">18-02-2025
01-02-2025
12-02-2025
20-02-2025
06-02-2025
10-02-2025
06-02-2025
10-02-2025
15-02-2025
15-02-2025
</t>
  </si>
  <si>
    <t xml:space="preserve">1 f=0
1 f=0
1 f=0
1 f=0
&amp;
&amp;
&amp;
&amp;
&amp;
1
</t>
  </si>
  <si>
    <t>Qk0 LVs0 ckxs'oj
Qk0 LVs0 x:M
Qk0 LVs0 x:M
Qk0 LVs0 didksV
Qk0LVs0 mRrjdk'kh
Qk0LVs0 cMdksV
Qk0LVs0 mRrjdk'kh
Qk0LVs0 cMdksV
Qk0LVs0 Vudiqj
Qk0LVs0 fiFkkSjkx&lt;</t>
  </si>
  <si>
    <t xml:space="preserve">xSl fjlko] </t>
  </si>
  <si>
    <t>xSl flys.Mj</t>
  </si>
  <si>
    <t>fnukad 27-02-2025  dks xzke cLrs esa ekxZ esa fQlyu gksus ds dkj.k ,d xk; fxjdj ladjh xyh esa Q¡l x;h Fkh A ftls Qk;j lfoZl ;fuV ,oa LFkkuh; turk }kjk ekxZ dks rksMdj xk; dks lqjf{kr fudkydj mlds Lokeh ds lqiqnZ fd;k x;k  A</t>
  </si>
  <si>
    <t>1 efYydktqZu Ldwy fudV ,sapksyh fiFkkSjkx&lt;</t>
  </si>
  <si>
    <t>1- jkW;y flusxk ,y,yih LVsV E;qft;e ,.M vkWfMVksfj;e fiFkkSjkx&lt;</t>
  </si>
  <si>
    <t>vfXu'keu ,oa vkikr lsok dkfeZdksa dk Lohd`r fu;ru miyC/krk ekg ekpZ 2025</t>
  </si>
  <si>
    <t xml:space="preserve">                 vfXudk.M ds vkadM+s tuinokj ekg ekpZ 2025 vfXu'keu ,oa vkikr lsok mŸkjk[k.MA</t>
  </si>
  <si>
    <t>tho j{kk@jkgr ,oa cpko@jsLD;w tuin okj ekg ekpZ 2025 vfXu'keu ,oa vkikr lsok mŸkjk[k.MA</t>
  </si>
  <si>
    <t>lsokfuo`Rr@e`rd vf/kdkjh@deZ0 ekg ekpZ 2025 vfXu'keu ,oa vkikr lsok mŸkjk[k.MA</t>
  </si>
  <si>
    <t>oukfXudk.M vkadM+s tuin okj ekg ekpZ 2025 vfXu'keu ,oa vkikr lsok mŸkjk[k.MA</t>
  </si>
  <si>
    <t>Qk;j fjLd fujh{k.k dk fooj.k  vfXu'keu ,oa vkikr lsok mŸkjk[k.M ekg ekpZ 2025</t>
  </si>
  <si>
    <t>izk:i&amp;3 vukifRr izek.k i= ¼,u0vks0lh0½ i=ksa dk fooj.k] ekg ekpZ 2025</t>
  </si>
  <si>
    <t>izk:i&amp;  ekWd fMªy@tutkx:drk@izf'k{k.k tuin okj ekg ekpZ 2025 vfXu'keu ,oa vkikr lsok mŸkjk[k.MA</t>
  </si>
  <si>
    <t>Hkou dk  fooj.k] vfXu'keu ,oa vkikr lsok mRrjk[k.M ekg ekpZ 2025</t>
  </si>
  <si>
    <t>Hkwfe Hkou ctV dk fooj.k vfXu'keu ,oa vkikr lsok mRrjk[k.M ekg ekpZ 2025</t>
  </si>
  <si>
    <t>izk:i&amp;5]  jktif+=r vf/kdkfj;ksa }kjk fujh{k.k dk fooj.kA ekg ekpZ 2025</t>
  </si>
  <si>
    <t>iq:"dkj dk fooj.k vfXu'keu ,oa vkikr lsok ekg ekpZ 2025</t>
  </si>
  <si>
    <t>n.M dk fooj.k vfXu'keu ,oa vkikr lsok ekg ekpZ 2025</t>
  </si>
  <si>
    <t>mRrjk[k.M vfXu'keu ,oa vkikr lsok esa Qk;j gkbZMªsUV dk fooj.k ekg ekpZ  2025</t>
  </si>
  <si>
    <t>vfXu'keu ,oa vkikr lsok okgu@midj.k dk fooj.k ekg ekpZ 2025</t>
  </si>
  <si>
    <t>mRrjk[k.M vfXu'keu ,oa vkikr lsok lapkj midj.kksa dk fooj.k ekg ekpZ  2025</t>
  </si>
  <si>
    <t>lUrks"kh xqlkabZ</t>
  </si>
  <si>
    <t>,l,lih nsgjknwu</t>
  </si>
  <si>
    <t xml:space="preserve">lokZf/kr vfXudk.M dh ?kVukvksa ij dk;Z fd;k x;k </t>
  </si>
  <si>
    <t>,y,Q,e</t>
  </si>
  <si>
    <t>izFkkscu flag usxh</t>
  </si>
  <si>
    <t xml:space="preserve">Lo0 iape flag </t>
  </si>
  <si>
    <t>vkoklh; Hkou fuekZ.k dk;Z izxfr ij gSA</t>
  </si>
  <si>
    <t xml:space="preserve"> 'kkWVZ lfdZV] vKkr]rkjdksy xeZ djrs le; cuZj }kjk]ykijokgh]xSl fjlko]</t>
  </si>
  <si>
    <t xml:space="preserve">ckbZd] VªsDVj VªkWyh] [kkyh IykWV] dwMs ds &lt;sj]LVksj] csdjh] xSl flys.Mj]QuhZpj dh nqdku]dkWy lsUVj]?kj] nqdku]cSad ds vUnj dwMs esa] </t>
  </si>
  <si>
    <t xml:space="preserve"> _f"kds'k</t>
  </si>
  <si>
    <t xml:space="preserve"> 'kkWVZ lfdZV] ykijokgh ls /kweziku</t>
  </si>
  <si>
    <t>[kkyh IykWV] dwMs ds &lt;sj] [kks[ksuqek nqdku] Qyks dh jsgMh] ikdZ esa fxjs iRrks Vgfu;ksa] VSDlh]dwMs ds &lt;sj</t>
  </si>
  <si>
    <t xml:space="preserve">&gt;xMs ds dkj.k Lo;a ekfyd }kjk] </t>
  </si>
  <si>
    <t>?kj] xUus ds [ksr]dEiuh</t>
  </si>
  <si>
    <t>jsLVkSjs.V]eksVjlkbZfdy</t>
  </si>
  <si>
    <t>tkap izpfyr] 'kkWVZ lfdZV</t>
  </si>
  <si>
    <t>&gt;ksiMh] jsLVkSjs.V fdpu esa]</t>
  </si>
  <si>
    <t xml:space="preserve">gkbZVsa'ku rkjksals] 'kkVZ lfdZV]xSl fjlko] </t>
  </si>
  <si>
    <t>1- vk'kkjksMh ds ikl Vªd ds vUnj Qals O;fDr dks lqjf{kr fudkyuk
2- elwjh jksM f'ko eafnj ds ikl [kkbZ esa eksVjlkbZfdy lfgr fxjs 02 O;fDr;ksa dk jsLd;w
3- jktho xka/kh cSfjdsfVax ds vUnj Qalh HkSlksa dk jsLd;w
4- Vksy Iyktk MksbZokyk esa Meij }kjk dkj dks VDdj ekjdj cqjh rjg ls dqpy fn;k Fkk ftlesa lokj 02 O;fDr;ksa ds {kr&amp;fo{kr 'koksa dks dkj dks midj.kksa dh lgk;rk ls [kksydj fudkyuk</t>
  </si>
  <si>
    <t>uksfVl fuxZr fd;k x;k</t>
  </si>
  <si>
    <t>lq&gt;ko i= izsf"kr fd;k x;k</t>
  </si>
  <si>
    <t xml:space="preserve">                 vfXudk.M ds vkadM+s tuinokj ekg tuojh ls fnlEcj 2024 rd vfXu'keu ,oa vkikr lsok mŸkjk[k.MA</t>
  </si>
  <si>
    <t>tuojh 25</t>
  </si>
  <si>
    <t>Qjojh 25</t>
  </si>
  <si>
    <t xml:space="preserve">1 fdekMh ou foHkkx
2 dksYkkx&lt; jksM vks,uthlh
3 iqfyl ykbZu nsgjknwu
4 vkbZvkj,l dkyhnkl jksM nsgjknwu
5 lfpoky; nsgjknwu
6 dkSykx&lt; jksM nsgjknwu
7 xsy izseuxj nsgjknwu
8 dSyk'korh oekZ ifCyd Ldwy usikyh QkeZ ';keiqj
9 iqjkuk jsyos LVs'ku _f"kds'k
10 bZLV vQzhdu vksojlht bf.M;k fy0] QkekZflfV lsykdqbZ
11 vkbZth,y da0 lsykdqbZ
12 Mhch,l ;wfuoflZVh lsykdqbZ
13 iksyk xzkm.M ,ych,l,u,,
14 lEHkksVk frCcru Ldwy
15 xq: ukud fe'ku ifCyd Ldwy dSuky jksM fodkluxj
16 egf"kZ vjfoUn ?kks"k b.Vj dkWyst MkdiRFkj nsgjknwuA
</t>
  </si>
  <si>
    <t xml:space="preserve">1 vfHku; ¶;wy isVªksy iEi _f"kds'k
2 jktdqekj 'kjn dqekj is0i0 _f"kds'k
3 gksVy xkWMfou gfjiqjdyk _f"kds'k
4 dsUnzh; fo|ky; jk;okyk
5 eka vkuUne;h Ldwy jk;okyk
6 fczt lsyhczs'ku oSDosV ,oa jsLVkSjs.V xqekuhokyk _f"kds'k
7 jktk VªkaliksVZ izk0fy0  _f"kds'k
8 vk'kqrks"k xSl lfoZl [knjh _f"kds'k
9 fQMkVks dUlyVsUV izk-fy-+_f"kds'k
10 egknso dkWEiySDl _f"kds'k
11 gksVy xaxk fdukjs _f"kds'k
12 vkse VkWolZ _f"kds'k
13 x&lt;oky xSlksyhu LVs'ku _f"kds'k
14 Hkkxor izlkn vkRe izdk'k is0iEi _f"kds'k
15 buØk¶V dEiuh teuiqj lsykdqbZ
16 f'k[kj gksVy jlwyiqj fodkluxj
17 gksVy f=os.kh fodkluxj
18 fo'k xSLV gkml gjcVZiqj fodkluxj
19 VkbZe oYMZ Ldwy fodkluxj
20 tSu uflZax gkse gjcVZiqj fodkluxj
21 vkuUne gkbZV fjlksVZ eVksxh enzklw fodkluxj
22 fouj ,Eik;j IykfLVd izk0fy0 yka?kk jksM fodkluxj
23 n dEckbZUM ifCyd Ldwy eywdokyk fodkluxj
24 gksyhQSFk nwu ,dsMeh gjcVZiqj fodkluxj
25 lck vksojlht ,Dliks bf.M;k ,Vuckx fodkluxj
26 xk;=h iSdlZ yka?kk jksM fodkluxj
27 lulkbZu ,dsMeh gjcVZiqj fodkluxj
28 [kUuk vkFkksZds;j lsUVj ckcwx&lt; fodkluxj
29 Qk;j LVs'ku MksbZokykA 
</t>
  </si>
  <si>
    <t>1 vfuy xSl lfoZl u;kaxkao isfy;k nsgjknwu
2 fMD'ku VSDuksykWth izk0fy0 lsykdqbZ
3 lsUVj QkWj ,xzhdYpj ,.M QkekZ MsoyiesUV lgliqj
4 ioZrh; fQfyax LVs'ku eq[; cktkj fodkluxj
5 ,l,Q,Q fjgsfcfyVs'ku gjcVZiqj fodkluxj</t>
  </si>
  <si>
    <t>vKkr] 'kkWVZ lfdZV</t>
  </si>
  <si>
    <t>?kj] Vªd dh cSVjh</t>
  </si>
  <si>
    <t xml:space="preserve">1 jsLD;w dh lwpuk izkIr gksrs gh ,Q0,l0;wfuV ?kVukLFky isV’kky igqdj ns[kk fsd ,d vksVks dkj u0 ;w0ds001Vh, 4520 tks fd lM+d ls 20 eh0 uhps fxjh gqbZ Fkh ftlesa Qls yksxksa dks ,Q0,l0;wfuV ds igqpus ls iwoZ jsLD;w dj csl vLirky ds fy, jokuk fd;kA 
2 jkgr dk;Z dh lwpuk izkIr gksus ij ,Q0,l0;wfuV ?kVukLFky isV”kky igqph ,d fo”kkydk; isM+ fxjk FkkA ftls ,Q0,l0;wfuV us oqMu dVj dh lgk;rk ls dkVdj ekXkZ ls gVk;k A
3 jkgr dk;Z dh lwpuk izkIr gksrs gh ,Q0,l0;wfuV ?kVukLFky ik.Ms[kksyk igqph ns[kk fd ,d fo”kkydk; isM+ VwVdj fctyh ds rkjksa ds mij fxjk FkkA ;wfuV us oqMu dVj dh lgk;rk ls dkVdj gVk;k x;kA
4 jkgr dk;Z dh lwpuk izkIr gksrs gh ,Q0,l0;wfuV ?kVukLFky L;kyh/kkj igqphA ,d fo”kkydk; isM+ VwVdj ekxZ esa fxjk FkkA ftls ,Q0,l0;wfuV oqMu dVj dh lgk;rk ls dkVdj gVk;k x;kA
5 izzkIr lwpuk ds vk/kkj ij Qk;j ;wfuV e; okgu ?kVukLFky }kjlksa igqph fo”kkydk; isM+ tks fd lM+d ij fxjk FkkA oqMu dVj ls dkVdj gVk;k rFkk ;krk;kr lqpk: fd;k A
</t>
  </si>
  <si>
    <t>gksVy</t>
  </si>
  <si>
    <t>?ksa?kM[kky eksVj ekxZ ij dkj ds xgjh [kkbZ esa fxjus ds dkj.k nq?kZVukxzLr yksxks dk jsLd;w dk;Z</t>
  </si>
  <si>
    <t xml:space="preserve">1 th0,e0vks00;w0 isVªksy iia jkeiqj¼fryokM+k
2 gksVy bæyksd A
3 gksVy fo".kq iSysl [kesjk ¼xqIrdk'kh
4 dksVs'oj fdlku lsok dsUæ ¼isVªksy iEi½ e;kyh
5 Jh ukxjktk xSl ,tsUlh e;kyh
6 Jh Hkxoku flag lfoZl LVs'ku fryokM+k
7 gksVy vkjk/kuk lqesjiqj 
</t>
  </si>
  <si>
    <t>eafnj ds tyrs fn;s ls] pwYgs ls mMh fpaxkjh ls] vKkr</t>
  </si>
  <si>
    <t>?kj] &gt;ksiMh] dwMs ds &lt;sj] lkxkSu ds 2 isM</t>
  </si>
  <si>
    <t>kkWVZ lfdZV] fo|qr ykbZu ls fpaxkjh fxjuk] ykijokgh ls /kweziku</t>
  </si>
  <si>
    <t>QSDVªh] nqdku] dk;kZy;] xkS'kkyk] xasgw ds [ksr] &gt;kfM;ksa] [kaMgj esa</t>
  </si>
  <si>
    <t>&gt;ksiMh] dwMs ds &lt;sj] ydMh ds &lt;sj</t>
  </si>
  <si>
    <t xml:space="preserve"> 'kkWVZ lfdZV] ykijokgh ls /kweziku] fctyh dk rkj VwVuk] vKkr</t>
  </si>
  <si>
    <t>dkj] &gt;kfM;ks]dwMs ds &lt;sj] lw[ks isM esa</t>
  </si>
  <si>
    <t>ykijokgh ls /kweziku] vKkr</t>
  </si>
  <si>
    <t>&gt;kfM;ksa] xsgw ds [ksr</t>
  </si>
  <si>
    <t xml:space="preserve"> 'kkWVZ lfdZV] xSl fjlko] pwYgs ls mBh fpaxkjh ls] ykijokgh ls /kweziku] vKkr</t>
  </si>
  <si>
    <t>xq:}kjk]VªkalQkeZj]esfMdy LVksj]pk; dk &lt;kck]vkj-vkj DokVlZ]fdpu] dckM ds xksnke]ckbZd ds ihNs cuh Vªkyh esa] &gt;kfM;ksa</t>
  </si>
  <si>
    <t xml:space="preserve"> 'kkWVZ lfdZV] ekuoh; ykijokgh</t>
  </si>
  <si>
    <t>&gt;kfM;ksa] xsV ds NTTs</t>
  </si>
  <si>
    <t xml:space="preserve">1 xzke vthriqj iV~vh dyk lqij bf.M;k LVksu dzs”kj dk”khiqj es .d O;fDr jktsUnz iq= Jh txnh”k flg xkWo ihiyh jkeiqj mRrj izns”k mez 46 o’kZ Mwc x;k FkkA ftlds fy;s Qk;j jsLD;w vhe o ,l0Mh0vkj0,Q0 }kjk l;qDr jsLD;w vfHk;ku pkykdj mDr O;fDr dks rkykc ls ckgkj fudkykAtks fd e`r gks pwdk FkkA 
2 xzke izrkiiqj jkeuxj jksM dk”khiqj esa ,d O;fDr ds eksckbZy Vkoj ij pMs gksus dh lwpuk ij Qk;j jsLD;w Vhe ?kVukLFky igqWph rFkk ekSds ij igqWpdj Qk;j jsLD;w Vhe }kjk mDr O;fDr dks le&gt;k cq&gt;kdj Vkoj ls ldq”ky uhps mRrkk x;kA 
</t>
  </si>
  <si>
    <t xml:space="preserve">1 xsy bf.M;k da0 esVªksiksfyl lkslkbVh :nziqj
2 ikWfyIySDl izk0 fy0 yksfg;kgSM jksM [kVhek
3&amp;lgksrk gkWfLiVy eqjknckn jksM dk”khiqj 
4&amp;iYl 24 Mk;XuksfLVd lsUVj eqjknkckn  jksM dk”khiqj 
5&amp;ikWyhIySDl dkWiksZjs”ku fy0 fodzeiqj cktiqj 
6&amp; eS0 o¶V ,xzks b.MLVªht uknsgh tliqj
7&amp; ,pihlh,y flrkjxat fMiks fn0 19-03-2025
8&amp;bf.M;u vk;y dkiksZjs”ku fyfeVsM flMdqy
9&amp; ,pihlh,y flrkjxat fMiks fn0 26-03-2025
</t>
  </si>
  <si>
    <t>1 eS0 lathouh uflZax gksx tliqj</t>
  </si>
  <si>
    <t xml:space="preserve">1 ,jksu gsyesV çk0fy0 flrkjxat
2 ch0,p0bZ0,y0 fdPNk ckbZikl jksM :nziqj
3 ,El _f"kds'k lsVsykbV fdPNk
4 ljnkj Hkxr flag LukrdksRrj egkfo|ky; :nziqj
5 d`".k gkWfLiVy :nziqj 
</t>
  </si>
  <si>
    <t>Vudiqj pEikor</t>
  </si>
  <si>
    <t>,Q,e lUrks"k tks'kh</t>
  </si>
  <si>
    <t>iq0v0 pEikor</t>
  </si>
  <si>
    <t>yxu o esgur ls dk;Z djus ij iz'kfLr i= iznku fd;k x;k</t>
  </si>
  <si>
    <t>VªkalQkWeZj] dwMs ds &lt;sj</t>
  </si>
  <si>
    <r>
      <t xml:space="preserve">1ddjkyh xsV Vudiqj] ls vkxs esu ekxZ esa ,d jsr ls Hkjk gqvk MEij okgu iyV x;k Fkk lwpuk ds vk/kkj ij ?kVukLFky ij igqWpus ls iwoZ gh MEij okgu pkyd dks </t>
    </r>
    <r>
      <rPr>
        <sz val="12"/>
        <color theme="1"/>
        <rFont val="Times New Roman"/>
        <family val="1"/>
      </rPr>
      <t xml:space="preserve">TSI </t>
    </r>
    <r>
      <rPr>
        <sz val="16"/>
        <color theme="1"/>
        <rFont val="Kruti Dev 010"/>
      </rPr>
      <t xml:space="preserve">egks0 }kjk miftykfpfdRlky; Vudiqj igqWpk fn;k x;k FkkA 
2 Jheku iqfyl mik/kh{kd egksn;] Vudiqj }kjk </t>
    </r>
    <r>
      <rPr>
        <sz val="12"/>
        <color theme="1"/>
        <rFont val="Times New Roman"/>
        <family val="1"/>
      </rPr>
      <t xml:space="preserve">FSSO </t>
    </r>
    <r>
      <rPr>
        <sz val="16"/>
        <color theme="1"/>
        <rFont val="Kruti Dev 010"/>
      </rPr>
      <t xml:space="preserve">egks0 Vudiqj ds eks0 ua0 ij “kkjnk cSjkt esa fdlh O;fDr }kjk Nykax yxk;s tkus dh lwpuk nh rFkk Qk;j ;wfuV o ,lMhvkj,Q ;wfuV dks rRdky ?kVukLFky izLFkku djk;s tkus gsrq crk;k x;k lwpuk ij rqjUr Qk;j ;wfuV o ,lMhvkj,Q ;wfuV ?kVukLFky igqWph dkQh [kkstchu ds ckn Hkh O;fDr;ksa dk dksbZ irk ugha yxk  ckn [kkstchu ds Jheku </t>
    </r>
    <r>
      <rPr>
        <sz val="12"/>
        <color theme="1"/>
        <rFont val="Times New Roman"/>
        <family val="1"/>
      </rPr>
      <t xml:space="preserve"> SO </t>
    </r>
    <r>
      <rPr>
        <sz val="16"/>
        <color theme="1"/>
        <rFont val="Kruti Dev 010"/>
      </rPr>
      <t xml:space="preserve">egks0 cuclk ds vkns”kkuqlkj Qk;j ;wfuV okil Qk;j LVs”ku Vudiqj mifLFkr gqbZA       
3 jk’Vªh; jktekxZ Vudiqj&amp;pEikor esa Lokyk ds ikl ,d isM+ jksM esa fxj x;k Fkk ftlls ;krk;kr ckf/kr gks x;k Fkk Qk;j Vhe us oqMu dVj dh lgk;rk ls mDr isM+ dks dkVdj gVk;k x;kA
</t>
    </r>
  </si>
  <si>
    <t>1&amp;gksyh fotMe Ldwy yksgk?kkV
2&amp;vksdyS.M ifCyd Ldwy yksgk?kkV
3&amp;vYikbZu Ldwy yksgk?kkV
4&amp;efYydktZqu Ldwy yksgk?kkV Xyksfj;l ifCyd LDwy Vudiqj] pEikor 
5 Xyksfj;l ifCyd LDwy Vudiqj] pEikor</t>
  </si>
  <si>
    <t xml:space="preserve">1&amp;xksjy pkSM+ eSnku pEIkkor
2&amp;jkeyhyk eSnku yksgk?kkV
3&amp;Cykd ifjlj ckjkdksV
4&amp;Cykd ifjlj ikVhmRrjk[k.M ifjogu fuxe] Vudiqj Lka;qDr fpfdRlky; Vudiqj
5 ekW iw.kkZfxjh esyk {ks=&amp;HkSjo efUnj
6 ekW iw.kkZfxjh esyk {ks=&amp; VqU;kl 
7 ekW iw.kkZfxjh esyk {ks=&amp;dkyh efUnj 
8 ekW iw.kkZfxjh esyk {ks=&amp;HkSjo efUnj 
9 ekW iw.kkZfxjh esyk {ks=&amp;BqyhxkM+ 
10 ekW iw.kkZfxjh esyk {ks=&amp;cuclk 
11 ekW iw.kkZfxjh esyk {ks=&amp;Vudiqj
12mRrjk[k.M ifjogu fuxe] Vudiqj
13 Lka;qDr fpfdRlky; Vudiqj
</t>
  </si>
  <si>
    <t xml:space="preserve">1&amp;ek0 ftyk l= U;k;ky; pEikor
2&amp;uflaZx dkWyst pEikor
3&amp;ohohiSV lqj{kk Hkou pEIkkor
</t>
  </si>
  <si>
    <t>[kkyh IykWV esa</t>
  </si>
  <si>
    <t>1 tksf'k;kMk eksVj iqy ds uhps &gt;hy esa Qals e`r cSy dks fudkydj uxj ikfydk deZ ds lqiqnZ fd;k
2 xzke dqejsMk e.Mlsjk esa unh fdukjs Qals eos'kh dks fudkydj i'kq Lokeh ds lqiqnZ fd;k 
3 xzke eYyk lMd ls uhps [kkbZ esa fxjs i'kq dk jsLd;w</t>
  </si>
  <si>
    <t>1&amp; izk0Lok0 dsUnz Mq.Mk
2&amp;yhlk fMiks dY;k.kh mRrjdk'kh
3&amp; ,eMh,l Ldwy mRrjdk'kh
4&amp; uo;qxk bathfu;fjad da0 izk0fy0 ikyxkao cMdksV</t>
  </si>
  <si>
    <t>1 ou jsat Mw.Mk
2 ou jsat ckMkgkV
3  ou jsat eq[kse
4 vkbZVhvkbZ cMdksV
5 rglhy iqjksyk</t>
  </si>
  <si>
    <t xml:space="preserve">1 Jh ;equks=h eafnj ifjlj
2 gksVy ekm.Vsu iSjkMkbZt ukSxkao
3 gksVy ikWy LVkj bu xzke rqukYdk
4 jks'kuh b.Msu xSl lfoZl rqukYdk
</t>
  </si>
  <si>
    <t>nqdku] ijky] ckal ds &gt;qjeqV</t>
  </si>
  <si>
    <t>:bZ /kquus dh e'khu</t>
  </si>
  <si>
    <t>iksMh dksV}kj ,u,p ij okgu ds lMd ls uhps [kkbz esa fxjus ls ?kk;y gq, okgu lokj dk jsLd;w dk;Z</t>
  </si>
  <si>
    <t>S.N</t>
  </si>
  <si>
    <t>22]45]89]545</t>
  </si>
  <si>
    <t>1]07]36]12]627</t>
  </si>
  <si>
    <t>1]36]95]04]762</t>
  </si>
  <si>
    <t>55]03]60]842</t>
  </si>
  <si>
    <t>25]42]70]273</t>
  </si>
  <si>
    <t xml:space="preserve">1- dYth[kky CykWd esa rFkk ,u,l,lo ds Nk= Nk+kvksa ,oa v/;kidksa ds lkFk
2- ou foHkkx ,oa xzkeh.kksa ds lkFk
3- vEcs QkbVks ,DVªsDV izk0fy0 chjkSa[kky
4- jktdh; csl fpfdRlky; dksV}kj
</t>
  </si>
  <si>
    <t>1- dYth[kky CykWd esa rFkk ,u,l,lo ds Nk= Nk+kvksa ,oa v/;kidksa ds lkFk
2- ou foHkkx ,oa xzkeh.kksa ds lkFk
3 jktdh; iksyhVsfDud Jhuxj
4 ou foHkkx dk;kZy; FkyhlS.k
5 eS- lUtks fizfVax ,.M oksds'kuy Vªsfuax lkslkbVh dksV}kj
6- eS- jkW dksfpax lsUVj f'koiqj dksV}kjA</t>
  </si>
  <si>
    <t xml:space="preserve">1 vEcs QkbVks ,DVªsDV izk0fy0 chjkSa[kky
2 -vkdstu ih0th0 gkLVy o vyduank gksVy] JhuxjA
3 gksVy nhi iSySl] 'kkafr dqat fjtkVZ]&lt;kaM+h dkaBh gksVy] tsihih gksVy /kkjh nsoh] JhuxjA
4 -xq#dqy Ldwy Hkfä;k.kk] JhuxjA
5 -LdkbZusV ifCyd Ldwy] 
6 fugkfjdk v‚VkseksckbZy odZ'k‚i] 
7 tkuoh v‚Vks eksckbZy] 
8 e‚MuZ twfu;j gkbZ Ldwy] 6 fot; ykMZ Iyktk JhuxjA
9 laxe  gksVy] 
10 vIiw y‚t] 
11 cæh dsnkj efUnj lfefr JhuxjA
12 xzhu cSyh Jhuxj] 
13 dksth gksVy] 
14 fnO;ka'k gksVy]
15 gksVy n vueksy JhuxjA-gSIih gksVy]
16 lezkV oSfMax IokabV JhuxjA
17 twfu;j fnYyh Ldwy vyduank fogkj] JhuxjA
18 ih0,e0 Jhuxj jktdh; b.Vj dkWyst cxokMhe FkyhlS.kA
19 fleisDl QkekZ izk0fy0] xzksFk lsUVj flxM+Mh dksV}kj
20 flrkiqj us= fpfdRlky; dksV}kj
21 eSllZ VwfjLV jsLV gkml] fViu VkWi iksbZUV ySUlMksu
</t>
  </si>
  <si>
    <t>Hkwfe] Hkou ds izLrko o Mhihvkj rS;kj djkus gsrq
38 os jk"Vªh; [ksyksa ,oa jsLd;w dk;kZs gsrq</t>
  </si>
  <si>
    <t xml:space="preserve">01&amp;yhfMx Qk;j eSu ujsUæ çlkn
02&amp;pkyd NÙkj flag
03&amp;Qk;j eSu 212 çohu flag
</t>
  </si>
  <si>
    <t xml:space="preserve"> 'kkVZ lfdZV</t>
  </si>
  <si>
    <t>taxy esa yxh vkx Qsyus ls</t>
  </si>
  <si>
    <t>?kkl ds ywVVks</t>
  </si>
  <si>
    <t xml:space="preserve">1 ikoj fxzM dkiksZjs'ku v‚Q bf.M;k  fyfeVsM 220@130 ds0oh0 midsUæ p.Mkd
2 fiFkkSjkx&lt;+ p.Mkd {ks=
3 ts0 ch0 eseksfj;y ekul ,dsMeh fiFkkSjkx&lt;+ 
4 55oh okfguh ,l0,l0ch0 ,spksyh fiFkkSjkx&lt;+
</t>
  </si>
  <si>
    <t>1 fodkl [k.M lHkkxkj
2 ftyk l= U;k;ky; fiFkkSjkx&lt;</t>
  </si>
  <si>
    <t>1 gksVy ck[kyh] fry&lt;qdjh fiFkkSjkx&lt;</t>
  </si>
  <si>
    <t>1
1
&amp;
1</t>
  </si>
  <si>
    <t>xSl fjlko] ykijokgh ls /kweziku</t>
  </si>
  <si>
    <t>xSl flys.Mj] &gt;kfM;ks</t>
  </si>
  <si>
    <t xml:space="preserve">1 xzke xksxuk ckxs’oj ikuh HkSal dk vkaxu ls 40 ehVj uhps fxj tkukA
2 ,pMh,Qlh cSad ckxs’oj ds ikl xk; dk ukys esa fxj tkuk
3 jhek jksM ckxs’oj O;fDr dk [kkbZ esa fxj tkuk
4 xzke xuhxkao iks0 lSykuh Fkkuk cStukFk esa edku dk fxj tkuk
</t>
  </si>
  <si>
    <t xml:space="preserve">1 tkSy dk.Ms
2 yhlk fMiks ckyh?kkV
3 ftyk vLirky ckxs’oj
4 jsat dk;kZy; ou foHkkx] tljkSyh
5 dLrqjck xkW/kh ckfydk vkolh; fo|ky; didksV
</t>
  </si>
  <si>
    <t xml:space="preserve">1 gksVy Jh ckxukFk LVs’ku jksM ckxs’oj
2 ds0ih0ch0 bUVj us’kuy Ldwy e.My lsjk ckxs’oj
3 gksVy fi.Mj bu LVs’ku jksM ckxs’oj
4 gksVy jktnwr LVs’ku jksM ckxs’oj
5 gksVy fl+)kFkZ LVs’ku jksM ckxs’oj
6 foosdkuUn fo|k efUnj b.Vj dkWyst
</t>
  </si>
  <si>
    <t>Qk;jeSu enu flag
Qk;jeSu ;'koar flag</t>
  </si>
  <si>
    <t>iq0v/kh0 peksyh</t>
  </si>
  <si>
    <t>vkWy bf.M;k Qk;j lfoZl xse es aind thrus ij</t>
  </si>
  <si>
    <t>fn0 28-02-2025 dks Jh cnzhukFk /kke essa ,oykap vkus ds dkj.k 54 etnwj nc x;s Fks esa jsLd;w dk;Z 02-03-25 rd</t>
  </si>
  <si>
    <t>1 ,QlhvkbZ QwM LVksjst fMiks fleyh 
2 dsUnzh; fo|ky; ,l,lch Xokyne
3 lkeqnkf;d Lok0 dsUnz xSjlS.k
4 nsodh b.Msu xSl lfoZl uUniz;kx
5 vk'khZokn fQfyax LVs'ku 'ksjk ?kkV
6 yhlk fMiks dsnkjukFk ou izHkkx uUniz;kx
7 ts0ih0 b.MLVªht jsMØkWl lkslkbVh] T;ksfrZeB</t>
  </si>
  <si>
    <t>1 fodkl[k.M T;ksfrZeB ds cgqnns';h; dk;ZØe f'kfoj esa
2 jS.kh xkao T;ksfrZeB ds cgqnns';h; dk;ZØe f'kfoj esa</t>
  </si>
  <si>
    <t>11-03-2025
26-03-2025
04-03-2025
16-03-2025
06-03-2025</t>
  </si>
  <si>
    <t>1
1
1
1
1</t>
  </si>
  <si>
    <t>Qk0LVs0 Vudiqj
Qk0LVs0 fiFkkSjkx&lt;
Qk0LVs0 tks'kheB
Qk0LVs0 xksis'oj
Qk0LVs0 ?ku'kkyh</t>
  </si>
  <si>
    <t>16+-03-2025</t>
  </si>
  <si>
    <t>Qk0LVs0 ?ku'kkyh</t>
  </si>
  <si>
    <t>&amp;
&amp;
1
&amp;
1</t>
  </si>
  <si>
    <t>oSfYMax dk;Z ls] 'kkWVZ lfdZV] ykijokgh ls /kweziku</t>
  </si>
  <si>
    <t xml:space="preserve">gksVyu] eSDl okgu]MfEiax tksu] dkj </t>
  </si>
  <si>
    <t>1 tk[k frjkgs ds ikl xgjh [kkbZ esa fxjs okgu ls grkgrksa dk jsLd;w
2lMd ls 150 ehVj [kkbZ esa fxjs okgu ls grkgr O;fDr;ksa dk jsLd;w
3 lMd ls xgjh [kkbZ esa fxjs okgu ls e`rd dks fudkyuk
4 jsLd;w dh lwpuk izkIr gksus ij Qk;j Vhe ?kVukLFky ds fy;s jokuk gq, e/; ekxZ esa lEcfU/kr dksrokyh ds ek/;e ls voxr djk;k x;k fd jsLd;w dk;Z iw.kZ gks x;k gS e/; ekxZ ls okil vk;s</t>
  </si>
  <si>
    <t>1 Vh,pMhlh bf.M;k fy0 chiqje fV0x0
2 dksVs'oj Mse izkstsDV dksVs'oj fV0x0
3 lqjd.Mk nsoh jksi&amp;os izkstDV dnnw[kky fV0x0
4 gksVy f'ko foykl riksou
5 foyhu gksVy flaxVkyh</t>
  </si>
  <si>
    <t>1 esjsfM;u gksyh pkbZYM ts0vkj gkbZLdwy dekUn fV0x0
2 jked`".k ijegal ifCyd Ldwy xzke ckSj FkkSy/kkj fV0x0</t>
  </si>
  <si>
    <t>1 ek/ko ,'kksfl,V riksou</t>
  </si>
  <si>
    <t xml:space="preserve"> 'kkWVZ lfdZV] [kkuk cukus esa ykijokgh ls] vKkr</t>
  </si>
  <si>
    <t>nqdku] dkj] &gt;ksifM;ksa]xkfM;ksa] LdwVh]?kj]VªkaUlQkWeZj] isM] dwMs</t>
  </si>
  <si>
    <t xml:space="preserve"> 'kkWVZ lfdV] /kweziku] xSl fjlko] pwYgs ls </t>
  </si>
  <si>
    <r>
      <t xml:space="preserve"> </t>
    </r>
    <r>
      <rPr>
        <sz val="16"/>
        <color theme="1"/>
        <rFont val="Times New Roman"/>
        <family val="1"/>
      </rPr>
      <t xml:space="preserve">FSO </t>
    </r>
    <r>
      <rPr>
        <sz val="16"/>
        <color theme="1"/>
        <rFont val="Kruti Dev 010"/>
      </rPr>
      <t xml:space="preserve">Jh feUnj iky flga
</t>
    </r>
    <r>
      <rPr>
        <sz val="16"/>
        <color theme="1"/>
        <rFont val="Times New Roman"/>
        <family val="1"/>
      </rPr>
      <t>LFM</t>
    </r>
    <r>
      <rPr>
        <sz val="16"/>
        <color theme="1"/>
        <rFont val="Kruti Dev 010"/>
      </rPr>
      <t xml:space="preserve">Hkqoupanz tks”kh
 ** vtqZu flga usxh
 ** izdk”k flga esj
 ** izdk”kpanz dk.Miky
 ** </t>
    </r>
    <r>
      <rPr>
        <sz val="12"/>
        <color theme="1"/>
        <rFont val="Kruti Dev 010"/>
      </rPr>
      <t>राजकुवंर सिंह राणा</t>
    </r>
    <r>
      <rPr>
        <sz val="16"/>
        <color theme="1"/>
        <rFont val="Kruti Dev 010"/>
      </rPr>
      <t xml:space="preserve">
 ** </t>
    </r>
    <r>
      <rPr>
        <sz val="12"/>
        <color theme="1"/>
        <rFont val="Kruti Dev 010"/>
      </rPr>
      <t>सुनील चौधरी</t>
    </r>
    <r>
      <rPr>
        <sz val="16"/>
        <color theme="1"/>
        <rFont val="Kruti Dev 010"/>
      </rPr>
      <t xml:space="preserve">
 ** eq[kR;kj panz
</t>
    </r>
    <r>
      <rPr>
        <sz val="16"/>
        <color theme="1"/>
        <rFont val="Times New Roman"/>
        <family val="1"/>
      </rPr>
      <t xml:space="preserve">DVR </t>
    </r>
    <r>
      <rPr>
        <sz val="16"/>
        <color theme="1"/>
        <rFont val="Kruti Dev 010"/>
      </rPr>
      <t xml:space="preserve">dSyk”kpanz usxh
 ** eaxr jke eSuh
 ** t;izdk”k vk;kZ
 ** d”ehj flga
 ** egs”kpanz tks”kh
 **  Ukkudpanz jk.kk
 ** “;ke flga
</t>
    </r>
    <r>
      <rPr>
        <sz val="16"/>
        <color theme="1"/>
        <rFont val="Times New Roman"/>
        <family val="1"/>
      </rPr>
      <t xml:space="preserve">FM </t>
    </r>
    <r>
      <rPr>
        <sz val="16"/>
        <color theme="1"/>
        <rFont val="Kruti Dev 010"/>
      </rPr>
      <t xml:space="preserve">txeksgu iky
 ** deys”k mizsfr
 ** vt; efV;ky
 ** ghjk flga rksED;ky
 ** fofiu dqekj pkSgku
</t>
    </r>
  </si>
  <si>
    <t xml:space="preserve"> ** eks0 v”kjQ
 ** izse izdk”k jk.kk
 ** nsosUnz dqekj izFke
 ** f=yksd flga
 ** vouh”k dqekj
 ** Tkxnhi flga
 ** nhid lrqsM+h
 ** ekS0ijost [kku
 ** Lkfpu dqekj jk.kk
 ** lwjt flga fc’V
 ** cyoUr flga
 ** txr flg nkuw
 ** jkts”k dqekj xkoM+h
 ** ftrsUnz dqekj
 ** vpZuk
 ** Hkouk 
 ** fnO;k Mkaxh
 ** fiz;k ik.Ms
 ** xfjek fc’V
 ** nhfidk mik/;k;
 ** Å’kk /kkeh
</t>
  </si>
  <si>
    <t>ofj0iq0v/kh0 uSuhrky</t>
  </si>
  <si>
    <t>iq0v/kh0 fiFkkSjkx&lt;</t>
  </si>
  <si>
    <t>uxn iq:"dkj</t>
  </si>
  <si>
    <t>vfXu"keu ,oa jsLd;w dk;Z gsrq</t>
  </si>
  <si>
    <t>?kVukLFky dSph/kke ls uhps Mkxj IykaV ds fy, jsLD;w Vhe vko”;d midj.kksa lfgr jokuk gqbZ Mh0lh0vkj0 }kjk okp:e esa lwpuk feyh fd iasM dks ts0lh0ih0 }kjk jksM ls fudky fn;k x;k gSA mDr lwpuk ds vk/kkj ij tksf[k;k ls okil Qk;j ;wfuV Qk;j LVs”ku mifLFkr gq,</t>
  </si>
  <si>
    <t xml:space="preserve">1 enjlu lweh izk0fy0 gYnwpkSM
2 yhlk fMiksa lqYrkuuxjh dkBxksnke
3 Mhlh,e ifCyd Ldwy 
4 ue% fjlksVZ f&lt;dqyh jkeuxj </t>
  </si>
  <si>
    <t xml:space="preserve">1&amp; gksVy vYdk ,u,Dl n eksy jksM 
2&amp;gksVy vYdk] n eksy jksM uSuhrkyA
3&amp; vyZ dksVZ]eYyhrky uSuhrky
4&amp; gksVy veuf”k[kj]
5&amp; gksVy vEcklkjnwj]uSuhrky
6&amp; n folisfjxa vksd uSuhrky
7&amp; gksVy “ksjokuh fgy]uSuhrky
8&amp; vkgkek fjlksVZ] jkex&lt; uSuhrky
9&amp; ykax O;w ifCyd Ldwy]uSuhrkyA
10&amp; ;FkkFkZ buu] Hkokyh uSuhrky
11&amp; izhfi;ksjVh yfuZax Ldwy] Hkokyh uSuhrky
12&amp; n “kSy oqM buu] ?kVxM uSuhrky
13&amp; dSQs fdVk ,.M xqPPkh] HkherkyA
14&amp; gksVy uwjkuh] uSuhrky
15&amp;gksVy uhye jkt]uSuhrkyA
16 ,Ydksu isuy bMfLVªt izk0fy0 xzke&amp;fleypkSM+ dkyk&lt;waxh
17 mtkyk flxul ls.Vªy gkWfLiVy gY}kuh
18 vksje n Xykscy Ldwy dSuky jksM gY}kuh
</t>
  </si>
  <si>
    <t xml:space="preserve">27-03-2025
24-03-2025
27-03-2025
25-03-2025
30-03-2025
24-03-2025
02-03-2025
26-03-2025
07-03-2025
25-03-2025
08-03-2025
01-03-2025
03-03-2025
17-03-2025
31-03-2025
03-03-2025
07-03-2025
28-03-2025
19-03-2025
19-03-2025
</t>
  </si>
  <si>
    <t>&amp;
&amp;
&amp;
&amp;</t>
  </si>
  <si>
    <t>&amp;
&amp;
&amp;
&amp;
&amp;
&amp;
&amp;
&amp;
&amp;
&amp;
&amp;
&amp;
&amp;
&amp;
&amp;
&amp;
&amp;
&amp;
&amp;
&amp;</t>
  </si>
  <si>
    <t>&amp;
&amp;
&amp;
&amp;
&amp;
&amp;
1
1
1
1
1
1
1
1
&amp;
1
1
1
&amp;
&amp;</t>
  </si>
  <si>
    <t>1
1
1
1
1
1
&amp;
&amp;
&amp;
&amp;
&amp;
&amp;
&amp;
&amp;
1
&amp;
&amp;
&amp;
1
1</t>
  </si>
  <si>
    <t>Qk0LVs0 nsgjknwu 
Qk0LVs0 _f"kds'k 
Qk0LVs0 lsykdqbZ 
Qk0LVs0 elwjh 
Qk0LVs0 fodkluxj 
Qk0LVs0 MksbZokyk
Qk0LVs0 jrwMk
Qk0LVs0 [kVhek
Qk0LVs0 :nziqj
qqQk0LVs0 ikSMh
Qk0LVs0 dksV}kj
Qk0LVs0 xksis'oj
Qk0LVs0 ujsUnzuxj
Qk0LVs0 ujsUnzuxj
Qk0LVs0 ujsUnzuxj
Qk0 LVs0 eYyhrky
Qk0LVs0 gY}kuh
Qk0LVs0 eYyhrky
Qk0LVs0 ek;kiqj
Qk0LVs0 flMdqy</t>
  </si>
  <si>
    <t>1
1
&amp;
&amp;</t>
  </si>
  <si>
    <t xml:space="preserve">22-03-2025
22-03-2025
</t>
  </si>
  <si>
    <t xml:space="preserve">22-03-2025
27-03-2025
06-03-2025
22-03-2025
26-03-2025
26-03-2025
27-03-2025
</t>
  </si>
  <si>
    <t xml:space="preserve">&amp;
&amp;
</t>
  </si>
  <si>
    <t>&amp;
1
1</t>
  </si>
  <si>
    <t>Qk0LVs0 mRrjdk'kh
Qk0LVs0 cMdksV
Qk0LVs0 ckxs'oj
Qk0LVs0 x:M
Qk0LVs0 ?ku'kkyh
Qk0LVs0 ek;kiqj
Qk0LVs0 flMdqy</t>
  </si>
  <si>
    <t xml:space="preserve">Qk0LVs0 :Mdh
Qk0LVs0 Hkxokuiqj
</t>
  </si>
  <si>
    <t>vfkr'kckth lacaf/kr dk;Z ls foLQksV gksuk] dkj ds fo|qr iksy ls VDDj] vkfr'kckth] rsy dk Vsadj iyVuk] pwYgs ls mBh fpaxkjh ls] iwtk ds nh;s ls] ykijokgh ls /kweziku 'kkWVZ lfdZV]xSl fjlko]</t>
  </si>
  <si>
    <t>?kj]okgu][kMs isM] &gt;qXxh &gt;ksifM;ksa]][kkyh IykWV]nqdku]dwMk] &gt;kfM;ksa</t>
  </si>
  <si>
    <t xml:space="preserve"> xUus ds [ksr] ,yihth flys.Mj]VSEikS] dk;kZy;y dqekj cl lfoZl]dEI;wVj ikVZl] QSDVªh] dkj] LVksj esa j[ks lkeku] xkS'kkyk] fdpu]  </t>
  </si>
  <si>
    <t>flMdqy]</t>
  </si>
  <si>
    <t>,EcqySal]lw[kh &gt;kfM;ksa]can ?kj ds njokts es</t>
  </si>
  <si>
    <t>e/kqefD[k;ksa dk NRrk tykus ls] 'kkWVZ lfdZV] ykijokgh ls /kweziku]lMd ij Vªd iyVus]</t>
  </si>
  <si>
    <t>miyksa] edkuk] VªkalQkWeZj] &gt;kfM;ksa] Vªd esa Hkjs ,FkukWy esa] jsyos ds ydMh ds Lyhij</t>
  </si>
  <si>
    <t xml:space="preserve"> 'kkWVZ lfdZV] ykijokgh</t>
  </si>
  <si>
    <t>ydMh ds xksnke] edku] Niij</t>
  </si>
  <si>
    <t>uxj fuxe ek;kiqj gfj}kj esa lMd ij fxjs isM dkVdj ;krk;kr fuckZf/kr djuk</t>
  </si>
  <si>
    <t>1 ch,pbZ,y jkuhiqj dsUnzh; vkS|kSfxd lqj{kk cy gfj}kj
2 VhVhds izLVht fy0 nsoHkwfe b.MLVªh;y ,fj;k iqgkuk :Mdh
3 vkbZ0vks0lh0,y y.&lt;kSjk
4 VhvkbZMhlh izk0fy0 xaxukSyh yDlj
5 gksyh ØkWl Ldwy yDlj
6 eS0 vkWVks dEiksusUV IykWV ua0 27] lsDVj 04
7 eS0 gSfeYVu gkmlos;lZ izk0fy0 IykWV ua0 10 lsDVj 11
8 ,ojsLV b.MLVªht Hkxokuiqj gfj}kj
9 esVªks Qzkstu QkDl QwMl izk0fy0 Hkxokuiqj gfj}kjA</t>
  </si>
  <si>
    <t xml:space="preserve">1 ou izHkkx tuin gfj}kj
2 eS0 izkph ySnlZ izk0fy0 IykWV ua0 18&amp;19 lSDVj 5
3 eS0 xksYMu ¶;wpj twfu;j gkbZLdwy xzke Hkxokuiqj gfj}kj
4 jlwyiqj Vksafx;k cqXXkkokyk Hkxokuiqj gfj}kj esa oukfXu lqj{kk </t>
  </si>
  <si>
    <t xml:space="preserve">1 iqfyl ekWMuZ Ldwy iq0yk0 jks'kukckn
2 oUnuk dVkfj;k LVsfM;e jks'kukckn gfj}kj
3 jkW;dksj bysDVªksesd lyseijq jktiwrkuk
4 jkt0izkF0 fo|k0 tSuiqj &gt;a&gt;sMh
5 jk0bZ0dk0 eaxykSj
6 ou foJke x`g ou foHkkx {ks=kf/kdkjh dk;kZy; :Mdh
7 uothou gkWfLiVy Hkxokuiqj gfj}kj
8 xk;=h cky fo|k eafnj twfu;j gkbZLdwy Hkxokuiqj gfj}kjA
</t>
  </si>
  <si>
    <t xml:space="preserve">1 j?kqukFk flVh ekWy vYeksM+k
2 vf/kdkjh y?kq m|ksx
3 tks”kh b.Vjizkbtst
4 v”kksdk gkWy xYlZ jslhMsufl;y Ldwy
5 ou izHkkx jkuh[ksr
6 dkcsZV fjoj osyh
7 lsojku jkst ekmV
8 LVsV cSad vkWQ bf.m;k jkuh[ksr
</t>
  </si>
  <si>
    <t>1 th0vkbZ0lh0 Dosjkyk jkuh[ksr</t>
  </si>
  <si>
    <t>ekpZ 25</t>
  </si>
  <si>
    <t>tho j{kk@jkgr ,oa cpko@jsLD;w fooj.k ekg tuojh ls ekpZ 2025 vfXu'keu ,oa vkikr lsok mŸkjk[k.MA</t>
  </si>
  <si>
    <t>;skx</t>
  </si>
  <si>
    <t>oukfXudk.M vkadM+s ekg tuojh ls ekpZ 2025 vfXu'keu ,oa vkikr lsok mŸkjk[k.MA</t>
  </si>
  <si>
    <t>Qk;j fjLd fujh{k.k dk fooj.k  vfXu'keu ,oa vkikr lsok mŸkjk[k.M ekg tuojh ls ekpZ 2025</t>
  </si>
  <si>
    <r>
      <rPr>
        <sz val="10"/>
        <color theme="1"/>
        <rFont val="Kruti Dev 010"/>
      </rPr>
      <t>1-rglhy /kuksYVh ds vyel cS.M ij fofHkUu foHkkxksa ds lkFk jkT; Lrjh; oukfXu ekWd vH;kl dk vk;kstu fd;k x;kA</t>
    </r>
    <r>
      <rPr>
        <sz val="14"/>
        <color theme="1"/>
        <rFont val="Kruti Dev 010"/>
      </rPr>
      <t xml:space="preserve">
2-</t>
    </r>
    <r>
      <rPr>
        <sz val="10"/>
        <color theme="1"/>
        <rFont val="Times New Roman"/>
        <family val="1"/>
      </rPr>
      <t xml:space="preserve">Devprayag FRH  Degree College Walkway (Mahad) </t>
    </r>
    <r>
      <rPr>
        <sz val="14"/>
        <color theme="1"/>
        <rFont val="Kruti Dev 010"/>
      </rPr>
      <t xml:space="preserve">
3-</t>
    </r>
    <r>
      <rPr>
        <sz val="10"/>
        <color theme="1"/>
        <rFont val="Times New Roman"/>
        <family val="1"/>
      </rPr>
      <t>Hotel Aloha on the Ganges, Tapovan Munikireti.
4-</t>
    </r>
    <r>
      <rPr>
        <sz val="10"/>
        <color theme="1"/>
        <rFont val="Kruti Dev 010"/>
      </rPr>
      <t>enj fejdy Ldwy] fudV iz.ko fudsru] 'kh'ke &gt;kMh] eqfu dh jsrh</t>
    </r>
  </si>
  <si>
    <t xml:space="preserve">1&amp; gksVy gjf”k[kj Hkokyh HkherkyA 
2&amp;ekm.Vsu eSftd [kqikZrky uSuhrkyA
3&amp; n lst czqd] /kkjh uSuhrky
4&amp; f=ewfrZ m|ksx] euk?ksj uSuhrky
5&amp; jkgqy “kekZ dUVªh buu Hkherky] uSuhrky
6&amp; vFkk osyuSl izk0 fy0 lksukikuh] I;wjk] uSuhrky
7&amp; vyksd flag iq= Jh vjfoUn ek/ko flag 
8&amp; gksVy beksth buu] rYYkhrky
9&amp; b”kk lfju] vewY;e foyk] eqDrs”oj] uSuhrky
10&amp;pUnu vLirky uSuhrky jksM gY}kuh
11&amp; nh{kkar ifCyd Ldwy gY}kuh
</t>
  </si>
  <si>
    <r>
      <t>1&amp; ou foHkkx pkSdh {ks= dkyhpkSM
2&amp; lsUpqjh isij fey ykydq¡vk
3</t>
    </r>
    <r>
      <rPr>
        <sz val="9"/>
        <color theme="1"/>
        <rFont val="Kruti Dev 010"/>
      </rPr>
      <t>&amp;lSV tkWu lhfu;j lSds.Mjh Ldwy 'kadjiqj tksxhiqjk jkeuxjA
4 yseu Vªh fjlksVZ eksgku jkeuxj</t>
    </r>
    <r>
      <rPr>
        <sz val="10"/>
        <color theme="1"/>
        <rFont val="Times New Roman"/>
        <family val="1"/>
      </rPr>
      <t xml:space="preserve">
</t>
    </r>
  </si>
  <si>
    <t xml:space="preserve">                 vfXudk.M ds vkadM+s tuinokj ekg vizSy ls flrEcj 2024 rd vfXu'keu ,oa vkikr lsok mŸkjk[k.MA</t>
  </si>
  <si>
    <t>tho j{kk@jkgr ,oa cpko@jsLD;w tuin okj ekg vizSy 2024 ls flrEcj 2024 vfXu'keu ,oa vkikr lsok mŸkjk[k.MA</t>
  </si>
  <si>
    <t>oukfXudk.M vkadM+s  ekg vizSy ls flrEcj 2024 vfXu'keu ,oa vkikr lsok mŸkjk[k.MA</t>
  </si>
  <si>
    <t>CMI</t>
  </si>
  <si>
    <t>RPG</t>
  </si>
  <si>
    <t>UKI</t>
  </si>
  <si>
    <t>PWL</t>
  </si>
  <si>
    <t>TWL</t>
  </si>
  <si>
    <t>HDR</t>
  </si>
  <si>
    <t>DDN</t>
  </si>
  <si>
    <t>ALM</t>
  </si>
  <si>
    <t>BGS</t>
  </si>
  <si>
    <t>CMP</t>
  </si>
  <si>
    <t>PTH</t>
  </si>
  <si>
    <t xml:space="preserve">NTL </t>
  </si>
  <si>
    <t xml:space="preserve">UDN </t>
  </si>
  <si>
    <t>MOCK  DRILL</t>
  </si>
  <si>
    <t>DISTRICT</t>
  </si>
  <si>
    <t>DRILLS</t>
  </si>
  <si>
    <t>Nos of Work</t>
  </si>
  <si>
    <t>Nos of Total Participants</t>
  </si>
  <si>
    <t>Details</t>
  </si>
  <si>
    <t>MONTH</t>
  </si>
  <si>
    <t>Month</t>
  </si>
  <si>
    <t>District</t>
  </si>
  <si>
    <t>Drill</t>
  </si>
  <si>
    <t>Total Nos. Participent</t>
  </si>
  <si>
    <t>lkeq0 Lok0 dsUnz fpU;kyhlkSM mRrjdk'kh
lkeq0 Lok0 dsUnz Mw.Mk mRrjdk'kh
jkt0 vkn'kZ b.Vj dkWyst mRrjdk'kh
/kjklw ikWoj gkml
,ltsoh,u,y eksjh uSVokM</t>
  </si>
  <si>
    <t>tksf'k;kMk cSjkt mRrjdk'kh
jkbZdk xjeikuh mRrjdk'kh
jk0izk0fo0 pUnsyh
thvkbZlh MkeVk
vVy mRd`"V jkbZdk dyksxh</t>
  </si>
  <si>
    <t>dk;kZ0 iqfyl v/kh{kd RPG</t>
  </si>
  <si>
    <t>,ojxzhu ,tqds'ku lkslk;Vh Ldwy m[kheB
izk0 Lok0 dsUnz QkVk
Kkunhi vkn'kZ fpYMªu ,dsMeh QkVk
lkeq0 Lok0 dsUnz m[kheB
eksuky fjlksVZ fryMh
gksVy vjk/kuk ,.M jsLVksjs.V lqesjiqj
jkbZdk /kuiqj jrwMk</t>
  </si>
  <si>
    <t>jsyos izkstsDV Vuy {ks= lkSM ikSMh
Jh xq: jke jk; uflZx dkWyst ineiqj lq[kjkS
Jh xq: jke jk; ifCyd Ldwy ineiqj lq[kjkS
Lokeh vksedkjkuUnk vyduUnk ,tqds'ku ,dsMeh JhdksV</t>
  </si>
  <si>
    <t>uflZx dkyst ikSMh
fgeky;u gcsZfj;k bad flxMMh dksV}kj
,l0ch0 ekm.M fjlksVZ Qrsgiqj ySUlMksu</t>
  </si>
  <si>
    <t>bf.M;u xSl ,tsUlh
gksVy e/kqcu
iatkc us'kuy cSad
LokfLrd iSFkksyksth ySc
jktgal gksVy dkyh deyh
lkglk xSLV gkml
pkbZYM ds;j ,.M eSVjfuVh lsUVj dksV}kj
fl)cyh b.Msu xSl ,tsUlh [kwuhcM dksV}kj
fjykWc ck;ksVsd izk0 fy0 flxMMh dksV}kj
jSucks iS'ku flxMMh dksV}kj
dwy dSIl b.M flxMMh dksV}kj</t>
  </si>
  <si>
    <t>vyduank gkbMªks ikWoj dkiksZ pkSjkl dhrhZuxj
fcUns'ojh ,fDte izk0fy0 dhrhZuxj
ts0MCyw0esfj;V okWyuV ,.M Lik dSEiVh jksM fVgjh
vk;q"eku eYVh Lisf'kfyVh gkWfLiVy riksou
gksVy f=nso riksou
gksVy nso xaxk riksou
gksVy vkuUnk ujsUnzuxj
gksVy lu O;w riksou</t>
  </si>
  <si>
    <t>tokgj uoksn; fo|ky; ikS[kky
dkUosaV Ldwy ubZ fVgjh
xzke Mksj u0uxj</t>
  </si>
  <si>
    <t xml:space="preserve">gksVy +_f"kxaxk HkkxhjFkhiqje
foU;klk fjlksVZ dk.kkrky
jkt0 ftyk fpfd0 ckSjkMh
gksVy Dyc efgUnzk tMikuh dk.kkrky
Hkokuh HkkbZ lkeq0 Lok0 dsUnz izrkiuxj
Hkkjrh; LVsV cSad izrkiuxj
dsUnzh; fo|ky; ubZ fVgjh
lkeq0 Lok0 dsUnz ubZ dhfrZuxj
Le`fr uflZx gkse ?kulkyh
izk0 Lok0 dsUnz fg.Mksyk[kky
izk0 Lok0 dUnz d.MhlkSM
izk0 Lok0 dUnz FkR;wM
rkt _f"kds'k fjlksV ,.M Lik flaxVky C;klh
vkuUnd'kh _f"kds'k cnzhukFk ekxZ </t>
  </si>
  <si>
    <t xml:space="preserve">eS0 Qksjslb.MLVªht izk0 fy0] b.MLVªh;y ,fj;kgfj}kjA
ch,e,y eqatky xzhu feMkst Ldwy] fu;j fØLVyoYM gfj}kj :M+dhjksMgfj}k
eS0 eksnh b.MLVªh;y xSlst bczkfgeiqj] Tokykiqj gfj}kjA
eS0 eksnh ,;jizksMDV IykWVs -71, cgknjkckn] gfj}kjA
eSllZ bf.M;u vkW;y dkiksZjs’ku fyfeVsM y.&lt;kSjk :M+dhA
uUniz;kx QwM~l ;wds izk0fy0] xqM+ eaMh eaxykSj
xhuos ekWMUkZ Ldwy 2 iqgkuk :M+dh
eSllZ dsosfUMl b.MLVªht fy0 [ksMh eqckfjdiqj yDlj
eSllZ LdkWylZ gkse b.Vjus”kuy Ldwy
eS0 ,0,y0,Q0 bathfu;fjaax] IykWV u0 01lh] 01ch lsDVj 07
eS0 fgUnqLrku ;wfuyhoj fy0 IykWV ua0 01] lsDVj 01,
eS0 fjysDlks QqVfo;lZ fy0] IyWkV ua0 83&amp;92] lsDVj 05
eSllZ dkWUQhMsUl isVªksfy;e bf.M;k dfy;j jksM Hkxokuiqj tuin&amp;gfj}kjA
</t>
  </si>
  <si>
    <t xml:space="preserve">Tkurk b.Vj dkWtsy lqYrku] yDlj gfj}kjA
pUn'ks[kj ifCyd Ldwy] jkeuxj :M+dh
eSllZ ljLorh cky fo?kk gkbZLdwy gdheiqj rqjkZ Hkxokuiqj tuin&amp;gfj}kjA
eSllZ th0,l0,0 esVyjk;iqjHkxokuiqjtuin&amp;gfj}kjA
eSllZ lkeqnkf;d LokLF; dsUn zHkxokuiqjtuin gfj}kjA
eSllZ lk/kwjke mPprj ek/;fed fo?kky; xzke MkMk iV~Vh Hkxokuiqj gfj}kjA
</t>
  </si>
  <si>
    <t xml:space="preserve">,u-lh-lh dSEi] iratfy xq:dqye] vkSjaxkckn] gfj}kjA
lkeqnkf;d LokLF; dsUn zHkxokuiqj tuin gfj}kjA
eSllZ gjh”k pUn zdSyk”korh ljLorh f”k”kq@fo?kkefUnj bZeyh jksM Hkxokuiqj  </t>
  </si>
  <si>
    <t xml:space="preserve">DDN </t>
  </si>
  <si>
    <t xml:space="preserve">fgUnqLrku us'kuy Xykl b.M0 gfj0 jksM _f"kds'k
xzkfQd ,sjk gkWfLiVy /kwydksV lsykdqbZ
n czsu fMLdojh Xykscy Ldwy fNnnjokyk  MksbZokyk
</t>
  </si>
  <si>
    <t>cl vMMk _f"kds'k  
O;kikfjd laLFkku _f"kds'k 
,ysDl iSuy teuiqj lsykdqbZ
lkyou jsLVkSjs.V ,.M fjlksVZ chjlSuh fryokMh lgliqj
dkylh fQfyax LVs'ku dkylh fo0u0
Jh lR; lkabZ fQfyax LVs'ku gfjiqj dkylh fo0u0</t>
  </si>
  <si>
    <t>jktdh; la;qDr fpfd0 _f"kds'k
d`".kk esfMdy lsUVj thouh ekbZ jksM _f"kds'k
jk.kk vkbZ lsUVj _f"kds'k
Hkkj}kt gkWfLiVy _f"kds'k
uhjt fDyhfud+ _f"kds'k
fueZy vkJe gkWfLiVy ek;kdq.M _f"kds'k
Jhjke uflZax gkse jsyos jksM _f"kds'k
iusf'k;k gkWfLiVy _f"kds'k
izlkn gkWfLiVy vkn'kZ uxj _+f"kds'k
lsBh fDyhfud _f"kds'k
iqjh lathouh gkWfLiVy _+f"kds'k
d.Mkjh uflZax gkse _f"kds'k
tks'kh lftZdy ,.M eSVjfuVh gkWfLiVy _f"kds'k
fl)cyh pkbZYM ds;j lsUVj _f"kds'k
,El _f"kds'k
lhek MsUVy dkWyst ,oa gkWfLiVy i'kqyksd +_f"kds'k
fueZy vkJe vkbZ bUlVVh;wV usikyh QkeZ _f"kds'k
mRrjkapy gkVZ ds;j lsUVj _+f"kds'k</t>
  </si>
  <si>
    <t>d`".k lsok vkJe dksgyh gkWfLiVy _f"kds'k
jktdqekj 'kjn dqekj isVªksy iEi _f"kds'k
gksVy n ,efj'k _f"kds'k
QqV fgYl ,dsMeh _f"kds'k
chjlSuh dSQs ,.M fjlksVZ fryokMh lsykdqbZ
vrqY;e fjlksVZ nq/kbZ lsykdqbZ
gksVy fjtsUVk lq)ksokyk lsykdqbZ
gksVy LikbZ lsykdqbZ 
Hk.Mkjh gkWfLiVy dSuky jksM fo0u0
tSu uflZax gkse gjcVZiqj fo0u0
nsoHkwfe uflZax gkse fo0u0
/kuoarjh uflZax gkse fo0u0
fØ'fp;u gkWfLiVy ¼ysgeu½ fo0u0
Lokeh foosdkuUn pSfjVscy gkWfLiVy /kekZokyk fo0u0
vkjksX; fDyhfud vLirky jksM fo0u0
lh,e,l dEckabM gkWfLiVy MkdiRFkj fo0u0
,evkjch Ldwy thoux&lt; fo0u0
gksVy izse Iyktk eq[; cktkj fo0u0
jk.kk fDyhfud eq[; cktkj fo0u0
gksVy xzhu O;w ckMokyk fo0u0</t>
  </si>
  <si>
    <t>izrki fo’V jktdh; egkfo?kky;</t>
  </si>
  <si>
    <t>vk;qosZfnd dYEkfV;k dlkj nsoh vYeksM+k
dqekm jsthesaV
dkWcsZV fjoj fdzd ejpwyk
Lisjk usLV lksuh
iwy fjfVªV et[kkyh
,e0ih0lh0,y0 eksgku
VLdj VSªy HkdjkdkSV</t>
  </si>
  <si>
    <t xml:space="preserve">fte dkcsZV b.Vjus'kuy Ldwy rkdqyk jksM ckxs'oj
xk;=h fo|k eafnj Ldwy ckxs'oj
lh0,p0lh didksV
lh0,e0,l0 ';ke yky 'kkg xaxksyk ftyk fpfdRlky;
yhlk fMiks lykuh
ysd lkbZM gksVy fn0 09-12-2024
ysd lkbZM gksVy fn0 10-12-2024
ysd lkbZM gksVy fn0 11-12-2024
ysd lkbZM gksVy fn0 19-12-2024
</t>
  </si>
  <si>
    <t>dsUnzh; fo|ky; yksgk?kkV
mn;u Ldwy pEikor
efYydktqZu Ldwy pEikor
ftyk vkink izca/ku la;qDr ekWd fMªy ¼HkwdEi½
vkbZVhvkbZ dkWyst fudV jsyos oekZ ykbZu Vudiqj
fotu ifCyd Ldwy Vudiqj
jk0m0ek0fo0 ?kwjk pEikor</t>
  </si>
  <si>
    <t>thvkbZlh [ksrh[kku
ljLorh f'k'kq eafnj [ksrh[kku
[ksrh[kku ekdsZV
gSyhiSM pEikor
nqX/k Ms;jh pEikor</t>
  </si>
  <si>
    <t>gksVy x.kifr
f'kok jsthMsUlh pEikor</t>
  </si>
  <si>
    <t>fo'kky esxk ekV 
lathouh gkWfLiVy iUMk ckbZikl fiFkkSjkx&lt;
ds0,u0 mizsrh jk0bZ0dk0 fiFkkSjkx&lt;
efYydktqZu Ldwy endksV fiFkkSjkx&lt;</t>
  </si>
  <si>
    <t>cSad vkWQ bf.M;k ukjk;.k uxj fiFkkSjkx&lt;
xzkeh.k cSad fo.k fiFkkSjkx&lt;</t>
  </si>
  <si>
    <t>gksVy fgeky; n'kZu csjhukx fiFkkSjkx&lt;
fiFkkSjkx&lt; bUlVVh;wV vkWQ esfMdy lkbZal cqaxkNhuk fiFkSjkx&lt;</t>
  </si>
  <si>
    <t>NTL</t>
  </si>
  <si>
    <t>yhlk fMiks lqYrkuiqjh dkBxksnke
Hkkjr isVªksfy;e fMiks dkBxksnke
fczfy;aV ifCyd Ldwy ikVdksV
Mk0 vkj0,l0Vksfy;k iz'kklfud vdkneh uSuhrky</t>
  </si>
  <si>
    <t>jktdh; LukrdksRrj egkfo|ky; jkeuxj
vYeksMk vcZu cSad dkBxksnke</t>
  </si>
  <si>
    <t xml:space="preserve">,ulhlh dSEi jkuhckx dkBeksnke fn0 19-12-2024
,ulhlh dSEi jkuhckx dkBeksnke fn0 20-12-2024
,ulhlh dSEi jkuhckx dkBeksnke fn0 25-12-2024
</t>
  </si>
  <si>
    <t xml:space="preserve">VkVk eksVlZ fy0 iUruxj
uSLys bf.M;k izk0fy0 iUruxj
ih0,l0ih0 izk0 fy0 csfj;k jksM cktiqj 
,p0ih0lh0,y ckVfyax IykUV flrkjxat </t>
  </si>
  <si>
    <t xml:space="preserve">jSt iSdsftax [kVhek
izseth esekSfj;y gkWfLiVy [kVhek
mRrjk[k.M us= vLirky [kVhek
xzkek bUQzkizks izk0 fy0 xzke vgsjiqjk egqvk[ksMkxat dk”khiqj 
y{; dkWosUV Ldwy [kMiqj nsohiqjk dk”khiqj 
vCnqy VSMlZ egqvk[ksMkxat dk”khiqj 
”k”kq dY;k.k LokLF; dsUnz vjfoUn uxj flrkjxat 
bZ0,l0vkbZ0lh0 gkWfLiVy :nziqj
phek gkWfLiVy fdPNk jksM :nziqj
</t>
  </si>
  <si>
    <t>मै0 चन्द्रसेन रामयशपाल पेट्रोल पम्प] काशीपुर रोड़, जसपुर</t>
  </si>
  <si>
    <t>fo|k eafnj csy.kh RPG</t>
  </si>
  <si>
    <t>vyduank vkWVkseksckbZy¼is0iEi½ RPG</t>
  </si>
  <si>
    <t>eksuky fjlksVZ fry.kh RPG</t>
  </si>
  <si>
    <t>vDVwcj 24</t>
  </si>
  <si>
    <t>uoEcj 24</t>
  </si>
  <si>
    <t>fnlEcj 24</t>
  </si>
  <si>
    <t>ekpZ   25</t>
  </si>
  <si>
    <t xml:space="preserve">vizSy </t>
  </si>
  <si>
    <t>oukfXudk.M vkadM+s vDVw 2024 ls ekpZ 2025 rd  vfXu'keu ,oa vkikr lsok mŸkjk[k.MA</t>
  </si>
  <si>
    <t xml:space="preserve">                 vfXudk.M ds vkadM+s tuinokj ekg vDVwcj ls ekpZ 2025 rd vfXu'keu ,oa vkikr lsok mŸkjk[k.MA</t>
  </si>
  <si>
    <t>tho j{kk@jkgr ,oa cpko@jsLD;w tuin okj ekg vDVwcj 2024 ls ekpZ 2025 vfXu'keu ,oa vkikr lsok mŸkjk[k.MA</t>
  </si>
  <si>
    <t>cgknjkckn</t>
  </si>
  <si>
    <t xml:space="preserve">vfXudk.M dk dkj.k@fdl oLrq esa vkx yxh gSa </t>
  </si>
  <si>
    <t>flrEcj 24</t>
  </si>
  <si>
    <t xml:space="preserve">                 vfXudk.M ds vkadM+s tuinokj ekg flrEcj 24 ls ekpZ 2025 rd vfXu'keu ,oa vkikr lsok mŸkjk[k.MA</t>
  </si>
  <si>
    <t>tho j{kk@jkgr ,oa cpko@jsLD;w tuin okj ekg flrEcj 24 ls ekpZ 2025 vfXu'keu ,oa vkikr lsok mŸkjk[k.MA</t>
  </si>
  <si>
    <t>oukfXudk.M vkadM+s flrEcj 24 ls ekpZ 2025 rd  vfXu'keu ,oa vkikr lsok mŸkjk[k.MA</t>
  </si>
  <si>
    <t xml:space="preserve">                 vfXudk.M ds vkadM+s tuinokj ekg vizSy 2025 vfXu'keu ,oa vkikr lsok mŸkjk[k.MA</t>
  </si>
  <si>
    <t>tho j{kk@jkgr ,oa cpko@jsLD;w tuin okj ekg vizSy 2025 vfXu'keu ,oa vkikr lsok mŸkjk[k.MA</t>
  </si>
  <si>
    <t>lsokfuo`Rr@e`rd vf/kdkjh@deZ0 ekg vizSy 2025 vfXu'keu ,oa vkikr lsok mŸkjk[k.MA</t>
  </si>
  <si>
    <t>oukfXudk.M vkadM+s tuin okj ekg vizSy 2025 vfXu'keu ,oa vkikr lsok mŸkjk[k.MA</t>
  </si>
  <si>
    <t>Qk;j fjLd fujh{k.k dk fooj.k vfXu'keu ,oa vkikr lsok mŸkjk[k.M ekg vizSy 2025</t>
  </si>
  <si>
    <t>izk:i&amp;3 vukifRr izek.k i= ¼,u0vks0lh0½ i=ksa dk fooj.k] ekg vizSy 2025</t>
  </si>
  <si>
    <t>izk:i&amp;  ekWd fMªy@tutkx:drk@izf'k{k.k tuin okj ekg vizSy 2025 vfXu'keu ,oa vkikr lsok mŸkjk[k.MA</t>
  </si>
  <si>
    <t>Hkou dk  fooj.k] vfXu'keu ,oa vkikr lsok mRrjk[k.M ekg vizSy 2025</t>
  </si>
  <si>
    <t>Hkwfe Hkou ctV dk fooj.k vfXu'keu ,oa vkikr lsok mRrjk[k.M ekg vizSy 2025</t>
  </si>
  <si>
    <t>izk:i&amp;5]  jktif+=r vf/kdkfj;ksa }kjk fujh{k.k dk fooj.kA ekg vizSy 2025</t>
  </si>
  <si>
    <t>iq:"dkj dk fooj.k vfXu'keu ,oa vkikr lsok ekg vizSy 2025</t>
  </si>
  <si>
    <t>n.M dk fooj.k vfXu'keu ,oa vkikr lsok ekg vizSy 2025</t>
  </si>
  <si>
    <t>mRrjk[k.M vfXu'keu ,oa vkikr lsok esa Qk;j gkbZMªsUV dk fooj.k ekg vizSy  2025</t>
  </si>
  <si>
    <t>vfXu'keu ,oa vkikr lsok okgu@midj.k dk fooj.k ekg vizSy 2025</t>
  </si>
  <si>
    <t>mRrjk[k.M vfXu'keu ,oa vkikr lsok lapkj midj.kksa dk fooj.k ekg vizSy  2025</t>
  </si>
  <si>
    <t>vfXu'keu ,oa vkikr lsok dkfeZdksa dk Lohd`r fu;ru miyC/krk ekg vizSy 2025</t>
  </si>
  <si>
    <t>अनुचर</t>
  </si>
  <si>
    <t>कैलाश गिरी</t>
  </si>
  <si>
    <t>स्व0 श्री गणेश गिरी</t>
  </si>
  <si>
    <t>vkfr'kckth] 'kkWVZ lfdZV] eafnj ds fn;s ls</t>
  </si>
  <si>
    <t>edku] ydMh o fVu ds iqjkus xknZ :e es] ?kkl ds ywVV~ks esa]fo|qr rkjks</t>
  </si>
  <si>
    <t>xSl fjlko] dwMs esa yxk;h x;h vkx Qsyuk</t>
  </si>
  <si>
    <t>fdpu] ydMh ds xksnke</t>
  </si>
  <si>
    <t>1&amp;Þ?kksjiêk MhMhgkV esa pkSckVh jksM esa eÅikuh èkkjh ds ikl ,d O;fä e; eksVj lkÃfdy ds xgjh [kkÃ esa fxjk Fkk ftls LFkuh; turk] iqfyl] ,l0Mh0vkj0,Q0 ,oa Qk;j lÆol ;wfuV }kjk jsLD;w vfHk;ku pyk;k x;k jkf= esa vaèksjk gksus ds dkj.k rFkk xgjh [kkÃ gksus ds dkj.k jsLD;w dk;Z iw.kZ ugh gks ldk A nwljs fnu jsLD;w vfHk;ku 'kq: fd;k x;k rks Jh f[kys'k Hkê iq= Jh txnh'k pUæ fuoklh f[krSyk e&gt;sMk rglhy MhMhgkV fiFkkSjkx&lt;+ xgjh [kkÃ esa e`r ik;k x;k A
2&amp;Fkyk ds vkxs ik[kw okyh jksM+ MhMhgkV esa cjM iqy ds ikl ,d xk; foxr dÃ fnuks ls Hkw[kh I;klh [kkÃ esa Qalh Fkh ftls Fkkuk iqfyl ] LFkkuh; turk ,oa  Qk;j lÆol ;wfuV }kjk jsLD;w dj  ldq'ky [kkÃ ls fudkyk x;k AÞ</t>
  </si>
  <si>
    <t>1 eq[; nqXèk'kkyk fiFkkSjkx&lt;+
2 U;w ohj f'kok ifCyd  Ldwy fiFkkSjkx&lt;+</t>
  </si>
  <si>
    <t>1 ch0Mh0 ik.Ms fpfdRlky; fiFkkSjkx&lt;+
2 xzke ysyw fiFkkSjkx&lt;+</t>
  </si>
  <si>
    <t>1 'kghn Çd'ku Çlg lÆol LVs'ku ,spksyh fiFkkSjkx&lt;+
2 fo'kky esxkekVZ fo.k ,spksyh fiFkkSjkx&lt;+</t>
  </si>
  <si>
    <t>,Q,e 393 jktsUnz izlkn</t>
  </si>
  <si>
    <t>ek0eq[;ea=h mRrjk[k.M</t>
  </si>
  <si>
    <t>fnukad 23-06-2023 ds fxjsNhuk QY;kVh eksVj ekxZ esa okgu ds nq?kZVuk xzLr gksus ij Qk;jeSu jktsUnz izlkn us vnE; lkgl dk ifjp; nsrs gq, ?kk;y O;fDr;ksa dks vLirky igqpk;kA</t>
  </si>
  <si>
    <t xml:space="preserve">Qk;jeSu 191 vatqy ik.Ms </t>
  </si>
  <si>
    <t>Jheku iqfyl v/kh{kd egksn;</t>
  </si>
  <si>
    <t>‘kqdzokj dh ijsM esa euekus rjhds ls vuqifLFkr jguk</t>
  </si>
  <si>
    <t>ijsM esa ugha tkuk</t>
  </si>
  <si>
    <t>Qk;j LVs'ku didksV</t>
  </si>
  <si>
    <t>ykijokgh] [kkuk cukrs gq,] vkfr'kckth</t>
  </si>
  <si>
    <t>jsLVkSjs.V] nqdku] ?kkl ds ywVVks dwMk xkMh es</t>
  </si>
  <si>
    <t>ykijokgh] vkfr'kckth] 'kkWVZ lfdZV</t>
  </si>
  <si>
    <t xml:space="preserve">?kkl ds ywVVks] dwMs ds &lt;sj] fo|qr ykbZu </t>
  </si>
  <si>
    <t xml:space="preserve">1 ftyk vLirky ckxs’oj
2 ckxukFk gkWfLiVy cu[kksyk
3 yhlk fMiks lykuh
4 pk; QSDVªh] gfjuxjh
5 lkeqnkf;d LokLF; dsUnz
6 lsUV ,MEl ifCyd Ldwy x:M+] jktdh; b.Vj dkWyst x:M
7 xzke lHkk&amp; eVsuk
</t>
  </si>
  <si>
    <t xml:space="preserve">1 Ukspj oSyh fjlksVZ dkSlkuh
2 gksVy nhi iSysl rkdqyk jksM ckxs’oj
3 foosdkuUn fo|k efUnj b.Vj dkWyst e.Mylsjk ckxs’oj
4 feyu ,tsUlh] y?kq m|ksx ,oa ckxukFk izksMDV LFky ckxs’oj
5 fte dkWcsZV
6 Xkk;=h fo|k efUnj ckxs’oj
7 ljdkjh dk;kZy;ksa] cSadksa ,oa O;olkf;d izfr”Bku
8 O;kikfj;ksa VSDlh ekfydksa vU;  laLFkku
9 gksVy jktnwr LVs’ku jksM ckxs’oj
10 ih,e Jh dsUnzh; fo|k;y dkSlkuh
11 tutkx:drk dk;ZØe
12 x:M+ uxj {ks= oT;wyk {ks=
13 Hkkjrh; LVsV cSad] ;w0dsk0 cSad] uSuhrky csSad didksV
</t>
  </si>
  <si>
    <t>eksVjlkbZfdy</t>
  </si>
  <si>
    <t xml:space="preserve"> 'kkWVZ lfdZV] fctyh dk rkj VwVuk] [kj&amp;irokj tykuk] vKkr] ykijokgh ls /kweziku</t>
  </si>
  <si>
    <t>dPps edku o xkS'kkyk] xasgw] nqdku] &gt;kfM;ksa] xsagw ds dVs uky es</t>
  </si>
  <si>
    <t xml:space="preserve"> 'kkWVZ lfdZV] ekuoh; ykijokgh]e'khu esa LikdZ ls] dUos;j cSYV esa LikdZ </t>
  </si>
  <si>
    <t>&gt;kfM;ksa] lkbZDyksu MDV] xsV ds &gt;Tts</t>
  </si>
  <si>
    <t xml:space="preserve"> 'kkWVZ lfdZV] xsgw dh ujbZ tykuk] vKkr] ykijokgh ls /kweziku</t>
  </si>
  <si>
    <t>xsgw ds [ksr] ?kj] dPps edku]Hkwls ds &lt;sj] &gt;ksiMh] ijkyh] cxhps</t>
  </si>
  <si>
    <t>?kj] &gt;ksiMh] nqdku QSDVªh] xsgw ds [ksr] xSl fjlko] FkeZy¶;wy xeZ gksdj yhdst gksus ls] xsgw dh uky] &gt;kfM;ks</t>
  </si>
  <si>
    <t xml:space="preserve"> 'kkWVZ lfdZV] vKkr] ykijokgh ls /kweziku</t>
  </si>
  <si>
    <t>?kj o &gt;ksiMh] nqdku]ijky] xsgw dh uky] &gt;kfM;sk</t>
  </si>
  <si>
    <t>ykijokgh ls /kweziku] xsgw dh uky tykuk] 'kkWVZ lfdZV]vKkr] xSl fjlko fpaxkjh</t>
  </si>
  <si>
    <t>xksnke] xsgw ds [ksr] xsgw dh ujbZ tykuk] nqdku] dckM] &gt;kfM;ksa] yscj DokVZl] dVs gq, xsagw ds &lt;sj</t>
  </si>
  <si>
    <t>phuh fey dh [kksbZ esa]dckM ds xksnke] &gt;ksiMh] &gt;kfM;ks]¶;wpj ck;ks ,uthZ] xsgw dh ujbZ] Vªd esa yns xRrs esa] dckM ds xksnke</t>
  </si>
  <si>
    <t>xsgw ds [ksr]]Hkwls ds &lt;sj] &gt;ksiMh] xUus dh [kksbZ essa</t>
  </si>
  <si>
    <t xml:space="preserve">1  vkbZ0th0,y0QSDVªh ds lkeus jksM ds chp esa isM fxjk Fkk ftlls ;krk;kr ckf/kr gks jgk FkkA Qk;j jsLD;w Vhe }kjk oqMu dVj dh lgk;rk ls isM dks dkV dj jksM ls fdukjs fd;k x;kA 
2 pSrh pkSjkgk ds ikl  jksM ds chp esa isM fxjk Fkk ftlls ;krk;kr ckf/kr gks jgk FkkA Qk;j jsLD;w Vhe }kjk oqMu dVj dh lgk;rk ls isM dks dkV dj jksM ls fdukjs fd; x;kA
3 nfM;ky jksM VkMk dk”khiqj   jksM ds chp esa isM fxjk Fkk ftlls ;krk;kr ckf/kr gks jgk FkkA Qk;j jsLD;w Vhe }kjk oqMu dVj dh lgk;rk ls isM dks dkV dj jksM ls fdukjs fd; x;kA
4 ekfj;k Ldwy ds ikl dk”khiqj   jksM ds chp esa isM fxjk Fkk ftlls ;krk;kr ckf/kr gks jgk FkkA Qk;j jsLD;w Vhe }kjk oqMu dVj dh lgk;rk ls isM dks dkV dj jksM ls fdukjs fd; x;kA
5 cgy iSij fey ds ikl vyhxat jksM dk”khiqj jksM ds chp esa isM fxjk Fkk ftlls ;krk;kr ckf/kr gks jgk FkkA Qk;j jsLD;w Vhe }kjk oqMu dVj dh lgk;rk ls isM dks dkV dj jksM ls fdukjs fd; x;kA
6 fo'kky esxk ekVZ :nziqj ds ikl isM+ fxjk Fkk ftlls ;krk;kr ckf/kr gks x;k FkkA Qk;j ;wfuV }kjk oqMdVj dh lgk;rk dkVdj ekxZ lqpk: fd;k x;kA
</t>
  </si>
  <si>
    <t xml:space="preserve">1 eS0 ywdkl Vh0oh0,l0 fy0] IykV ua0&amp;55 lsDVj 11 
2 eS0 bUM~;ksjsUl VsDukWyktht fyfeVsM lsDVj 10
3 izdk”k ikbi izk0 fy0 
4 oh xkMZ bMLVªht eqjknkckn jksM dk”khiqj 
5 xq:dqy Qkm.Ms”ku dq.Ms”ojh jksM dk”khiqj 
6 Lkej LVMh gkWy Ldwy dq.Ms”ojh dk”khiqj 
7 eS0 lgksrk isilZ çk0fy0 tliqj
8 eS0 flokark LiwuVSDl çk0fy0 tliqj
9 eS0 l‚bZ bafLV;wV v‚Q esfMdy lkabl egqokMkcjk tliqj
10 eS0 ,jkbt Xykscy Ldwy vkokl fodkl d‚yksuh tliqj
11 ou foHkkx irjkeiqj] rglhy tliqj
12 dje b.MLVªht çk0fy0
13 jSdsV cSdsukbtj 
14 osyesDl çk0fy0 ;wfuV 2
15 bf.M;u VksulZ ,.M MsosyilZ
16 ,pihlh,y
</t>
  </si>
  <si>
    <t xml:space="preserve">1-  ikyhIySDl çkbosV fyfeVsMyksfg;kgSM jksM
2-  ukxfjd fpfdRlky; [kVhek
3-  ljLorh ,dsMeh [kVhek 
4-  fo'kky esxk ekVZ vekÅa [kVhek
5- cSad v‚Q cM+kSnk flrkjxat jksM
6- fn dwekaZpy uxj lgdkjh cSad vk;Zu ikbYl gkWfLiVy  eqjknkckn jksM dk”khiqj 
7 xzke iqjuiqjo egqokMkcjk tliqj
8 Hkkjrh; LVsV cSd dq.Mk tliqj
9 eS0 uSuhrky cSad dq.Mk tliqj
10 eS0 Jhxq: —ik isVªksy iEi tliqj
11 eS0 foeyk fQfyax LVs'ku x&lt;+husxh tliqj
12 xksYMu QuhZpj 
13 PNB cSad flrkjxat
14 HDFC cSad flrkjxat
15 ia0 jke lqesj 'kqDyk esfMdy dkWyst :nziqj
16 lkfe;k ysd flVh
17 gksjhtu iSDl izk0 fy0 
</t>
  </si>
  <si>
    <t xml:space="preserve">1- ukxfjd fpfdRlky;
2-  ljLorh ,dsMeh [kVhek
3-  cSad v‚Q cM+kSnk flrkjxat jksM
4&amp;eS0 ijh g‚fLiVy tliqj
5&amp;eSVªksikWfyl jsftMsfUl;y lkslk;Vh uSuhrky jksM :nziqj
6&amp;vkseSDl fjosjk jsftMsfUl;y lkslk;Vh uSuhrky jksM :nziqj
</t>
  </si>
  <si>
    <t xml:space="preserve">1 ftyk feuh vkS|ksfxd laLFkku HkVokM+hlS.k  
2 ek/kokJe 'kadjkpk;Z ftyk vLrirky dksVs'oj
3 phM+cklk ftyk Lrfj; e‚d ,DljlkbZt
4 Mksfy;k nsoh QkVk ftyk Lrfj; e‚d ,DljlkbZt
5 gSyhiSM Jh dsnkjukFk ftyk Lrfj; e‚d ,DljlkbZt
</t>
  </si>
  <si>
    <t xml:space="preserve">1 ftyk feuh vkS|ksfxd laLFkku HkVokM+hlS.k  
2 ek/kokJe 'kadjkpk;Z ftyk vLrirky dksVs'oj
3 jktdh; i‚fyVsfDud d‚yst jrwM+k
4 vyduank isVªksy iEi A
5 vydUnk gksVy]
6 LVsV cSad v‚Q bafM;k ?kksyrhj ¼uxjklw½
7 iouiq= gksVy ,aM jsLVksjsaV]dqedqe iSysl] deys'k gksVy &amp;jsLVksjsaV] gksVy fo".kqukFk jsLVksjsaV] lSfud gksVy] 
gksVy l`f"V p‚bl A
8 ek/kokJe ftyk fpfdRlky; dksVs'oj rFkk jktdh; vLirky #æç;kx
9 jktdh; vLirky vxLR;eqfu
10 eankfduh gksVy 
11 f'kokyd oSyh fjl‚VZ lhrkiqj ¼lksuç;kx½
</t>
  </si>
  <si>
    <t xml:space="preserve">1 jktdh; i‚fyVsfDud d‚yst jrwM+k
2 vyduank isVªksy iEi A
3 vydUnk gksVy]nhid xsLV gkml] Vîwfyi fjlkVZ A
5 LVsV cSad v‚Q bafM;k ?kksyrhj ¼uxjklw½
6 iouiq= gksVy ,aM jsLVksjsaV]
7 dqedqe iSysl]deys'k gksVy &amp;jsLVksjsaV] gksVy fo".kqukFk jsLVksjsaV] lSfud gksVy]gksVy l`f"V p‚bl
8 jktdh; vLirky vxLR;eqfu
9 eankfduh gksVy 
10 f'kokyd oSyh fjl‚VZ lhrkiqj ¼lksuç;kx½
</t>
  </si>
  <si>
    <t>1veljdksV fctkSjh esa lM+d ij fxjs ,d fo'kky phM+ dk isM+ dks dkVdj gVkrs gq, lMd ekxZ fuckZf/kr djuk
2 xzkae gM+ckM+ bUVj dkWyst ds ikl ekufld :Ik ls ,d O;fDr dk xqQk ds vUnj pys tkuk 
3uhys'oj egknso efUnj ds ikl [kkbZ esa fxjs ,d cNMs+ dk jsLd;w dk;ZA
4,p0Mh0,Q0lh0 cSad ckxs'oj ds ikl ukys esa fxjh ,d xk; dk jsLd;wA
5xzke HksVk esa pUnz nRr isVªksy iai ds ikl xM~&lt;s esa fxjs ,d cNMs+ dk jsLd;w dk;ZA
6 mrjksMk didksV esa igkM+h esa Qalh xk; dk jsLd;w dk;ZA
7 dkSlkuh lkSy QSDVªh ds ikl lM+d ij fxjs ,d fo'kky phM+ dk isM+ dks dkVdj gVkrs gq, lMd ekxZ fuckZf/kr djuk</t>
  </si>
  <si>
    <t>1 fcUns'ojh ,fDte izk0fy0 dhfrZuxj fV0x0
2 xzke L;klw Nke d.MhlkSM fV0x0
3 e0 'kwVSd QqVos;lZ bf.M;k ,y,yih &lt;kyokyk b.M0 ,fj;k
4 fizUV vks iSd &lt;kyokyk
5 ;ksxk fudsru eqfu dh jsrh</t>
  </si>
  <si>
    <t>1 xzke lkcyh o xaxk O; vikVZesUV fV0x0
2 fo'kky esxkekVZ ,fDll cSad ckSjkMh
3 xzke Mkxj ujsUnzuxj</t>
  </si>
  <si>
    <t>1 jktdh; ftyk vLirky ckSjkMh
2 ohoh,l ifCyd Ldwy dqVVk
3 izk0 Lok0 dsUnz Nke fV0x0
4 izk0 Lok0 dsUnz fiy[kh fV0x0
5 izk0 Lok0 dsUnz uUnxkao fV0x0
6 lkeq0 Lok0 dsUnz pEck
7 Jh nso lqeu ftyk fpfd0 ujsUnzuxj
8 jktdh; b.Vj dkWyst ujsUnzuxj
9 ,l-ch-vkbZ ujsUnzuxj</t>
  </si>
  <si>
    <t xml:space="preserve"> 'kkWVZ lfdZV] ykijokgh ls /kweziku] xSl fjlko</t>
  </si>
  <si>
    <t>?kj] dSfedy QSDVªh] dwMk MfEiax tksu] ,lhesa]xksnke]i'kq'kkyk] &gt;kfM;ks] Vªd esa yns Løsi] [kkyh IykWV &gt;kfM;ksa esa</t>
  </si>
  <si>
    <t>vKkr] ykijokgh ls /kweziku] 'kkWVZ lfdZV]pwYgs dh xeZ jk[k]</t>
  </si>
  <si>
    <t>VSEiks] xUus o xsagw ds [ksr] dkWl o &gt;kfM;ksa]IykfLVd ds xksnke esa]eksVjlkbZfdy] fo|ky;] ?kjks esa] miyks ds &lt;sj] Hkwls ds &lt;sj</t>
  </si>
  <si>
    <t>ih,uth ikbZiykbZu eSUVhuSal] gok ds }kjk vkx Qsyuk]vKkr] 'kkWVZ lfdZV] xSl fjlko</t>
  </si>
  <si>
    <t>dkj] &gt;ksiMh] ih,uthikbZiykbZu] fizfVax e'khu]&gt;kfM;ksa] ,yihth flys.Mj</t>
  </si>
  <si>
    <t xml:space="preserve"> /kweziku] vKkr</t>
  </si>
  <si>
    <t>xUus ds [ksr] xsagw ds [ksr] miyks ds &lt;sj] ljd.Mksa] MfEiax tksu</t>
  </si>
  <si>
    <t xml:space="preserve"> 'kkWVZ lfdZV] ykijokgh ls /kweziku]</t>
  </si>
  <si>
    <t xml:space="preserve"> &gt;ksiMh] Hkwlk?kj VªSDVj]miyks ds &lt;sj] Hkwls ds &lt;sj] xsgw ds &lt;sj] &gt;ksiMh</t>
  </si>
  <si>
    <t>eq[;ky;@,lMhvkj,Q</t>
  </si>
  <si>
    <t>Qk0LVs0 ubZ fVgjh
Qk0LVs0 dksV}kj</t>
  </si>
  <si>
    <t>,Q,e ujs'k 'kekZ</t>
  </si>
  <si>
    <t>x`g ea=ky; Hkkjr ljdkj }kjk o"kZ 2025 esa jsLd;w dk;ksZ gsrq iznku dh x;h czkUt fMLd iznku fd;k tkuk</t>
  </si>
  <si>
    <t>taxy dh vkx ls  e'k:e QkeZ esa vkx yxuk] fdpu esa xSl pwYgs ij j[kh d&lt;kbZ ds rsy ds vksojghV ds dkj.k fpeuh esa] 'kkWVZ lfdZV] vkdk'kh; fctyh fxjuk] fo|qr gkbZVsa'ku ykbZu ls fxjh fpaxkjh ls] vKkr</t>
  </si>
  <si>
    <t>e'k:e QkeZ] ?kj ds fdpu][ksr o &gt;kfM;ksa] ckal ds &gt;qjeqV] [kkyh IykWV &gt;kfM;ks</t>
  </si>
  <si>
    <t>e0,Q0,e0 lUrks"kh xqlkabZ</t>
  </si>
  <si>
    <t>ofj0iq0v/kh0 nsgjknwu</t>
  </si>
  <si>
    <t>ekg Qjojh esa vfXudk.M dh ?kVukvksa ij lokZf/kd izfrHkkx fd;s tkus ij iz'kfLr i= iznku fd;k x;kA</t>
  </si>
  <si>
    <t>ykijokgh] 'kkWVZ lfdZV] ,-lh Qvuk] nhid tyus]vksojghfVax] vkfr'kckth]</t>
  </si>
  <si>
    <t>isM] ?kj] [kkyh IykWV] dSUVhu] gkfLiVy] cSad vkWQ cMkSnk]yhph ds ckx] fo|qr iksy]</t>
  </si>
  <si>
    <t xml:space="preserve">ykijokgh ls /kweziku] 'kkWVZ lfdZV] xSl fjlko] vKkr O;fDr }kjk okgu esa vkx yxkuk] </t>
  </si>
  <si>
    <t>&gt;ksifM;ks] Vªsfpax xzkm.M] ?kj] fo|qr rkjksa]eksVjlkbZfdy]</t>
  </si>
  <si>
    <t xml:space="preserve">vKkr] HkVVh dh fpeuh ls fudyh fpaxkjh ls] 'kknh dh vkfr'kckth ls] </t>
  </si>
  <si>
    <t>ijkyh ds &lt;sj] xUusa dh [kksbZ] nsoHkwfe ;wfuoflZVh] [kkyh IykWV];wdsfyIVl ds ckx</t>
  </si>
  <si>
    <t xml:space="preserve"> 'kkWVZ lfdZV] yksgk dfVax dk;Z ds nkSjku mBh fpaxkjh ls] ykijokgh] vKkr</t>
  </si>
  <si>
    <t xml:space="preserve">nqdku] dckM ds xksnke] nqdku ,oa okgu] VªkUlQkeZj]dwMs ds &lt;sj]Hkwls esa] isM] iqfyl pkSdh MkdiRFkj vkokl esa] vke ds cxhps] </t>
  </si>
  <si>
    <t>lw[kh ?kkl] ijky ds &lt;sj] Hkwls ds &lt;sj]&lt;kcs esa]&gt;kfM;ksa</t>
  </si>
  <si>
    <t xml:space="preserve"> Mock Drill/Jan jagrukta/Training Program Conducted in Year 2024</t>
  </si>
  <si>
    <t xml:space="preserve">S.I </t>
  </si>
  <si>
    <t>Mock Drill</t>
  </si>
  <si>
    <t>Nos of Participent</t>
  </si>
  <si>
    <t>Jan jagrukta</t>
  </si>
  <si>
    <t>UDN</t>
  </si>
  <si>
    <t xml:space="preserve"> Mock Drill/Jan jagrukta/Training Program Conducted in Year 2025 upto 30 apr 2025</t>
  </si>
  <si>
    <t xml:space="preserve">1fdekMh unh esa ,d yM+dk nwc x;k Fkk ftls Qk;j lÆol ;wfuV ,oa ,lMhvkj,Q dh Vhe }kjk ckgj fudkyk x;k mä yM+ds dh Mwcus ls e`R;q gks x;h Fkh ftls 108 dh lgk;rk ls gkfLiVy Hkstk x
2 Vh,pMhlh dkyksuh esa ,d vkoklh; ?kj esa vUnj ls dq.Mh yx x;h Fkh ftlesa vUnj xSl ,oa b.MD'ku ty jgk Fkk Qk;j lÆol ;wfuV }kjk frljh xÆty rd ySMj yxkdj njokts dh dq.Mh [kksyh x;h rFkk xSl ,oa b.MsD'ku dks cUn fd;k 
3 vk'khokn bUdyso thå,eå,l jksM nsgjknwu esa nks O;kfä fy¶V esa Ql x;s Fks ftUgs Qk;j lÆol ;wfuV }kjk ldq'ky ckgj fudkyk x;kA
4  egksn; daVªksy :e _f"kds'k ls ohjHkæ frjkg foLFkkfir d‚yksuh vkÃ-Mh-ih-,y- _f"kds'k ds lehi isM fxjus dh lwpuk ij Qk;j lÆol ;wfuV vfoyEc vfXu'keu okgu] vkink midj.kksa ds lfgr ?kVuk LFky ij igqaphA ?kVuk LFky ij igqapdj ns[kk fd ,d fo'kkydk; isM vkaèkh&amp;rwQku ds dkj.k lMd ekxZ ij fxjk Fkk ftls ,Q,l ;wfuV us oqMu dVjksa dh lgk;rk ls isM dks NksVs&amp;NksVs Hkkxks esa dkVdj lMd ekxZ ls gVk;k x;k ,oa ;krk;kr lqpk: djk;k x;kA
5 xzkfQd ,sjk g‚fLiVy ds ikl eSu jksM ij 01 fo"kkyh; isM dh ?kk[kk esu jksM ij fxjk Fkk ftls ,Q,l ;wfuV us oqMu dVj dh lgk;rk ls isM dh "kk[kk dks dkVdj ;krk;kr lqpk: :i ls pkyw fd;k x;kA
</t>
  </si>
  <si>
    <t xml:space="preserve">7 laxe iSysl gksVy ds ikl xkM+h ds Åij isM+ fxjk Fkk ftls oqM dVj dh lgk;rk ls dkVdj gVk;k x;kA 
8 oS".ko }kj ds ikl fctyh ds rkj o VªkUlQkWeZj ds Åij isM+ fxjk Fkk ftls oqM dVj dh lgk;rk ls dkVdj gVk;k x;kA 
9 Mh,e dk;kZ;y ds ikl isM+ fxjk Fkk ftls oqM dVj dh lgk;rk ls dkVdj gVk;k x;kA 
10  lh,e vkokl rFkk yksfg;kgsM gSyhisM ds chp esa ,d isM+ fxjk gS th0lh0ch0 dh enn ls isM+ ds VqdM+ksa dks lM+d ls gVkdj vkoktkgh iqu% 'kq: djokÃ 
11 ck;ikl jksM ij KITM d‚yst ds ikl ,d v‚YVks rFkk VªSDVj dh Vôj gks xÃ gS rFkk dkj dk Mªkboj dkj esa Qalk gqvk gS A Qk;j ;wfuV rRdky ?kVukLFky ij jokuk gqÃ A LFkkuh; yksxksa }kjk Qk;j ;wfuV ds igqapus ls iwoZ gh ?kk;yksa dks fudkydj ,Ecqysal ds ekè;e ls vLirky jokuk dj fn;k Fkk A ?kVukLFky ij LFkkuh; iqfyl Hkh ekStwn FkhA 
12 ,lMh,e vkokl :nziqj ds ikl rst gok o rwQku ds dkj.k isM+ fxj x;k FkkA
</t>
  </si>
  <si>
    <t>9 egksn; fnukad 26-04-2025 dks le; 09%50 cts thoux&lt; esa ukys esa ,d xk; ds fxjs gksus dh lwpuk ij Qk;j ;wfuV vfoyEc ?kVuk LFky ds fy, çLFkku gq;s] igqapdj ns[kk fd thoux&lt; esa ukys esa ,d xk; fxjh Fkh] ftls Qk;j ;wfuV us LFkkuh; yksxksa dh lgk;rk ls ukys ls ldq'ky ckgj fudkyk x;k
10 ?kVuk dh lwpuk çkIr gksrs gh ,Qå,lå ;wfuV e; midj.k o lkt lTtk ?kVukLFky ds fy, jokuk gq;h tkdj ns[kk fd lM+d ij nks cM+s 'kgrwr ds isM+ fxjs gSa ,Q ,l ;wfuV us Rofjr dk;Zokgh dj vko';d midj.kksa dh lgk;rk ls nksuksa isM+ksa dks dkVdj lM+d ls gVk fn;k x;k ekxZ dks lqpk# fd;k] jkLrs ij ,d i{kh ?kk;y voLFkk esa feyh tks fd rwQku o ckfj'k ds dkj.k grkgr gq;h Fkh i{kh dks çkFkfed fpfdRlk nsdj dqN le; ckn LoLFk gksdj mM+ x;hA ckn lekIr jkgr dk;Z ds ,Qå,lå ;wfuV ?kVukLFky ls çLFkku dj okil ,Qå,lå ij mifLFkr gq;h okgu dk lkeku pkSd djkdj Bhd ikdj okgu dks iqu% VukZmV ij yxk;k x;kA
11 ?kVuk dh lwpuk çkIr gksrs gh ,Qå,lå ;wfuV e; midj.k o lkt lTtk ?kVukLFky ds fy, jokuk gq;h tkdj ns[kk fd lM+d ij Msadu Msadu dk isM+ fxjk gS ,Q ,l ;wfuV us Rofjr dk;Zokgh dj vko';d midj.kksa dh lgk;rk ls nksuksa isM+ dks dkVdj lM+d ls gVk fn;k x;k ekxZ dks lqpk# fd;k] ckn lekIr jkgr dk;Z ds ,Qå,lå ;wfuV ?kVukLFky ls çLFkku dj okil ,Qå,lå ij mifLFkr gq;h okgu dk lkeku pkSd djkdj Bhd ikdj okgu dks iqu% VukZmV</t>
  </si>
  <si>
    <t>vkx cq&gt;us dh lwpuk izkIr gksus ij e/; ekxZ ls okil vk;s</t>
  </si>
  <si>
    <t>1 fe'ku b.Vj dkWyst jkuh[ksr
2 v'kksdk gkWy xYlZ jsftMsfUl;y Ldwy jkuh[ksr</t>
  </si>
  <si>
    <t>1 xzke vlxksMk jkuh[ksr ds ikl lMd ij fxjs fo'kky o`{k dks dkVdj gVkrs gq, lMd ekxZ fuckZf/kr djuk
2 thch iUr laLFkku dkslh ds ikl ikl lMd ij fxjs fo'kky o`{k dks dkVdj gVkrs gq, lMd ekxZ fuckZf/kr djuk
3 vkehZ ,eVh xSjkt ds ikl ij fxjs fo'kky o`{k dks dkVdj gVkrs gq, lMd ekxZ fuckZf/kr djuk</t>
  </si>
  <si>
    <t xml:space="preserve">1 ckjkgh okfuZ'k m|ksx jkuh[ksr
2 lsojkWu jkst ekm.V
3 fpfdRlky; Nkouh ifj"kn jkuh[ksr
4 vcZu dksijsfVo cSad 
5 'ksjs iatkc ckj ,.M jsLVksjs.V
6 vkse eSVy QSDVªh
7 dksijsfVo Mªx QSDVªh
8 vksfj;u eSVy ikmMj izk0fy0
9 ,l0,u0 JhokLro gkWfLiVy
10 ,u0ds0 ik.Ms fDyhfud
11 feuh ekVZ jkuh[ksr
12 ,DlVj fgeky; O;w
13 ,pMh,Qlh cSad
14 cSad vkWQ cMkSnk
15 iatkc us'kuy cSad
16 {ks=h; vk;qosZfnd vuqla/kku laLFkku
17 lyksuk fjlksVZ ejpwyk jkuh[ksr
18 jktdh; vkS|kSfxd izf'k{k.k laLFkku [kwaV vYeksMk
</t>
  </si>
  <si>
    <t>05-04-2025
23-04-2025
07-04-2025</t>
  </si>
  <si>
    <t>1
&amp;
1</t>
  </si>
  <si>
    <t>&amp;
1
&amp;</t>
  </si>
  <si>
    <t>&amp;
&amp;
&amp;</t>
  </si>
  <si>
    <t>Qk0LVs0 fiFkkSjkx&lt;
Qk0LVs0 ckxs'oj
Qk0LVs0 yksgk?kkV</t>
  </si>
  <si>
    <t>09-04-2025
12-04-2025</t>
  </si>
  <si>
    <t>Qk0LVs0 fiFkkSjkx&lt;
Qk0LVs0 Vudiqj</t>
  </si>
  <si>
    <t>,Q,e 132 vuoj vyh</t>
  </si>
  <si>
    <t>pwYgs dh vkx</t>
  </si>
  <si>
    <t xml:space="preserve">vKkr] 'kkWVZ lfdZV] </t>
  </si>
  <si>
    <t xml:space="preserve">isM] dwMs ds &lt;sj] ydMh ds &lt;sj]/keZ'kkyk]nqdku] </t>
  </si>
  <si>
    <t>1 Fkkuk iaps'oj {ks=kUrxZr dkyh unh esa dwnh efgyk dk 4 fnu rd lpZ vfHk;ku pykdj efgyk dk 'ko cjkxn dj fy;k x;k
2 eka iw.kkZfxjh ekxZ ds fudV lMd fdukjs gkbZVSa'ku fo|qr ykbZu ds mij fxjs isM dks dkVdj lMd ekxZ dks lqjf{kr ,oa fuckZf/kr fd;k tkuk</t>
  </si>
  <si>
    <t>1 ou foHkkx ds lkFk la;qDr ekWd fMªy
2 efYydktqZu Ldwy yksgk?kkV
3 ,l0bZ0 ,dsMeh
4 ikVuh IykfLVd da0 xzke xqneh cuclk
5 gcZy izksMDV lhM Vudiqj
6 ;wds czkM ok;j eSl  cuclk
7 Cyw ekm.Vsu Ldwy Vudiqj
8 cpiu Iys Ldwy Vudiqj
9 vVy mRd`"B jkckbZdk Vudiqj
10 uUnk dkUdyso Ldwy [kdZoky xkMZu Vudiqj
11 dsUnzh; fo|ky; pEikor</t>
  </si>
  <si>
    <t>1 jksMost LVs'ku yksgk?kkV
2 [ksrh[kku ekdsZV
3 ckjkdksV ekdsZV
4 ikVh ekdsZV
5 Vudiqj@cuclk {ks= rqylhjke pkSjkgk] jktkjke pkSd] fiFkkSjkx&lt; pqax] ihyhHkhr pqaxh] pMMk pkSjkgk] Vudiqj@ehukcktkj esu ekdsZV  cuclk
6 mi ftyk fpfdRlky; Vudiqj
7 thou uflZax gkse cuclk
8 dLrwjck xka/kh ckfydk vkoklh; Nk=kokl] Vudiqj@xzke vkeckx Vudiqj
9 u'kk eqfDr dsUnz cuclk
10 cl LVS.M Vudiqj
11 iwju lkbZfdy LVskj fiFkkSjkx&lt; pqaxh Vudiqj
12 pEikor cl LVs'ku
13 gksVy ekm.V O;w
14 lfdZV gkml gSyhiSM</t>
  </si>
  <si>
    <t>1 lksyj IykaV [ksrh[kku
2 chvkbZVh,e yksgk?kkV
3 miftyk fpfdRlky; pEikor
4 Hkxorh ¶;wYl yksgk?kkV
5 ikoZrh fQfyax LVs'ku
6 ,lchvkbZ yksgk?kkV
7 ih,uch yksgk?kkV
8 ,lchvkbZ Vudiqj 
9 ih,uch Vudiqj
10 ;wfu;u cSD Vudiqj
11 m|ksx foHkkx pEikor
12 nqX/k Ms;jh pEikor
13 ftyk vLirky pEikor
14 thou vueksy uflZax gkse pEikor</t>
  </si>
  <si>
    <t>1
1
1
1
1
&amp;
&amp;
1
1</t>
  </si>
  <si>
    <t xml:space="preserve">Qk0LVs0 dk'khiqj
Qk0LVs0 iUruxj
Qk0LVs0 ubZ fVgjh
Qk0LVs0 ujsUnz uxj
Qk0LVs0 :Mdh
Qk0LVs0 ikSMh
Qk0LVs0 _f"kds'k
Qk0LVs0 cMdksV
Qk0LVs0 mRrjdk'kh
</t>
  </si>
  <si>
    <t xml:space="preserve">vKkr] /kweziku] vyko tykus ls </t>
  </si>
  <si>
    <t>dwMs ds &lt;sj] ikfdZax] xkS'kkyk</t>
  </si>
  <si>
    <t>fpU;kyhlkS&lt;</t>
  </si>
  <si>
    <t>nqdku] ?kj</t>
  </si>
  <si>
    <t>1 vij ;equk ou izHkkx dk;kZy; cMdksV
2 fgeky;u Qzs'k izk0fy0 ukSxkao
3 vVy mRd`"V thvkbZlh [kjknh</t>
  </si>
  <si>
    <t>1 lkeq0 Lok0 dsUnz ukSxkao
2 lkeq0 Lok0 dsUnz ukSxka
3 Lokeh foosdkuUn fpfdRlky; cMdksV</t>
  </si>
  <si>
    <t>1 gksVy vloky 'k:[ksr
2 gksVy lwjr iSysl
3 gksVy fnO; izse gal L;kukpVVh</t>
  </si>
  <si>
    <t>&amp;
&amp;
&amp;
1
&amp;
1
1
&amp;
&amp;</t>
  </si>
  <si>
    <t xml:space="preserve">&amp;
&amp;
&amp;
&amp;
&amp;
&amp;
&amp;
&amp;
&amp;
</t>
  </si>
  <si>
    <t xml:space="preserve"> 03 fnol ,QMh ls nf.Mr fd;k x;k</t>
  </si>
  <si>
    <t>M;wVh ls vuqifLFkr ik;s tkus ij</t>
  </si>
  <si>
    <t>Vudiqj tuin pEikor</t>
  </si>
  <si>
    <t xml:space="preserve">03-04-2025
05-04-2025
01-04-2025
19-04-2025
28-04-2025
24-04-2025
25-04-2025
25-04-2025
26-04-2025
</t>
  </si>
  <si>
    <t>&amp;
1
1</t>
  </si>
  <si>
    <t xml:space="preserve">09-04-2025
14-04-2025
</t>
  </si>
  <si>
    <t>tkap izpfyr] vKkr</t>
  </si>
  <si>
    <t>ijpwu dh nqdku] cl</t>
  </si>
  <si>
    <t xml:space="preserve">1 jkeyhyk eSnku mRrjdk'kh fdukjs acus ukys esa Qalh xk; dk jsLd;w
2 Fkkuk cMdksV ds xzke fdluk esa jktekxZ ij fxjs fo'kky o`{k dks dkVdj gVkrs gq, lMd ekxZ fuckZf/kr djuk
3 ;equks=h jksM [kjknh esa jktekxZ ij fxjs fo'kky o`{k dks dkVdj gVkrs gq, lMd ekxZ fuckZf/kr djuk
4 Fkkuk cMdksV esa vVy mRd`"V jktdh; b.Vj dkWyst [kjknh esa Ldwy Hkou ij fxjs isM dks dkVdj gVkuk
</t>
  </si>
  <si>
    <t>1 iqfyl mik/kh{kd dk;kZy; ds lkeus ukys esa Qalh xk; dk jsLd;w
2 ikSMh ikckS eksVjekxZ ij fxjs isM dks dkVdj gVkrs gq, ekxZ ;krk;kr gsrq lqjf{kr ,oa fuckZf/kr fd;k tkuk
3 ikckS eksVjekxZ ij fxjs isM dks dkVdj gVkrs gq, ekxZ ;krk;kr gsrq lqjf{kr ,oa fuckZf/kr fd;k tkuk
4 lriqyh ls 2 fdeh ikSMh jktekxZ ij [kkbZ esa fxjh dkj ls jsLd;w dk;Z dj 1 O;fDr dks [kkbZ ls fudkydj vLirky igqapkuk</t>
  </si>
  <si>
    <t xml:space="preserve">1 dsUnzh; fo|ky; ikSMh
2 fgYl b.Vjus'kuy Ldwy ikSMh
3 jkT; Lrjh; ekWd fMªy Jhuxj
4 fgeky;u gkV ikSMh
5 gksVy ,'kksfl,'ku JhdksV Jhuxj
6 ,dEl gSYFk ds;j fy0 xzksFk lsaVj dksV}kj
</t>
  </si>
  <si>
    <t>1 uflZax dkWyst MksHk JhdksV 
2 fodkl Hkou ikSMh
3 ,uthvks ijlq.Mk[kky ikSMh
4 f'ko'kfDr gksVy
5 e/kqou ykWt
6 gksVy oSyh bu
7 izrki gksVy ,.M jsLVkSjs.V
8 gksexkMZ izf'k{ks dsUnz JhdksV
9 miftyk la;qDr fpfd0 Jhuxj
10 vkjlh eSeksfj;y ifCyd Ldwy mQYMk
11 xq:dqy Ldwy Jhuxj
12 LdkbZusV ifCyd Ldwy ?kfl;k egknso Jhuxj
13 ftyk lgdkjh cSad Jhuxj
14 ;wfu;u cSad vkWQ bf.M;k Jhuxj
15 n dqekZapy cSad Jhuxj
16 ,fDll cSad Jhuxj
17 bf.M;u vksojlht cSad Jhuxj
18 n ek'kZy ifCyd Ldwy Jhuxj
19 lat; ykWt] jktgal foJke x`g
20 vEchV VªkUlfeV izk0fy0 xzksFk lsaVj dksV}kj
21 egf"kZ fo|k eafnj Ldwy chbZ,y jksM dksV}kj
22 iatkc us'kuy cSad dksV}kj
23 ,lchvkbZ dksV}kj</t>
  </si>
  <si>
    <t xml:space="preserve">1 thohds Mse Jhuxj
2 ,lchvkbZ ikSMh
3 ch0vkj0ek0 fo|ky; ikSMh
4 fo'kky esxkekVZ Jhuxj
5 ftyk vLirky ikSMh
6 eSu ekdsZV ikSMh
7 Jhuxj ekdsZV 
8 Jhuxj ekdsZV 
9 jk0iw0ek0 fo|ky; dsU;wj
10 FkSyhlSM o O;klh cktkj
11 fxobZ jkt0 ek0 Ldwy
12 jkbZdk dijksyh
13 FkyhlSM cktkj
14 xzkelHkk ckylS.k FkyhlS.k
15 ds,elh gkWfLiVy ckyklkSM
16 ek¡ dkek[;k gkWfLiVy dksV}kj
17 vkxsZfud vk;qosZfnd gcZy LVksj y{e.k&gt;wyk
</t>
  </si>
  <si>
    <t xml:space="preserve">vKkr] 'kkWVZ lfdZV] okguksa dh vkilh VDDj] </t>
  </si>
  <si>
    <t>xsagw ds [ksr] nqdku] fey] &gt;ksiMh] dwMs]fdpu] Vªd] okbZu 'kkWi] cslesUV] ckbZd] ek:fr 'kks:e] fo|qr iksy] Hkwls ds &lt;sj] [ksrksa] isM</t>
  </si>
  <si>
    <t>?kj] ckbZd] Hkwls ds &lt;sj] dwMs</t>
  </si>
  <si>
    <t>jkeuuxj</t>
  </si>
  <si>
    <t>gkbZVsa'ku ykbZu dh fpaxkjh] /kweziku] 'kkWVZ lfdZV] ykijokgh]</t>
  </si>
  <si>
    <t>1 HkksfV;k iMko pkSdh ds ikl uSuhrky jksM ij fxjs isM dks dkVdj gVkrs gq, lMd ekxZ ;krk;kr gsrq lqjf{kr ,oa fuckZf/kr fd;k tkuk
2 lq'khyk frokjh vLirky ds ikl jktekxZ ij fxjs isM dks dkVdj gVkrs gq, lMd ekxZ ;krk;kr gsrq lqjf{kr ,oa fuckZf/kr fd;k tkuk
3 neqok&lt;waxk eYyk nsoMxMh dkWyksuh ds ikl  ?kj ds mij fxjs isM dks dkVdj gVkukA
43 neqok&lt;waxk eYyk nsoMxMh dkWyksuh ds ikl  ?kj ds mij fxjs isM dks dkVdj gVkukA
5 pUnzHkou pkVZu ykWt ds fudV lMd ls fQlydj ,d xk; edku ds xSyjh esa Qal x;h Fkh dks lqjf{kr jsLd;w fd;k x;k
6 u;uk xkao cfYn;k [kku gY}kuh jksM ij fxjs isMks dks dkVdj gVkrs gq, lMd ekxZ ;krk;kr gsrq lqjf{kr ,oa fuckZf/kr fd;k tkuk
7 ikWiyj QkeZslh fudV cfYn;k[kku gY}kuh jksM ij fxjs isM dks dkVdj gVkrs gq, lMd ekxZ ;krk;kr gsrq lqjf{kr ,oa fuckZf/kr fd;k tkuk
8 ,VhvkbZ ifjlj uSuhrky ds vUnj eq[; ekxZ ,oa Nr ij fxjs isM dks dkVdj gVkrs gq, lMd ekxZ ;krk;kr gsrq lqjf{kr ,oa fuckZf/kr fd;k tkuk</t>
  </si>
  <si>
    <t>1 uUnk gCZl izk0fy0</t>
  </si>
  <si>
    <t>1 vVy mRd`"V b.Vj dkWyst
2 czkbZV gkWy Ldwy Åapkiqy gY}kuh
3 lS.V tkslsQ dkWyst uSuhrky
4 vej esekSfj;y ifCyd Ldwy u;k xkao dkyk&lt;waxh
5 iqfyl ekWMuZ Ldwy vkbZvkjch cSyiMko
6 foØ; foHkkx ou fodkl fuxe vke Mk.Mk jkuuxj</t>
  </si>
  <si>
    <t>1 fgUnqLrku fizafVx izsl gYnwpkSM gY}kuh
2 vksje n Xykscy Ldwy dSuky jksM gY}kuh
3 ch,y,e Ldwy eksVkgYnw gY}kuh
4 okWd&amp;os ekWy uSuhrky gY}kuh
5 ih,uch eaxyiMko gY}kuh
6 cSad vkWQ cMkSnk uohu e.Mh gY}kuh
7 yhlk fMiks lqYrkuiqjh dkBxksnke gY}kuh
8 vjksjk IykbZoqM QSDVªh ih:enkjk</t>
  </si>
  <si>
    <t>,Q,e enu flag</t>
  </si>
  <si>
    <t>,Q,e ;'koUr falg</t>
  </si>
  <si>
    <t>vkWy bf.M;k Qk;j lfoZl xsEl esa mRd`"V izn'kZu dj esMy izkIr fd;s tkus gsrq</t>
  </si>
  <si>
    <t xml:space="preserve"> 'kkWVZ lfdZV] xSl fjlko] vKkr] ykijokgh ls /kweziku</t>
  </si>
  <si>
    <t>&gt;kfM;ksa] LdwVh] Jfedks ds fVu 'kSM] &gt;kfM;ksa</t>
  </si>
  <si>
    <t xml:space="preserve">tkucw&gt;dj </t>
  </si>
  <si>
    <t>izFke Lora=rk vkehZ fczxsM gkWfLiVy</t>
  </si>
  <si>
    <t>1 dLck peksyh ,oa xksis'oj
2 ts0ih gkbZMªks ikWoj IykWV
3 T;ksfr ifCyd Ldwy o jkbZdk jfoxzke</t>
  </si>
  <si>
    <t xml:space="preserve">1 igkMh QwM izksMDV izk0fy0 lxj 
2 jkbZdk XokM peksyh
3 ftyk fpfdRlky; xksis'oj peksyh
4 mRrjk[k.M ifCyd Ldwy xksis'oj
5 fcjgh xaxk gkbZMªksa ikWoj fy0 
6 iatkc us'kuy cSad T;ksfrZeB
7 ,lchvkbZ T;ksfrZeB
8 ;wthchvkbZ cSad T;ksfrZeB
9 cSd vkWQ cMkSnk T;ksfrZeB
</t>
  </si>
  <si>
    <t xml:space="preserve">1- eSllZQksjslLis”kfyVhdsfedy] b.MLVªh;y ,fj;kgfj}kjA
2- eSllZMsulksbaf.M;k] vkbZ-ih&amp;02 lyseiqj] egnwn~] gfj}kjA
3- eSllZehuk{khikWyhelZ]b.MLVªh;y ,fj;kcgknjkckngfj}kjA
4- eSllZf”koe~ vkWVksVsd] vkbZ-ih&amp;02 lyseiqj] egnwn~] gfj}kjA
5- eSllZthulbuksos”ku vkbZ-ih&amp;04 csxeiqj] gfj}kjA
6- gjfeykife”kujktdh; fpfdRlky;] gfj}kjA
7- fpujk; ftykefgykvLirky] gfj}kjA
8- nsoHkwfegkWfLiVy] jkuhiqjeksM+] gfj}kjA
9- lqns”keYVhLis”kfyVhgkWfLiVy] gfj}kjA
10- Jhxq: jkejk; ifCydLdwy]txthriqjgfj}kjA
11- f”koMsyifCydLdwy]txthriqjgfj}kjA
12- Mh-,-chlsUVªujhifCydLdwy] txthriqj] gfj}kj
13- ghjksxzhuvikVZesaVjks”kukckn] gfj}kjA
14&amp;eSllZ fQuksYkSDldscy izk0 fy0] xnjtqMMk&gt;cjsM+k
15&amp;eSllZ fedZbySDVªkseSd fy0] eq.;kdheaxykSj
16&amp;eSllZuUniz;kxQwM~Lk ;wdsizkbZosVfyfeVsM] xqM+e.MheaxykSj
17&amp;eSllZ dsosfUMl b.MLVªht [ksMhyDlj
18&amp;eSllZ Vh0vkbZ0Mh0lh izk0 fy0 xaxukSyh
19&amp; eS0 b.Vjus”kuy ekdsZfVsx izk0 fy0]] IykWV ua0 94] lsDVj 06,
20&amp; eS0 vkbZ-Vh-lh- fy0] IykWVua 01] lsDVj 11
21  eS0 lsQxkMZ b.MLVªht] IyWkV ua0 30] lsDVjIIDC
22  eS0 isUVk ysVsDl izk0 fy0] IykWV ua0 01] lsSDVj 08,
23  eS0 gSosYl bf.M;k fy0] IykWV ua0 02,] lsDVj 12
24  eS0 isaVkxu ekWy] lsDVj 12
25 eS0 vkbZ-ih-,y- ck;yksftdy fy0] lsDVj 05
26 jkT; Lrjh; pkj /kke ;k=k ds n`f’Vxr
27  eSllZ eksfg;kkyQwMl izk0 fy0 xzke c&lt;sMhcqtqxZrglhyHkxokuiqjtuingfj}kjA
28 eSllZ izhreb.Vjus”kuyjk;iqjb.MLVªh;y ,fj;kHkxokuiqjtuingfj}kjA
29 eSllZ%&amp;fVgjhvk;ju ,.M LVhy izk0 4 fy0 jk;iaqjb.MLVªh;y ,fj;kHkxokuiqjtuingfj}kjA
30 eSllZ%&amp;vEcqtklhesUV izk0 fy0 xzkeyds”ojhHkxokuiqjA
</t>
  </si>
  <si>
    <t xml:space="preserve">1- tqlZdUVªhvikVZesaV] Tokykiqj] gfj}kjA
2- &gt;qXxh&gt;ksifM+;kW] ykythokyk] gfj}kjA
3- &gt;qXxh&gt;ksifM+;kW] ctjhokyk] gfj}kjA
4- &gt;qXxh&gt;ksifM+;kW] cSjkxhdSEigfj}kjA
5- &gt;qXxh&gt;ksifM+;kW] pM+h?kkV] gfj}kjA
6 gjdhiSMh {ks=] gfj}kjA
7&amp;bZ'kku vkoklh; lkslkbZVh] ‘’ksjiqj :M+dh
8&amp;iz'kklfud HkouflapkbZ foHkkx :M+d
9 eSllZ ,p0vkj0 ifCyd Ldqy yDlj
10 eS0 b.Vjus”kuy ekdsZfVsx izk0 fy0]] IykWV ua0 94] lsDVj 06,
11 eS0 vkbZ-Vh-lh- fy0] IykWVua 01] lsDVj 11
12 eS0 lsQxkMZ b.MLVªht] IyWkV ua0 30] lsDVjIIDC
13 eS0 isUVkysVsDl izk0 fy0] IykWV ua0 01] lsSDVj 08,
14 eS0 gSosYl bf.M;k fy0] IykWV ua0 02,] lsDVj 12
15 eS0 isaVkxu ekWy] lsDVj 12
16 eS0 vkbZ-ih-,y- ck;yksftdy fy0] lsDVj 05
17 jkT; Lrjh; pkj /kke ;k=k ds n`f’Vxr
18 eSllZ fdzLV T;ksfr vdkneh pqfM;kyk jksM Hkxokuiqj tuingfj}kjA
19 Lkeqnkf;dLokLF; dssUnze[[kuiqjHkxokuiqjtuingfj}kjA
20 eSllZalezkV dkEIysDl¼ dkWfeZfl;y fcfYMx½ Hkxokuiqjfu;jgfj}kjA
</t>
  </si>
  <si>
    <t xml:space="preserve">1- iatkcus”kuycSddjsalhpsLV ls0&amp;04] ch- ,p-bZ-,y- jkuhiqjA
2- Hkkjrh; LVsVcSadpsLV ls0&amp;04] ch- ,p-bZ-,y- jkuhiqjA
3- bZ,l,ebZdUtwej izk0fy0] lyseiqjegnwn] gfj}kjA
4- jsyos] LVs”ku] vijjksM+] gjdhiSMh] [kM+[kM+h] HkwirokykA
5 jktdh; la;qDrfpfdRlky; :M+dh
6 HkxorhgkWfLiVy :M+dh
7 oSfndf’k{kk laLFkkuckfydkb.VjdkWystfo|ky; ifu;kyk
8 dsUnzh; fo|ky; 01] [kaatjiqj :M+dh
9 iatkcuS’kuycSad :M+dh
10 Hkkjrh; LVsVcSad :M+dh
11 fo’kkyesxkekWVZ :M+dh
12 eSllZ%&amp;iatkcus”kuycSade[[kuiqjHkxokuiqjgfj}kj
13 eSllZ%&amp;iatkc ,.M flU/k cSade[[kuiqjHkxokuiqjgfj}kjA
14 eSllZ%&amp;,pMh ,QlhcSadHkxokuiqjgfj}kjA
15 eSllZ%&amp;mRRkjk[k.Mxzkeh.kcSadHkxokuiqjgfj}kjA
</t>
  </si>
  <si>
    <t xml:space="preserve">6 ?kVuk dh lwpuk çkIr gksrs gh ,Q,l ;wfuV ?kVukLFky ds fy;s jokuk gqÃA eè; jkLrs lwpuk çkIr gqÃ fd LFkkuh; yksxksa }kjk jsLD;w dj fy;k x;k gS] rRi'pkr ,Q,l ;wfuV eè; jkLrs ls okil LVs'ku ij mifLFkr gqÃA
7 ?kVuk dh lwpuk çkIr gksrs gh ,Q,l ;wfuV ?kVukLFky ds fy;s jokuk gqÃA O;fä yxHkx 300 ehVj xgjh [kkÃ esa fxjk Fkk] ftls fd ,låMhåvkjå,Qå] Qk;j ;wfuV elwjh o LFkkuh; yksxksa dh enn ls 01 ckgj fudkyk x;k] rFkk vLirky Hkst fn;k x;kA
8 egksn; fnukad 02-04-2025 dks le; 21%57 cts &lt;djkuh ds ikl ,d dkj ugj esa fxjs gksus dh lwpuk ij Qk;j ;wfuV vfoyEc ?kVuk LFky ds fy, çLFkku gq;s] igqapdj ns[kk fd &lt;djkuh ds ikl ,d dkj ugj esa fxjh Fkh ftlesa 03 iq#"k o 01 efgyk lokj Fkh] mä dkj ls 03 yksx ¼iq:"k½ fNVddj xkMh ls ckgj fudy x;s tcfd ,d efgyk dkj ds lkFk ugj esa Mqc xÃ ftls Qk;j ;wfuV us ,lMhvkj,Q ds lkFk lpZ vfHk;ku pykdj efgyk dks e`r voLFkk esa ugj ls ckgj fudkyk x;kA ekSds ij LFkkuh; ekStwn jghA
</t>
  </si>
  <si>
    <t xml:space="preserve">1 ihvkjMh FkkukSa 
2 nwu dSfEczt Ldwy jsldkslZ
3 ,lthvkjvkj jsldkslZ
4 Hkkjrh; ,;j QkslZ dksLVku
5 lfpoky;
6 lfpoky;
7 th0Vh0lh0
8 iqfyl ykbZu
9 'kghn lSfud Jh ujiky flag vVy mr—"B fo|ky; Fkkuks jksM nsgjknwu
10 lkaL—frd Hkou fjLiuk iqy
11fgUnqLrku us'kuy Xykl b.MLVªht gfj}kj jksM
12 xqekuh okyk {ks=
13 fo|qr lc LVs'ku IykV vkbZålhåihå,yåohjHkæ _f"kds'k
14 jktdh; dU;k b.Vj ehfM,V d‚yst nsgjknwu jksM _f"kds'k
15 gfjpUn vkn'kZ dU;k baVj d‚yst jsyos jksM _f"kds'k
16 vf[ky Hkkjrh; vk;qfoZKku laLFkku ,El _f"kds'k
17 jktdh; la;qä fpfdRlky; _f"kds'k
18 vjk/;k fcYMlZ vikVZesV Hkou iqjkuk cl vM~Mk _f"kds'k
19 gksVy j‚;y fdax l;qä ;k=k cl vM~Mk _f"kds'k
20 gksVy j‚;y Dohu l;qä ;k=k cl vM~Mk _f"kds'k
21 gksVy rqylh l;qä ;k=k cl vM~Mk _f"kds'k
22 iatkc us'kuy cSad gfj}kj jksM _f"kds'k
23 uSuhrky cSad fryd jksM _f"kds'k
24 lkbZ ghjks fryd jksM _f"kds'k
25 thåMhå X;ks;udk Ldwy 'kh'keckMk
26 bIdk dEiuh lkjk vkSå{ks=
27 Xyksxh jksM+ elwjhA
28 xughy jksios elwjhA
29 ,yLVksu çkåfyå yka?kk jksM fodkluxj
30 bf.M;u ,DlVªtu çkåfyå yka?kk jksM fodkluxj
31 nwu QwV Øk¶V ykyrIiM
32 l‚yVsd ;wfuV 2- ykyrIiM
33 thåvkbZålhå fNíjokyk
34 gksjkbZtu Ldwy tkSyhxzk.V
</t>
  </si>
  <si>
    <t xml:space="preserve">1 bZ,uVh g‚fLiVy lsykdqbZ
2 çkFkfed LokLF; dsUæ lsykdqbZ
3 f'kokfyd bUthfu;fjax d‚yst 'kh'keckMk
4 xq: —ik jsthMsUlh cgqeafty bekjr &gt;k&gt;jk
5 38 laLFkkuksa esa
6 dukZVd dSQs] gjcVZiqj fodkluxj
7 jktdh; vLirky fodkluxj]
8 nsoHkwfe g‚fLiVy fodkluxj
9 ysgeu g‚fLiVy fodkluxj
10 Hk.Mkjh g‚fLiVy fodkluxj
11 jktdh; baVj d‚yst ckMokyk
12 jScks ifCyd Ldwy ckMokyk
13 e‚My xoZesaV b.Vj d‚yst MkdiRFkj
14 xzke Hkhekokyk/&lt;djkuh
15 LVsV cSad v‚Q bf.M;k MkdiRFkj
16 uSuhrky cSad fyå fodkluxj
17 LVsV cSad v‚Q bf.M;k fodkluxj
18 iatkc us'kuy cSad fodkluxj
19 ;kf=d gksVy fodkluxj
20 gksVy lks;kZ fodkluxj
21 tkSyhxzkUV pkSd] MksbZokyk pkSd] vkSíksfxd {ks= ykyrIiMA
22 'ksjx&lt;+ xk¡o efgyk feyu dsUæ
</t>
  </si>
  <si>
    <t xml:space="preserve">1Jh xq#ukud ifCyd xYZ~l baVj dkyst xksfoUn uxj jsldkslZ
2 ,yhxsutk Oo;kf;d çfr"Bku
3 ,pMh,Qlh cSad lsykdqbZ
4 07 laLFkkuksa esa
5 lkxj fQfyax LVs'ku] gjcVZiqj fodkluxj
6 tkSulkj xSl lfoZl] ckMokyk fodkluxj
7 fgy V‚i bZdks fjlksVZ] ek?kVh] pdjkrk nsgjknwu
8 n mÙkjk;.k gksVy] ekStk&amp;FkSuk tkSulkj ckoj] pdjkrk nsgjknwu
9 fgUnqLrku isVªksfy;e d‚iksZå fyå ¼isVªksy iEi½ dksjok tkSulkj]
10 Jh lR; lkabZ fQfyax LVs'ku dkylh
11 vfuy ,.M lUl fQfyax LVs'ku yka?kk jksM fodkluxj
12 gksVy çse Iyktk] eq[; cktkj fodkluxj
13 Mhå,lå gSfjVst oSfMax IokbaV] ckcwx&lt;+ fodkluxj
14 ioZrh; fQfyax LVs'ku] eq[; cktkj fodkluxj
15 fgeky;u g‚fLiVy t‚yhxzkUV
16 vkbZåMhåchåvkbZå cSad MksbZokyk
17 ihå,uåchå cSad ykyrIiM
18 dsujk cSad Hkkfu;kokyk
19 lkSje ladYi u'kk eqfä dsUæ ykyrIiM+
</t>
  </si>
  <si>
    <t>vfXu'keu ,oa vkikr lsok dkfeZdksa dk Lohd`r fu;ru miyC/krk ekg ebZ  2025</t>
  </si>
  <si>
    <t xml:space="preserve">                 vfXudk.M ds vkadM+s tuinokj ekg ebZ 2025 vfXu'keu ,oa vkikr lsok mŸkjk[k.MA</t>
  </si>
  <si>
    <t>tho j{kk@jkgr ,oa cpko@jsLD;w tuin okj ekg ebZ 2025 vfXu'keu ,oa vkikr lsok mŸkjk[k.MA</t>
  </si>
  <si>
    <t>lsokfuo`Rr@e`rd vf/kdkjh@deZ0 ekg ebZ 2025 vfXu'keu ,oa vkikr lsok mŸkjk[k.MA</t>
  </si>
  <si>
    <t>oukfXudk.M vkadM+s tuin okj ekg ebZ 2025 vfXu'keu ,oa vkikr lsok mŸkjk[k.MA</t>
  </si>
  <si>
    <t>izk:i&amp;3 vukifRr izek.k i= ¼,u0vks0lh0½ i=ksa dk fooj.k] ekg ebZ 2025</t>
  </si>
  <si>
    <t>izk:i&amp;  ekWd fMªy@tutkx:drk@izf'k{k.k tuin okj ekg ebZ 2025 vfXu'keu ,oa vkikr lsok mŸkjk[k.MA</t>
  </si>
  <si>
    <t>Hkou dk  fooj.k] vfXu'keu ,oa vkikr lsok mRrjk[k.M ekg ebZ 2025</t>
  </si>
  <si>
    <t>Hkwfe Hkou ctV dk fooj.k vfXu'keu ,oa vkikr lsok mRrjk[k.M ekg ebZ 2025</t>
  </si>
  <si>
    <t>izk:i&amp;5]  jktif+=r vf/kdkfj;ksa }kjk fujh{k.k dk fooj.kA ekg ebZ 2025</t>
  </si>
  <si>
    <t>iq:"dkj dk fooj.k vfXu'keu ,oa vkikr lsok ekg ebZ 2025</t>
  </si>
  <si>
    <t>n.M dk fooj.k vfXu'keu ,oa vkikr lsok ekg ebZ 2025</t>
  </si>
  <si>
    <t>mRrjk[k.M vfXu'keu ,oa vkikr lsok esa Qk;j gkbZMªsUV dk fooj.k ekg ebZ  2025</t>
  </si>
  <si>
    <t>vfXu'keu ,oa vkikr lsok okgu@midj.k dk fooj.k ekg ebZ 2025</t>
  </si>
  <si>
    <t>mRrjk[k.M vfXu'keu ,oa vkikr lsok lapkj midj.kksa dk fooj.k ekg ebZ  2025</t>
  </si>
  <si>
    <t>Qk;j fjLd fujh{k.k dk fooj.k vfXu'keu ,oa vkikr lsok mŸkjk[k.M ekg ebZ 2025</t>
  </si>
  <si>
    <t xml:space="preserve">buoVZj cSVjh </t>
  </si>
  <si>
    <t>kkWVZ lfdVZ</t>
  </si>
  <si>
    <t xml:space="preserve">1% isM fxjus dh lwpuk izkIr gksus ij isM dks dkVdj gVk;k x;k
2 thjks cS.M eq[; lMd ls 25 ehVj uhps fxj x;k Fkk mDRk ?kk;y O;fDr dks jsLd;w fd;k x;k 
3 ls 06 rd isM fxjus dh lwpuk izkIr gksus ij isM dks dkVdj gVk;k x;k
7 ,d O;fDr ds Mwcus dh lwpuk izkIr gqbZ rks ns[kk fd O;fDr ej pqdk gS
8 ls 11 rd isM fxjus dh lwpuk izkIr gksus ij isM dks dkVdj gVk;k x;k
</t>
  </si>
  <si>
    <t>बद्रीनाथ</t>
  </si>
  <si>
    <t>बिरही गंगा पॉवर हाइड्रोपावर
अरिहंत अस्पताल चमोली
बद्रीनाथ धाम बीआरओ चौक</t>
  </si>
  <si>
    <t>जी एन वीएन पेट्रोल पंप गोपेश्वर 
प्रदीप रावत फिलिंग स्टेशन पुलिस लाइन गोपेश्वर
होटल  शौर्य पीपलकोटी
होटल शिव शक्तु एंड रेस्टोरेंट पीपलकोटी
प्राथमिक स्वास्थ केंद्र अपर चमोली
होटल सफायेर</t>
  </si>
  <si>
    <t xml:space="preserve">फायर स्टेशन गोपेश्वर का अपना स्थाई भवन है व FSSO आवास निर्मित है </t>
  </si>
  <si>
    <t xml:space="preserve">अस्थाई फायर यूनिट हवाई पट्टी गौचर </t>
  </si>
  <si>
    <t xml:space="preserve">नहीं </t>
  </si>
  <si>
    <t xml:space="preserve">हवाई पट्टी गौचर </t>
  </si>
  <si>
    <t>ekLVj Iyku ds rgr dk;Zokgh izpfyr gSA</t>
  </si>
  <si>
    <t xml:space="preserve">वर्तमान समय में तिर्त्य ताल पर लेंटर पड़ चूका है शेष निर्माण कार्य प्रगति पर है </t>
  </si>
  <si>
    <t>9.5.2025
30.5.2025</t>
  </si>
  <si>
    <t>2</t>
  </si>
  <si>
    <t>23</t>
  </si>
  <si>
    <t>19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</si>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</sst>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0;[Red]0"/>
    <numFmt numFmtId="166" formatCode="0.00_);\(0.00\)"/>
  </numFmts>
  <fonts count="51" x14ac:knownFonts="1">
    <font>
      <sz val="11"/>
      <color theme="1"/>
      <name val="Calibri"/>
      <family val="2"/>
      <scheme val="minor"/>
    </font>
    <font>
      <sz val="16"/>
      <color theme="1"/>
      <name val="Kruti Dev 010"/>
    </font>
    <font>
      <sz val="16"/>
      <color theme="1"/>
      <name val="Calibri"/>
      <family val="2"/>
      <scheme val="minor"/>
    </font>
    <font>
      <sz val="14"/>
      <color theme="1"/>
      <name val="Kruti Dev 010"/>
    </font>
    <font>
      <sz val="18"/>
      <color theme="1"/>
      <name val="Kruti Dev 010"/>
    </font>
    <font>
      <sz val="20"/>
      <color theme="1"/>
      <name val="Kruti Dev 010"/>
    </font>
    <font>
      <sz val="14"/>
      <color theme="1"/>
      <name val="Calibri"/>
      <family val="2"/>
      <scheme val="minor"/>
    </font>
    <font>
      <sz val="12"/>
      <color theme="1"/>
      <name val="Kruti Dev 010"/>
    </font>
    <font>
      <sz val="12"/>
      <color theme="1"/>
      <name val="Calibri"/>
      <family val="2"/>
      <scheme val="minor"/>
    </font>
    <font>
      <sz val="11"/>
      <color theme="1"/>
      <name val="Kruti Dev 010"/>
    </font>
    <font>
      <b/>
      <sz val="16"/>
      <color theme="1"/>
      <name val="Kruti Dev 010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8"/>
      <color theme="1"/>
      <name val="Kruti Dev 010"/>
    </font>
    <font>
      <b/>
      <sz val="20"/>
      <color theme="1"/>
      <name val="Kruti Dev 010"/>
    </font>
    <font>
      <sz val="14"/>
      <name val="Kruti Dev 010"/>
    </font>
    <font>
      <sz val="12"/>
      <name val="Kruti Dev 010"/>
    </font>
    <font>
      <b/>
      <sz val="14"/>
      <name val="Kruti Dev 010"/>
    </font>
    <font>
      <b/>
      <sz val="12"/>
      <name val="Kruti Dev 010"/>
    </font>
    <font>
      <b/>
      <sz val="9"/>
      <name val="Times New Roman"/>
      <family val="1"/>
    </font>
    <font>
      <b/>
      <sz val="10"/>
      <name val="Arial"/>
      <family val="2"/>
    </font>
    <font>
      <sz val="12"/>
      <color rgb="FFFF0000"/>
      <name val="Kruti Dev 010"/>
    </font>
    <font>
      <b/>
      <sz val="16"/>
      <color theme="1"/>
      <name val="Calibri"/>
      <family val="2"/>
      <scheme val="minor"/>
    </font>
    <font>
      <b/>
      <sz val="28"/>
      <color theme="1"/>
      <name val="Kruti Dev 010"/>
    </font>
    <font>
      <b/>
      <sz val="12"/>
      <color theme="1"/>
      <name val="Calibri"/>
      <family val="2"/>
      <scheme val="minor"/>
    </font>
    <font>
      <b/>
      <sz val="14"/>
      <color theme="1"/>
      <name val="Kruti Dev 010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rgb="FF535353"/>
      <name val="Arial"/>
      <family val="2"/>
    </font>
    <font>
      <sz val="12"/>
      <color rgb="FF535353"/>
      <name val="Arial"/>
      <family val="2"/>
    </font>
    <font>
      <sz val="9"/>
      <color theme="1"/>
      <name val="Kruti Dev 010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0"/>
      <color theme="1"/>
      <name val="Kruti Dev 010"/>
    </font>
    <font>
      <sz val="16"/>
      <color theme="1"/>
      <name val="Times New Roman"/>
      <family val="1"/>
    </font>
    <font>
      <b/>
      <sz val="11"/>
      <color theme="1"/>
      <name val="Kruti Dev 010"/>
    </font>
    <font>
      <sz val="10"/>
      <color theme="1"/>
      <name val="Mangal"/>
      <family val="1"/>
    </font>
    <font>
      <sz val="13.5"/>
      <color theme="1"/>
      <name val="Kokila"/>
      <family val="2"/>
    </font>
    <font>
      <b/>
      <sz val="22"/>
      <color theme="1"/>
      <name val="Kruti Dev 010"/>
    </font>
    <font>
      <b/>
      <sz val="12"/>
      <color theme="1"/>
      <name val="Kruti Dev 010"/>
    </font>
    <font>
      <sz val="13.5"/>
      <color theme="1"/>
      <name val="Kruti Dev 010"/>
    </font>
    <font>
      <sz val="8"/>
      <color theme="1"/>
      <name val="Kruti Dev 010"/>
    </font>
    <font>
      <sz val="8"/>
      <color theme="1"/>
      <name val="Mangal"/>
      <family val="1"/>
    </font>
    <font>
      <sz val="8"/>
      <color theme="1"/>
      <name val="Cambria"/>
      <family val="1"/>
    </font>
    <font>
      <b/>
      <sz val="8"/>
      <color theme="1"/>
      <name val="Kruti Dev 010"/>
    </font>
    <font>
      <sz val="16"/>
      <color theme="1"/>
      <name val="Kokila"/>
      <family val="2"/>
    </font>
    <font>
      <b/>
      <sz val="8"/>
      <color theme="1"/>
      <name val="Mangal"/>
      <family val="1"/>
    </font>
    <font>
      <sz val="8"/>
      <color theme="1"/>
      <name val="Kokila"/>
      <family val="2"/>
    </font>
    <font>
      <b/>
      <sz val="10"/>
      <color theme="1"/>
      <name val="Mangal"/>
      <family val="1"/>
    </font>
    <font>
      <sz val="11"/>
      <color rgb="FF9C5700"/>
      <name val="Calibri"/>
      <family val="2"/>
      <scheme val="minor"/>
    </font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49" fillId="14" borderId="0" applyNumberFormat="0" applyBorder="0" applyAlignment="0" applyProtection="0"/>
    <xf numFmtId="9" fontId="50" fillId="0" borderId="0" applyFont="0" applyFill="0" applyBorder="0" applyAlignment="0" applyProtection="0"/>
  </cellStyleXfs>
  <cellXfs count="665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4" borderId="0" xfId="0" applyFill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4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7" xfId="0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4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0" fontId="1" fillId="4" borderId="0" xfId="0" applyFont="1" applyFill="1" applyAlignment="1">
      <alignment horizontal="center" vertical="top" wrapText="1"/>
    </xf>
    <xf numFmtId="0" fontId="0" fillId="4" borderId="0" xfId="0" applyFill="1" applyAlignment="1">
      <alignment horizontal="left" vertical="center"/>
    </xf>
    <xf numFmtId="0" fontId="6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9" fillId="4" borderId="0" xfId="0" applyFont="1" applyFill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/>
    <xf numFmtId="0" fontId="3" fillId="4" borderId="1" xfId="0" applyFont="1" applyFill="1" applyBorder="1"/>
    <xf numFmtId="0" fontId="9" fillId="4" borderId="0" xfId="0" applyFont="1" applyFill="1" applyAlignment="1">
      <alignment textRotation="90" wrapText="1"/>
    </xf>
    <xf numFmtId="0" fontId="1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left" wrapText="1"/>
    </xf>
    <xf numFmtId="0" fontId="11" fillId="4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22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 wrapText="1"/>
    </xf>
    <xf numFmtId="0" fontId="2" fillId="4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0" xfId="0" applyFill="1"/>
    <xf numFmtId="0" fontId="0" fillId="0" borderId="1" xfId="0" applyBorder="1" applyAlignment="1">
      <alignment horizontal="center" vertical="top" wrapText="1"/>
    </xf>
    <xf numFmtId="0" fontId="1" fillId="4" borderId="0" xfId="0" applyFont="1" applyFill="1" applyAlignment="1">
      <alignment horizontal="center" vertical="center" wrapText="1"/>
    </xf>
    <xf numFmtId="0" fontId="1" fillId="4" borderId="2" xfId="0" applyFont="1" applyFill="1" applyBorder="1" applyAlignment="1">
      <alignment vertical="top" wrapText="1"/>
    </xf>
    <xf numFmtId="0" fontId="1" fillId="4" borderId="6" xfId="0" applyFont="1" applyFill="1" applyBorder="1" applyAlignment="1">
      <alignment vertical="top" wrapText="1"/>
    </xf>
    <xf numFmtId="0" fontId="1" fillId="4" borderId="9" xfId="0" applyFont="1" applyFill="1" applyBorder="1" applyAlignment="1">
      <alignment horizontal="center" vertical="top" wrapText="1"/>
    </xf>
    <xf numFmtId="0" fontId="1" fillId="4" borderId="7" xfId="0" applyFont="1" applyFill="1" applyBorder="1" applyAlignment="1">
      <alignment horizontal="center" vertical="top" wrapText="1"/>
    </xf>
    <xf numFmtId="0" fontId="1" fillId="4" borderId="0" xfId="0" applyFont="1" applyFill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1" fillId="4" borderId="0" xfId="0" applyFont="1" applyFill="1" applyAlignment="1">
      <alignment horizontal="right" vertical="top" wrapText="1"/>
    </xf>
    <xf numFmtId="0" fontId="4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0" xfId="0" applyFont="1" applyFill="1" applyAlignment="1">
      <alignment horizontal="center" vertical="top" wrapText="1"/>
    </xf>
    <xf numFmtId="0" fontId="16" fillId="4" borderId="1" xfId="0" applyFont="1" applyFill="1" applyBorder="1" applyAlignment="1">
      <alignment vertical="top"/>
    </xf>
    <xf numFmtId="0" fontId="16" fillId="4" borderId="1" xfId="0" applyFont="1" applyFill="1" applyBorder="1" applyAlignment="1">
      <alignment vertical="top" wrapText="1"/>
    </xf>
    <xf numFmtId="0" fontId="16" fillId="4" borderId="1" xfId="0" applyFont="1" applyFill="1" applyBorder="1" applyAlignment="1">
      <alignment textRotation="90" wrapText="1"/>
    </xf>
    <xf numFmtId="49" fontId="16" fillId="4" borderId="1" xfId="0" applyNumberFormat="1" applyFont="1" applyFill="1" applyBorder="1" applyAlignment="1">
      <alignment textRotation="90" wrapText="1"/>
    </xf>
    <xf numFmtId="0" fontId="16" fillId="4" borderId="1" xfId="0" applyFont="1" applyFill="1" applyBorder="1" applyAlignment="1">
      <alignment textRotation="90"/>
    </xf>
    <xf numFmtId="0" fontId="16" fillId="4" borderId="8" xfId="0" applyFont="1" applyFill="1" applyBorder="1" applyAlignment="1">
      <alignment vertical="top"/>
    </xf>
    <xf numFmtId="0" fontId="16" fillId="4" borderId="1" xfId="0" applyFont="1" applyFill="1" applyBorder="1" applyAlignment="1">
      <alignment horizontal="center" vertical="top"/>
    </xf>
    <xf numFmtId="0" fontId="16" fillId="4" borderId="1" xfId="0" applyFont="1" applyFill="1" applyBorder="1" applyAlignment="1">
      <alignment horizontal="center"/>
    </xf>
    <xf numFmtId="0" fontId="16" fillId="4" borderId="5" xfId="0" applyFont="1" applyFill="1" applyBorder="1" applyAlignment="1">
      <alignment vertical="top"/>
    </xf>
    <xf numFmtId="0" fontId="16" fillId="4" borderId="6" xfId="0" applyFont="1" applyFill="1" applyBorder="1" applyAlignment="1">
      <alignment vertical="top"/>
    </xf>
    <xf numFmtId="0" fontId="16" fillId="4" borderId="1" xfId="0" applyFont="1" applyFill="1" applyBorder="1"/>
    <xf numFmtId="0" fontId="16" fillId="4" borderId="8" xfId="0" applyFont="1" applyFill="1" applyBorder="1" applyAlignment="1">
      <alignment vertical="center"/>
    </xf>
    <xf numFmtId="0" fontId="16" fillId="4" borderId="5" xfId="0" applyFont="1" applyFill="1" applyBorder="1" applyAlignment="1">
      <alignment vertical="center"/>
    </xf>
    <xf numFmtId="0" fontId="1" fillId="0" borderId="1" xfId="0" applyFont="1" applyBorder="1"/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1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top" wrapText="1"/>
    </xf>
    <xf numFmtId="0" fontId="1" fillId="4" borderId="0" xfId="0" applyFont="1" applyFill="1" applyAlignment="1">
      <alignment vertical="top" wrapText="1"/>
    </xf>
    <xf numFmtId="0" fontId="13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vertical="top" wrapText="1"/>
    </xf>
    <xf numFmtId="0" fontId="1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4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0" fontId="10" fillId="3" borderId="1" xfId="0" applyFont="1" applyFill="1" applyBorder="1"/>
    <xf numFmtId="0" fontId="27" fillId="3" borderId="1" xfId="0" applyFont="1" applyFill="1" applyBorder="1"/>
    <xf numFmtId="0" fontId="27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wrapText="1"/>
    </xf>
    <xf numFmtId="0" fontId="2" fillId="4" borderId="3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1" fillId="0" borderId="12" xfId="0" applyFont="1" applyBorder="1" applyAlignment="1">
      <alignment horizontal="justify" vertical="top" wrapText="1"/>
    </xf>
    <xf numFmtId="0" fontId="1" fillId="0" borderId="13" xfId="0" applyFont="1" applyBorder="1" applyAlignment="1">
      <alignment horizontal="justify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center" wrapText="1"/>
    </xf>
    <xf numFmtId="0" fontId="10" fillId="4" borderId="1" xfId="0" applyFont="1" applyFill="1" applyBorder="1" applyAlignment="1">
      <alignment horizontal="left" vertical="center" wrapText="1"/>
    </xf>
    <xf numFmtId="0" fontId="2" fillId="0" borderId="1" xfId="0" applyFont="1" applyBorder="1"/>
    <xf numFmtId="0" fontId="3" fillId="4" borderId="1" xfId="0" applyFont="1" applyFill="1" applyBorder="1" applyAlignment="1">
      <alignment horizontal="center" vertical="top" wrapText="1"/>
    </xf>
    <xf numFmtId="0" fontId="6" fillId="4" borderId="0" xfId="0" applyFont="1" applyFill="1" applyAlignment="1">
      <alignment horizontal="center" vertical="top" wrapText="1"/>
    </xf>
    <xf numFmtId="14" fontId="1" fillId="4" borderId="1" xfId="0" applyNumberFormat="1" applyFont="1" applyFill="1" applyBorder="1" applyAlignment="1">
      <alignment horizontal="center" vertical="top" wrapText="1"/>
    </xf>
    <xf numFmtId="0" fontId="10" fillId="4" borderId="8" xfId="0" applyFont="1" applyFill="1" applyBorder="1" applyAlignment="1">
      <alignment horizontal="center" vertical="center" wrapText="1"/>
    </xf>
    <xf numFmtId="0" fontId="29" fillId="9" borderId="1" xfId="0" applyFont="1" applyFill="1" applyBorder="1" applyAlignment="1">
      <alignment vertical="top" wrapText="1"/>
    </xf>
    <xf numFmtId="0" fontId="29" fillId="4" borderId="1" xfId="0" applyFont="1" applyFill="1" applyBorder="1" applyAlignment="1">
      <alignment horizontal="center" vertical="center" wrapText="1"/>
    </xf>
    <xf numFmtId="0" fontId="0" fillId="7" borderId="0" xfId="0" applyFill="1"/>
    <xf numFmtId="0" fontId="21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 vertical="top"/>
    </xf>
    <xf numFmtId="0" fontId="18" fillId="4" borderId="1" xfId="0" applyFont="1" applyFill="1" applyBorder="1" applyAlignment="1">
      <alignment horizontal="center" vertical="top"/>
    </xf>
    <xf numFmtId="0" fontId="19" fillId="4" borderId="1" xfId="0" applyFont="1" applyFill="1" applyBorder="1" applyAlignment="1">
      <alignment horizontal="center"/>
    </xf>
    <xf numFmtId="0" fontId="18" fillId="4" borderId="0" xfId="0" applyFont="1" applyFill="1" applyAlignment="1">
      <alignment horizontal="center" vertical="top"/>
    </xf>
    <xf numFmtId="0" fontId="16" fillId="4" borderId="0" xfId="0" applyFont="1" applyFill="1" applyAlignment="1">
      <alignment horizontal="center" vertical="top"/>
    </xf>
    <xf numFmtId="0" fontId="19" fillId="4" borderId="0" xfId="0" applyFont="1" applyFill="1" applyAlignment="1">
      <alignment horizontal="center"/>
    </xf>
    <xf numFmtId="0" fontId="16" fillId="4" borderId="0" xfId="0" applyFont="1" applyFill="1" applyAlignment="1">
      <alignment horizontal="center"/>
    </xf>
    <xf numFmtId="0" fontId="0" fillId="4" borderId="0" xfId="0" applyFill="1" applyAlignment="1">
      <alignment horizontal="right"/>
    </xf>
    <xf numFmtId="0" fontId="3" fillId="4" borderId="0" xfId="0" applyFont="1" applyFill="1" applyAlignment="1">
      <alignment horizontal="right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vertical="center"/>
    </xf>
    <xf numFmtId="0" fontId="15" fillId="4" borderId="1" xfId="0" applyFont="1" applyFill="1" applyBorder="1"/>
    <xf numFmtId="0" fontId="17" fillId="4" borderId="1" xfId="0" applyFont="1" applyFill="1" applyBorder="1"/>
    <xf numFmtId="0" fontId="0" fillId="4" borderId="1" xfId="0" applyFill="1" applyBorder="1"/>
    <xf numFmtId="0" fontId="20" fillId="4" borderId="1" xfId="0" applyFont="1" applyFill="1" applyBorder="1"/>
    <xf numFmtId="0" fontId="20" fillId="4" borderId="0" xfId="0" applyFont="1" applyFill="1"/>
    <xf numFmtId="0" fontId="3" fillId="4" borderId="0" xfId="0" applyFont="1" applyFill="1" applyAlignment="1">
      <alignment horizontal="left" wrapText="1"/>
    </xf>
    <xf numFmtId="0" fontId="3" fillId="4" borderId="0" xfId="0" applyFont="1" applyFill="1" applyAlignment="1">
      <alignment horizontal="center" wrapText="1"/>
    </xf>
    <xf numFmtId="0" fontId="3" fillId="4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1" fillId="4" borderId="7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top" wrapText="1"/>
    </xf>
    <xf numFmtId="0" fontId="16" fillId="4" borderId="1" xfId="0" applyFont="1" applyFill="1" applyBorder="1" applyAlignment="1">
      <alignment horizontal="right" vertical="center" textRotation="90" wrapText="1"/>
    </xf>
    <xf numFmtId="49" fontId="16" fillId="4" borderId="1" xfId="0" applyNumberFormat="1" applyFont="1" applyFill="1" applyBorder="1" applyAlignment="1">
      <alignment horizontal="right" vertical="center" textRotation="90" wrapText="1"/>
    </xf>
    <xf numFmtId="0" fontId="16" fillId="4" borderId="1" xfId="0" applyFont="1" applyFill="1" applyBorder="1" applyAlignment="1">
      <alignment horizontal="right" vertical="center" textRotation="90"/>
    </xf>
    <xf numFmtId="0" fontId="16" fillId="4" borderId="1" xfId="0" applyFont="1" applyFill="1" applyBorder="1" applyAlignment="1">
      <alignment vertical="center"/>
    </xf>
    <xf numFmtId="0" fontId="15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6" fillId="4" borderId="0" xfId="0" applyFont="1" applyFill="1" applyAlignment="1">
      <alignment vertical="top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textRotation="90" wrapText="1"/>
    </xf>
    <xf numFmtId="0" fontId="3" fillId="0" borderId="1" xfId="0" applyFont="1" applyBorder="1" applyAlignment="1">
      <alignment vertical="center" wrapText="1"/>
    </xf>
    <xf numFmtId="0" fontId="1" fillId="0" borderId="0" xfId="0" applyFont="1"/>
    <xf numFmtId="0" fontId="3" fillId="4" borderId="0" xfId="0" applyFont="1" applyFill="1" applyAlignment="1">
      <alignment horizontal="right"/>
    </xf>
    <xf numFmtId="0" fontId="3" fillId="4" borderId="0" xfId="0" applyFont="1" applyFill="1" applyAlignment="1">
      <alignment horizontal="right" textRotation="90" wrapText="1"/>
    </xf>
    <xf numFmtId="0" fontId="6" fillId="4" borderId="0" xfId="0" applyFont="1" applyFill="1" applyAlignment="1">
      <alignment horizontal="right"/>
    </xf>
    <xf numFmtId="0" fontId="3" fillId="4" borderId="1" xfId="0" quotePrefix="1" applyFont="1" applyFill="1" applyBorder="1" applyAlignment="1">
      <alignment vertical="center" wrapText="1"/>
    </xf>
    <xf numFmtId="0" fontId="7" fillId="4" borderId="0" xfId="0" applyFont="1" applyFill="1" applyAlignment="1">
      <alignment vertical="top" wrapText="1"/>
    </xf>
    <xf numFmtId="0" fontId="1" fillId="4" borderId="0" xfId="0" applyFont="1" applyFill="1" applyAlignment="1">
      <alignment horizontal="left" vertical="top" wrapText="1"/>
    </xf>
    <xf numFmtId="0" fontId="31" fillId="4" borderId="0" xfId="0" applyFont="1" applyFill="1" applyAlignment="1">
      <alignment horizontal="left" vertical="center"/>
    </xf>
    <xf numFmtId="0" fontId="3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textRotation="90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quotePrefix="1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top"/>
    </xf>
    <xf numFmtId="0" fontId="2" fillId="3" borderId="0" xfId="0" applyFont="1" applyFill="1" applyAlignment="1">
      <alignment vertical="top"/>
    </xf>
    <xf numFmtId="0" fontId="1" fillId="4" borderId="7" xfId="0" applyFont="1" applyFill="1" applyBorder="1" applyAlignment="1">
      <alignment horizontal="left" wrapText="1"/>
    </xf>
    <xf numFmtId="0" fontId="1" fillId="4" borderId="0" xfId="0" applyFont="1" applyFill="1" applyAlignment="1">
      <alignment horizontal="left" wrapText="1"/>
    </xf>
    <xf numFmtId="0" fontId="1" fillId="4" borderId="7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horizontal="right" vertical="top" wrapText="1"/>
    </xf>
    <xf numFmtId="0" fontId="1" fillId="4" borderId="1" xfId="0" quotePrefix="1" applyFont="1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34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horizontal="left" vertical="top"/>
    </xf>
    <xf numFmtId="0" fontId="33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horizontal="center" vertical="top"/>
    </xf>
    <xf numFmtId="0" fontId="3" fillId="0" borderId="1" xfId="0" applyFont="1" applyBorder="1" applyAlignment="1">
      <alignment wrapText="1"/>
    </xf>
    <xf numFmtId="0" fontId="4" fillId="4" borderId="0" xfId="0" applyFont="1" applyFill="1" applyAlignment="1">
      <alignment horizontal="center" vertical="top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6" fillId="4" borderId="1" xfId="0" applyFont="1" applyFill="1" applyBorder="1" applyAlignment="1">
      <alignment vertical="top"/>
    </xf>
    <xf numFmtId="0" fontId="30" fillId="4" borderId="1" xfId="0" applyFont="1" applyFill="1" applyBorder="1" applyAlignment="1">
      <alignment vertical="top" wrapText="1"/>
    </xf>
    <xf numFmtId="164" fontId="1" fillId="4" borderId="1" xfId="0" applyNumberFormat="1" applyFont="1" applyFill="1" applyBorder="1" applyAlignment="1">
      <alignment horizontal="center" vertical="top" wrapText="1"/>
    </xf>
    <xf numFmtId="0" fontId="0" fillId="4" borderId="0" xfId="0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 vertical="top"/>
    </xf>
    <xf numFmtId="0" fontId="0" fillId="7" borderId="0" xfId="0" applyFill="1" applyAlignment="1">
      <alignment horizontal="center"/>
    </xf>
    <xf numFmtId="0" fontId="6" fillId="4" borderId="1" xfId="0" applyFont="1" applyFill="1" applyBorder="1" applyAlignment="1">
      <alignment horizontal="center" vertical="top"/>
    </xf>
    <xf numFmtId="0" fontId="3" fillId="4" borderId="1" xfId="0" quotePrefix="1" applyFont="1" applyFill="1" applyBorder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4" borderId="0" xfId="0" quotePrefix="1" applyFont="1" applyFill="1" applyAlignment="1">
      <alignment vertical="top" wrapText="1"/>
    </xf>
    <xf numFmtId="0" fontId="1" fillId="4" borderId="0" xfId="0" applyFont="1" applyFill="1"/>
    <xf numFmtId="0" fontId="1" fillId="4" borderId="1" xfId="0" applyFont="1" applyFill="1" applyBorder="1" applyAlignment="1">
      <alignment vertical="top"/>
    </xf>
    <xf numFmtId="0" fontId="1" fillId="4" borderId="5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3" fillId="4" borderId="5" xfId="0" applyFont="1" applyFill="1" applyBorder="1" applyAlignment="1">
      <alignment horizontal="center" vertical="top" wrapText="1"/>
    </xf>
    <xf numFmtId="0" fontId="26" fillId="4" borderId="0" xfId="0" applyFont="1" applyFill="1" applyAlignment="1">
      <alignment horizontal="center" vertical="top" wrapText="1"/>
    </xf>
    <xf numFmtId="0" fontId="26" fillId="7" borderId="1" xfId="0" applyFont="1" applyFill="1" applyBorder="1" applyAlignment="1">
      <alignment horizontal="center" vertical="top" wrapText="1"/>
    </xf>
    <xf numFmtId="0" fontId="2" fillId="7" borderId="0" xfId="0" applyFont="1" applyFill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26" fillId="11" borderId="1" xfId="0" applyFont="1" applyFill="1" applyBorder="1" applyAlignment="1">
      <alignment horizontal="center" vertical="top" wrapText="1"/>
    </xf>
    <xf numFmtId="0" fontId="2" fillId="11" borderId="0" xfId="0" applyFont="1" applyFill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2" fillId="11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top" wrapText="1"/>
    </xf>
    <xf numFmtId="0" fontId="6" fillId="4" borderId="0" xfId="0" applyFont="1" applyFill="1" applyAlignment="1">
      <alignment vertical="top" wrapText="1"/>
    </xf>
    <xf numFmtId="0" fontId="32" fillId="4" borderId="1" xfId="0" applyFont="1" applyFill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/>
    </xf>
    <xf numFmtId="0" fontId="34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top" wrapText="1"/>
    </xf>
    <xf numFmtId="0" fontId="16" fillId="4" borderId="1" xfId="0" applyFont="1" applyFill="1" applyBorder="1" applyAlignment="1">
      <alignment horizontal="left" textRotation="90" wrapText="1"/>
    </xf>
    <xf numFmtId="0" fontId="1" fillId="0" borderId="0" xfId="0" applyFont="1" applyAlignment="1">
      <alignment vertical="top"/>
    </xf>
    <xf numFmtId="14" fontId="1" fillId="0" borderId="1" xfId="0" applyNumberFormat="1" applyFont="1" applyBorder="1" applyAlignment="1">
      <alignment vertical="top" wrapText="1"/>
    </xf>
    <xf numFmtId="0" fontId="2" fillId="6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39" fillId="0" borderId="17" xfId="0" applyFont="1" applyBorder="1" applyAlignment="1">
      <alignment vertical="top" wrapText="1"/>
    </xf>
    <xf numFmtId="0" fontId="39" fillId="0" borderId="18" xfId="0" applyFont="1" applyBorder="1" applyAlignment="1">
      <alignment vertical="top" wrapText="1"/>
    </xf>
    <xf numFmtId="0" fontId="3" fillId="4" borderId="8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11" fillId="4" borderId="1" xfId="0" applyFont="1" applyFill="1" applyBorder="1" applyAlignment="1">
      <alignment vertical="top" wrapText="1"/>
    </xf>
    <xf numFmtId="0" fontId="0" fillId="4" borderId="0" xfId="0" applyFill="1" applyAlignment="1">
      <alignment horizontal="center" vertical="center"/>
    </xf>
    <xf numFmtId="0" fontId="12" fillId="4" borderId="0" xfId="0" applyFont="1" applyFill="1"/>
    <xf numFmtId="0" fontId="6" fillId="4" borderId="0" xfId="0" applyFont="1" applyFill="1" applyAlignment="1">
      <alignment horizontal="left"/>
    </xf>
    <xf numFmtId="14" fontId="1" fillId="0" borderId="0" xfId="0" applyNumberFormat="1" applyFont="1" applyAlignment="1">
      <alignment vertical="top" wrapText="1"/>
    </xf>
    <xf numFmtId="0" fontId="37" fillId="0" borderId="0" xfId="0" applyFont="1" applyAlignment="1">
      <alignment vertical="top"/>
    </xf>
    <xf numFmtId="0" fontId="37" fillId="0" borderId="1" xfId="0" applyFont="1" applyBorder="1" applyAlignment="1">
      <alignment vertical="top"/>
    </xf>
    <xf numFmtId="0" fontId="6" fillId="4" borderId="0" xfId="0" applyFont="1" applyFill="1"/>
    <xf numFmtId="0" fontId="15" fillId="4" borderId="1" xfId="0" applyFont="1" applyFill="1" applyBorder="1" applyAlignment="1">
      <alignment horizontal="center" vertical="top" wrapText="1"/>
    </xf>
    <xf numFmtId="0" fontId="15" fillId="4" borderId="1" xfId="0" applyFont="1" applyFill="1" applyBorder="1" applyAlignment="1">
      <alignment horizontal="left" vertical="top" wrapText="1"/>
    </xf>
    <xf numFmtId="0" fontId="6" fillId="4" borderId="0" xfId="0" applyFont="1" applyFill="1" applyAlignment="1">
      <alignment horizontal="left" vertical="top"/>
    </xf>
    <xf numFmtId="0" fontId="16" fillId="4" borderId="1" xfId="0" applyFont="1" applyFill="1" applyBorder="1" applyAlignment="1">
      <alignment horizontal="center" vertical="center" wrapText="1"/>
    </xf>
    <xf numFmtId="0" fontId="35" fillId="0" borderId="0" xfId="0" applyFont="1" applyAlignment="1">
      <alignment vertical="top" wrapText="1"/>
    </xf>
    <xf numFmtId="0" fontId="7" fillId="0" borderId="1" xfId="0" applyFont="1" applyBorder="1" applyAlignment="1">
      <alignment vertical="center"/>
    </xf>
    <xf numFmtId="0" fontId="1" fillId="7" borderId="0" xfId="0" applyFont="1" applyFill="1" applyAlignment="1">
      <alignment horizontal="left" vertical="top" wrapText="1"/>
    </xf>
    <xf numFmtId="0" fontId="2" fillId="7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36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7" fillId="4" borderId="1" xfId="0" applyFont="1" applyFill="1" applyBorder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11" fillId="4" borderId="2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40" fillId="0" borderId="20" xfId="0" applyFont="1" applyBorder="1" applyAlignment="1">
      <alignment vertical="top" wrapText="1"/>
    </xf>
    <xf numFmtId="0" fontId="40" fillId="0" borderId="17" xfId="0" applyFont="1" applyBorder="1" applyAlignment="1">
      <alignment vertical="top" wrapText="1"/>
    </xf>
    <xf numFmtId="14" fontId="40" fillId="0" borderId="17" xfId="0" applyNumberFormat="1" applyFont="1" applyBorder="1" applyAlignment="1">
      <alignment horizontal="center" vertical="top" wrapText="1"/>
    </xf>
    <xf numFmtId="3" fontId="32" fillId="4" borderId="1" xfId="0" applyNumberFormat="1" applyFont="1" applyFill="1" applyBorder="1" applyAlignment="1">
      <alignment horizontal="right" vertical="top" wrapText="1"/>
    </xf>
    <xf numFmtId="0" fontId="33" fillId="4" borderId="1" xfId="0" applyFont="1" applyFill="1" applyBorder="1" applyAlignment="1">
      <alignment horizontal="left" vertical="top" wrapText="1"/>
    </xf>
    <xf numFmtId="0" fontId="6" fillId="7" borderId="0" xfId="0" applyFont="1" applyFill="1" applyAlignment="1">
      <alignment horizontal="center" vertical="top" wrapText="1"/>
    </xf>
    <xf numFmtId="0" fontId="1" fillId="4" borderId="1" xfId="0" quotePrefix="1" applyFont="1" applyFill="1" applyBorder="1" applyAlignment="1">
      <alignment horizontal="center" vertical="top" wrapText="1"/>
    </xf>
    <xf numFmtId="0" fontId="28" fillId="8" borderId="1" xfId="0" applyFont="1" applyFill="1" applyBorder="1" applyAlignment="1">
      <alignment horizontal="center" wrapText="1"/>
    </xf>
    <xf numFmtId="0" fontId="28" fillId="8" borderId="1" xfId="0" applyFont="1" applyFill="1" applyBorder="1" applyAlignment="1">
      <alignment horizontal="left" wrapText="1"/>
    </xf>
    <xf numFmtId="0" fontId="28" fillId="9" borderId="1" xfId="0" applyFont="1" applyFill="1" applyBorder="1" applyAlignment="1">
      <alignment horizontal="center" vertical="top" wrapText="1"/>
    </xf>
    <xf numFmtId="0" fontId="28" fillId="8" borderId="1" xfId="0" applyFont="1" applyFill="1" applyBorder="1" applyAlignment="1">
      <alignment horizontal="center" vertical="top" wrapText="1"/>
    </xf>
    <xf numFmtId="0" fontId="29" fillId="8" borderId="1" xfId="0" applyFont="1" applyFill="1" applyBorder="1" applyAlignment="1">
      <alignment vertical="top" wrapText="1"/>
    </xf>
    <xf numFmtId="3" fontId="29" fillId="9" borderId="1" xfId="0" applyNumberFormat="1" applyFont="1" applyFill="1" applyBorder="1" applyAlignment="1">
      <alignment vertical="top" wrapText="1"/>
    </xf>
    <xf numFmtId="3" fontId="29" fillId="4" borderId="1" xfId="0" applyNumberFormat="1" applyFont="1" applyFill="1" applyBorder="1" applyAlignment="1">
      <alignment horizontal="center" vertical="center" wrapText="1"/>
    </xf>
    <xf numFmtId="0" fontId="42" fillId="0" borderId="21" xfId="0" applyFont="1" applyBorder="1" applyAlignment="1">
      <alignment horizontal="center" vertical="top" wrapText="1"/>
    </xf>
    <xf numFmtId="0" fontId="42" fillId="0" borderId="22" xfId="0" applyFont="1" applyBorder="1" applyAlignment="1">
      <alignment horizontal="center" vertical="top" wrapText="1"/>
    </xf>
    <xf numFmtId="0" fontId="43" fillId="0" borderId="22" xfId="0" applyFont="1" applyBorder="1" applyAlignment="1">
      <alignment horizontal="center" vertical="top" wrapText="1"/>
    </xf>
    <xf numFmtId="0" fontId="42" fillId="0" borderId="23" xfId="0" applyFont="1" applyBorder="1" applyAlignment="1">
      <alignment horizontal="center" vertical="top" wrapText="1"/>
    </xf>
    <xf numFmtId="0" fontId="42" fillId="0" borderId="24" xfId="0" applyFont="1" applyBorder="1" applyAlignment="1">
      <alignment horizontal="center" vertical="top" wrapText="1"/>
    </xf>
    <xf numFmtId="0" fontId="43" fillId="0" borderId="24" xfId="0" applyFont="1" applyBorder="1" applyAlignment="1">
      <alignment horizontal="center" vertical="top" wrapText="1"/>
    </xf>
    <xf numFmtId="0" fontId="42" fillId="0" borderId="24" xfId="0" applyFont="1" applyBorder="1" applyAlignment="1">
      <alignment vertical="top" wrapText="1"/>
    </xf>
    <xf numFmtId="0" fontId="1" fillId="0" borderId="24" xfId="0" applyFont="1" applyBorder="1" applyAlignment="1">
      <alignment vertical="top" wrapText="1"/>
    </xf>
    <xf numFmtId="0" fontId="42" fillId="0" borderId="25" xfId="0" applyFont="1" applyBorder="1" applyAlignment="1">
      <alignment horizontal="center" vertical="top" wrapText="1"/>
    </xf>
    <xf numFmtId="0" fontId="42" fillId="0" borderId="26" xfId="0" applyFont="1" applyBorder="1" applyAlignment="1">
      <alignment horizontal="center" vertical="top" wrapText="1"/>
    </xf>
    <xf numFmtId="0" fontId="41" fillId="0" borderId="24" xfId="0" applyFont="1" applyBorder="1" applyAlignment="1">
      <alignment horizontal="justify" vertical="top" wrapText="1"/>
    </xf>
    <xf numFmtId="0" fontId="44" fillId="0" borderId="24" xfId="0" applyFont="1" applyBorder="1" applyAlignment="1">
      <alignment horizontal="justify" vertical="top" wrapText="1"/>
    </xf>
    <xf numFmtId="0" fontId="41" fillId="0" borderId="26" xfId="0" applyFont="1" applyBorder="1" applyAlignment="1">
      <alignment horizontal="justify" vertical="top" wrapText="1"/>
    </xf>
    <xf numFmtId="0" fontId="43" fillId="0" borderId="26" xfId="0" applyFont="1" applyBorder="1" applyAlignment="1">
      <alignment horizontal="center" vertical="top" wrapText="1"/>
    </xf>
    <xf numFmtId="0" fontId="42" fillId="7" borderId="23" xfId="0" applyFont="1" applyFill="1" applyBorder="1" applyAlignment="1">
      <alignment horizontal="center" vertical="top" wrapText="1"/>
    </xf>
    <xf numFmtId="0" fontId="42" fillId="7" borderId="24" xfId="0" applyFont="1" applyFill="1" applyBorder="1" applyAlignment="1">
      <alignment horizontal="center" vertical="top" wrapText="1"/>
    </xf>
    <xf numFmtId="0" fontId="3" fillId="4" borderId="0" xfId="0" applyFont="1" applyFill="1" applyAlignment="1">
      <alignment horizontal="center" vertical="top" wrapText="1"/>
    </xf>
    <xf numFmtId="3" fontId="32" fillId="4" borderId="1" xfId="0" applyNumberFormat="1" applyFont="1" applyFill="1" applyBorder="1" applyAlignment="1">
      <alignment horizontal="center" vertical="top" wrapText="1"/>
    </xf>
    <xf numFmtId="0" fontId="41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/>
    </xf>
    <xf numFmtId="0" fontId="3" fillId="4" borderId="8" xfId="0" applyFont="1" applyFill="1" applyBorder="1" applyAlignment="1">
      <alignment vertical="top" wrapText="1"/>
    </xf>
    <xf numFmtId="0" fontId="3" fillId="4" borderId="5" xfId="0" applyFont="1" applyFill="1" applyBorder="1" applyAlignment="1">
      <alignment vertical="top" wrapText="1"/>
    </xf>
    <xf numFmtId="0" fontId="3" fillId="4" borderId="6" xfId="0" applyFont="1" applyFill="1" applyBorder="1" applyAlignment="1">
      <alignment vertical="top" wrapText="1"/>
    </xf>
    <xf numFmtId="0" fontId="32" fillId="4" borderId="8" xfId="0" applyFont="1" applyFill="1" applyBorder="1" applyAlignment="1">
      <alignment vertical="top" wrapText="1"/>
    </xf>
    <xf numFmtId="0" fontId="11" fillId="4" borderId="1" xfId="0" applyFont="1" applyFill="1" applyBorder="1" applyAlignment="1">
      <alignment horizontal="left" vertical="top" wrapText="1"/>
    </xf>
    <xf numFmtId="0" fontId="11" fillId="0" borderId="0" xfId="0" applyFont="1" applyAlignment="1">
      <alignment horizontal="left" vertical="center" wrapText="1"/>
    </xf>
    <xf numFmtId="0" fontId="11" fillId="4" borderId="0" xfId="0" applyFont="1" applyFill="1" applyAlignment="1">
      <alignment horizontal="left" vertical="center"/>
    </xf>
    <xf numFmtId="0" fontId="31" fillId="4" borderId="1" xfId="0" applyFont="1" applyFill="1" applyBorder="1" applyAlignment="1">
      <alignment horizontal="left" vertical="top" wrapText="1"/>
    </xf>
    <xf numFmtId="0" fontId="31" fillId="4" borderId="8" xfId="0" applyFont="1" applyFill="1" applyBorder="1" applyAlignment="1">
      <alignment vertical="top" wrapText="1"/>
    </xf>
    <xf numFmtId="0" fontId="31" fillId="0" borderId="0" xfId="0" applyFont="1" applyAlignment="1">
      <alignment horizontal="left" vertical="center" wrapText="1"/>
    </xf>
    <xf numFmtId="17" fontId="32" fillId="4" borderId="8" xfId="0" applyNumberFormat="1" applyFont="1" applyFill="1" applyBorder="1" applyAlignment="1">
      <alignment horizontal="center" vertical="top" wrapText="1"/>
    </xf>
    <xf numFmtId="0" fontId="32" fillId="0" borderId="0" xfId="0" applyFont="1" applyAlignment="1">
      <alignment horizontal="center" vertical="center" wrapText="1"/>
    </xf>
    <xf numFmtId="0" fontId="31" fillId="4" borderId="0" xfId="0" applyFont="1" applyFill="1"/>
    <xf numFmtId="17" fontId="32" fillId="12" borderId="1" xfId="0" applyNumberFormat="1" applyFont="1" applyFill="1" applyBorder="1" applyAlignment="1">
      <alignment horizontal="center" vertical="top" wrapText="1"/>
    </xf>
    <xf numFmtId="0" fontId="32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horizontal="center"/>
    </xf>
    <xf numFmtId="0" fontId="32" fillId="12" borderId="1" xfId="0" applyFont="1" applyFill="1" applyBorder="1" applyAlignment="1">
      <alignment horizontal="center" vertical="top" wrapText="1"/>
    </xf>
    <xf numFmtId="0" fontId="32" fillId="0" borderId="8" xfId="0" applyFont="1" applyBorder="1" applyAlignment="1">
      <alignment vertical="top" wrapText="1"/>
    </xf>
    <xf numFmtId="17" fontId="34" fillId="12" borderId="8" xfId="0" applyNumberFormat="1" applyFont="1" applyFill="1" applyBorder="1" applyAlignment="1">
      <alignment horizontal="center" vertical="top" wrapText="1"/>
    </xf>
    <xf numFmtId="0" fontId="34" fillId="4" borderId="8" xfId="0" applyFont="1" applyFill="1" applyBorder="1" applyAlignment="1">
      <alignment vertical="top" wrapText="1"/>
    </xf>
    <xf numFmtId="0" fontId="34" fillId="4" borderId="8" xfId="0" applyFont="1" applyFill="1" applyBorder="1" applyAlignment="1">
      <alignment vertical="center" wrapText="1"/>
    </xf>
    <xf numFmtId="0" fontId="32" fillId="4" borderId="8" xfId="0" applyFont="1" applyFill="1" applyBorder="1" applyAlignment="1">
      <alignment vertical="center" wrapText="1"/>
    </xf>
    <xf numFmtId="0" fontId="32" fillId="4" borderId="8" xfId="0" applyFont="1" applyFill="1" applyBorder="1" applyAlignment="1">
      <alignment horizontal="center" vertical="center" wrapText="1"/>
    </xf>
    <xf numFmtId="0" fontId="31" fillId="12" borderId="0" xfId="0" applyFont="1" applyFill="1"/>
    <xf numFmtId="17" fontId="32" fillId="4" borderId="1" xfId="0" applyNumberFormat="1" applyFont="1" applyFill="1" applyBorder="1" applyAlignment="1">
      <alignment horizontal="center" vertical="top" wrapText="1"/>
    </xf>
    <xf numFmtId="0" fontId="31" fillId="4" borderId="1" xfId="0" applyFont="1" applyFill="1" applyBorder="1" applyAlignment="1">
      <alignment vertical="top" wrapText="1"/>
    </xf>
    <xf numFmtId="17" fontId="32" fillId="12" borderId="8" xfId="0" applyNumberFormat="1" applyFont="1" applyFill="1" applyBorder="1" applyAlignment="1">
      <alignment horizontal="center" vertical="top" wrapText="1"/>
    </xf>
    <xf numFmtId="17" fontId="32" fillId="12" borderId="1" xfId="0" applyNumberFormat="1" applyFont="1" applyFill="1" applyBorder="1" applyAlignment="1">
      <alignment horizontal="center" vertical="center" wrapText="1"/>
    </xf>
    <xf numFmtId="17" fontId="34" fillId="12" borderId="1" xfId="0" applyNumberFormat="1" applyFont="1" applyFill="1" applyBorder="1" applyAlignment="1">
      <alignment horizontal="center" vertical="center" wrapText="1"/>
    </xf>
    <xf numFmtId="17" fontId="34" fillId="12" borderId="1" xfId="0" applyNumberFormat="1" applyFont="1" applyFill="1" applyBorder="1" applyAlignment="1">
      <alignment horizontal="center" vertical="top" wrapText="1"/>
    </xf>
    <xf numFmtId="0" fontId="32" fillId="4" borderId="1" xfId="0" applyFont="1" applyFill="1" applyBorder="1" applyAlignment="1">
      <alignment vertical="center" wrapText="1"/>
    </xf>
    <xf numFmtId="0" fontId="9" fillId="0" borderId="1" xfId="0" applyFont="1" applyBorder="1"/>
    <xf numFmtId="0" fontId="7" fillId="0" borderId="1" xfId="0" applyFont="1" applyBorder="1" applyAlignment="1">
      <alignment wrapText="1"/>
    </xf>
    <xf numFmtId="0" fontId="4" fillId="4" borderId="0" xfId="0" applyFont="1" applyFill="1" applyAlignment="1">
      <alignment horizontal="left" vertical="top" wrapText="1"/>
    </xf>
    <xf numFmtId="0" fontId="0" fillId="0" borderId="1" xfId="0" applyBorder="1" applyAlignment="1">
      <alignment horizontal="left" wrapText="1"/>
    </xf>
    <xf numFmtId="3" fontId="0" fillId="0" borderId="1" xfId="0" applyNumberForma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3" fontId="26" fillId="4" borderId="1" xfId="0" applyNumberFormat="1" applyFont="1" applyFill="1" applyBorder="1" applyAlignment="1">
      <alignment horizontal="center" vertical="top" wrapText="1"/>
    </xf>
    <xf numFmtId="0" fontId="3" fillId="4" borderId="5" xfId="0" applyFont="1" applyFill="1" applyBorder="1" applyAlignment="1">
      <alignment horizontal="left" vertical="top" wrapText="1"/>
    </xf>
    <xf numFmtId="0" fontId="3" fillId="4" borderId="8" xfId="0" applyFont="1" applyFill="1" applyBorder="1" applyAlignment="1">
      <alignment horizontal="left" vertical="top" wrapText="1"/>
    </xf>
    <xf numFmtId="0" fontId="0" fillId="11" borderId="0" xfId="0" applyFill="1"/>
    <xf numFmtId="0" fontId="4" fillId="11" borderId="1" xfId="0" applyFont="1" applyFill="1" applyBorder="1" applyAlignment="1">
      <alignment horizontal="center" vertical="top" wrapText="1"/>
    </xf>
    <xf numFmtId="0" fontId="4" fillId="11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center" vertical="center" wrapText="1"/>
    </xf>
    <xf numFmtId="0" fontId="0" fillId="11" borderId="1" xfId="0" applyFill="1" applyBorder="1"/>
    <xf numFmtId="0" fontId="0" fillId="12" borderId="0" xfId="0" applyFill="1"/>
    <xf numFmtId="0" fontId="0" fillId="12" borderId="1" xfId="0" applyFill="1" applyBorder="1"/>
    <xf numFmtId="0" fontId="1" fillId="12" borderId="1" xfId="0" applyFont="1" applyFill="1" applyBorder="1" applyAlignment="1">
      <alignment vertical="top" wrapText="1"/>
    </xf>
    <xf numFmtId="0" fontId="1" fillId="12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left" vertical="top" wrapText="1"/>
    </xf>
    <xf numFmtId="0" fontId="1" fillId="12" borderId="1" xfId="0" applyFont="1" applyFill="1" applyBorder="1" applyAlignment="1">
      <alignment horizontal="center" vertical="top" wrapText="1"/>
    </xf>
    <xf numFmtId="0" fontId="0" fillId="12" borderId="0" xfId="0" applyFill="1" applyAlignment="1">
      <alignment vertical="top" wrapText="1"/>
    </xf>
    <xf numFmtId="0" fontId="3" fillId="12" borderId="1" xfId="0" applyFont="1" applyFill="1" applyBorder="1" applyAlignment="1">
      <alignment horizontal="center" vertical="top" wrapText="1"/>
    </xf>
    <xf numFmtId="0" fontId="3" fillId="12" borderId="0" xfId="0" applyFont="1" applyFill="1" applyAlignment="1">
      <alignment vertical="top" wrapText="1"/>
    </xf>
    <xf numFmtId="0" fontId="3" fillId="12" borderId="0" xfId="0" applyFont="1" applyFill="1" applyAlignment="1">
      <alignment horizontal="left" vertical="top" wrapText="1"/>
    </xf>
    <xf numFmtId="0" fontId="3" fillId="12" borderId="1" xfId="0" applyFont="1" applyFill="1" applyBorder="1" applyAlignment="1">
      <alignment horizontal="left" vertical="top" wrapText="1"/>
    </xf>
    <xf numFmtId="0" fontId="0" fillId="12" borderId="0" xfId="0" applyFill="1" applyAlignment="1">
      <alignment horizontal="center" vertical="center" wrapText="1"/>
    </xf>
    <xf numFmtId="0" fontId="0" fillId="12" borderId="1" xfId="0" applyFill="1" applyBorder="1" applyAlignment="1">
      <alignment horizontal="left" wrapText="1"/>
    </xf>
    <xf numFmtId="0" fontId="0" fillId="12" borderId="1" xfId="0" applyFill="1" applyBorder="1" applyAlignment="1">
      <alignment horizontal="center" vertical="top" wrapText="1"/>
    </xf>
    <xf numFmtId="3" fontId="0" fillId="12" borderId="1" xfId="0" applyNumberFormat="1" applyFill="1" applyBorder="1" applyAlignment="1">
      <alignment horizontal="center" vertical="top" wrapText="1"/>
    </xf>
    <xf numFmtId="3" fontId="6" fillId="12" borderId="1" xfId="0" applyNumberFormat="1" applyFont="1" applyFill="1" applyBorder="1" applyAlignment="1">
      <alignment horizontal="center" vertical="top" wrapText="1"/>
    </xf>
    <xf numFmtId="3" fontId="2" fillId="11" borderId="1" xfId="0" applyNumberFormat="1" applyFont="1" applyFill="1" applyBorder="1" applyAlignment="1">
      <alignment horizontal="center" vertical="top" wrapText="1"/>
    </xf>
    <xf numFmtId="0" fontId="0" fillId="12" borderId="1" xfId="0" applyFill="1" applyBorder="1" applyAlignment="1">
      <alignment vertical="top" wrapText="1"/>
    </xf>
    <xf numFmtId="0" fontId="11" fillId="4" borderId="8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textRotation="90" wrapText="1"/>
    </xf>
    <xf numFmtId="0" fontId="45" fillId="0" borderId="20" xfId="0" applyFont="1" applyBorder="1" applyAlignment="1">
      <alignment horizontal="center" vertical="top" wrapText="1"/>
    </xf>
    <xf numFmtId="0" fontId="45" fillId="0" borderId="17" xfId="0" applyFont="1" applyBorder="1" applyAlignment="1">
      <alignment horizontal="center" vertical="top" wrapText="1"/>
    </xf>
    <xf numFmtId="14" fontId="45" fillId="0" borderId="17" xfId="0" applyNumberFormat="1" applyFont="1" applyBorder="1" applyAlignment="1">
      <alignment horizontal="center" vertical="top" wrapText="1"/>
    </xf>
    <xf numFmtId="0" fontId="6" fillId="12" borderId="1" xfId="0" applyFont="1" applyFill="1" applyBorder="1" applyAlignment="1">
      <alignment horizontal="center" vertical="top" wrapText="1"/>
    </xf>
    <xf numFmtId="0" fontId="6" fillId="12" borderId="0" xfId="0" applyFont="1" applyFill="1" applyAlignment="1">
      <alignment horizontal="center" vertical="top" wrapText="1"/>
    </xf>
    <xf numFmtId="0" fontId="16" fillId="12" borderId="1" xfId="0" applyFont="1" applyFill="1" applyBorder="1" applyAlignment="1">
      <alignment horizontal="center" vertical="top"/>
    </xf>
    <xf numFmtId="0" fontId="1" fillId="0" borderId="8" xfId="0" applyFont="1" applyBorder="1" applyAlignment="1">
      <alignment vertical="top" wrapText="1"/>
    </xf>
    <xf numFmtId="14" fontId="3" fillId="0" borderId="1" xfId="0" applyNumberFormat="1" applyFont="1" applyBorder="1" applyAlignment="1">
      <alignment horizontal="left" vertical="top" wrapText="1"/>
    </xf>
    <xf numFmtId="0" fontId="16" fillId="12" borderId="1" xfId="0" applyFont="1" applyFill="1" applyBorder="1" applyAlignment="1">
      <alignment horizontal="center"/>
    </xf>
    <xf numFmtId="0" fontId="2" fillId="12" borderId="0" xfId="0" applyFont="1" applyFill="1" applyAlignment="1">
      <alignment horizontal="center" vertical="top" wrapText="1"/>
    </xf>
    <xf numFmtId="0" fontId="16" fillId="12" borderId="1" xfId="0" applyFont="1" applyFill="1" applyBorder="1" applyAlignment="1">
      <alignment horizontal="center" vertical="center" wrapText="1"/>
    </xf>
    <xf numFmtId="0" fontId="46" fillId="0" borderId="0" xfId="0" applyFont="1"/>
    <xf numFmtId="0" fontId="7" fillId="0" borderId="0" xfId="0" applyFont="1"/>
    <xf numFmtId="0" fontId="11" fillId="0" borderId="0" xfId="0" applyFont="1" applyAlignment="1">
      <alignment horizontal="justify"/>
    </xf>
    <xf numFmtId="0" fontId="47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1" fillId="12" borderId="1" xfId="0" applyFont="1" applyFill="1" applyBorder="1" applyAlignment="1">
      <alignment horizontal="center"/>
    </xf>
    <xf numFmtId="0" fontId="21" fillId="12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26" fillId="0" borderId="1" xfId="0" applyFont="1" applyBorder="1" applyAlignment="1">
      <alignment horizontal="center" vertical="top" wrapText="1"/>
    </xf>
    <xf numFmtId="0" fontId="26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16" fillId="7" borderId="1" xfId="0" applyFont="1" applyFill="1" applyBorder="1" applyAlignment="1">
      <alignment horizontal="center" vertical="top"/>
    </xf>
    <xf numFmtId="0" fontId="26" fillId="12" borderId="1" xfId="0" applyFont="1" applyFill="1" applyBorder="1" applyAlignment="1">
      <alignment horizontal="center" vertical="top" wrapText="1"/>
    </xf>
    <xf numFmtId="0" fontId="2" fillId="12" borderId="1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0" fontId="16" fillId="7" borderId="1" xfId="0" applyFont="1" applyFill="1" applyBorder="1"/>
    <xf numFmtId="0" fontId="16" fillId="7" borderId="1" xfId="0" applyFont="1" applyFill="1" applyBorder="1" applyAlignment="1">
      <alignment horizontal="center"/>
    </xf>
    <xf numFmtId="0" fontId="1" fillId="0" borderId="1" xfId="0" applyFont="1" applyBorder="1" applyAlignment="1">
      <alignment vertical="top"/>
    </xf>
    <xf numFmtId="14" fontId="1" fillId="0" borderId="1" xfId="0" applyNumberFormat="1" applyFont="1" applyBorder="1" applyAlignment="1">
      <alignment vertical="top"/>
    </xf>
    <xf numFmtId="3" fontId="32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left" wrapText="1"/>
    </xf>
    <xf numFmtId="3" fontId="32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7" fillId="0" borderId="1" xfId="0" applyFont="1" applyBorder="1" applyAlignment="1">
      <alignment horizontal="center" vertical="top" wrapText="1"/>
    </xf>
    <xf numFmtId="0" fontId="11" fillId="0" borderId="2" xfId="0" applyFont="1" applyBorder="1" applyAlignment="1">
      <alignment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6" xfId="0" applyFont="1" applyBorder="1" applyAlignment="1">
      <alignment vertical="top" wrapText="1"/>
    </xf>
    <xf numFmtId="0" fontId="33" fillId="0" borderId="1" xfId="0" applyFont="1" applyBorder="1" applyAlignment="1">
      <alignment vertical="top" wrapText="1"/>
    </xf>
    <xf numFmtId="0" fontId="33" fillId="0" borderId="1" xfId="0" applyFont="1" applyBorder="1" applyAlignment="1">
      <alignment horizontal="left" vertical="top" wrapText="1"/>
    </xf>
    <xf numFmtId="0" fontId="3" fillId="0" borderId="0" xfId="0" quotePrefix="1" applyFont="1" applyAlignment="1">
      <alignment vertical="top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vertical="top"/>
    </xf>
    <xf numFmtId="0" fontId="3" fillId="0" borderId="8" xfId="0" applyFont="1" applyBorder="1" applyAlignment="1">
      <alignment horizontal="center" vertical="top" wrapText="1"/>
    </xf>
    <xf numFmtId="0" fontId="3" fillId="0" borderId="8" xfId="0" applyFont="1" applyBorder="1" applyAlignment="1">
      <alignment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5" xfId="0" applyFont="1" applyBorder="1" applyAlignment="1">
      <alignment vertical="top" wrapText="1"/>
    </xf>
    <xf numFmtId="0" fontId="6" fillId="0" borderId="0" xfId="0" applyFont="1"/>
    <xf numFmtId="0" fontId="15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left" vertical="top" wrapText="1"/>
    </xf>
    <xf numFmtId="0" fontId="16" fillId="13" borderId="1" xfId="0" applyFont="1" applyFill="1" applyBorder="1" applyAlignment="1">
      <alignment horizontal="center" vertical="top"/>
    </xf>
    <xf numFmtId="0" fontId="25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 vertical="top" wrapText="1"/>
    </xf>
    <xf numFmtId="164" fontId="1" fillId="4" borderId="0" xfId="0" applyNumberFormat="1" applyFont="1" applyFill="1" applyAlignment="1">
      <alignment horizontal="center"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left" textRotation="90" wrapText="1"/>
    </xf>
    <xf numFmtId="0" fontId="3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top"/>
    </xf>
    <xf numFmtId="0" fontId="49" fillId="14" borderId="1" xfId="1" applyBorder="1" applyAlignment="1">
      <alignment horizontal="center" vertical="top" wrapText="1"/>
    </xf>
    <xf numFmtId="0" fontId="0" fillId="0" borderId="27" xfId="0" applyBorder="1"/>
    <xf numFmtId="0" fontId="0" fillId="0" borderId="28" xfId="0" applyBorder="1"/>
    <xf numFmtId="0" fontId="0" fillId="0" borderId="9" xfId="0" applyBorder="1"/>
    <xf numFmtId="0" fontId="0" fillId="0" borderId="7" xfId="0" applyBorder="1"/>
    <xf numFmtId="0" fontId="9" fillId="0" borderId="28" xfId="0" applyFont="1" applyBorder="1"/>
    <xf numFmtId="0" fontId="9" fillId="0" borderId="28" xfId="0" quotePrefix="1" applyFont="1" applyBorder="1"/>
    <xf numFmtId="0" fontId="1" fillId="15" borderId="1" xfId="0" applyFont="1" applyFill="1" applyBorder="1" applyAlignment="1">
      <alignment vertical="top" wrapText="1"/>
    </xf>
    <xf numFmtId="0" fontId="1" fillId="15" borderId="1" xfId="0" applyFont="1" applyFill="1" applyBorder="1" applyAlignment="1">
      <alignment horizontal="center" vertical="top" wrapText="1"/>
    </xf>
    <xf numFmtId="0" fontId="1" fillId="16" borderId="1" xfId="0" applyFont="1" applyFill="1" applyBorder="1" applyAlignment="1">
      <alignment vertical="top" wrapText="1"/>
    </xf>
    <xf numFmtId="0" fontId="1" fillId="16" borderId="1" xfId="0" applyFont="1" applyFill="1" applyBorder="1" applyAlignment="1">
      <alignment horizontal="center" vertical="top" wrapText="1"/>
    </xf>
    <xf numFmtId="0" fontId="7" fillId="16" borderId="1" xfId="0" applyFont="1" applyFill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vertical="top" wrapText="1"/>
    </xf>
    <xf numFmtId="0" fontId="9" fillId="4" borderId="0" xfId="0" applyFont="1" applyFill="1" applyAlignment="1">
      <alignment vertical="top" wrapText="1"/>
    </xf>
    <xf numFmtId="0" fontId="9" fillId="0" borderId="1" xfId="0" applyFont="1" applyBorder="1" applyAlignment="1">
      <alignment horizontal="center" vertical="top"/>
    </xf>
    <xf numFmtId="164" fontId="3" fillId="4" borderId="1" xfId="0" applyNumberFormat="1" applyFont="1" applyFill="1" applyBorder="1" applyAlignment="1">
      <alignment horizontal="center" vertical="top" wrapText="1"/>
    </xf>
    <xf numFmtId="49" fontId="26" fillId="7" borderId="1" xfId="0" applyNumberFormat="1" applyFont="1" applyFill="1" applyBorder="1" applyAlignment="1">
      <alignment horizontal="center" vertical="top" wrapText="1"/>
    </xf>
    <xf numFmtId="49" fontId="2" fillId="7" borderId="1" xfId="0" applyNumberFormat="1" applyFont="1" applyFill="1" applyBorder="1" applyAlignment="1">
      <alignment horizontal="center" vertical="top" wrapText="1"/>
    </xf>
    <xf numFmtId="165" fontId="26" fillId="12" borderId="1" xfId="0" applyNumberFormat="1" applyFont="1" applyFill="1" applyBorder="1" applyAlignment="1">
      <alignment horizontal="center" vertical="top" wrapText="1"/>
    </xf>
    <xf numFmtId="1" fontId="2" fillId="12" borderId="1" xfId="0" applyNumberFormat="1" applyFont="1" applyFill="1" applyBorder="1" applyAlignment="1">
      <alignment horizontal="center" vertical="top" wrapText="1"/>
    </xf>
    <xf numFmtId="1" fontId="2" fillId="7" borderId="1" xfId="0" applyNumberFormat="1" applyFont="1" applyFill="1" applyBorder="1" applyAlignment="1">
      <alignment horizontal="center" vertical="top" wrapText="1"/>
    </xf>
    <xf numFmtId="49" fontId="2" fillId="12" borderId="1" xfId="0" applyNumberFormat="1" applyFont="1" applyFill="1" applyBorder="1" applyAlignment="1">
      <alignment horizontal="center" vertical="top" wrapText="1"/>
    </xf>
    <xf numFmtId="166" fontId="2" fillId="12" borderId="1" xfId="0" applyNumberFormat="1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4" borderId="8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center" vertical="top" wrapText="1"/>
    </xf>
    <xf numFmtId="0" fontId="3" fillId="4" borderId="5" xfId="0" applyFont="1" applyFill="1" applyBorder="1" applyAlignment="1">
      <alignment horizontal="center" vertical="top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top" wrapText="1"/>
    </xf>
    <xf numFmtId="0" fontId="3" fillId="4" borderId="5" xfId="0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horizontal="left" vertical="top" wrapText="1"/>
    </xf>
    <xf numFmtId="0" fontId="1" fillId="7" borderId="11" xfId="0" applyFont="1" applyFill="1" applyBorder="1" applyAlignment="1">
      <alignment horizontal="center" vertical="top" wrapText="1"/>
    </xf>
    <xf numFmtId="0" fontId="1" fillId="7" borderId="0" xfId="0" applyFont="1" applyFill="1" applyAlignment="1">
      <alignment horizontal="center" vertical="top" wrapText="1"/>
    </xf>
    <xf numFmtId="0" fontId="1" fillId="7" borderId="19" xfId="0" applyFont="1" applyFill="1" applyBorder="1" applyAlignment="1">
      <alignment horizontal="center" vertical="top" wrapText="1"/>
    </xf>
    <xf numFmtId="0" fontId="1" fillId="11" borderId="9" xfId="0" applyFont="1" applyFill="1" applyBorder="1" applyAlignment="1">
      <alignment horizontal="center" vertical="top" wrapText="1"/>
    </xf>
    <xf numFmtId="0" fontId="1" fillId="11" borderId="7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top" wrapText="1"/>
    </xf>
    <xf numFmtId="0" fontId="4" fillId="3" borderId="9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vertical="top" wrapText="1"/>
    </xf>
    <xf numFmtId="0" fontId="1" fillId="4" borderId="6" xfId="0" applyFont="1" applyFill="1" applyBorder="1" applyAlignment="1">
      <alignment vertical="top" wrapText="1"/>
    </xf>
    <xf numFmtId="0" fontId="1" fillId="4" borderId="2" xfId="0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 vertical="top" wrapText="1"/>
    </xf>
    <xf numFmtId="0" fontId="1" fillId="4" borderId="4" xfId="0" applyFont="1" applyFill="1" applyBorder="1" applyAlignment="1">
      <alignment horizontal="center" vertical="top" wrapText="1"/>
    </xf>
    <xf numFmtId="0" fontId="1" fillId="4" borderId="8" xfId="0" applyFont="1" applyFill="1" applyBorder="1" applyAlignment="1">
      <alignment horizontal="left" wrapText="1"/>
    </xf>
    <xf numFmtId="0" fontId="1" fillId="4" borderId="6" xfId="0" applyFont="1" applyFill="1" applyBorder="1" applyAlignment="1">
      <alignment horizontal="left" wrapText="1"/>
    </xf>
    <xf numFmtId="0" fontId="1" fillId="4" borderId="2" xfId="0" applyFont="1" applyFill="1" applyBorder="1" applyAlignment="1">
      <alignment vertical="top" wrapText="1"/>
    </xf>
    <xf numFmtId="0" fontId="1" fillId="4" borderId="4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left"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3" borderId="2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33" fillId="4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left" vertical="top" wrapText="1"/>
    </xf>
    <xf numFmtId="0" fontId="25" fillId="4" borderId="2" xfId="0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center" vertical="center" wrapText="1"/>
    </xf>
    <xf numFmtId="0" fontId="25" fillId="4" borderId="4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left" vertical="top" wrapText="1"/>
    </xf>
    <xf numFmtId="0" fontId="1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3" fillId="3" borderId="2" xfId="0" applyFont="1" applyFill="1" applyBorder="1" applyAlignment="1">
      <alignment horizontal="center" vertical="top" wrapText="1"/>
    </xf>
    <xf numFmtId="0" fontId="13" fillId="3" borderId="3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4" fillId="4" borderId="2" xfId="0" applyFont="1" applyFill="1" applyBorder="1" applyAlignment="1">
      <alignment horizontal="center" vertical="top"/>
    </xf>
    <xf numFmtId="0" fontId="14" fillId="4" borderId="3" xfId="0" applyFont="1" applyFill="1" applyBorder="1" applyAlignment="1">
      <alignment horizontal="center" vertical="top"/>
    </xf>
    <xf numFmtId="0" fontId="14" fillId="4" borderId="4" xfId="0" applyFont="1" applyFill="1" applyBorder="1" applyAlignment="1">
      <alignment horizontal="center" vertical="top"/>
    </xf>
    <xf numFmtId="0" fontId="10" fillId="4" borderId="1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vertical="top" wrapText="1"/>
    </xf>
    <xf numFmtId="0" fontId="4" fillId="2" borderId="9" xfId="0" applyFont="1" applyFill="1" applyBorder="1" applyAlignment="1">
      <alignment vertical="top" wrapText="1"/>
    </xf>
    <xf numFmtId="0" fontId="4" fillId="2" borderId="7" xfId="0" applyFont="1" applyFill="1" applyBorder="1" applyAlignment="1">
      <alignment vertical="top" wrapText="1"/>
    </xf>
    <xf numFmtId="0" fontId="4" fillId="2" borderId="10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top"/>
    </xf>
    <xf numFmtId="0" fontId="13" fillId="2" borderId="2" xfId="0" applyFont="1" applyFill="1" applyBorder="1" applyAlignment="1">
      <alignment horizontal="center" vertical="top" wrapText="1"/>
    </xf>
    <xf numFmtId="0" fontId="13" fillId="2" borderId="3" xfId="0" applyFont="1" applyFill="1" applyBorder="1" applyAlignment="1">
      <alignment horizontal="center" vertical="top" wrapText="1"/>
    </xf>
    <xf numFmtId="0" fontId="13" fillId="2" borderId="4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top" wrapText="1"/>
    </xf>
    <xf numFmtId="0" fontId="10" fillId="3" borderId="2" xfId="0" applyFont="1" applyFill="1" applyBorder="1" applyAlignment="1">
      <alignment horizontal="center" vertical="top" wrapText="1"/>
    </xf>
    <xf numFmtId="0" fontId="10" fillId="3" borderId="3" xfId="0" applyFont="1" applyFill="1" applyBorder="1" applyAlignment="1">
      <alignment horizontal="center" vertical="top" wrapText="1"/>
    </xf>
    <xf numFmtId="0" fontId="10" fillId="3" borderId="4" xfId="0" applyFont="1" applyFill="1" applyBorder="1" applyAlignment="1">
      <alignment horizontal="center" vertical="top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top"/>
    </xf>
    <xf numFmtId="0" fontId="38" fillId="3" borderId="2" xfId="0" applyFont="1" applyFill="1" applyBorder="1" applyAlignment="1">
      <alignment horizontal="center" vertical="top" wrapText="1"/>
    </xf>
    <xf numFmtId="0" fontId="38" fillId="3" borderId="3" xfId="0" applyFont="1" applyFill="1" applyBorder="1" applyAlignment="1">
      <alignment horizontal="center" vertical="top" wrapText="1"/>
    </xf>
    <xf numFmtId="0" fontId="38" fillId="3" borderId="4" xfId="0" applyFont="1" applyFill="1" applyBorder="1" applyAlignment="1">
      <alignment horizontal="center" vertical="top" wrapText="1"/>
    </xf>
    <xf numFmtId="0" fontId="3" fillId="0" borderId="8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/>
    </xf>
    <xf numFmtId="0" fontId="1" fillId="4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4" borderId="8" xfId="0" applyFont="1" applyFill="1" applyBorder="1" applyAlignment="1">
      <alignment horizontal="left" vertical="top" wrapText="1"/>
    </xf>
    <xf numFmtId="0" fontId="16" fillId="4" borderId="1" xfId="0" applyFont="1" applyFill="1" applyBorder="1" applyAlignment="1">
      <alignment horizontal="center" vertical="top"/>
    </xf>
    <xf numFmtId="17" fontId="1" fillId="3" borderId="7" xfId="0" applyNumberFormat="1" applyFont="1" applyFill="1" applyBorder="1" applyAlignment="1">
      <alignment horizontal="center"/>
    </xf>
    <xf numFmtId="0" fontId="16" fillId="4" borderId="8" xfId="0" applyFont="1" applyFill="1" applyBorder="1" applyAlignment="1">
      <alignment horizontal="left" vertical="top"/>
    </xf>
    <xf numFmtId="0" fontId="16" fillId="4" borderId="5" xfId="0" applyFont="1" applyFill="1" applyBorder="1" applyAlignment="1">
      <alignment horizontal="left" vertical="top"/>
    </xf>
    <xf numFmtId="0" fontId="16" fillId="4" borderId="6" xfId="0" applyFont="1" applyFill="1" applyBorder="1" applyAlignment="1">
      <alignment horizontal="left" vertical="top"/>
    </xf>
    <xf numFmtId="0" fontId="3" fillId="12" borderId="8" xfId="0" applyFont="1" applyFill="1" applyBorder="1" applyAlignment="1">
      <alignment horizontal="center" vertical="top" wrapText="1"/>
    </xf>
    <xf numFmtId="0" fontId="3" fillId="12" borderId="5" xfId="0" applyFont="1" applyFill="1" applyBorder="1" applyAlignment="1">
      <alignment horizontal="center" vertical="top" wrapText="1"/>
    </xf>
    <xf numFmtId="0" fontId="3" fillId="12" borderId="6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1" fillId="4" borderId="6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1" fillId="4" borderId="8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4" borderId="6" xfId="0" applyFont="1" applyFill="1" applyBorder="1" applyAlignment="1">
      <alignment horizontal="center" vertical="top" wrapText="1"/>
    </xf>
    <xf numFmtId="0" fontId="1" fillId="4" borderId="8" xfId="0" applyFont="1" applyFill="1" applyBorder="1" applyAlignment="1">
      <alignment horizontal="left" vertical="top" wrapText="1"/>
    </xf>
    <xf numFmtId="0" fontId="1" fillId="4" borderId="5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left" vertical="top" wrapText="1"/>
    </xf>
    <xf numFmtId="0" fontId="4" fillId="12" borderId="9" xfId="0" applyFont="1" applyFill="1" applyBorder="1" applyAlignment="1">
      <alignment horizontal="center" vertical="top" wrapText="1"/>
    </xf>
    <xf numFmtId="0" fontId="4" fillId="12" borderId="7" xfId="0" applyFont="1" applyFill="1" applyBorder="1" applyAlignment="1">
      <alignment horizontal="center" vertical="top" wrapText="1"/>
    </xf>
    <xf numFmtId="0" fontId="1" fillId="12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vertical="top" wrapText="1"/>
    </xf>
    <xf numFmtId="0" fontId="1" fillId="12" borderId="1" xfId="0" applyFont="1" applyFill="1" applyBorder="1" applyAlignment="1">
      <alignment horizontal="center" vertical="top" wrapText="1"/>
    </xf>
    <xf numFmtId="0" fontId="4" fillId="11" borderId="1" xfId="0" applyFont="1" applyFill="1" applyBorder="1" applyAlignment="1">
      <alignment horizontal="center" vertical="top" wrapText="1"/>
    </xf>
    <xf numFmtId="0" fontId="0" fillId="0" borderId="7" xfId="0" applyBorder="1" applyAlignment="1">
      <alignment horizontal="center"/>
    </xf>
    <xf numFmtId="1" fontId="1" fillId="0" borderId="0" xfId="0" applyNumberFormat="1" applyFont="1" applyAlignment="1" applyProtection="1">
      <alignment horizontal="center" vertical="top" wrapText="1"/>
      <protection locked="0"/>
    </xf>
    <xf numFmtId="37" fontId="2" fillId="0" borderId="0" xfId="0" applyNumberFormat="1" applyFont="1" applyAlignment="1" applyProtection="1">
      <alignment horizontal="center" vertical="top" wrapText="1"/>
      <protection locked="0"/>
    </xf>
    <xf numFmtId="0" fontId="26" fillId="0" borderId="0" xfId="2" applyNumberFormat="1" applyFont="1" applyAlignment="1" applyProtection="1">
      <alignment horizontal="center" vertical="top" wrapText="1"/>
      <protection locked="0"/>
    </xf>
    <xf numFmtId="0" fontId="2" fillId="0" borderId="0" xfId="0" applyNumberFormat="1" applyFont="1" applyAlignment="1" applyProtection="1">
      <alignment horizontal="center" vertical="top" wrapText="1"/>
      <protection locked="0"/>
    </xf>
    <xf numFmtId="49" fontId="26" fillId="0" borderId="0" xfId="0" applyNumberFormat="1" applyFont="1" applyAlignment="1" applyProtection="1">
      <alignment horizontal="center" vertical="top" wrapText="1"/>
      <protection locked="0"/>
    </xf>
    <xf numFmtId="49" fontId="2" fillId="0" borderId="0" xfId="0" applyNumberFormat="1" applyFont="1" applyAlignment="1" applyProtection="1">
      <alignment horizontal="center" vertical="top" wrapText="1"/>
      <protection locked="0"/>
    </xf>
  </cellXfs>
  <cellStyles count="3">
    <cellStyle name="Neutral" xfId="1" builtinId="2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hyperlink" Target="mailto:80000@&amp;" TargetMode="External"/><Relationship Id="rId1" Type="http://schemas.openxmlformats.org/officeDocument/2006/relationships/hyperlink" Target="mailto:920000@&amp;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56"/>
  <sheetViews>
    <sheetView tabSelected="1" topLeftCell="A13" zoomScale="115" zoomScaleNormal="115" workbookViewId="0">
      <pane ySplit="3" topLeftCell="A16" activePane="bottomLeft" state="frozen"/>
      <selection activeCell="A13" sqref="A13"/>
      <selection pane="bottomLeft" activeCell="AC15" sqref="AC15"/>
    </sheetView>
  </sheetViews>
  <sheetFormatPr defaultColWidth="10.5703125" defaultRowHeight="21" x14ac:dyDescent="0.25"/>
  <cols>
    <col min="1" max="2" width="10.5703125" style="73"/>
    <col min="3" max="3" width="0" style="73" hidden="1" customWidth="1"/>
    <col min="4" max="4" width="14.5703125" style="222" customWidth="1"/>
    <col min="5" max="5" width="7.5703125" style="270" hidden="1" customWidth="1"/>
    <col min="6" max="8" width="7.5703125" style="226" customWidth="1"/>
    <col min="9" max="10" width="7.5703125" style="226" hidden="1" customWidth="1"/>
    <col min="11" max="13" width="7.5703125" style="226" customWidth="1"/>
    <col min="14" max="17" width="6" style="226" hidden="1" customWidth="1"/>
    <col min="18" max="21" width="10.5703125" style="391"/>
    <col min="22" max="22" width="18.5703125" style="391" customWidth="1"/>
    <col min="23" max="23" width="10.5703125" style="391"/>
    <col min="24" max="26" width="0" style="229" hidden="1" customWidth="1"/>
    <col min="27" max="16384" width="10.5703125" style="73"/>
  </cols>
  <sheetData>
    <row r="1" spans="1:30" s="18" customFormat="1" ht="21" hidden="1" customHeight="1" x14ac:dyDescent="0.25">
      <c r="A1" s="475" t="s">
        <v>1491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7"/>
    </row>
    <row r="2" spans="1:30" s="17" customFormat="1" ht="40.5" hidden="1" customHeight="1" x14ac:dyDescent="0.25">
      <c r="A2" s="478" t="s">
        <v>0</v>
      </c>
      <c r="B2" s="478" t="s">
        <v>1</v>
      </c>
      <c r="C2" s="233"/>
      <c r="D2" s="479" t="s">
        <v>182</v>
      </c>
      <c r="E2" s="480" t="s">
        <v>764</v>
      </c>
      <c r="F2" s="480"/>
      <c r="G2" s="480"/>
      <c r="H2" s="480"/>
      <c r="I2" s="480"/>
      <c r="J2" s="480"/>
      <c r="K2" s="480"/>
      <c r="L2" s="480"/>
      <c r="M2" s="480"/>
      <c r="N2" s="480"/>
      <c r="O2" s="480"/>
      <c r="P2" s="480"/>
      <c r="Q2" s="480"/>
      <c r="R2" s="480" t="s">
        <v>769</v>
      </c>
      <c r="S2" s="480"/>
      <c r="T2" s="480"/>
      <c r="U2" s="480"/>
      <c r="V2" s="480"/>
      <c r="W2" s="480"/>
      <c r="X2" s="480"/>
      <c r="Y2" s="480"/>
      <c r="Z2" s="480"/>
    </row>
    <row r="3" spans="1:30" s="404" customFormat="1" ht="63" hidden="1" x14ac:dyDescent="0.25">
      <c r="A3" s="478"/>
      <c r="B3" s="478"/>
      <c r="C3" s="233"/>
      <c r="D3" s="479"/>
      <c r="E3" s="403" t="s">
        <v>1063</v>
      </c>
      <c r="F3" s="225" t="s">
        <v>161</v>
      </c>
      <c r="G3" s="225" t="s">
        <v>765</v>
      </c>
      <c r="H3" s="225" t="s">
        <v>364</v>
      </c>
      <c r="I3" s="225" t="s">
        <v>1052</v>
      </c>
      <c r="J3" s="225" t="s">
        <v>1053</v>
      </c>
      <c r="K3" s="225" t="s">
        <v>365</v>
      </c>
      <c r="L3" s="225" t="s">
        <v>366</v>
      </c>
      <c r="M3" s="225" t="s">
        <v>367</v>
      </c>
      <c r="N3" s="403" t="s">
        <v>766</v>
      </c>
      <c r="O3" s="403" t="s">
        <v>767</v>
      </c>
      <c r="P3" s="403" t="s">
        <v>768</v>
      </c>
      <c r="Q3" s="403" t="s">
        <v>1054</v>
      </c>
      <c r="R3" s="408" t="s">
        <v>161</v>
      </c>
      <c r="S3" s="408" t="s">
        <v>765</v>
      </c>
      <c r="T3" s="408" t="s">
        <v>364</v>
      </c>
      <c r="U3" s="408" t="s">
        <v>365</v>
      </c>
      <c r="V3" s="408" t="s">
        <v>366</v>
      </c>
      <c r="W3" s="408" t="s">
        <v>367</v>
      </c>
      <c r="X3" s="403" t="s">
        <v>766</v>
      </c>
      <c r="Y3" s="403" t="s">
        <v>767</v>
      </c>
      <c r="Z3" s="403" t="s">
        <v>768</v>
      </c>
    </row>
    <row r="4" spans="1:30" s="18" customFormat="1" hidden="1" x14ac:dyDescent="0.25">
      <c r="A4" s="233"/>
      <c r="B4" s="233"/>
      <c r="C4" s="233"/>
      <c r="D4" s="234" t="s">
        <v>33</v>
      </c>
      <c r="E4" s="403">
        <v>0</v>
      </c>
      <c r="F4" s="230">
        <v>1</v>
      </c>
      <c r="G4" s="230"/>
      <c r="H4" s="230"/>
      <c r="I4" s="230">
        <v>1</v>
      </c>
      <c r="J4" s="230"/>
      <c r="K4" s="230"/>
      <c r="L4" s="230">
        <v>1</v>
      </c>
      <c r="M4" s="230"/>
      <c r="N4" s="36">
        <v>1</v>
      </c>
      <c r="O4" s="36">
        <v>1</v>
      </c>
      <c r="P4" s="36"/>
      <c r="Q4" s="36"/>
      <c r="R4" s="409">
        <v>1</v>
      </c>
      <c r="S4" s="409"/>
      <c r="T4" s="409"/>
      <c r="U4" s="409"/>
      <c r="V4" s="409"/>
      <c r="W4" s="409"/>
      <c r="X4" s="440"/>
      <c r="Y4" s="36"/>
      <c r="Z4" s="36"/>
    </row>
    <row r="5" spans="1:30" s="18" customFormat="1" hidden="1" x14ac:dyDescent="0.25">
      <c r="A5" s="478">
        <v>7</v>
      </c>
      <c r="B5" s="481" t="s">
        <v>33</v>
      </c>
      <c r="C5" s="233">
        <v>22</v>
      </c>
      <c r="D5" s="234" t="s">
        <v>33</v>
      </c>
      <c r="E5" s="403">
        <v>0</v>
      </c>
      <c r="F5" s="230"/>
      <c r="G5" s="230">
        <v>1</v>
      </c>
      <c r="H5" s="230">
        <v>3</v>
      </c>
      <c r="I5" s="230">
        <v>1</v>
      </c>
      <c r="J5" s="230"/>
      <c r="K5" s="230">
        <v>11</v>
      </c>
      <c r="L5" s="230">
        <v>11</v>
      </c>
      <c r="M5" s="230">
        <v>56</v>
      </c>
      <c r="N5" s="36">
        <v>4</v>
      </c>
      <c r="O5" s="36"/>
      <c r="P5" s="36">
        <v>1</v>
      </c>
      <c r="Q5" s="36"/>
      <c r="R5" s="409"/>
      <c r="S5" s="409">
        <v>1</v>
      </c>
      <c r="T5" s="409">
        <v>0</v>
      </c>
      <c r="U5" s="409">
        <v>11</v>
      </c>
      <c r="V5" s="409">
        <v>18</v>
      </c>
      <c r="W5" s="409">
        <v>73</v>
      </c>
      <c r="X5" s="440">
        <v>7</v>
      </c>
      <c r="Y5" s="36">
        <v>0</v>
      </c>
      <c r="Z5" s="36">
        <v>2</v>
      </c>
    </row>
    <row r="6" spans="1:30" s="18" customFormat="1" hidden="1" x14ac:dyDescent="0.25">
      <c r="A6" s="478"/>
      <c r="B6" s="482"/>
      <c r="C6" s="233">
        <v>23</v>
      </c>
      <c r="D6" s="234" t="s">
        <v>34</v>
      </c>
      <c r="E6" s="403">
        <v>0</v>
      </c>
      <c r="F6" s="230"/>
      <c r="G6" s="230">
        <v>1</v>
      </c>
      <c r="H6" s="230">
        <v>1</v>
      </c>
      <c r="I6" s="230"/>
      <c r="J6" s="230">
        <v>1</v>
      </c>
      <c r="K6" s="230">
        <v>4</v>
      </c>
      <c r="L6" s="230">
        <v>5</v>
      </c>
      <c r="M6" s="230">
        <v>26</v>
      </c>
      <c r="N6" s="36">
        <v>2</v>
      </c>
      <c r="O6" s="36"/>
      <c r="P6" s="36">
        <v>1</v>
      </c>
      <c r="Q6" s="36"/>
      <c r="R6" s="409"/>
      <c r="S6" s="409"/>
      <c r="T6" s="409"/>
      <c r="U6" s="409">
        <v>5</v>
      </c>
      <c r="V6" s="409">
        <v>6</v>
      </c>
      <c r="W6" s="409">
        <v>20</v>
      </c>
      <c r="X6" s="440">
        <v>2</v>
      </c>
      <c r="Y6" s="36"/>
      <c r="Z6" s="36">
        <v>1</v>
      </c>
    </row>
    <row r="7" spans="1:30" s="18" customFormat="1" hidden="1" x14ac:dyDescent="0.25">
      <c r="A7" s="478"/>
      <c r="B7" s="482"/>
      <c r="C7" s="233">
        <v>24</v>
      </c>
      <c r="D7" s="276" t="s">
        <v>250</v>
      </c>
      <c r="E7" s="403">
        <v>0</v>
      </c>
      <c r="F7" s="230"/>
      <c r="G7" s="230">
        <v>1</v>
      </c>
      <c r="H7" s="230">
        <v>1</v>
      </c>
      <c r="I7" s="230"/>
      <c r="J7" s="230">
        <v>1</v>
      </c>
      <c r="K7" s="230">
        <v>4</v>
      </c>
      <c r="L7" s="230">
        <v>5</v>
      </c>
      <c r="M7" s="230">
        <v>26</v>
      </c>
      <c r="N7" s="36">
        <v>2</v>
      </c>
      <c r="O7" s="36"/>
      <c r="P7" s="36">
        <v>1</v>
      </c>
      <c r="Q7" s="36"/>
      <c r="R7" s="409"/>
      <c r="S7" s="409"/>
      <c r="T7" s="409">
        <v>1</v>
      </c>
      <c r="U7" s="409">
        <v>1</v>
      </c>
      <c r="V7" s="409">
        <v>2</v>
      </c>
      <c r="W7" s="409">
        <v>11</v>
      </c>
      <c r="X7" s="440">
        <v>1</v>
      </c>
      <c r="Y7" s="36"/>
      <c r="Z7" s="36">
        <v>1</v>
      </c>
    </row>
    <row r="8" spans="1:30" s="18" customFormat="1" hidden="1" x14ac:dyDescent="0.25">
      <c r="A8" s="478"/>
      <c r="B8" s="482"/>
      <c r="C8" s="233">
        <v>25</v>
      </c>
      <c r="D8" s="234" t="s">
        <v>36</v>
      </c>
      <c r="E8" s="403">
        <v>0</v>
      </c>
      <c r="F8" s="230"/>
      <c r="G8" s="230">
        <v>1</v>
      </c>
      <c r="H8" s="230">
        <v>1</v>
      </c>
      <c r="I8" s="230"/>
      <c r="J8" s="230">
        <v>1</v>
      </c>
      <c r="K8" s="230">
        <v>4</v>
      </c>
      <c r="L8" s="230">
        <v>4</v>
      </c>
      <c r="M8" s="230">
        <v>26</v>
      </c>
      <c r="N8" s="36"/>
      <c r="O8" s="36"/>
      <c r="P8" s="36"/>
      <c r="Q8" s="36"/>
      <c r="R8" s="409"/>
      <c r="S8" s="409"/>
      <c r="T8" s="409"/>
      <c r="U8" s="409">
        <v>1</v>
      </c>
      <c r="V8" s="409">
        <v>4</v>
      </c>
      <c r="W8" s="409">
        <v>21</v>
      </c>
      <c r="X8" s="440">
        <v>1</v>
      </c>
      <c r="Y8" s="36"/>
      <c r="Z8" s="36"/>
    </row>
    <row r="9" spans="1:30" s="18" customFormat="1" hidden="1" x14ac:dyDescent="0.25">
      <c r="A9" s="478"/>
      <c r="B9" s="482"/>
      <c r="C9" s="233">
        <v>26</v>
      </c>
      <c r="D9" s="234" t="s">
        <v>37</v>
      </c>
      <c r="E9" s="403">
        <v>0</v>
      </c>
      <c r="F9" s="230"/>
      <c r="G9" s="230">
        <v>1</v>
      </c>
      <c r="H9" s="230">
        <v>1</v>
      </c>
      <c r="I9" s="230"/>
      <c r="J9" s="230">
        <v>1</v>
      </c>
      <c r="K9" s="230">
        <v>4</v>
      </c>
      <c r="L9" s="230">
        <v>5</v>
      </c>
      <c r="M9" s="230">
        <v>26</v>
      </c>
      <c r="N9" s="36"/>
      <c r="O9" s="36"/>
      <c r="P9" s="36"/>
      <c r="Q9" s="36">
        <v>3</v>
      </c>
      <c r="R9" s="409"/>
      <c r="S9" s="409"/>
      <c r="T9" s="409">
        <v>1</v>
      </c>
      <c r="U9" s="409">
        <v>2</v>
      </c>
      <c r="V9" s="409">
        <v>5</v>
      </c>
      <c r="W9" s="409">
        <v>20</v>
      </c>
      <c r="X9" s="440">
        <v>1</v>
      </c>
      <c r="Y9" s="36"/>
      <c r="Z9" s="36"/>
    </row>
    <row r="10" spans="1:30" s="18" customFormat="1" hidden="1" x14ac:dyDescent="0.25">
      <c r="A10" s="478"/>
      <c r="B10" s="482"/>
      <c r="C10" s="233">
        <v>27</v>
      </c>
      <c r="D10" s="234" t="s">
        <v>141</v>
      </c>
      <c r="E10" s="403">
        <v>0</v>
      </c>
      <c r="F10" s="230"/>
      <c r="G10" s="230">
        <v>1</v>
      </c>
      <c r="H10" s="230">
        <v>1</v>
      </c>
      <c r="I10" s="230"/>
      <c r="J10" s="230"/>
      <c r="K10" s="230">
        <v>4</v>
      </c>
      <c r="L10" s="230">
        <v>4</v>
      </c>
      <c r="M10" s="230">
        <v>16</v>
      </c>
      <c r="N10" s="36">
        <v>1</v>
      </c>
      <c r="O10" s="36"/>
      <c r="P10" s="36">
        <v>1</v>
      </c>
      <c r="Q10" s="36"/>
      <c r="R10" s="409"/>
      <c r="S10" s="409"/>
      <c r="T10" s="409">
        <v>1</v>
      </c>
      <c r="U10" s="409">
        <v>4</v>
      </c>
      <c r="V10" s="409">
        <v>4</v>
      </c>
      <c r="W10" s="409">
        <v>21</v>
      </c>
      <c r="X10" s="440">
        <v>1</v>
      </c>
      <c r="Y10" s="36"/>
      <c r="Z10" s="36">
        <v>1</v>
      </c>
    </row>
    <row r="11" spans="1:30" s="18" customFormat="1" hidden="1" x14ac:dyDescent="0.25">
      <c r="A11" s="478"/>
      <c r="B11" s="483"/>
      <c r="C11" s="233">
        <v>28</v>
      </c>
      <c r="D11" s="234" t="s">
        <v>305</v>
      </c>
      <c r="E11" s="403">
        <v>0</v>
      </c>
      <c r="F11" s="230"/>
      <c r="G11" s="230"/>
      <c r="H11" s="230">
        <v>1</v>
      </c>
      <c r="I11" s="230"/>
      <c r="J11" s="230"/>
      <c r="K11" s="230">
        <v>1</v>
      </c>
      <c r="L11" s="230">
        <v>2</v>
      </c>
      <c r="M11" s="230">
        <v>6</v>
      </c>
      <c r="N11" s="36"/>
      <c r="O11" s="36"/>
      <c r="P11" s="36"/>
      <c r="Q11" s="36">
        <v>2</v>
      </c>
      <c r="R11" s="409"/>
      <c r="S11" s="409"/>
      <c r="T11" s="409"/>
      <c r="U11" s="409"/>
      <c r="V11" s="409"/>
      <c r="W11" s="409"/>
      <c r="X11" s="440"/>
      <c r="Y11" s="36"/>
      <c r="Z11" s="36"/>
    </row>
    <row r="12" spans="1:30" hidden="1" x14ac:dyDescent="0.25">
      <c r="A12" s="72"/>
      <c r="B12" s="72"/>
      <c r="C12" s="72"/>
      <c r="D12" s="439" t="s">
        <v>102</v>
      </c>
      <c r="E12" s="230">
        <f>SUM(E4:E11)</f>
        <v>0</v>
      </c>
      <c r="F12" s="230">
        <f t="shared" ref="F12:W12" si="0">SUM(F4:F11)</f>
        <v>1</v>
      </c>
      <c r="G12" s="230">
        <f t="shared" si="0"/>
        <v>6</v>
      </c>
      <c r="H12" s="230">
        <f t="shared" si="0"/>
        <v>9</v>
      </c>
      <c r="I12" s="230">
        <f t="shared" si="0"/>
        <v>2</v>
      </c>
      <c r="J12" s="230">
        <f t="shared" si="0"/>
        <v>4</v>
      </c>
      <c r="K12" s="230">
        <f t="shared" si="0"/>
        <v>32</v>
      </c>
      <c r="L12" s="230">
        <f t="shared" si="0"/>
        <v>37</v>
      </c>
      <c r="M12" s="230">
        <f t="shared" si="0"/>
        <v>182</v>
      </c>
      <c r="N12" s="230">
        <f t="shared" si="0"/>
        <v>10</v>
      </c>
      <c r="O12" s="230">
        <f t="shared" si="0"/>
        <v>1</v>
      </c>
      <c r="P12" s="230">
        <f t="shared" si="0"/>
        <v>4</v>
      </c>
      <c r="Q12" s="230">
        <f t="shared" si="0"/>
        <v>5</v>
      </c>
      <c r="R12" s="409">
        <f t="shared" si="0"/>
        <v>1</v>
      </c>
      <c r="S12" s="409">
        <f t="shared" si="0"/>
        <v>1</v>
      </c>
      <c r="T12" s="409">
        <f t="shared" si="0"/>
        <v>3</v>
      </c>
      <c r="U12" s="409">
        <f t="shared" si="0"/>
        <v>24</v>
      </c>
      <c r="V12" s="409">
        <f t="shared" si="0"/>
        <v>39</v>
      </c>
      <c r="W12" s="409">
        <f t="shared" si="0"/>
        <v>166</v>
      </c>
    </row>
    <row r="13" spans="1:30" s="18" customFormat="1" ht="21" customHeight="1" x14ac:dyDescent="0.25">
      <c r="A13" s="475" t="s">
        <v>1648</v>
      </c>
      <c r="B13" s="476"/>
      <c r="C13" s="476"/>
      <c r="D13" s="476"/>
      <c r="E13" s="476"/>
      <c r="F13" s="476"/>
      <c r="G13" s="476"/>
      <c r="H13" s="476"/>
      <c r="I13" s="476"/>
      <c r="J13" s="476"/>
      <c r="K13" s="476"/>
      <c r="L13" s="476"/>
      <c r="M13" s="476"/>
      <c r="N13" s="476"/>
      <c r="O13" s="476"/>
      <c r="P13" s="476"/>
      <c r="Q13" s="476"/>
      <c r="R13" s="476"/>
      <c r="S13" s="476"/>
      <c r="T13" s="476"/>
      <c r="U13" s="476"/>
      <c r="V13" s="476"/>
      <c r="W13" s="476"/>
      <c r="X13" s="476"/>
      <c r="Y13" s="476"/>
      <c r="Z13" s="477"/>
    </row>
    <row r="14" spans="1:30" s="17" customFormat="1" ht="40.5" customHeight="1" x14ac:dyDescent="0.25">
      <c r="A14" s="478" t="s">
        <v>0</v>
      </c>
      <c r="B14" s="478" t="s">
        <v>1</v>
      </c>
      <c r="C14" s="233"/>
      <c r="D14" s="479" t="s">
        <v>182</v>
      </c>
      <c r="E14" s="480" t="s">
        <v>764</v>
      </c>
      <c r="F14" s="480"/>
      <c r="G14" s="480"/>
      <c r="H14" s="480"/>
      <c r="I14" s="480"/>
      <c r="J14" s="480"/>
      <c r="K14" s="480"/>
      <c r="L14" s="480"/>
      <c r="M14" s="480"/>
      <c r="N14" s="480"/>
      <c r="O14" s="480"/>
      <c r="P14" s="480"/>
      <c r="Q14" s="480"/>
      <c r="R14" s="480" t="s">
        <v>769</v>
      </c>
      <c r="S14" s="480"/>
      <c r="T14" s="480"/>
      <c r="U14" s="480"/>
      <c r="V14" s="480"/>
      <c r="W14" s="480"/>
      <c r="X14" s="480"/>
      <c r="Y14" s="480"/>
      <c r="Z14" s="480"/>
      <c r="AC14" s="659"/>
      <c r="AD14" s="659"/>
    </row>
    <row r="15" spans="1:30" s="404" customFormat="1" ht="63" x14ac:dyDescent="0.25">
      <c r="A15" s="478"/>
      <c r="B15" s="478"/>
      <c r="C15" s="233"/>
      <c r="D15" s="479"/>
      <c r="E15" s="403" t="s">
        <v>1063</v>
      </c>
      <c r="F15" s="225" t="s">
        <v>161</v>
      </c>
      <c r="G15" s="225" t="s">
        <v>765</v>
      </c>
      <c r="H15" s="225" t="s">
        <v>364</v>
      </c>
      <c r="I15" s="225" t="s">
        <v>1052</v>
      </c>
      <c r="J15" s="225" t="s">
        <v>1053</v>
      </c>
      <c r="K15" s="225" t="s">
        <v>365</v>
      </c>
      <c r="L15" s="468" t="s">
        <v>366</v>
      </c>
      <c r="M15" s="225" t="s">
        <v>367</v>
      </c>
      <c r="N15" s="403" t="s">
        <v>766</v>
      </c>
      <c r="O15" s="403" t="s">
        <v>767</v>
      </c>
      <c r="P15" s="403" t="s">
        <v>768</v>
      </c>
      <c r="Q15" s="403" t="s">
        <v>1054</v>
      </c>
      <c r="R15" s="408" t="s">
        <v>161</v>
      </c>
      <c r="S15" s="408" t="s">
        <v>765</v>
      </c>
      <c r="T15" s="408" t="s">
        <v>364</v>
      </c>
      <c r="U15" s="408" t="s">
        <v>365</v>
      </c>
      <c r="V15" s="408" t="s">
        <v>366</v>
      </c>
      <c r="W15" s="470" t="s">
        <v>367</v>
      </c>
      <c r="X15" s="403" t="s">
        <v>766</v>
      </c>
      <c r="Y15" s="403" t="s">
        <v>767</v>
      </c>
      <c r="Z15" s="403" t="s">
        <v>768</v>
      </c>
      <c r="AC15" s="661">
        <v>0.01</v>
      </c>
      <c r="AD15" s="663">
        <v>0.04</v>
      </c>
    </row>
    <row r="16" spans="1:30" s="18" customFormat="1" x14ac:dyDescent="0.25">
      <c r="A16" s="478">
        <v>1</v>
      </c>
      <c r="B16" s="478" t="s">
        <v>16</v>
      </c>
      <c r="C16" s="233">
        <v>1</v>
      </c>
      <c r="D16" s="234" t="s">
        <v>17</v>
      </c>
      <c r="E16" s="403">
        <v>0</v>
      </c>
      <c r="F16" s="230"/>
      <c r="G16" s="230">
        <v>1</v>
      </c>
      <c r="H16" s="230">
        <v>1</v>
      </c>
      <c r="I16" s="230"/>
      <c r="J16" s="230">
        <v>1</v>
      </c>
      <c r="K16" s="230">
        <v>4</v>
      </c>
      <c r="L16" s="230">
        <v>5</v>
      </c>
      <c r="M16" s="230">
        <v>26</v>
      </c>
      <c r="N16" s="36">
        <v>2</v>
      </c>
      <c r="O16" s="36"/>
      <c r="P16" s="36"/>
      <c r="Q16" s="36">
        <v>1</v>
      </c>
      <c r="R16" s="409"/>
      <c r="S16" s="409"/>
      <c r="T16" s="451"/>
      <c r="U16" s="451">
        <v>5</v>
      </c>
      <c r="V16" s="451">
        <v>6</v>
      </c>
      <c r="W16" s="451">
        <v>27</v>
      </c>
      <c r="X16" s="36">
        <v>1</v>
      </c>
      <c r="Y16" s="36"/>
      <c r="Z16" s="36">
        <v>1</v>
      </c>
      <c r="AC16" s="664">
        <v>0</v>
      </c>
      <c r="AD16" s="664">
        <v>0.02</v>
      </c>
    </row>
    <row r="17" spans="1:30" s="18" customFormat="1" x14ac:dyDescent="0.25">
      <c r="A17" s="478"/>
      <c r="B17" s="478"/>
      <c r="C17" s="233">
        <v>2</v>
      </c>
      <c r="D17" s="234" t="s">
        <v>19</v>
      </c>
      <c r="E17" s="403">
        <v>0</v>
      </c>
      <c r="F17" s="230"/>
      <c r="G17" s="230">
        <v>1</v>
      </c>
      <c r="H17" s="230">
        <v>1</v>
      </c>
      <c r="I17" s="230"/>
      <c r="J17" s="230">
        <v>1</v>
      </c>
      <c r="K17" s="230">
        <v>4</v>
      </c>
      <c r="L17" s="230">
        <v>5</v>
      </c>
      <c r="M17" s="230">
        <v>26</v>
      </c>
      <c r="N17" s="36">
        <v>2</v>
      </c>
      <c r="O17" s="36"/>
      <c r="P17" s="36"/>
      <c r="Q17" s="36">
        <v>1</v>
      </c>
      <c r="R17" s="409"/>
      <c r="S17" s="409"/>
      <c r="T17" s="451">
        <v>1</v>
      </c>
      <c r="U17" s="451">
        <v>2</v>
      </c>
      <c r="V17" s="451">
        <v>5</v>
      </c>
      <c r="W17" s="451">
        <v>18</v>
      </c>
      <c r="X17" s="36">
        <v>1</v>
      </c>
      <c r="Y17" s="36"/>
      <c r="Z17" s="36"/>
      <c r="AC17" s="662">
        <v>0.01</v>
      </c>
      <c r="AD17" s="664"/>
    </row>
    <row r="18" spans="1:30" s="18" customFormat="1" x14ac:dyDescent="0.25">
      <c r="A18" s="478"/>
      <c r="B18" s="478"/>
      <c r="C18" s="233">
        <v>3</v>
      </c>
      <c r="D18" s="234" t="s">
        <v>383</v>
      </c>
      <c r="E18" s="403">
        <v>0</v>
      </c>
      <c r="F18" s="230"/>
      <c r="G18" s="230"/>
      <c r="H18" s="230">
        <v>1</v>
      </c>
      <c r="I18" s="230"/>
      <c r="J18" s="230"/>
      <c r="K18" s="230">
        <v>1</v>
      </c>
      <c r="L18" s="230">
        <v>2</v>
      </c>
      <c r="M18" s="230">
        <v>6</v>
      </c>
      <c r="N18" s="36"/>
      <c r="O18" s="36"/>
      <c r="P18" s="36"/>
      <c r="Q18" s="36">
        <v>2</v>
      </c>
      <c r="R18" s="409"/>
      <c r="S18" s="409"/>
      <c r="T18" s="474"/>
      <c r="U18" s="409"/>
      <c r="V18" s="409"/>
      <c r="W18" s="409"/>
      <c r="X18" s="36"/>
      <c r="Y18" s="36"/>
      <c r="Z18" s="36"/>
      <c r="AC18" s="664">
        <v>0.1</v>
      </c>
      <c r="AD18" s="664">
        <v>0</v>
      </c>
    </row>
    <row r="19" spans="1:30" s="18" customFormat="1" x14ac:dyDescent="0.25">
      <c r="A19" s="478"/>
      <c r="B19" s="478"/>
      <c r="C19" s="233">
        <v>4</v>
      </c>
      <c r="D19" s="234" t="s">
        <v>377</v>
      </c>
      <c r="E19" s="403">
        <v>0</v>
      </c>
      <c r="F19" s="230"/>
      <c r="G19" s="230"/>
      <c r="H19" s="230">
        <v>1</v>
      </c>
      <c r="I19" s="230"/>
      <c r="J19" s="230"/>
      <c r="K19" s="230">
        <v>1</v>
      </c>
      <c r="L19" s="230">
        <v>2</v>
      </c>
      <c r="M19" s="230">
        <v>6</v>
      </c>
      <c r="N19" s="36"/>
      <c r="O19" s="36"/>
      <c r="P19" s="36"/>
      <c r="Q19" s="36">
        <v>2</v>
      </c>
      <c r="R19" s="409"/>
      <c r="S19" s="409"/>
      <c r="T19" s="409"/>
      <c r="U19" s="409"/>
      <c r="V19" s="409"/>
      <c r="W19" s="409"/>
      <c r="X19" s="36"/>
      <c r="Y19" s="36"/>
      <c r="Z19" s="36"/>
      <c r="AC19" s="660"/>
      <c r="AD19" s="660"/>
    </row>
    <row r="20" spans="1:30" s="18" customFormat="1" ht="37.5" x14ac:dyDescent="0.25">
      <c r="A20" s="478"/>
      <c r="B20" s="478"/>
      <c r="C20" s="233"/>
      <c r="D20" s="234" t="s">
        <v>1058</v>
      </c>
      <c r="E20" s="403">
        <v>0</v>
      </c>
      <c r="F20" s="230"/>
      <c r="G20" s="230"/>
      <c r="H20" s="230"/>
      <c r="I20" s="230"/>
      <c r="J20" s="230"/>
      <c r="K20" s="230">
        <v>1</v>
      </c>
      <c r="L20" s="230"/>
      <c r="M20" s="230">
        <v>2</v>
      </c>
      <c r="N20" s="36"/>
      <c r="O20" s="36"/>
      <c r="P20" s="36"/>
      <c r="Q20" s="36"/>
      <c r="R20" s="409"/>
      <c r="S20" s="409"/>
      <c r="T20" s="409"/>
      <c r="U20" s="409"/>
      <c r="V20" s="409"/>
      <c r="W20" s="409"/>
      <c r="X20" s="36"/>
      <c r="Y20" s="36"/>
      <c r="Z20" s="36"/>
      <c r="AD20" s="404"/>
    </row>
    <row r="21" spans="1:30" s="18" customFormat="1" x14ac:dyDescent="0.25">
      <c r="A21" s="478">
        <v>2</v>
      </c>
      <c r="B21" s="478" t="s">
        <v>20</v>
      </c>
      <c r="C21" s="233">
        <v>5</v>
      </c>
      <c r="D21" s="234" t="s">
        <v>20</v>
      </c>
      <c r="E21" s="403">
        <v>0</v>
      </c>
      <c r="F21" s="230"/>
      <c r="G21" s="230">
        <v>1</v>
      </c>
      <c r="H21" s="230">
        <v>1</v>
      </c>
      <c r="I21" s="230"/>
      <c r="J21" s="230"/>
      <c r="K21" s="230">
        <v>4</v>
      </c>
      <c r="L21" s="230">
        <v>4</v>
      </c>
      <c r="M21" s="230">
        <v>26</v>
      </c>
      <c r="N21" s="36">
        <v>1</v>
      </c>
      <c r="O21" s="36"/>
      <c r="P21" s="36"/>
      <c r="Q21" s="36"/>
      <c r="R21" s="409"/>
      <c r="S21" s="409"/>
      <c r="T21" s="409"/>
      <c r="U21" s="409">
        <v>3</v>
      </c>
      <c r="V21" s="409">
        <v>8</v>
      </c>
      <c r="W21" s="409">
        <v>24</v>
      </c>
      <c r="X21" s="36"/>
      <c r="Y21" s="36"/>
      <c r="Z21" s="36"/>
    </row>
    <row r="22" spans="1:30" s="18" customFormat="1" x14ac:dyDescent="0.25">
      <c r="A22" s="478"/>
      <c r="B22" s="478"/>
      <c r="C22" s="233"/>
      <c r="D22" s="234" t="s">
        <v>1059</v>
      </c>
      <c r="E22" s="403">
        <v>0</v>
      </c>
      <c r="F22" s="230"/>
      <c r="G22" s="230"/>
      <c r="H22" s="230"/>
      <c r="I22" s="230"/>
      <c r="J22" s="230"/>
      <c r="K22" s="230">
        <v>1</v>
      </c>
      <c r="L22" s="230"/>
      <c r="M22" s="230">
        <v>1</v>
      </c>
      <c r="N22" s="36"/>
      <c r="O22" s="36"/>
      <c r="P22" s="36"/>
      <c r="Q22" s="36"/>
      <c r="R22" s="409"/>
      <c r="S22" s="409"/>
      <c r="T22" s="409"/>
      <c r="U22" s="409"/>
      <c r="V22" s="409"/>
      <c r="W22" s="409"/>
      <c r="X22" s="36"/>
      <c r="Y22" s="36"/>
      <c r="Z22" s="36"/>
    </row>
    <row r="23" spans="1:30" s="18" customFormat="1" x14ac:dyDescent="0.25">
      <c r="A23" s="233"/>
      <c r="B23" s="233"/>
      <c r="C23" s="233"/>
      <c r="D23" s="234" t="s">
        <v>21</v>
      </c>
      <c r="E23" s="403">
        <v>0</v>
      </c>
      <c r="F23" s="230">
        <v>1</v>
      </c>
      <c r="G23" s="230"/>
      <c r="H23" s="230"/>
      <c r="I23" s="230"/>
      <c r="J23" s="230"/>
      <c r="K23" s="230"/>
      <c r="L23" s="230">
        <v>1</v>
      </c>
      <c r="M23" s="230"/>
      <c r="N23" s="36"/>
      <c r="O23" s="36">
        <v>1</v>
      </c>
      <c r="P23" s="36"/>
      <c r="Q23" s="36"/>
      <c r="R23" s="409">
        <v>1</v>
      </c>
      <c r="S23" s="409"/>
      <c r="T23" s="409"/>
      <c r="U23" s="409"/>
      <c r="V23" s="409"/>
      <c r="W23" s="409"/>
      <c r="X23" s="36"/>
      <c r="Y23" s="36"/>
      <c r="Z23" s="36"/>
    </row>
    <row r="24" spans="1:30" s="18" customFormat="1" x14ac:dyDescent="0.25">
      <c r="A24" s="478">
        <v>3</v>
      </c>
      <c r="B24" s="490" t="s">
        <v>21</v>
      </c>
      <c r="C24" s="235">
        <v>6</v>
      </c>
      <c r="D24" s="234" t="s">
        <v>21</v>
      </c>
      <c r="E24" s="403">
        <v>0</v>
      </c>
      <c r="F24" s="230"/>
      <c r="G24" s="230">
        <v>1</v>
      </c>
      <c r="H24" s="230">
        <v>1</v>
      </c>
      <c r="I24" s="230"/>
      <c r="J24" s="230">
        <v>1</v>
      </c>
      <c r="K24" s="230">
        <v>4</v>
      </c>
      <c r="L24" s="230">
        <v>5</v>
      </c>
      <c r="M24" s="230">
        <v>26</v>
      </c>
      <c r="N24" s="36">
        <v>2</v>
      </c>
      <c r="O24" s="36"/>
      <c r="P24" s="36">
        <v>1</v>
      </c>
      <c r="Q24" s="36"/>
      <c r="R24" s="409"/>
      <c r="S24" s="409"/>
      <c r="T24" s="409">
        <v>1</v>
      </c>
      <c r="U24" s="409">
        <v>1</v>
      </c>
      <c r="V24" s="409">
        <v>4</v>
      </c>
      <c r="W24" s="409">
        <v>16</v>
      </c>
      <c r="X24" s="36">
        <v>5</v>
      </c>
      <c r="Y24" s="36"/>
      <c r="Z24" s="36">
        <v>1</v>
      </c>
    </row>
    <row r="25" spans="1:30" s="18" customFormat="1" x14ac:dyDescent="0.25">
      <c r="A25" s="478"/>
      <c r="B25" s="490"/>
      <c r="C25" s="235">
        <v>7</v>
      </c>
      <c r="D25" s="234" t="s">
        <v>22</v>
      </c>
      <c r="E25" s="403">
        <v>0</v>
      </c>
      <c r="F25" s="230"/>
      <c r="G25" s="230">
        <v>1</v>
      </c>
      <c r="H25" s="230">
        <v>1</v>
      </c>
      <c r="I25" s="230"/>
      <c r="J25" s="230">
        <v>1</v>
      </c>
      <c r="K25" s="230">
        <v>4</v>
      </c>
      <c r="L25" s="230">
        <v>5</v>
      </c>
      <c r="M25" s="230">
        <v>26</v>
      </c>
      <c r="N25" s="36">
        <v>2</v>
      </c>
      <c r="O25" s="36"/>
      <c r="P25" s="36">
        <v>1</v>
      </c>
      <c r="Q25" s="36"/>
      <c r="R25" s="409"/>
      <c r="S25" s="409">
        <v>1</v>
      </c>
      <c r="T25" s="409"/>
      <c r="U25" s="409">
        <v>4</v>
      </c>
      <c r="V25" s="409">
        <v>6</v>
      </c>
      <c r="W25" s="409">
        <v>15</v>
      </c>
      <c r="X25" s="36">
        <v>1</v>
      </c>
      <c r="Y25" s="36"/>
      <c r="Z25" s="36">
        <v>1</v>
      </c>
    </row>
    <row r="26" spans="1:30" s="18" customFormat="1" ht="49.5" customHeight="1" x14ac:dyDescent="0.25">
      <c r="A26" s="478"/>
      <c r="B26" s="490"/>
      <c r="C26" s="235">
        <v>8</v>
      </c>
      <c r="D26" s="234" t="s">
        <v>335</v>
      </c>
      <c r="E26" s="403">
        <v>0</v>
      </c>
      <c r="F26" s="230"/>
      <c r="G26" s="230"/>
      <c r="H26" s="230">
        <v>1</v>
      </c>
      <c r="I26" s="230"/>
      <c r="J26" s="230"/>
      <c r="K26" s="230">
        <v>1</v>
      </c>
      <c r="L26" s="230">
        <v>2</v>
      </c>
      <c r="M26" s="230">
        <v>6</v>
      </c>
      <c r="N26" s="36"/>
      <c r="O26" s="36"/>
      <c r="P26" s="36"/>
      <c r="Q26" s="36">
        <v>2</v>
      </c>
      <c r="R26" s="409"/>
      <c r="S26" s="409"/>
      <c r="T26" s="409"/>
      <c r="U26" s="409"/>
      <c r="V26" s="409"/>
      <c r="W26" s="409"/>
      <c r="X26" s="36"/>
      <c r="Y26" s="36"/>
      <c r="Z26" s="36">
        <v>1</v>
      </c>
    </row>
    <row r="27" spans="1:30" s="18" customFormat="1" ht="47.25" customHeight="1" x14ac:dyDescent="0.25">
      <c r="A27" s="478"/>
      <c r="B27" s="490"/>
      <c r="C27" s="235">
        <v>9</v>
      </c>
      <c r="D27" s="234" t="s">
        <v>269</v>
      </c>
      <c r="E27" s="403">
        <v>0</v>
      </c>
      <c r="F27" s="230"/>
      <c r="G27" s="230"/>
      <c r="H27" s="230">
        <v>1</v>
      </c>
      <c r="I27" s="230"/>
      <c r="J27" s="230"/>
      <c r="K27" s="230">
        <v>1</v>
      </c>
      <c r="L27" s="230">
        <v>2</v>
      </c>
      <c r="M27" s="230">
        <v>6</v>
      </c>
      <c r="N27" s="36"/>
      <c r="O27" s="36"/>
      <c r="P27" s="36"/>
      <c r="Q27" s="36">
        <v>2</v>
      </c>
      <c r="R27" s="409"/>
      <c r="S27" s="409"/>
      <c r="T27" s="409"/>
      <c r="U27" s="409">
        <v>2</v>
      </c>
      <c r="V27" s="409">
        <v>3</v>
      </c>
      <c r="W27" s="409">
        <v>9</v>
      </c>
      <c r="X27" s="36"/>
      <c r="Y27" s="36"/>
      <c r="Z27" s="36">
        <v>1</v>
      </c>
    </row>
    <row r="28" spans="1:30" s="18" customFormat="1" x14ac:dyDescent="0.25">
      <c r="A28" s="478">
        <v>4</v>
      </c>
      <c r="B28" s="478" t="s">
        <v>23</v>
      </c>
      <c r="C28" s="233">
        <v>10</v>
      </c>
      <c r="D28" s="234" t="s">
        <v>23</v>
      </c>
      <c r="E28" s="403">
        <v>0</v>
      </c>
      <c r="F28" s="230"/>
      <c r="G28" s="230">
        <v>1</v>
      </c>
      <c r="H28" s="230">
        <v>1</v>
      </c>
      <c r="I28" s="230"/>
      <c r="J28" s="230">
        <v>1</v>
      </c>
      <c r="K28" s="230">
        <v>4</v>
      </c>
      <c r="L28" s="230">
        <v>5</v>
      </c>
      <c r="M28" s="230">
        <v>26</v>
      </c>
      <c r="N28" s="36">
        <v>2</v>
      </c>
      <c r="O28" s="36"/>
      <c r="P28" s="36">
        <v>1</v>
      </c>
      <c r="Q28" s="36"/>
      <c r="R28" s="409"/>
      <c r="S28" s="409"/>
      <c r="T28" s="409">
        <v>1</v>
      </c>
      <c r="U28" s="409">
        <v>2</v>
      </c>
      <c r="V28" s="409">
        <v>4</v>
      </c>
      <c r="W28" s="409">
        <v>25</v>
      </c>
      <c r="X28" s="36"/>
      <c r="Y28" s="36"/>
      <c r="Z28" s="36"/>
    </row>
    <row r="29" spans="1:30" s="18" customFormat="1" ht="37.5" x14ac:dyDescent="0.25">
      <c r="A29" s="478"/>
      <c r="B29" s="478"/>
      <c r="C29" s="233">
        <v>11</v>
      </c>
      <c r="D29" s="234" t="s">
        <v>344</v>
      </c>
      <c r="E29" s="403">
        <v>0</v>
      </c>
      <c r="F29" s="230"/>
      <c r="G29" s="230">
        <v>1</v>
      </c>
      <c r="H29" s="230">
        <v>2</v>
      </c>
      <c r="I29" s="230"/>
      <c r="J29" s="230">
        <v>1</v>
      </c>
      <c r="K29" s="230">
        <v>5</v>
      </c>
      <c r="L29" s="230">
        <v>5</v>
      </c>
      <c r="M29" s="230">
        <v>26</v>
      </c>
      <c r="N29" s="36">
        <v>3</v>
      </c>
      <c r="O29" s="36"/>
      <c r="P29" s="36"/>
      <c r="Q29" s="36"/>
      <c r="R29" s="409"/>
      <c r="S29" s="409"/>
      <c r="T29" s="409"/>
      <c r="U29" s="409">
        <v>3</v>
      </c>
      <c r="V29" s="409">
        <v>6</v>
      </c>
      <c r="W29" s="409">
        <v>29</v>
      </c>
      <c r="X29" s="36"/>
      <c r="Y29" s="36"/>
      <c r="Z29" s="36"/>
    </row>
    <row r="30" spans="1:30" s="18" customFormat="1" x14ac:dyDescent="0.25">
      <c r="A30" s="233"/>
      <c r="B30" s="233"/>
      <c r="C30" s="233">
        <v>12</v>
      </c>
      <c r="D30" s="234" t="s">
        <v>821</v>
      </c>
      <c r="E30" s="403">
        <v>0</v>
      </c>
      <c r="F30" s="230"/>
      <c r="G30" s="230">
        <v>1</v>
      </c>
      <c r="H30" s="230"/>
      <c r="I30" s="230"/>
      <c r="J30" s="230"/>
      <c r="K30" s="230">
        <v>2</v>
      </c>
      <c r="L30" s="230">
        <v>2</v>
      </c>
      <c r="M30" s="230">
        <v>9</v>
      </c>
      <c r="N30" s="36"/>
      <c r="O30" s="36"/>
      <c r="P30" s="36"/>
      <c r="Q30" s="36">
        <v>2</v>
      </c>
      <c r="R30" s="409"/>
      <c r="S30" s="409"/>
      <c r="T30" s="409"/>
      <c r="U30" s="409"/>
      <c r="V30" s="409">
        <v>1</v>
      </c>
      <c r="W30" s="409">
        <v>3</v>
      </c>
      <c r="X30" s="36"/>
      <c r="Y30" s="36"/>
      <c r="Z30" s="36"/>
    </row>
    <row r="31" spans="1:30" s="18" customFormat="1" x14ac:dyDescent="0.25">
      <c r="A31" s="233"/>
      <c r="B31" s="233"/>
      <c r="C31" s="233"/>
      <c r="D31" s="234" t="s">
        <v>1056</v>
      </c>
      <c r="E31" s="403">
        <v>0</v>
      </c>
      <c r="F31" s="230"/>
      <c r="G31" s="230"/>
      <c r="H31" s="230"/>
      <c r="I31" s="230"/>
      <c r="J31" s="230"/>
      <c r="K31" s="230">
        <v>2</v>
      </c>
      <c r="L31" s="230"/>
      <c r="M31" s="230">
        <v>3</v>
      </c>
      <c r="N31" s="36"/>
      <c r="O31" s="36"/>
      <c r="P31" s="36"/>
      <c r="Q31" s="36"/>
      <c r="R31" s="409"/>
      <c r="S31" s="409"/>
      <c r="T31" s="409"/>
      <c r="U31" s="409"/>
      <c r="V31" s="409"/>
      <c r="W31" s="409"/>
      <c r="X31" s="36"/>
      <c r="Y31" s="36"/>
      <c r="Z31" s="36"/>
    </row>
    <row r="32" spans="1:30" s="18" customFormat="1" ht="37.5" x14ac:dyDescent="0.25">
      <c r="A32" s="233"/>
      <c r="B32" s="233"/>
      <c r="C32" s="233"/>
      <c r="D32" s="234" t="s">
        <v>1055</v>
      </c>
      <c r="E32" s="403">
        <v>0</v>
      </c>
      <c r="F32" s="230">
        <v>1</v>
      </c>
      <c r="G32" s="230"/>
      <c r="H32" s="230"/>
      <c r="I32" s="230"/>
      <c r="J32" s="230"/>
      <c r="K32" s="230"/>
      <c r="L32" s="230">
        <v>1</v>
      </c>
      <c r="M32" s="230"/>
      <c r="N32" s="36"/>
      <c r="O32" s="36"/>
      <c r="P32" s="36"/>
      <c r="Q32" s="36"/>
      <c r="R32" s="409">
        <v>1</v>
      </c>
      <c r="S32" s="409"/>
      <c r="T32" s="409"/>
      <c r="U32" s="409"/>
      <c r="V32" s="409"/>
      <c r="W32" s="409"/>
      <c r="X32" s="36"/>
      <c r="Y32" s="36"/>
      <c r="Z32" s="36"/>
    </row>
    <row r="33" spans="1:26" s="18" customFormat="1" x14ac:dyDescent="0.25">
      <c r="A33" s="478">
        <v>5</v>
      </c>
      <c r="B33" s="478" t="s">
        <v>25</v>
      </c>
      <c r="C33" s="233">
        <v>13</v>
      </c>
      <c r="D33" s="234" t="s">
        <v>26</v>
      </c>
      <c r="E33" s="403">
        <v>0</v>
      </c>
      <c r="F33" s="230"/>
      <c r="G33" s="230">
        <v>1</v>
      </c>
      <c r="H33" s="230">
        <v>1</v>
      </c>
      <c r="I33" s="230"/>
      <c r="J33" s="230">
        <v>1</v>
      </c>
      <c r="K33" s="230">
        <v>4</v>
      </c>
      <c r="L33" s="230">
        <v>5</v>
      </c>
      <c r="M33" s="230">
        <v>26</v>
      </c>
      <c r="N33" s="36">
        <v>2</v>
      </c>
      <c r="O33" s="36"/>
      <c r="P33" s="36">
        <v>1</v>
      </c>
      <c r="Q33" s="36"/>
      <c r="R33" s="409"/>
      <c r="S33" s="409"/>
      <c r="T33" s="409">
        <v>1</v>
      </c>
      <c r="U33" s="409">
        <v>3</v>
      </c>
      <c r="V33" s="409">
        <v>6</v>
      </c>
      <c r="W33" s="409">
        <v>25</v>
      </c>
      <c r="X33" s="36">
        <v>1</v>
      </c>
      <c r="Y33" s="36"/>
      <c r="Z33" s="36"/>
    </row>
    <row r="34" spans="1:26" s="18" customFormat="1" x14ac:dyDescent="0.25">
      <c r="A34" s="478"/>
      <c r="B34" s="478"/>
      <c r="C34" s="233">
        <v>14</v>
      </c>
      <c r="D34" s="234" t="s">
        <v>27</v>
      </c>
      <c r="E34" s="403">
        <v>0</v>
      </c>
      <c r="F34" s="230"/>
      <c r="G34" s="230">
        <v>1</v>
      </c>
      <c r="H34" s="230">
        <v>1</v>
      </c>
      <c r="I34" s="230"/>
      <c r="J34" s="230">
        <v>1</v>
      </c>
      <c r="K34" s="230">
        <v>4</v>
      </c>
      <c r="L34" s="230">
        <v>5</v>
      </c>
      <c r="M34" s="230">
        <v>26</v>
      </c>
      <c r="N34" s="36">
        <v>2</v>
      </c>
      <c r="O34" s="36"/>
      <c r="P34" s="36">
        <v>1</v>
      </c>
      <c r="Q34" s="36"/>
      <c r="R34" s="409"/>
      <c r="S34" s="409">
        <v>0</v>
      </c>
      <c r="T34" s="409"/>
      <c r="U34" s="409">
        <v>6</v>
      </c>
      <c r="V34" s="409">
        <v>6</v>
      </c>
      <c r="W34" s="409">
        <v>31</v>
      </c>
      <c r="X34" s="36">
        <v>1</v>
      </c>
      <c r="Y34" s="36"/>
      <c r="Z34" s="36"/>
    </row>
    <row r="35" spans="1:26" s="18" customFormat="1" ht="37.5" x14ac:dyDescent="0.25">
      <c r="A35" s="478"/>
      <c r="B35" s="478"/>
      <c r="C35" s="233">
        <v>15</v>
      </c>
      <c r="D35" s="234" t="s">
        <v>268</v>
      </c>
      <c r="E35" s="403">
        <v>0</v>
      </c>
      <c r="F35" s="230"/>
      <c r="G35" s="230"/>
      <c r="H35" s="230">
        <v>1</v>
      </c>
      <c r="I35" s="230"/>
      <c r="J35" s="230"/>
      <c r="K35" s="230">
        <v>1</v>
      </c>
      <c r="L35" s="230">
        <v>2</v>
      </c>
      <c r="M35" s="230">
        <v>6</v>
      </c>
      <c r="N35" s="36"/>
      <c r="O35" s="36"/>
      <c r="P35" s="36"/>
      <c r="Q35" s="36">
        <v>2</v>
      </c>
      <c r="R35" s="409"/>
      <c r="S35" s="409"/>
      <c r="T35" s="409"/>
      <c r="U35" s="409">
        <v>1</v>
      </c>
      <c r="V35" s="409">
        <v>1</v>
      </c>
      <c r="W35" s="409">
        <v>4</v>
      </c>
      <c r="X35" s="36"/>
      <c r="Y35" s="36"/>
      <c r="Z35" s="36"/>
    </row>
    <row r="36" spans="1:26" s="18" customFormat="1" x14ac:dyDescent="0.25">
      <c r="A36" s="233"/>
      <c r="B36" s="233"/>
      <c r="C36" s="233"/>
      <c r="D36" s="234" t="s">
        <v>467</v>
      </c>
      <c r="E36" s="403">
        <v>0</v>
      </c>
      <c r="F36" s="230">
        <v>1</v>
      </c>
      <c r="G36" s="230"/>
      <c r="H36" s="230"/>
      <c r="I36" s="230"/>
      <c r="J36" s="230"/>
      <c r="K36" s="230"/>
      <c r="L36" s="230">
        <v>1</v>
      </c>
      <c r="M36" s="230"/>
      <c r="N36" s="36"/>
      <c r="O36" s="36">
        <v>1</v>
      </c>
      <c r="P36" s="36"/>
      <c r="Q36" s="36"/>
      <c r="R36" s="409">
        <v>1</v>
      </c>
      <c r="S36" s="409"/>
      <c r="T36" s="409"/>
      <c r="U36" s="409"/>
      <c r="V36" s="409"/>
      <c r="W36" s="409"/>
      <c r="X36" s="36"/>
      <c r="Y36" s="36"/>
      <c r="Z36" s="36"/>
    </row>
    <row r="37" spans="1:26" s="18" customFormat="1" x14ac:dyDescent="0.25">
      <c r="A37" s="478">
        <v>6</v>
      </c>
      <c r="B37" s="478" t="s">
        <v>28</v>
      </c>
      <c r="C37" s="233">
        <v>16</v>
      </c>
      <c r="D37" s="234" t="s">
        <v>29</v>
      </c>
      <c r="E37" s="403">
        <v>0</v>
      </c>
      <c r="F37" s="230"/>
      <c r="G37" s="230">
        <v>1</v>
      </c>
      <c r="H37" s="230">
        <v>1</v>
      </c>
      <c r="I37" s="230"/>
      <c r="J37" s="230">
        <v>1</v>
      </c>
      <c r="K37" s="230">
        <v>4</v>
      </c>
      <c r="L37" s="230">
        <v>5</v>
      </c>
      <c r="M37" s="230">
        <v>26</v>
      </c>
      <c r="N37" s="36">
        <v>2</v>
      </c>
      <c r="O37" s="36"/>
      <c r="P37" s="36">
        <v>1</v>
      </c>
      <c r="Q37" s="36"/>
      <c r="R37" s="409"/>
      <c r="S37" s="409">
        <v>1</v>
      </c>
      <c r="T37" s="409">
        <v>0</v>
      </c>
      <c r="U37" s="409">
        <v>6</v>
      </c>
      <c r="V37" s="409">
        <v>6</v>
      </c>
      <c r="W37" s="409">
        <v>29</v>
      </c>
      <c r="X37" s="36">
        <v>1</v>
      </c>
      <c r="Y37" s="36">
        <v>1</v>
      </c>
      <c r="Z37" s="36">
        <v>1</v>
      </c>
    </row>
    <row r="38" spans="1:26" s="18" customFormat="1" x14ac:dyDescent="0.25">
      <c r="A38" s="478"/>
      <c r="B38" s="478"/>
      <c r="C38" s="233">
        <v>17</v>
      </c>
      <c r="D38" s="234" t="s">
        <v>30</v>
      </c>
      <c r="E38" s="403">
        <v>0</v>
      </c>
      <c r="F38" s="230"/>
      <c r="G38" s="230">
        <v>1</v>
      </c>
      <c r="H38" s="230">
        <v>1</v>
      </c>
      <c r="I38" s="230"/>
      <c r="J38" s="230">
        <v>1</v>
      </c>
      <c r="K38" s="230">
        <v>4</v>
      </c>
      <c r="L38" s="230">
        <v>5</v>
      </c>
      <c r="M38" s="230">
        <v>26</v>
      </c>
      <c r="N38" s="36">
        <v>2</v>
      </c>
      <c r="O38" s="36"/>
      <c r="P38" s="36">
        <v>1</v>
      </c>
      <c r="Q38" s="36"/>
      <c r="R38" s="409"/>
      <c r="S38" s="409"/>
      <c r="T38" s="409"/>
      <c r="U38" s="409">
        <v>3</v>
      </c>
      <c r="V38" s="409">
        <v>3</v>
      </c>
      <c r="W38" s="409">
        <v>11</v>
      </c>
      <c r="X38" s="36">
        <v>2</v>
      </c>
      <c r="Y38" s="36"/>
      <c r="Z38" s="36">
        <v>1</v>
      </c>
    </row>
    <row r="39" spans="1:26" s="18" customFormat="1" x14ac:dyDescent="0.25">
      <c r="A39" s="478"/>
      <c r="B39" s="478"/>
      <c r="C39" s="233">
        <v>18</v>
      </c>
      <c r="D39" s="234" t="s">
        <v>31</v>
      </c>
      <c r="E39" s="403">
        <v>0</v>
      </c>
      <c r="F39" s="230"/>
      <c r="G39" s="230">
        <v>1</v>
      </c>
      <c r="H39" s="230">
        <v>1</v>
      </c>
      <c r="I39" s="230"/>
      <c r="J39" s="230">
        <v>1</v>
      </c>
      <c r="K39" s="230">
        <v>4</v>
      </c>
      <c r="L39" s="230">
        <v>5</v>
      </c>
      <c r="M39" s="230">
        <v>26</v>
      </c>
      <c r="N39" s="36"/>
      <c r="O39" s="36"/>
      <c r="P39" s="36"/>
      <c r="Q39" s="36">
        <v>3</v>
      </c>
      <c r="R39" s="409"/>
      <c r="S39" s="409">
        <v>1</v>
      </c>
      <c r="T39" s="409"/>
      <c r="U39" s="409">
        <v>2</v>
      </c>
      <c r="V39" s="409">
        <v>5</v>
      </c>
      <c r="W39" s="409">
        <v>17</v>
      </c>
      <c r="X39" s="36">
        <v>1</v>
      </c>
      <c r="Y39" s="36"/>
      <c r="Z39" s="36">
        <v>1</v>
      </c>
    </row>
    <row r="40" spans="1:26" s="18" customFormat="1" x14ac:dyDescent="0.25">
      <c r="A40" s="478"/>
      <c r="B40" s="478"/>
      <c r="C40" s="233">
        <v>19</v>
      </c>
      <c r="D40" s="234" t="s">
        <v>32</v>
      </c>
      <c r="E40" s="403">
        <v>0</v>
      </c>
      <c r="F40" s="230"/>
      <c r="G40" s="230">
        <v>1</v>
      </c>
      <c r="H40" s="230">
        <v>1</v>
      </c>
      <c r="I40" s="230"/>
      <c r="J40" s="230">
        <v>1</v>
      </c>
      <c r="K40" s="230">
        <v>4</v>
      </c>
      <c r="L40" s="230">
        <v>5</v>
      </c>
      <c r="M40" s="230">
        <v>26</v>
      </c>
      <c r="N40" s="36">
        <v>2</v>
      </c>
      <c r="O40" s="36"/>
      <c r="P40" s="36">
        <v>1</v>
      </c>
      <c r="Q40" s="36"/>
      <c r="R40" s="409"/>
      <c r="S40" s="409"/>
      <c r="T40" s="409">
        <v>1</v>
      </c>
      <c r="U40" s="409">
        <v>5</v>
      </c>
      <c r="V40" s="409">
        <v>5</v>
      </c>
      <c r="W40" s="409">
        <v>15</v>
      </c>
      <c r="X40" s="36">
        <v>2</v>
      </c>
      <c r="Y40" s="36"/>
      <c r="Z40" s="36">
        <v>1</v>
      </c>
    </row>
    <row r="41" spans="1:26" s="18" customFormat="1" x14ac:dyDescent="0.25">
      <c r="A41" s="478"/>
      <c r="B41" s="478"/>
      <c r="C41" s="233">
        <v>20</v>
      </c>
      <c r="D41" s="234" t="s">
        <v>201</v>
      </c>
      <c r="E41" s="403">
        <v>0</v>
      </c>
      <c r="F41" s="230"/>
      <c r="G41" s="230"/>
      <c r="H41" s="230">
        <v>1</v>
      </c>
      <c r="I41" s="230"/>
      <c r="J41" s="230"/>
      <c r="K41" s="230">
        <v>1</v>
      </c>
      <c r="L41" s="230">
        <v>2</v>
      </c>
      <c r="M41" s="230">
        <v>6</v>
      </c>
      <c r="N41" s="36"/>
      <c r="O41" s="36"/>
      <c r="P41" s="36"/>
      <c r="Q41" s="36">
        <v>2</v>
      </c>
      <c r="R41" s="409"/>
      <c r="S41" s="409"/>
      <c r="T41" s="409">
        <v>1</v>
      </c>
      <c r="U41" s="409">
        <v>2</v>
      </c>
      <c r="V41" s="409">
        <v>3</v>
      </c>
      <c r="W41" s="409">
        <v>7</v>
      </c>
      <c r="X41" s="36">
        <v>1</v>
      </c>
      <c r="Y41" s="36"/>
      <c r="Z41" s="36"/>
    </row>
    <row r="42" spans="1:26" s="18" customFormat="1" x14ac:dyDescent="0.25">
      <c r="A42" s="478"/>
      <c r="B42" s="478"/>
      <c r="C42" s="233">
        <v>21</v>
      </c>
      <c r="D42" s="234" t="s">
        <v>1470</v>
      </c>
      <c r="E42" s="403"/>
      <c r="F42" s="230"/>
      <c r="G42" s="230">
        <v>1</v>
      </c>
      <c r="H42" s="230">
        <v>1</v>
      </c>
      <c r="I42" s="230"/>
      <c r="J42" s="230">
        <v>1</v>
      </c>
      <c r="K42" s="230">
        <v>5</v>
      </c>
      <c r="L42" s="230">
        <v>6</v>
      </c>
      <c r="M42" s="230">
        <v>25</v>
      </c>
      <c r="N42" s="36">
        <v>2</v>
      </c>
      <c r="O42" s="36"/>
      <c r="P42" s="36">
        <v>1</v>
      </c>
      <c r="Q42" s="36"/>
      <c r="R42" s="409"/>
      <c r="S42" s="409"/>
      <c r="T42" s="409"/>
      <c r="U42" s="409"/>
      <c r="V42" s="409"/>
      <c r="W42" s="409"/>
      <c r="X42" s="36"/>
      <c r="Y42" s="36"/>
      <c r="Z42" s="36"/>
    </row>
    <row r="43" spans="1:26" s="18" customFormat="1" x14ac:dyDescent="0.25">
      <c r="A43" s="233"/>
      <c r="B43" s="233"/>
      <c r="C43" s="233"/>
      <c r="D43" s="234" t="s">
        <v>33</v>
      </c>
      <c r="E43" s="403">
        <v>0</v>
      </c>
      <c r="F43" s="230">
        <v>1</v>
      </c>
      <c r="G43" s="230"/>
      <c r="H43" s="230"/>
      <c r="I43" s="230">
        <v>1</v>
      </c>
      <c r="J43" s="230"/>
      <c r="K43" s="230"/>
      <c r="L43" s="230">
        <v>1</v>
      </c>
      <c r="M43" s="230"/>
      <c r="N43" s="36">
        <v>1</v>
      </c>
      <c r="O43" s="36">
        <v>1</v>
      </c>
      <c r="P43" s="36"/>
      <c r="Q43" s="36"/>
      <c r="R43" s="409">
        <v>1</v>
      </c>
      <c r="S43" s="409"/>
      <c r="T43" s="409"/>
      <c r="U43" s="409"/>
      <c r="V43" s="409"/>
      <c r="W43" s="409"/>
      <c r="X43" s="36"/>
      <c r="Y43" s="36"/>
      <c r="Z43" s="36"/>
    </row>
    <row r="44" spans="1:26" s="18" customFormat="1" x14ac:dyDescent="0.25">
      <c r="A44" s="478">
        <v>7</v>
      </c>
      <c r="B44" s="478" t="s">
        <v>33</v>
      </c>
      <c r="C44" s="233">
        <v>22</v>
      </c>
      <c r="D44" s="234" t="s">
        <v>33</v>
      </c>
      <c r="E44" s="403">
        <v>0</v>
      </c>
      <c r="F44" s="230"/>
      <c r="G44" s="230">
        <v>1</v>
      </c>
      <c r="H44" s="230">
        <v>3</v>
      </c>
      <c r="I44" s="230">
        <v>1</v>
      </c>
      <c r="J44" s="230"/>
      <c r="K44" s="230">
        <v>11</v>
      </c>
      <c r="L44" s="230">
        <v>11</v>
      </c>
      <c r="M44" s="230">
        <v>56</v>
      </c>
      <c r="N44" s="36">
        <v>4</v>
      </c>
      <c r="O44" s="36"/>
      <c r="P44" s="36">
        <v>1</v>
      </c>
      <c r="Q44" s="36"/>
      <c r="R44" s="409"/>
      <c r="S44" s="409">
        <v>1</v>
      </c>
      <c r="T44" s="409">
        <v>0</v>
      </c>
      <c r="U44" s="409">
        <v>11</v>
      </c>
      <c r="V44" s="409">
        <v>18</v>
      </c>
      <c r="W44" s="409">
        <v>73</v>
      </c>
      <c r="X44" s="36">
        <v>7</v>
      </c>
      <c r="Y44" s="36">
        <v>0</v>
      </c>
      <c r="Z44" s="36">
        <v>2</v>
      </c>
    </row>
    <row r="45" spans="1:26" s="18" customFormat="1" x14ac:dyDescent="0.25">
      <c r="A45" s="478"/>
      <c r="B45" s="478"/>
      <c r="C45" s="233">
        <v>23</v>
      </c>
      <c r="D45" s="234" t="s">
        <v>34</v>
      </c>
      <c r="E45" s="403">
        <v>0</v>
      </c>
      <c r="F45" s="230"/>
      <c r="G45" s="230">
        <v>1</v>
      </c>
      <c r="H45" s="230">
        <v>1</v>
      </c>
      <c r="I45" s="230"/>
      <c r="J45" s="230">
        <v>1</v>
      </c>
      <c r="K45" s="230">
        <v>4</v>
      </c>
      <c r="L45" s="230">
        <v>5</v>
      </c>
      <c r="M45" s="230">
        <v>26</v>
      </c>
      <c r="N45" s="36">
        <v>2</v>
      </c>
      <c r="O45" s="36"/>
      <c r="P45" s="36">
        <v>1</v>
      </c>
      <c r="Q45" s="36"/>
      <c r="R45" s="409"/>
      <c r="S45" s="409"/>
      <c r="T45" s="409"/>
      <c r="U45" s="409">
        <v>5</v>
      </c>
      <c r="V45" s="409">
        <v>6</v>
      </c>
      <c r="W45" s="409">
        <v>20</v>
      </c>
      <c r="X45" s="36">
        <v>2</v>
      </c>
      <c r="Y45" s="36"/>
      <c r="Z45" s="36">
        <v>1</v>
      </c>
    </row>
    <row r="46" spans="1:26" s="18" customFormat="1" x14ac:dyDescent="0.25">
      <c r="A46" s="478"/>
      <c r="B46" s="478"/>
      <c r="C46" s="233">
        <v>24</v>
      </c>
      <c r="D46" s="276" t="s">
        <v>250</v>
      </c>
      <c r="E46" s="403">
        <v>0</v>
      </c>
      <c r="F46" s="230"/>
      <c r="G46" s="230">
        <v>1</v>
      </c>
      <c r="H46" s="230">
        <v>1</v>
      </c>
      <c r="I46" s="230"/>
      <c r="J46" s="230">
        <v>1</v>
      </c>
      <c r="K46" s="230">
        <v>4</v>
      </c>
      <c r="L46" s="230">
        <v>5</v>
      </c>
      <c r="M46" s="230">
        <v>26</v>
      </c>
      <c r="N46" s="36">
        <v>2</v>
      </c>
      <c r="O46" s="36"/>
      <c r="P46" s="36">
        <v>1</v>
      </c>
      <c r="Q46" s="36"/>
      <c r="R46" s="409"/>
      <c r="S46" s="409"/>
      <c r="T46" s="409">
        <v>1</v>
      </c>
      <c r="U46" s="409">
        <v>1</v>
      </c>
      <c r="V46" s="409">
        <v>2</v>
      </c>
      <c r="W46" s="409">
        <v>11</v>
      </c>
      <c r="X46" s="36">
        <v>1</v>
      </c>
      <c r="Y46" s="36"/>
      <c r="Z46" s="36">
        <v>1</v>
      </c>
    </row>
    <row r="47" spans="1:26" s="18" customFormat="1" x14ac:dyDescent="0.25">
      <c r="A47" s="478"/>
      <c r="B47" s="478"/>
      <c r="C47" s="233">
        <v>25</v>
      </c>
      <c r="D47" s="234" t="s">
        <v>36</v>
      </c>
      <c r="E47" s="403">
        <v>0</v>
      </c>
      <c r="F47" s="230"/>
      <c r="G47" s="230">
        <v>1</v>
      </c>
      <c r="H47" s="230">
        <v>1</v>
      </c>
      <c r="I47" s="230"/>
      <c r="J47" s="230">
        <v>1</v>
      </c>
      <c r="K47" s="230">
        <v>4</v>
      </c>
      <c r="L47" s="230">
        <v>4</v>
      </c>
      <c r="M47" s="230">
        <v>26</v>
      </c>
      <c r="N47" s="36"/>
      <c r="O47" s="36"/>
      <c r="P47" s="36"/>
      <c r="Q47" s="36"/>
      <c r="R47" s="409"/>
      <c r="S47" s="409"/>
      <c r="T47" s="409"/>
      <c r="U47" s="409">
        <v>1</v>
      </c>
      <c r="V47" s="409">
        <v>4</v>
      </c>
      <c r="W47" s="409">
        <v>21</v>
      </c>
      <c r="X47" s="36">
        <v>1</v>
      </c>
      <c r="Y47" s="36"/>
      <c r="Z47" s="36"/>
    </row>
    <row r="48" spans="1:26" s="18" customFormat="1" x14ac:dyDescent="0.25">
      <c r="A48" s="478"/>
      <c r="B48" s="478"/>
      <c r="C48" s="233">
        <v>26</v>
      </c>
      <c r="D48" s="234" t="s">
        <v>37</v>
      </c>
      <c r="E48" s="403">
        <v>0</v>
      </c>
      <c r="F48" s="230"/>
      <c r="G48" s="230">
        <v>1</v>
      </c>
      <c r="H48" s="230">
        <v>1</v>
      </c>
      <c r="I48" s="230"/>
      <c r="J48" s="230">
        <v>1</v>
      </c>
      <c r="K48" s="230">
        <v>4</v>
      </c>
      <c r="L48" s="230">
        <v>5</v>
      </c>
      <c r="M48" s="230">
        <v>26</v>
      </c>
      <c r="N48" s="36"/>
      <c r="O48" s="36"/>
      <c r="P48" s="36"/>
      <c r="Q48" s="36">
        <v>3</v>
      </c>
      <c r="R48" s="409"/>
      <c r="S48" s="409"/>
      <c r="T48" s="409">
        <v>1</v>
      </c>
      <c r="U48" s="409">
        <v>2</v>
      </c>
      <c r="V48" s="409">
        <v>5</v>
      </c>
      <c r="W48" s="409">
        <v>20</v>
      </c>
      <c r="X48" s="36">
        <v>1</v>
      </c>
      <c r="Y48" s="36"/>
      <c r="Z48" s="36"/>
    </row>
    <row r="49" spans="1:26" s="18" customFormat="1" x14ac:dyDescent="0.25">
      <c r="A49" s="478"/>
      <c r="B49" s="478"/>
      <c r="C49" s="233">
        <v>27</v>
      </c>
      <c r="D49" s="234" t="s">
        <v>141</v>
      </c>
      <c r="E49" s="403">
        <v>0</v>
      </c>
      <c r="F49" s="230"/>
      <c r="G49" s="230">
        <v>1</v>
      </c>
      <c r="H49" s="230">
        <v>1</v>
      </c>
      <c r="I49" s="230"/>
      <c r="J49" s="230"/>
      <c r="K49" s="230">
        <v>4</v>
      </c>
      <c r="L49" s="230">
        <v>4</v>
      </c>
      <c r="M49" s="230">
        <v>16</v>
      </c>
      <c r="N49" s="36">
        <v>1</v>
      </c>
      <c r="O49" s="36"/>
      <c r="P49" s="36">
        <v>1</v>
      </c>
      <c r="Q49" s="36"/>
      <c r="R49" s="409"/>
      <c r="S49" s="409"/>
      <c r="T49" s="409">
        <v>1</v>
      </c>
      <c r="U49" s="409">
        <v>4</v>
      </c>
      <c r="V49" s="409">
        <v>4</v>
      </c>
      <c r="W49" s="409">
        <v>21</v>
      </c>
      <c r="X49" s="36">
        <v>1</v>
      </c>
      <c r="Y49" s="36"/>
      <c r="Z49" s="36">
        <v>1</v>
      </c>
    </row>
    <row r="50" spans="1:26" s="18" customFormat="1" x14ac:dyDescent="0.25">
      <c r="A50" s="478"/>
      <c r="B50" s="233"/>
      <c r="C50" s="233">
        <v>28</v>
      </c>
      <c r="D50" s="234" t="s">
        <v>305</v>
      </c>
      <c r="E50" s="403">
        <v>0</v>
      </c>
      <c r="F50" s="230"/>
      <c r="G50" s="230"/>
      <c r="H50" s="230">
        <v>1</v>
      </c>
      <c r="I50" s="230"/>
      <c r="J50" s="230"/>
      <c r="K50" s="230">
        <v>1</v>
      </c>
      <c r="L50" s="230">
        <v>2</v>
      </c>
      <c r="M50" s="230">
        <v>6</v>
      </c>
      <c r="N50" s="36"/>
      <c r="O50" s="36"/>
      <c r="P50" s="36"/>
      <c r="Q50" s="36">
        <v>2</v>
      </c>
      <c r="R50" s="409"/>
      <c r="S50" s="409"/>
      <c r="T50" s="409"/>
      <c r="U50" s="409"/>
      <c r="V50" s="409"/>
      <c r="W50" s="409"/>
      <c r="X50" s="36"/>
      <c r="Y50" s="36"/>
      <c r="Z50" s="36"/>
    </row>
    <row r="51" spans="1:26" s="18" customFormat="1" ht="37.5" x14ac:dyDescent="0.25">
      <c r="A51" s="233"/>
      <c r="B51" s="233"/>
      <c r="C51" s="233"/>
      <c r="D51" s="234" t="s">
        <v>1060</v>
      </c>
      <c r="E51" s="403">
        <v>0</v>
      </c>
      <c r="F51" s="230">
        <v>1</v>
      </c>
      <c r="G51" s="230"/>
      <c r="H51" s="230"/>
      <c r="I51" s="230"/>
      <c r="J51" s="230"/>
      <c r="K51" s="230"/>
      <c r="L51" s="230">
        <v>1</v>
      </c>
      <c r="M51" s="230"/>
      <c r="N51" s="36"/>
      <c r="O51" s="36"/>
      <c r="P51" s="36"/>
      <c r="Q51" s="36"/>
      <c r="R51" s="409">
        <v>1</v>
      </c>
      <c r="S51" s="409"/>
      <c r="T51" s="409"/>
      <c r="U51" s="409"/>
      <c r="V51" s="409"/>
      <c r="W51" s="409"/>
      <c r="X51" s="36"/>
      <c r="Y51" s="36"/>
      <c r="Z51" s="36"/>
    </row>
    <row r="52" spans="1:26" s="18" customFormat="1" x14ac:dyDescent="0.25">
      <c r="A52" s="478">
        <v>8</v>
      </c>
      <c r="B52" s="478" t="s">
        <v>38</v>
      </c>
      <c r="C52" s="233">
        <v>29</v>
      </c>
      <c r="D52" s="234" t="s">
        <v>38</v>
      </c>
      <c r="E52" s="403">
        <v>0</v>
      </c>
      <c r="F52" s="230"/>
      <c r="G52" s="230">
        <v>1</v>
      </c>
      <c r="H52" s="230">
        <v>1</v>
      </c>
      <c r="I52" s="230"/>
      <c r="J52" s="230">
        <v>1</v>
      </c>
      <c r="K52" s="230">
        <v>4</v>
      </c>
      <c r="L52" s="230">
        <v>5</v>
      </c>
      <c r="M52" s="230">
        <v>26</v>
      </c>
      <c r="N52" s="36">
        <v>2</v>
      </c>
      <c r="O52" s="36"/>
      <c r="P52" s="36">
        <v>2</v>
      </c>
      <c r="Q52" s="36"/>
      <c r="R52" s="409"/>
      <c r="S52" s="409"/>
      <c r="T52" s="409"/>
      <c r="U52" s="409">
        <v>5</v>
      </c>
      <c r="V52" s="409">
        <v>10</v>
      </c>
      <c r="W52" s="409">
        <v>33</v>
      </c>
      <c r="X52" s="36">
        <v>2</v>
      </c>
      <c r="Y52" s="36"/>
      <c r="Z52" s="36">
        <v>1</v>
      </c>
    </row>
    <row r="53" spans="1:26" s="391" customFormat="1" x14ac:dyDescent="0.25">
      <c r="A53" s="478"/>
      <c r="B53" s="478"/>
      <c r="C53" s="368">
        <v>30</v>
      </c>
      <c r="D53" s="371" t="s">
        <v>39</v>
      </c>
      <c r="E53" s="408">
        <v>0</v>
      </c>
      <c r="F53" s="230"/>
      <c r="G53" s="230">
        <v>1</v>
      </c>
      <c r="H53" s="230">
        <v>1</v>
      </c>
      <c r="I53" s="230"/>
      <c r="J53" s="230">
        <v>1</v>
      </c>
      <c r="K53" s="230">
        <v>4</v>
      </c>
      <c r="L53" s="230">
        <v>5</v>
      </c>
      <c r="M53" s="230">
        <v>26</v>
      </c>
      <c r="N53" s="409">
        <v>2</v>
      </c>
      <c r="O53" s="409"/>
      <c r="P53" s="409">
        <v>2</v>
      </c>
      <c r="Q53" s="409"/>
      <c r="R53" s="409"/>
      <c r="S53" s="409">
        <v>1</v>
      </c>
      <c r="T53" s="409">
        <v>1</v>
      </c>
      <c r="U53" s="409">
        <v>5</v>
      </c>
      <c r="V53" s="409">
        <v>5</v>
      </c>
      <c r="W53" s="409">
        <v>13</v>
      </c>
      <c r="X53" s="409">
        <v>2</v>
      </c>
      <c r="Y53" s="409"/>
      <c r="Z53" s="409">
        <v>2</v>
      </c>
    </row>
    <row r="54" spans="1:26" s="18" customFormat="1" x14ac:dyDescent="0.25">
      <c r="A54" s="478">
        <v>9</v>
      </c>
      <c r="B54" s="478" t="s">
        <v>88</v>
      </c>
      <c r="C54" s="233">
        <v>31</v>
      </c>
      <c r="D54" s="234" t="s">
        <v>88</v>
      </c>
      <c r="E54" s="403">
        <v>0</v>
      </c>
      <c r="F54" s="230"/>
      <c r="G54" s="230">
        <v>1</v>
      </c>
      <c r="H54" s="230">
        <v>1</v>
      </c>
      <c r="I54" s="230"/>
      <c r="J54" s="230">
        <v>1</v>
      </c>
      <c r="K54" s="230">
        <v>4</v>
      </c>
      <c r="L54" s="230">
        <v>5</v>
      </c>
      <c r="M54" s="230">
        <v>26</v>
      </c>
      <c r="N54" s="36">
        <v>2</v>
      </c>
      <c r="O54" s="36"/>
      <c r="P54" s="36">
        <v>1</v>
      </c>
      <c r="Q54" s="36"/>
      <c r="R54" s="409"/>
      <c r="S54" s="409"/>
      <c r="T54" s="409">
        <v>1</v>
      </c>
      <c r="U54" s="409">
        <v>3</v>
      </c>
      <c r="V54" s="409">
        <v>5</v>
      </c>
      <c r="W54" s="409">
        <v>26</v>
      </c>
      <c r="X54" s="36">
        <v>2</v>
      </c>
      <c r="Y54" s="36"/>
      <c r="Z54" s="36"/>
    </row>
    <row r="55" spans="1:26" s="18" customFormat="1" x14ac:dyDescent="0.25">
      <c r="A55" s="478"/>
      <c r="B55" s="478"/>
      <c r="C55" s="233">
        <v>32</v>
      </c>
      <c r="D55" s="234" t="s">
        <v>41</v>
      </c>
      <c r="E55" s="403">
        <v>0</v>
      </c>
      <c r="F55" s="230"/>
      <c r="G55" s="230"/>
      <c r="H55" s="230">
        <v>1</v>
      </c>
      <c r="I55" s="230"/>
      <c r="J55" s="230"/>
      <c r="K55" s="230">
        <v>1</v>
      </c>
      <c r="L55" s="230">
        <v>2</v>
      </c>
      <c r="M55" s="230">
        <v>8</v>
      </c>
      <c r="N55" s="36"/>
      <c r="O55" s="36"/>
      <c r="P55" s="36"/>
      <c r="Q55" s="36">
        <v>2</v>
      </c>
      <c r="R55" s="409"/>
      <c r="S55" s="409"/>
      <c r="T55" s="409"/>
      <c r="U55" s="409">
        <v>1</v>
      </c>
      <c r="V55" s="409">
        <v>2</v>
      </c>
      <c r="W55" s="409">
        <v>7</v>
      </c>
      <c r="X55" s="36">
        <v>1</v>
      </c>
      <c r="Y55" s="36"/>
      <c r="Z55" s="36"/>
    </row>
    <row r="56" spans="1:26" s="18" customFormat="1" x14ac:dyDescent="0.25">
      <c r="A56" s="478"/>
      <c r="B56" s="478"/>
      <c r="C56" s="233">
        <v>33</v>
      </c>
      <c r="D56" s="234" t="s">
        <v>42</v>
      </c>
      <c r="E56" s="403">
        <v>0</v>
      </c>
      <c r="F56" s="230"/>
      <c r="G56" s="230"/>
      <c r="H56" s="230">
        <v>1</v>
      </c>
      <c r="I56" s="230"/>
      <c r="J56" s="230"/>
      <c r="K56" s="230">
        <v>1</v>
      </c>
      <c r="L56" s="230">
        <v>2</v>
      </c>
      <c r="M56" s="230">
        <v>8</v>
      </c>
      <c r="N56" s="36"/>
      <c r="O56" s="36"/>
      <c r="P56" s="36"/>
      <c r="Q56" s="36">
        <v>2</v>
      </c>
      <c r="R56" s="409"/>
      <c r="S56" s="409"/>
      <c r="T56" s="409"/>
      <c r="U56" s="409">
        <v>1</v>
      </c>
      <c r="V56" s="409">
        <v>3</v>
      </c>
      <c r="W56" s="409">
        <v>7</v>
      </c>
      <c r="X56" s="36"/>
      <c r="Y56" s="36"/>
      <c r="Z56" s="36"/>
    </row>
    <row r="57" spans="1:26" s="18" customFormat="1" x14ac:dyDescent="0.25">
      <c r="A57" s="478">
        <v>10</v>
      </c>
      <c r="B57" s="478" t="s">
        <v>43</v>
      </c>
      <c r="C57" s="233">
        <v>34</v>
      </c>
      <c r="D57" s="234" t="s">
        <v>89</v>
      </c>
      <c r="E57" s="403">
        <v>0</v>
      </c>
      <c r="F57" s="230"/>
      <c r="G57" s="230">
        <v>1</v>
      </c>
      <c r="H57" s="230">
        <v>1</v>
      </c>
      <c r="I57" s="230">
        <v>1</v>
      </c>
      <c r="J57" s="230"/>
      <c r="K57" s="230">
        <v>2</v>
      </c>
      <c r="L57" s="230">
        <v>4</v>
      </c>
      <c r="M57" s="230">
        <v>18</v>
      </c>
      <c r="N57" s="36"/>
      <c r="O57" s="36"/>
      <c r="P57" s="36"/>
      <c r="Q57" s="36">
        <v>3</v>
      </c>
      <c r="R57" s="409"/>
      <c r="S57" s="409"/>
      <c r="T57" s="409"/>
      <c r="U57" s="409">
        <v>1</v>
      </c>
      <c r="V57" s="409">
        <v>1</v>
      </c>
      <c r="W57" s="409">
        <v>9</v>
      </c>
      <c r="X57" s="36">
        <v>1</v>
      </c>
      <c r="Y57" s="36"/>
      <c r="Z57" s="36"/>
    </row>
    <row r="58" spans="1:26" s="18" customFormat="1" x14ac:dyDescent="0.25">
      <c r="A58" s="478"/>
      <c r="B58" s="478"/>
      <c r="C58" s="233">
        <v>35</v>
      </c>
      <c r="D58" s="234" t="s">
        <v>44</v>
      </c>
      <c r="E58" s="403">
        <v>0</v>
      </c>
      <c r="F58" s="230"/>
      <c r="G58" s="230">
        <v>1</v>
      </c>
      <c r="H58" s="230">
        <v>1</v>
      </c>
      <c r="I58" s="230"/>
      <c r="J58" s="230">
        <v>1</v>
      </c>
      <c r="K58" s="230">
        <v>4</v>
      </c>
      <c r="L58" s="230">
        <v>4</v>
      </c>
      <c r="M58" s="230">
        <v>26</v>
      </c>
      <c r="N58" s="36"/>
      <c r="O58" s="36"/>
      <c r="P58" s="36"/>
      <c r="Q58" s="36"/>
      <c r="R58" s="409"/>
      <c r="S58" s="409"/>
      <c r="T58" s="409"/>
      <c r="U58" s="409">
        <v>5</v>
      </c>
      <c r="V58" s="409">
        <v>5</v>
      </c>
      <c r="W58" s="409">
        <v>26</v>
      </c>
      <c r="X58" s="36">
        <v>1</v>
      </c>
      <c r="Y58" s="36"/>
      <c r="Z58" s="36">
        <v>1</v>
      </c>
    </row>
    <row r="59" spans="1:26" s="18" customFormat="1" x14ac:dyDescent="0.25">
      <c r="A59" s="478"/>
      <c r="B59" s="478"/>
      <c r="C59" s="233">
        <v>36</v>
      </c>
      <c r="D59" s="234" t="s">
        <v>45</v>
      </c>
      <c r="E59" s="403">
        <v>0</v>
      </c>
      <c r="F59" s="230"/>
      <c r="G59" s="230">
        <v>1</v>
      </c>
      <c r="H59" s="230">
        <v>1</v>
      </c>
      <c r="I59" s="230"/>
      <c r="J59" s="230">
        <v>1</v>
      </c>
      <c r="K59" s="230">
        <v>4</v>
      </c>
      <c r="L59" s="230">
        <v>4</v>
      </c>
      <c r="M59" s="230">
        <v>26</v>
      </c>
      <c r="N59" s="36">
        <v>2</v>
      </c>
      <c r="O59" s="36"/>
      <c r="P59" s="36"/>
      <c r="Q59" s="36">
        <v>2</v>
      </c>
      <c r="R59" s="409"/>
      <c r="S59" s="409"/>
      <c r="T59" s="409">
        <v>1</v>
      </c>
      <c r="U59" s="409">
        <v>4</v>
      </c>
      <c r="V59" s="409">
        <v>5</v>
      </c>
      <c r="W59" s="409">
        <v>33</v>
      </c>
      <c r="X59" s="36">
        <v>2</v>
      </c>
      <c r="Y59" s="36"/>
      <c r="Z59" s="36">
        <v>1</v>
      </c>
    </row>
    <row r="60" spans="1:26" s="18" customFormat="1" ht="37.5" x14ac:dyDescent="0.25">
      <c r="A60" s="233"/>
      <c r="B60" s="233"/>
      <c r="C60" s="233"/>
      <c r="D60" s="234" t="s">
        <v>1061</v>
      </c>
      <c r="E60" s="403">
        <v>0</v>
      </c>
      <c r="F60" s="230">
        <v>1</v>
      </c>
      <c r="G60" s="230"/>
      <c r="H60" s="230"/>
      <c r="I60" s="230"/>
      <c r="J60" s="230"/>
      <c r="K60" s="230"/>
      <c r="L60" s="230">
        <v>1</v>
      </c>
      <c r="M60" s="230"/>
      <c r="N60" s="36"/>
      <c r="O60" s="36"/>
      <c r="P60" s="36"/>
      <c r="Q60" s="36"/>
      <c r="R60" s="409"/>
      <c r="S60" s="409"/>
      <c r="T60" s="409"/>
      <c r="U60" s="409"/>
      <c r="V60" s="409"/>
      <c r="W60" s="409"/>
      <c r="X60" s="36"/>
      <c r="Y60" s="36"/>
      <c r="Z60" s="36"/>
    </row>
    <row r="61" spans="1:26" s="18" customFormat="1" x14ac:dyDescent="0.25">
      <c r="A61" s="478">
        <v>11</v>
      </c>
      <c r="B61" s="478" t="s">
        <v>46</v>
      </c>
      <c r="C61" s="233">
        <v>37</v>
      </c>
      <c r="D61" s="234" t="s">
        <v>47</v>
      </c>
      <c r="E61" s="403">
        <v>0</v>
      </c>
      <c r="F61" s="230"/>
      <c r="G61" s="230">
        <v>1</v>
      </c>
      <c r="H61" s="230">
        <v>1</v>
      </c>
      <c r="I61" s="230"/>
      <c r="J61" s="230">
        <v>1</v>
      </c>
      <c r="K61" s="230">
        <v>4</v>
      </c>
      <c r="L61" s="230">
        <v>5</v>
      </c>
      <c r="M61" s="230">
        <v>26</v>
      </c>
      <c r="N61" s="36">
        <v>2</v>
      </c>
      <c r="O61" s="36">
        <v>0</v>
      </c>
      <c r="P61" s="36">
        <v>1</v>
      </c>
      <c r="Q61" s="36"/>
      <c r="R61" s="409"/>
      <c r="S61" s="409"/>
      <c r="T61" s="409">
        <v>1</v>
      </c>
      <c r="U61" s="409">
        <v>4</v>
      </c>
      <c r="V61" s="409">
        <v>3</v>
      </c>
      <c r="W61" s="409">
        <v>25</v>
      </c>
      <c r="X61" s="36">
        <v>2</v>
      </c>
      <c r="Y61" s="36"/>
      <c r="Z61" s="36">
        <v>1</v>
      </c>
    </row>
    <row r="62" spans="1:26" s="18" customFormat="1" x14ac:dyDescent="0.25">
      <c r="A62" s="478"/>
      <c r="B62" s="478"/>
      <c r="C62" s="233">
        <v>38</v>
      </c>
      <c r="D62" s="234" t="s">
        <v>48</v>
      </c>
      <c r="E62" s="403">
        <v>0</v>
      </c>
      <c r="F62" s="230"/>
      <c r="G62" s="230"/>
      <c r="H62" s="230">
        <v>1</v>
      </c>
      <c r="I62" s="230"/>
      <c r="J62" s="230"/>
      <c r="K62" s="230">
        <v>1</v>
      </c>
      <c r="L62" s="230">
        <v>2</v>
      </c>
      <c r="M62" s="230">
        <v>8</v>
      </c>
      <c r="N62" s="36"/>
      <c r="O62" s="36"/>
      <c r="P62" s="36"/>
      <c r="Q62" s="36">
        <v>2</v>
      </c>
      <c r="R62" s="409"/>
      <c r="S62" s="409"/>
      <c r="T62" s="409"/>
      <c r="U62" s="409">
        <v>1</v>
      </c>
      <c r="V62" s="409">
        <v>1</v>
      </c>
      <c r="W62" s="409">
        <v>8</v>
      </c>
      <c r="X62" s="36">
        <v>1</v>
      </c>
      <c r="Y62" s="36"/>
      <c r="Z62" s="36">
        <v>1</v>
      </c>
    </row>
    <row r="63" spans="1:26" s="18" customFormat="1" ht="37.5" x14ac:dyDescent="0.25">
      <c r="A63" s="478"/>
      <c r="B63" s="478"/>
      <c r="C63" s="233">
        <v>39</v>
      </c>
      <c r="D63" s="234" t="s">
        <v>314</v>
      </c>
      <c r="E63" s="403">
        <v>0</v>
      </c>
      <c r="F63" s="230"/>
      <c r="G63" s="230">
        <v>0</v>
      </c>
      <c r="H63" s="230">
        <v>1</v>
      </c>
      <c r="I63" s="230"/>
      <c r="J63" s="230"/>
      <c r="K63" s="230">
        <v>1</v>
      </c>
      <c r="L63" s="230">
        <v>2</v>
      </c>
      <c r="M63" s="230">
        <v>6</v>
      </c>
      <c r="N63" s="36"/>
      <c r="O63" s="36"/>
      <c r="P63" s="36"/>
      <c r="Q63" s="36">
        <v>2</v>
      </c>
      <c r="R63" s="409"/>
      <c r="S63" s="409"/>
      <c r="T63" s="409"/>
      <c r="U63" s="409">
        <v>1</v>
      </c>
      <c r="V63" s="409">
        <v>1</v>
      </c>
      <c r="W63" s="409">
        <v>6</v>
      </c>
      <c r="X63" s="36"/>
      <c r="Y63" s="36"/>
      <c r="Z63" s="36">
        <v>1</v>
      </c>
    </row>
    <row r="64" spans="1:26" s="18" customFormat="1" x14ac:dyDescent="0.25">
      <c r="A64" s="233"/>
      <c r="B64" s="233"/>
      <c r="C64" s="233"/>
      <c r="D64" s="234" t="s">
        <v>91</v>
      </c>
      <c r="E64" s="403">
        <v>0</v>
      </c>
      <c r="F64" s="230">
        <v>1</v>
      </c>
      <c r="G64" s="230"/>
      <c r="H64" s="230"/>
      <c r="I64" s="230">
        <v>1</v>
      </c>
      <c r="J64" s="230"/>
      <c r="K64" s="230"/>
      <c r="L64" s="230">
        <v>1</v>
      </c>
      <c r="M64" s="230"/>
      <c r="N64" s="36">
        <v>1</v>
      </c>
      <c r="O64" s="36">
        <v>1</v>
      </c>
      <c r="P64" s="36"/>
      <c r="Q64" s="36"/>
      <c r="R64" s="409">
        <v>1</v>
      </c>
      <c r="S64" s="409"/>
      <c r="T64" s="409"/>
      <c r="U64" s="409"/>
      <c r="V64" s="409"/>
      <c r="W64" s="409"/>
      <c r="X64" s="36"/>
      <c r="Y64" s="36"/>
      <c r="Z64" s="36"/>
    </row>
    <row r="65" spans="1:26" s="18" customFormat="1" x14ac:dyDescent="0.25">
      <c r="A65" s="478">
        <v>12</v>
      </c>
      <c r="B65" s="478" t="s">
        <v>49</v>
      </c>
      <c r="C65" s="233">
        <v>40</v>
      </c>
      <c r="D65" s="234" t="s">
        <v>360</v>
      </c>
      <c r="E65" s="403">
        <v>0</v>
      </c>
      <c r="F65" s="230"/>
      <c r="G65" s="230">
        <v>1</v>
      </c>
      <c r="H65" s="230">
        <v>1</v>
      </c>
      <c r="I65" s="230"/>
      <c r="J65" s="230"/>
      <c r="K65" s="230">
        <v>4</v>
      </c>
      <c r="L65" s="230">
        <v>5</v>
      </c>
      <c r="M65" s="230">
        <v>26</v>
      </c>
      <c r="N65" s="36">
        <v>2</v>
      </c>
      <c r="O65" s="36">
        <v>0</v>
      </c>
      <c r="P65" s="36">
        <v>1</v>
      </c>
      <c r="Q65" s="36"/>
      <c r="R65" s="409"/>
      <c r="S65" s="409"/>
      <c r="T65" s="409"/>
      <c r="U65" s="409">
        <v>3</v>
      </c>
      <c r="V65" s="409">
        <v>3</v>
      </c>
      <c r="W65" s="409">
        <v>23</v>
      </c>
      <c r="X65" s="36">
        <v>2</v>
      </c>
      <c r="Y65" s="36"/>
      <c r="Z65" s="36"/>
    </row>
    <row r="66" spans="1:26" s="18" customFormat="1" x14ac:dyDescent="0.25">
      <c r="A66" s="478"/>
      <c r="B66" s="478"/>
      <c r="C66" s="233">
        <v>41</v>
      </c>
      <c r="D66" s="234" t="s">
        <v>50</v>
      </c>
      <c r="E66" s="403">
        <v>0</v>
      </c>
      <c r="F66" s="230"/>
      <c r="G66" s="230">
        <v>1</v>
      </c>
      <c r="H66" s="230">
        <v>1</v>
      </c>
      <c r="I66" s="230"/>
      <c r="J66" s="230"/>
      <c r="K66" s="230">
        <v>4</v>
      </c>
      <c r="L66" s="230">
        <v>4</v>
      </c>
      <c r="M66" s="230">
        <v>26</v>
      </c>
      <c r="N66" s="36">
        <v>2</v>
      </c>
      <c r="O66" s="36"/>
      <c r="P66" s="36"/>
      <c r="Q66" s="36"/>
      <c r="R66" s="409"/>
      <c r="S66" s="409"/>
      <c r="T66" s="409">
        <v>1</v>
      </c>
      <c r="U66" s="409">
        <v>3</v>
      </c>
      <c r="V66" s="409">
        <v>2</v>
      </c>
      <c r="W66" s="409">
        <v>20</v>
      </c>
      <c r="X66" s="36">
        <v>1</v>
      </c>
      <c r="Y66" s="36"/>
      <c r="Z66" s="36">
        <v>1</v>
      </c>
    </row>
    <row r="67" spans="1:26" s="18" customFormat="1" x14ac:dyDescent="0.25">
      <c r="A67" s="478"/>
      <c r="B67" s="478"/>
      <c r="C67" s="233">
        <v>42</v>
      </c>
      <c r="D67" s="234" t="s">
        <v>51</v>
      </c>
      <c r="E67" s="403">
        <v>0</v>
      </c>
      <c r="F67" s="230"/>
      <c r="G67" s="230">
        <v>1</v>
      </c>
      <c r="H67" s="230">
        <v>1</v>
      </c>
      <c r="I67" s="230"/>
      <c r="J67" s="230"/>
      <c r="K67" s="230">
        <v>4</v>
      </c>
      <c r="L67" s="230">
        <v>5</v>
      </c>
      <c r="M67" s="230">
        <v>26</v>
      </c>
      <c r="N67" s="36">
        <v>2</v>
      </c>
      <c r="O67" s="36"/>
      <c r="P67" s="36">
        <v>1</v>
      </c>
      <c r="Q67" s="36"/>
      <c r="R67" s="409"/>
      <c r="S67" s="409">
        <v>1</v>
      </c>
      <c r="T67" s="409"/>
      <c r="U67" s="409">
        <v>8</v>
      </c>
      <c r="V67" s="409">
        <v>8</v>
      </c>
      <c r="W67" s="409">
        <v>32</v>
      </c>
      <c r="X67" s="36">
        <v>3</v>
      </c>
      <c r="Y67" s="36">
        <v>0</v>
      </c>
      <c r="Z67" s="36">
        <v>1</v>
      </c>
    </row>
    <row r="68" spans="1:26" s="18" customFormat="1" x14ac:dyDescent="0.25">
      <c r="A68" s="233"/>
      <c r="B68" s="233"/>
      <c r="C68" s="233"/>
      <c r="D68" s="234" t="s">
        <v>468</v>
      </c>
      <c r="E68" s="403">
        <v>0</v>
      </c>
      <c r="F68" s="230">
        <v>1</v>
      </c>
      <c r="G68" s="230"/>
      <c r="H68" s="230"/>
      <c r="I68" s="230"/>
      <c r="J68" s="230"/>
      <c r="K68" s="230"/>
      <c r="L68" s="230">
        <v>1</v>
      </c>
      <c r="M68" s="230"/>
      <c r="N68" s="36"/>
      <c r="O68" s="36">
        <v>1</v>
      </c>
      <c r="P68" s="36"/>
      <c r="Q68" s="36"/>
      <c r="R68" s="409">
        <v>1</v>
      </c>
      <c r="S68" s="409"/>
      <c r="T68" s="409"/>
      <c r="U68" s="409"/>
      <c r="V68" s="409"/>
      <c r="W68" s="409"/>
      <c r="X68" s="36"/>
      <c r="Y68" s="36"/>
      <c r="Z68" s="36"/>
    </row>
    <row r="69" spans="1:26" s="18" customFormat="1" x14ac:dyDescent="0.25">
      <c r="A69" s="478">
        <v>13</v>
      </c>
      <c r="B69" s="478" t="s">
        <v>52</v>
      </c>
      <c r="C69" s="233">
        <v>43</v>
      </c>
      <c r="D69" s="234" t="s">
        <v>53</v>
      </c>
      <c r="E69" s="403">
        <v>0</v>
      </c>
      <c r="F69" s="230"/>
      <c r="G69" s="230">
        <v>1</v>
      </c>
      <c r="H69" s="230">
        <v>1</v>
      </c>
      <c r="I69" s="230"/>
      <c r="J69" s="230">
        <v>1</v>
      </c>
      <c r="K69" s="230">
        <v>4</v>
      </c>
      <c r="L69" s="230">
        <v>5</v>
      </c>
      <c r="M69" s="230">
        <v>26</v>
      </c>
      <c r="N69" s="36">
        <v>2</v>
      </c>
      <c r="O69" s="36"/>
      <c r="P69" s="36">
        <v>1</v>
      </c>
      <c r="Q69" s="36"/>
      <c r="R69" s="409"/>
      <c r="S69" s="409">
        <v>1</v>
      </c>
      <c r="T69" s="409"/>
      <c r="U69" s="409">
        <v>5</v>
      </c>
      <c r="V69" s="409">
        <v>5</v>
      </c>
      <c r="W69" s="409">
        <v>33</v>
      </c>
      <c r="X69" s="36">
        <v>4</v>
      </c>
      <c r="Y69" s="36"/>
      <c r="Z69" s="36"/>
    </row>
    <row r="70" spans="1:26" s="18" customFormat="1" x14ac:dyDescent="0.25">
      <c r="A70" s="478"/>
      <c r="B70" s="478"/>
      <c r="C70" s="233">
        <v>44</v>
      </c>
      <c r="D70" s="234" t="s">
        <v>54</v>
      </c>
      <c r="E70" s="403">
        <v>0</v>
      </c>
      <c r="F70" s="230"/>
      <c r="G70" s="230">
        <v>1</v>
      </c>
      <c r="H70" s="230">
        <v>1</v>
      </c>
      <c r="I70" s="230"/>
      <c r="J70" s="230">
        <v>1</v>
      </c>
      <c r="K70" s="230">
        <v>4</v>
      </c>
      <c r="L70" s="230">
        <v>5</v>
      </c>
      <c r="M70" s="230">
        <v>26</v>
      </c>
      <c r="N70" s="36">
        <v>2</v>
      </c>
      <c r="O70" s="36"/>
      <c r="P70" s="36">
        <v>1</v>
      </c>
      <c r="Q70" s="36"/>
      <c r="R70" s="409"/>
      <c r="S70" s="409">
        <v>1</v>
      </c>
      <c r="T70" s="409"/>
      <c r="U70" s="409">
        <v>1</v>
      </c>
      <c r="V70" s="409">
        <v>1</v>
      </c>
      <c r="W70" s="409">
        <v>23</v>
      </c>
      <c r="X70" s="36">
        <v>1</v>
      </c>
      <c r="Y70" s="36"/>
      <c r="Z70" s="36"/>
    </row>
    <row r="71" spans="1:26" s="18" customFormat="1" x14ac:dyDescent="0.25">
      <c r="A71" s="478"/>
      <c r="B71" s="478"/>
      <c r="C71" s="233">
        <v>45</v>
      </c>
      <c r="D71" s="234" t="s">
        <v>55</v>
      </c>
      <c r="E71" s="403">
        <v>0</v>
      </c>
      <c r="F71" s="230"/>
      <c r="G71" s="230">
        <v>1</v>
      </c>
      <c r="H71" s="230">
        <v>1</v>
      </c>
      <c r="I71" s="230"/>
      <c r="J71" s="230">
        <v>1</v>
      </c>
      <c r="K71" s="230">
        <v>4</v>
      </c>
      <c r="L71" s="230">
        <v>5</v>
      </c>
      <c r="M71" s="230">
        <v>26</v>
      </c>
      <c r="N71" s="36">
        <v>2</v>
      </c>
      <c r="O71" s="36"/>
      <c r="P71" s="36">
        <v>1</v>
      </c>
      <c r="Q71" s="36"/>
      <c r="R71" s="409"/>
      <c r="S71" s="409"/>
      <c r="T71" s="409"/>
      <c r="U71" s="409">
        <v>2</v>
      </c>
      <c r="V71" s="409">
        <v>3</v>
      </c>
      <c r="W71" s="409">
        <v>27</v>
      </c>
      <c r="X71" s="36">
        <v>1</v>
      </c>
      <c r="Y71" s="36"/>
      <c r="Z71" s="36">
        <v>1</v>
      </c>
    </row>
    <row r="72" spans="1:26" s="18" customFormat="1" x14ac:dyDescent="0.25">
      <c r="A72" s="478"/>
      <c r="B72" s="478"/>
      <c r="C72" s="233">
        <v>46</v>
      </c>
      <c r="D72" s="234" t="s">
        <v>56</v>
      </c>
      <c r="E72" s="403">
        <v>0</v>
      </c>
      <c r="F72" s="230"/>
      <c r="G72" s="230">
        <v>1</v>
      </c>
      <c r="H72" s="230">
        <v>1</v>
      </c>
      <c r="I72" s="230"/>
      <c r="J72" s="230">
        <v>1</v>
      </c>
      <c r="K72" s="230">
        <v>4</v>
      </c>
      <c r="L72" s="230">
        <v>5</v>
      </c>
      <c r="M72" s="230">
        <v>26</v>
      </c>
      <c r="N72" s="36">
        <v>2</v>
      </c>
      <c r="O72" s="36"/>
      <c r="P72" s="36">
        <v>1</v>
      </c>
      <c r="Q72" s="36"/>
      <c r="R72" s="409"/>
      <c r="S72" s="409"/>
      <c r="T72" s="409">
        <v>1</v>
      </c>
      <c r="U72" s="409">
        <v>2</v>
      </c>
      <c r="V72" s="409">
        <v>2</v>
      </c>
      <c r="W72" s="409">
        <v>12</v>
      </c>
      <c r="X72" s="36"/>
      <c r="Y72" s="36"/>
      <c r="Z72" s="36"/>
    </row>
    <row r="73" spans="1:26" s="18" customFormat="1" x14ac:dyDescent="0.25">
      <c r="A73" s="478"/>
      <c r="B73" s="478"/>
      <c r="C73" s="233">
        <v>47</v>
      </c>
      <c r="D73" s="234" t="s">
        <v>57</v>
      </c>
      <c r="E73" s="403">
        <v>0</v>
      </c>
      <c r="F73" s="230"/>
      <c r="G73" s="230">
        <v>1</v>
      </c>
      <c r="H73" s="230">
        <v>1</v>
      </c>
      <c r="I73" s="230"/>
      <c r="J73" s="230">
        <v>1</v>
      </c>
      <c r="K73" s="230">
        <v>4</v>
      </c>
      <c r="L73" s="230">
        <v>5</v>
      </c>
      <c r="M73" s="230">
        <v>26</v>
      </c>
      <c r="N73" s="36">
        <v>2</v>
      </c>
      <c r="O73" s="36"/>
      <c r="P73" s="36">
        <v>1</v>
      </c>
      <c r="Q73" s="36"/>
      <c r="R73" s="409"/>
      <c r="S73" s="409"/>
      <c r="T73" s="409"/>
      <c r="U73" s="409">
        <v>2</v>
      </c>
      <c r="V73" s="409">
        <v>2</v>
      </c>
      <c r="W73" s="409">
        <v>24</v>
      </c>
      <c r="X73" s="36">
        <v>1</v>
      </c>
      <c r="Y73" s="36"/>
      <c r="Z73" s="36">
        <v>1</v>
      </c>
    </row>
    <row r="74" spans="1:26" s="18" customFormat="1" x14ac:dyDescent="0.25">
      <c r="A74" s="478"/>
      <c r="B74" s="478"/>
      <c r="C74" s="233">
        <v>48</v>
      </c>
      <c r="D74" s="234" t="s">
        <v>58</v>
      </c>
      <c r="E74" s="403">
        <v>0</v>
      </c>
      <c r="F74" s="230"/>
      <c r="G74" s="230">
        <v>1</v>
      </c>
      <c r="H74" s="230">
        <v>1</v>
      </c>
      <c r="I74" s="230"/>
      <c r="J74" s="230">
        <v>1</v>
      </c>
      <c r="K74" s="230">
        <v>4</v>
      </c>
      <c r="L74" s="230">
        <v>4</v>
      </c>
      <c r="M74" s="230">
        <v>26</v>
      </c>
      <c r="N74" s="36">
        <v>2</v>
      </c>
      <c r="O74" s="36"/>
      <c r="P74" s="36">
        <v>1</v>
      </c>
      <c r="Q74" s="36"/>
      <c r="R74" s="409"/>
      <c r="S74" s="409"/>
      <c r="T74" s="409">
        <v>1</v>
      </c>
      <c r="U74" s="409">
        <v>2</v>
      </c>
      <c r="V74" s="409">
        <v>2</v>
      </c>
      <c r="W74" s="409">
        <v>12</v>
      </c>
      <c r="X74" s="36"/>
      <c r="Y74" s="36"/>
      <c r="Z74" s="36"/>
    </row>
    <row r="75" spans="1:26" s="18" customFormat="1" x14ac:dyDescent="0.25">
      <c r="A75" s="478"/>
      <c r="B75" s="478"/>
      <c r="C75" s="233">
        <v>49</v>
      </c>
      <c r="D75" s="234" t="s">
        <v>336</v>
      </c>
      <c r="E75" s="403">
        <v>0</v>
      </c>
      <c r="F75" s="230"/>
      <c r="G75" s="230"/>
      <c r="H75" s="230">
        <v>1</v>
      </c>
      <c r="I75" s="230"/>
      <c r="J75" s="230"/>
      <c r="K75" s="230">
        <v>1</v>
      </c>
      <c r="L75" s="230">
        <v>2</v>
      </c>
      <c r="M75" s="230">
        <v>8</v>
      </c>
      <c r="N75" s="36"/>
      <c r="O75" s="36"/>
      <c r="P75" s="36"/>
      <c r="Q75" s="36">
        <v>2</v>
      </c>
      <c r="R75" s="409"/>
      <c r="S75" s="409"/>
      <c r="T75" s="409"/>
      <c r="U75" s="409"/>
      <c r="V75" s="409">
        <v>1</v>
      </c>
      <c r="W75" s="409">
        <v>3</v>
      </c>
      <c r="X75" s="36"/>
      <c r="Y75" s="36"/>
      <c r="Z75" s="36"/>
    </row>
    <row r="76" spans="1:26" s="18" customFormat="1" x14ac:dyDescent="0.25">
      <c r="A76" s="478"/>
      <c r="B76" s="478"/>
      <c r="C76" s="233">
        <v>50</v>
      </c>
      <c r="D76" s="234" t="s">
        <v>59</v>
      </c>
      <c r="E76" s="403">
        <v>0</v>
      </c>
      <c r="F76" s="230"/>
      <c r="G76" s="230"/>
      <c r="H76" s="230">
        <v>1</v>
      </c>
      <c r="I76" s="230"/>
      <c r="J76" s="230"/>
      <c r="K76" s="230">
        <v>1</v>
      </c>
      <c r="L76" s="230">
        <v>2</v>
      </c>
      <c r="M76" s="230">
        <v>6</v>
      </c>
      <c r="N76" s="36"/>
      <c r="O76" s="36"/>
      <c r="P76" s="36"/>
      <c r="Q76" s="36">
        <v>2</v>
      </c>
      <c r="R76" s="409"/>
      <c r="S76" s="409"/>
      <c r="T76" s="409"/>
      <c r="U76" s="409">
        <v>1</v>
      </c>
      <c r="V76" s="409"/>
      <c r="W76" s="409">
        <v>3</v>
      </c>
      <c r="X76" s="36"/>
      <c r="Y76" s="36"/>
      <c r="Z76" s="36"/>
    </row>
    <row r="77" spans="1:26" s="18" customFormat="1" ht="63" customHeight="1" x14ac:dyDescent="0.25">
      <c r="A77" s="233"/>
      <c r="B77" s="233" t="s">
        <v>1552</v>
      </c>
      <c r="C77" s="233"/>
      <c r="D77" s="234"/>
      <c r="E77" s="36">
        <v>1</v>
      </c>
      <c r="F77" s="230"/>
      <c r="G77" s="230">
        <v>1</v>
      </c>
      <c r="H77" s="230"/>
      <c r="I77" s="230"/>
      <c r="J77" s="230"/>
      <c r="K77" s="230">
        <v>1</v>
      </c>
      <c r="L77" s="230">
        <v>1</v>
      </c>
      <c r="M77" s="230">
        <v>2</v>
      </c>
      <c r="N77" s="36">
        <v>2</v>
      </c>
      <c r="O77" s="36">
        <v>1</v>
      </c>
      <c r="P77" s="36">
        <v>1</v>
      </c>
      <c r="Q77" s="36"/>
      <c r="R77" s="409"/>
      <c r="S77" s="409"/>
      <c r="T77" s="409"/>
      <c r="U77" s="409">
        <v>1</v>
      </c>
      <c r="V77" s="409">
        <v>2</v>
      </c>
      <c r="W77" s="409">
        <v>11</v>
      </c>
      <c r="X77" s="36"/>
      <c r="Y77" s="36"/>
      <c r="Z77" s="36"/>
    </row>
    <row r="78" spans="1:26" s="18" customFormat="1" x14ac:dyDescent="0.25">
      <c r="A78" s="233"/>
      <c r="B78" s="233"/>
      <c r="C78" s="233"/>
      <c r="D78" s="234" t="s">
        <v>60</v>
      </c>
      <c r="E78" s="36">
        <f t="shared" ref="E78:Z78" si="1">SUM(E16:E77)</f>
        <v>1</v>
      </c>
      <c r="F78" s="230">
        <f t="shared" si="1"/>
        <v>8</v>
      </c>
      <c r="G78" s="230">
        <f t="shared" si="1"/>
        <v>38</v>
      </c>
      <c r="H78" s="230">
        <f t="shared" si="1"/>
        <v>52</v>
      </c>
      <c r="I78" s="230">
        <f t="shared" si="1"/>
        <v>4</v>
      </c>
      <c r="J78" s="230">
        <f t="shared" si="1"/>
        <v>29</v>
      </c>
      <c r="K78" s="230">
        <f t="shared" si="1"/>
        <v>171</v>
      </c>
      <c r="L78" s="230">
        <f t="shared" si="1"/>
        <v>216</v>
      </c>
      <c r="M78" s="230">
        <f t="shared" si="1"/>
        <v>1050</v>
      </c>
      <c r="N78" s="36">
        <f t="shared" si="1"/>
        <v>67</v>
      </c>
      <c r="O78" s="36">
        <f t="shared" si="1"/>
        <v>6</v>
      </c>
      <c r="P78" s="36">
        <f t="shared" si="1"/>
        <v>28</v>
      </c>
      <c r="Q78" s="36">
        <f t="shared" si="1"/>
        <v>41</v>
      </c>
      <c r="R78" s="409">
        <f t="shared" si="1"/>
        <v>7</v>
      </c>
      <c r="S78" s="409">
        <f t="shared" si="1"/>
        <v>8</v>
      </c>
      <c r="T78" s="409">
        <f t="shared" si="1"/>
        <v>16</v>
      </c>
      <c r="U78" s="409">
        <f t="shared" si="1"/>
        <v>135</v>
      </c>
      <c r="V78" s="409">
        <f t="shared" si="1"/>
        <v>189</v>
      </c>
      <c r="W78" s="409">
        <f t="shared" si="1"/>
        <v>887</v>
      </c>
      <c r="X78" s="36">
        <f t="shared" si="1"/>
        <v>57</v>
      </c>
      <c r="Y78" s="36">
        <f t="shared" si="1"/>
        <v>1</v>
      </c>
      <c r="Z78" s="36">
        <f t="shared" si="1"/>
        <v>26</v>
      </c>
    </row>
    <row r="79" spans="1:26" s="18" customFormat="1" ht="21" customHeight="1" x14ac:dyDescent="0.25">
      <c r="D79" s="402"/>
      <c r="E79" s="402"/>
      <c r="F79" s="226"/>
      <c r="G79" s="226"/>
      <c r="H79" s="226"/>
      <c r="I79" s="226"/>
      <c r="J79" s="226"/>
      <c r="K79" s="226"/>
      <c r="L79" s="226"/>
      <c r="M79" s="226"/>
      <c r="R79" s="391"/>
      <c r="S79" s="391"/>
      <c r="T79" s="391"/>
      <c r="U79" s="391"/>
      <c r="V79" s="391"/>
      <c r="W79" s="391"/>
    </row>
    <row r="80" spans="1:26" s="18" customFormat="1" ht="21" customHeight="1" x14ac:dyDescent="0.25">
      <c r="A80" s="475" t="s">
        <v>1491</v>
      </c>
      <c r="B80" s="476"/>
      <c r="C80" s="476"/>
      <c r="D80" s="476"/>
      <c r="E80" s="476"/>
      <c r="F80" s="476"/>
      <c r="G80" s="476"/>
      <c r="H80" s="476"/>
      <c r="I80" s="476"/>
      <c r="J80" s="476"/>
      <c r="K80" s="476"/>
      <c r="L80" s="476"/>
      <c r="M80" s="476"/>
      <c r="N80" s="476"/>
      <c r="O80" s="476"/>
      <c r="P80" s="476"/>
      <c r="Q80" s="476"/>
      <c r="R80" s="476"/>
      <c r="S80" s="476"/>
      <c r="T80" s="476"/>
      <c r="U80" s="476"/>
      <c r="V80" s="476"/>
      <c r="W80" s="476"/>
      <c r="X80" s="476"/>
      <c r="Y80" s="476"/>
      <c r="Z80" s="477"/>
    </row>
    <row r="81" spans="1:26" s="17" customFormat="1" ht="40.5" customHeight="1" x14ac:dyDescent="0.25">
      <c r="A81" s="478" t="s">
        <v>0</v>
      </c>
      <c r="B81" s="478" t="s">
        <v>1</v>
      </c>
      <c r="C81" s="233"/>
      <c r="D81" s="479" t="s">
        <v>182</v>
      </c>
      <c r="E81" s="480" t="s">
        <v>764</v>
      </c>
      <c r="F81" s="480"/>
      <c r="G81" s="480"/>
      <c r="H81" s="480"/>
      <c r="I81" s="480"/>
      <c r="J81" s="480"/>
      <c r="K81" s="480"/>
      <c r="L81" s="480"/>
      <c r="M81" s="480"/>
      <c r="N81" s="480"/>
      <c r="O81" s="480"/>
      <c r="P81" s="480"/>
      <c r="Q81" s="480"/>
      <c r="R81" s="480" t="s">
        <v>769</v>
      </c>
      <c r="S81" s="480"/>
      <c r="T81" s="480"/>
      <c r="U81" s="480"/>
      <c r="V81" s="480"/>
      <c r="W81" s="480"/>
      <c r="X81" s="480"/>
      <c r="Y81" s="480"/>
      <c r="Z81" s="480"/>
    </row>
    <row r="82" spans="1:26" s="404" customFormat="1" ht="63" x14ac:dyDescent="0.25">
      <c r="A82" s="478"/>
      <c r="B82" s="478"/>
      <c r="C82" s="233"/>
      <c r="D82" s="479"/>
      <c r="E82" s="403" t="s">
        <v>1063</v>
      </c>
      <c r="F82" s="225" t="s">
        <v>161</v>
      </c>
      <c r="G82" s="225" t="s">
        <v>765</v>
      </c>
      <c r="H82" s="225" t="s">
        <v>364</v>
      </c>
      <c r="I82" s="225" t="s">
        <v>1052</v>
      </c>
      <c r="J82" s="225" t="s">
        <v>1053</v>
      </c>
      <c r="K82" s="225" t="s">
        <v>365</v>
      </c>
      <c r="L82" s="225" t="s">
        <v>366</v>
      </c>
      <c r="M82" s="225" t="s">
        <v>367</v>
      </c>
      <c r="N82" s="403" t="s">
        <v>766</v>
      </c>
      <c r="O82" s="403" t="s">
        <v>767</v>
      </c>
      <c r="P82" s="403" t="s">
        <v>768</v>
      </c>
      <c r="Q82" s="403" t="s">
        <v>1054</v>
      </c>
      <c r="R82" s="408" t="s">
        <v>161</v>
      </c>
      <c r="S82" s="408" t="s">
        <v>765</v>
      </c>
      <c r="T82" s="408" t="s">
        <v>364</v>
      </c>
      <c r="U82" s="408" t="s">
        <v>365</v>
      </c>
      <c r="V82" s="408" t="s">
        <v>366</v>
      </c>
      <c r="W82" s="408" t="s">
        <v>367</v>
      </c>
      <c r="X82" s="403" t="s">
        <v>766</v>
      </c>
      <c r="Y82" s="403" t="s">
        <v>767</v>
      </c>
      <c r="Z82" s="403" t="s">
        <v>768</v>
      </c>
    </row>
    <row r="83" spans="1:26" s="404" customFormat="1" ht="37.5" x14ac:dyDescent="0.25">
      <c r="A83" s="233"/>
      <c r="B83" s="233" t="s">
        <v>1057</v>
      </c>
      <c r="C83" s="233"/>
      <c r="D83" s="234"/>
      <c r="E83" s="403">
        <v>0</v>
      </c>
      <c r="F83" s="225">
        <v>1</v>
      </c>
      <c r="G83" s="225"/>
      <c r="H83" s="225"/>
      <c r="I83" s="225"/>
      <c r="J83" s="225"/>
      <c r="K83" s="225"/>
      <c r="L83" s="225">
        <v>1</v>
      </c>
      <c r="M83" s="225"/>
      <c r="N83" s="403"/>
      <c r="O83" s="403">
        <v>1</v>
      </c>
      <c r="P83" s="403"/>
      <c r="Q83" s="403"/>
      <c r="R83" s="408">
        <v>1</v>
      </c>
      <c r="S83" s="408"/>
      <c r="T83" s="408"/>
      <c r="U83" s="408"/>
      <c r="V83" s="408"/>
      <c r="W83" s="408"/>
      <c r="X83" s="403"/>
      <c r="Y83" s="403"/>
      <c r="Z83" s="403"/>
    </row>
    <row r="84" spans="1:26" s="18" customFormat="1" x14ac:dyDescent="0.25">
      <c r="A84" s="478">
        <v>1</v>
      </c>
      <c r="B84" s="478" t="s">
        <v>16</v>
      </c>
      <c r="C84" s="233">
        <v>1</v>
      </c>
      <c r="D84" s="234" t="s">
        <v>17</v>
      </c>
      <c r="E84" s="403">
        <v>0</v>
      </c>
      <c r="F84" s="230"/>
      <c r="G84" s="230">
        <v>1</v>
      </c>
      <c r="H84" s="230">
        <v>1</v>
      </c>
      <c r="I84" s="230"/>
      <c r="J84" s="230">
        <v>1</v>
      </c>
      <c r="K84" s="230">
        <v>4</v>
      </c>
      <c r="L84" s="230">
        <v>5</v>
      </c>
      <c r="M84" s="230">
        <v>26</v>
      </c>
      <c r="N84" s="36">
        <v>2</v>
      </c>
      <c r="O84" s="36"/>
      <c r="P84" s="36"/>
      <c r="Q84" s="36">
        <v>1</v>
      </c>
      <c r="R84" s="409"/>
      <c r="S84" s="409"/>
      <c r="T84" s="409"/>
      <c r="U84" s="409">
        <v>2</v>
      </c>
      <c r="V84" s="409">
        <v>6</v>
      </c>
      <c r="W84" s="409">
        <v>33</v>
      </c>
      <c r="X84" s="36">
        <v>1</v>
      </c>
      <c r="Y84" s="36"/>
      <c r="Z84" s="36">
        <v>1</v>
      </c>
    </row>
    <row r="85" spans="1:26" s="18" customFormat="1" x14ac:dyDescent="0.25">
      <c r="A85" s="478"/>
      <c r="B85" s="478"/>
      <c r="C85" s="233">
        <v>2</v>
      </c>
      <c r="D85" s="234" t="s">
        <v>19</v>
      </c>
      <c r="E85" s="403">
        <v>0</v>
      </c>
      <c r="F85" s="230"/>
      <c r="G85" s="230">
        <v>1</v>
      </c>
      <c r="H85" s="230">
        <v>1</v>
      </c>
      <c r="I85" s="230"/>
      <c r="J85" s="230">
        <v>1</v>
      </c>
      <c r="K85" s="230">
        <v>4</v>
      </c>
      <c r="L85" s="230">
        <v>5</v>
      </c>
      <c r="M85" s="230">
        <v>26</v>
      </c>
      <c r="N85" s="36">
        <v>2</v>
      </c>
      <c r="O85" s="36"/>
      <c r="P85" s="36"/>
      <c r="Q85" s="36">
        <v>1</v>
      </c>
      <c r="R85" s="409"/>
      <c r="S85" s="409"/>
      <c r="T85" s="409">
        <v>1</v>
      </c>
      <c r="U85" s="409">
        <v>2</v>
      </c>
      <c r="V85" s="409">
        <v>4</v>
      </c>
      <c r="W85" s="409">
        <v>18</v>
      </c>
      <c r="X85" s="36">
        <v>1</v>
      </c>
      <c r="Y85" s="36"/>
      <c r="Z85" s="36"/>
    </row>
    <row r="86" spans="1:26" s="18" customFormat="1" x14ac:dyDescent="0.25">
      <c r="A86" s="478"/>
      <c r="B86" s="478"/>
      <c r="C86" s="233">
        <v>3</v>
      </c>
      <c r="D86" s="234" t="s">
        <v>383</v>
      </c>
      <c r="E86" s="403">
        <v>0</v>
      </c>
      <c r="F86" s="230"/>
      <c r="G86" s="230"/>
      <c r="H86" s="230">
        <v>1</v>
      </c>
      <c r="I86" s="230"/>
      <c r="J86" s="230"/>
      <c r="K86" s="230">
        <v>1</v>
      </c>
      <c r="L86" s="230">
        <v>2</v>
      </c>
      <c r="M86" s="230">
        <v>6</v>
      </c>
      <c r="N86" s="36"/>
      <c r="O86" s="36"/>
      <c r="P86" s="36"/>
      <c r="Q86" s="36">
        <v>2</v>
      </c>
      <c r="R86" s="409"/>
      <c r="S86" s="409"/>
      <c r="T86" s="409"/>
      <c r="U86" s="409"/>
      <c r="V86" s="409"/>
      <c r="W86" s="409"/>
      <c r="X86" s="36"/>
      <c r="Y86" s="36"/>
      <c r="Z86" s="36"/>
    </row>
    <row r="87" spans="1:26" s="18" customFormat="1" x14ac:dyDescent="0.25">
      <c r="A87" s="478"/>
      <c r="B87" s="478"/>
      <c r="C87" s="233">
        <v>4</v>
      </c>
      <c r="D87" s="234" t="s">
        <v>377</v>
      </c>
      <c r="E87" s="403">
        <v>0</v>
      </c>
      <c r="F87" s="230"/>
      <c r="G87" s="230"/>
      <c r="H87" s="230">
        <v>1</v>
      </c>
      <c r="I87" s="230"/>
      <c r="J87" s="230"/>
      <c r="K87" s="230">
        <v>1</v>
      </c>
      <c r="L87" s="230">
        <v>2</v>
      </c>
      <c r="M87" s="230">
        <v>6</v>
      </c>
      <c r="N87" s="36"/>
      <c r="O87" s="36"/>
      <c r="P87" s="36"/>
      <c r="Q87" s="36">
        <v>2</v>
      </c>
      <c r="R87" s="409"/>
      <c r="S87" s="409"/>
      <c r="T87" s="409"/>
      <c r="U87" s="409"/>
      <c r="V87" s="409"/>
      <c r="W87" s="409"/>
      <c r="X87" s="36"/>
      <c r="Y87" s="36"/>
      <c r="Z87" s="36"/>
    </row>
    <row r="88" spans="1:26" s="18" customFormat="1" ht="37.5" x14ac:dyDescent="0.25">
      <c r="A88" s="478"/>
      <c r="B88" s="478"/>
      <c r="C88" s="233"/>
      <c r="D88" s="234" t="s">
        <v>1058</v>
      </c>
      <c r="E88" s="403">
        <v>0</v>
      </c>
      <c r="F88" s="230"/>
      <c r="G88" s="230"/>
      <c r="H88" s="230"/>
      <c r="I88" s="230"/>
      <c r="J88" s="230"/>
      <c r="K88" s="230">
        <v>1</v>
      </c>
      <c r="L88" s="230"/>
      <c r="M88" s="230">
        <v>2</v>
      </c>
      <c r="N88" s="36"/>
      <c r="O88" s="36"/>
      <c r="P88" s="36"/>
      <c r="Q88" s="36"/>
      <c r="R88" s="409"/>
      <c r="S88" s="409"/>
      <c r="T88" s="409"/>
      <c r="U88" s="409"/>
      <c r="V88" s="409"/>
      <c r="W88" s="409"/>
      <c r="X88" s="36"/>
      <c r="Y88" s="36"/>
      <c r="Z88" s="36"/>
    </row>
    <row r="89" spans="1:26" s="18" customFormat="1" x14ac:dyDescent="0.25">
      <c r="A89" s="478">
        <v>2</v>
      </c>
      <c r="B89" s="478" t="s">
        <v>20</v>
      </c>
      <c r="C89" s="233">
        <v>5</v>
      </c>
      <c r="D89" s="234" t="s">
        <v>20</v>
      </c>
      <c r="E89" s="403">
        <v>0</v>
      </c>
      <c r="F89" s="230"/>
      <c r="G89" s="230">
        <v>1</v>
      </c>
      <c r="H89" s="230">
        <v>1</v>
      </c>
      <c r="I89" s="230"/>
      <c r="J89" s="230"/>
      <c r="K89" s="230">
        <v>4</v>
      </c>
      <c r="L89" s="230">
        <v>4</v>
      </c>
      <c r="M89" s="230">
        <v>26</v>
      </c>
      <c r="N89" s="36">
        <v>1</v>
      </c>
      <c r="O89" s="36"/>
      <c r="P89" s="36"/>
      <c r="Q89" s="36"/>
      <c r="R89" s="409"/>
      <c r="S89" s="409"/>
      <c r="T89" s="409"/>
      <c r="U89" s="409">
        <v>3</v>
      </c>
      <c r="V89" s="409">
        <v>8</v>
      </c>
      <c r="W89" s="409">
        <v>24</v>
      </c>
      <c r="X89" s="36"/>
      <c r="Y89" s="36"/>
      <c r="Z89" s="36"/>
    </row>
    <row r="90" spans="1:26" s="18" customFormat="1" x14ac:dyDescent="0.25">
      <c r="A90" s="478"/>
      <c r="B90" s="478"/>
      <c r="C90" s="233"/>
      <c r="D90" s="234" t="s">
        <v>1059</v>
      </c>
      <c r="E90" s="403">
        <v>0</v>
      </c>
      <c r="F90" s="230"/>
      <c r="G90" s="230"/>
      <c r="H90" s="230"/>
      <c r="I90" s="230"/>
      <c r="J90" s="230"/>
      <c r="K90" s="230">
        <v>1</v>
      </c>
      <c r="L90" s="230"/>
      <c r="M90" s="230">
        <v>1</v>
      </c>
      <c r="N90" s="36"/>
      <c r="O90" s="36"/>
      <c r="P90" s="36"/>
      <c r="Q90" s="36"/>
      <c r="R90" s="409"/>
      <c r="S90" s="409"/>
      <c r="T90" s="409"/>
      <c r="U90" s="409"/>
      <c r="V90" s="409"/>
      <c r="W90" s="409"/>
      <c r="X90" s="36"/>
      <c r="Y90" s="36"/>
      <c r="Z90" s="36"/>
    </row>
    <row r="91" spans="1:26" s="18" customFormat="1" x14ac:dyDescent="0.25">
      <c r="A91" s="233"/>
      <c r="B91" s="233"/>
      <c r="C91" s="233"/>
      <c r="D91" s="234" t="s">
        <v>21</v>
      </c>
      <c r="E91" s="403">
        <v>0</v>
      </c>
      <c r="F91" s="230">
        <v>1</v>
      </c>
      <c r="G91" s="230"/>
      <c r="H91" s="230"/>
      <c r="I91" s="230"/>
      <c r="J91" s="230"/>
      <c r="K91" s="230"/>
      <c r="L91" s="230">
        <v>1</v>
      </c>
      <c r="M91" s="230"/>
      <c r="N91" s="36"/>
      <c r="O91" s="36">
        <v>1</v>
      </c>
      <c r="P91" s="36"/>
      <c r="Q91" s="36"/>
      <c r="R91" s="409">
        <v>1</v>
      </c>
      <c r="S91" s="409"/>
      <c r="T91" s="409"/>
      <c r="U91" s="409"/>
      <c r="V91" s="409"/>
      <c r="W91" s="409"/>
      <c r="X91" s="36"/>
      <c r="Y91" s="36"/>
      <c r="Z91" s="36"/>
    </row>
    <row r="92" spans="1:26" s="18" customFormat="1" x14ac:dyDescent="0.25">
      <c r="A92" s="478">
        <v>3</v>
      </c>
      <c r="B92" s="490" t="s">
        <v>21</v>
      </c>
      <c r="C92" s="235">
        <v>6</v>
      </c>
      <c r="D92" s="234" t="s">
        <v>21</v>
      </c>
      <c r="E92" s="403">
        <v>0</v>
      </c>
      <c r="F92" s="230"/>
      <c r="G92" s="230">
        <v>1</v>
      </c>
      <c r="H92" s="230">
        <v>1</v>
      </c>
      <c r="I92" s="230"/>
      <c r="J92" s="230">
        <v>1</v>
      </c>
      <c r="K92" s="230">
        <v>4</v>
      </c>
      <c r="L92" s="230">
        <v>5</v>
      </c>
      <c r="M92" s="230">
        <v>26</v>
      </c>
      <c r="N92" s="36">
        <v>2</v>
      </c>
      <c r="O92" s="36"/>
      <c r="P92" s="36">
        <v>1</v>
      </c>
      <c r="Q92" s="36"/>
      <c r="R92" s="409"/>
      <c r="S92" s="409"/>
      <c r="T92" s="409">
        <v>1</v>
      </c>
      <c r="U92" s="409">
        <v>1</v>
      </c>
      <c r="V92" s="409">
        <v>4</v>
      </c>
      <c r="W92" s="409">
        <v>16</v>
      </c>
      <c r="X92" s="36">
        <v>5</v>
      </c>
      <c r="Y92" s="36"/>
      <c r="Z92" s="36">
        <v>1</v>
      </c>
    </row>
    <row r="93" spans="1:26" s="18" customFormat="1" x14ac:dyDescent="0.25">
      <c r="A93" s="478"/>
      <c r="B93" s="490"/>
      <c r="C93" s="235">
        <v>7</v>
      </c>
      <c r="D93" s="234" t="s">
        <v>22</v>
      </c>
      <c r="E93" s="403">
        <v>0</v>
      </c>
      <c r="F93" s="230"/>
      <c r="G93" s="230">
        <v>1</v>
      </c>
      <c r="H93" s="230">
        <v>1</v>
      </c>
      <c r="I93" s="230"/>
      <c r="J93" s="230">
        <v>1</v>
      </c>
      <c r="K93" s="230">
        <v>4</v>
      </c>
      <c r="L93" s="230">
        <v>5</v>
      </c>
      <c r="M93" s="230">
        <v>26</v>
      </c>
      <c r="N93" s="36">
        <v>2</v>
      </c>
      <c r="O93" s="36"/>
      <c r="P93" s="36">
        <v>1</v>
      </c>
      <c r="Q93" s="36"/>
      <c r="R93" s="409"/>
      <c r="S93" s="409">
        <v>1</v>
      </c>
      <c r="T93" s="409"/>
      <c r="U93" s="409">
        <v>4</v>
      </c>
      <c r="V93" s="409">
        <v>6</v>
      </c>
      <c r="W93" s="409">
        <v>15</v>
      </c>
      <c r="X93" s="36">
        <v>1</v>
      </c>
      <c r="Y93" s="36"/>
      <c r="Z93" s="36">
        <v>1</v>
      </c>
    </row>
    <row r="94" spans="1:26" s="18" customFormat="1" ht="49.5" customHeight="1" x14ac:dyDescent="0.25">
      <c r="A94" s="478"/>
      <c r="B94" s="490"/>
      <c r="C94" s="235">
        <v>8</v>
      </c>
      <c r="D94" s="234" t="s">
        <v>335</v>
      </c>
      <c r="E94" s="403">
        <v>0</v>
      </c>
      <c r="F94" s="230"/>
      <c r="G94" s="230"/>
      <c r="H94" s="230">
        <v>1</v>
      </c>
      <c r="I94" s="230"/>
      <c r="J94" s="230"/>
      <c r="K94" s="230">
        <v>1</v>
      </c>
      <c r="L94" s="230">
        <v>2</v>
      </c>
      <c r="M94" s="230">
        <v>6</v>
      </c>
      <c r="N94" s="36"/>
      <c r="O94" s="36"/>
      <c r="P94" s="36"/>
      <c r="Q94" s="36">
        <v>2</v>
      </c>
      <c r="R94" s="409"/>
      <c r="S94" s="409"/>
      <c r="T94" s="409"/>
      <c r="U94" s="409"/>
      <c r="V94" s="409"/>
      <c r="W94" s="409"/>
      <c r="X94" s="36"/>
      <c r="Y94" s="36"/>
      <c r="Z94" s="36">
        <v>1</v>
      </c>
    </row>
    <row r="95" spans="1:26" s="18" customFormat="1" ht="47.25" customHeight="1" x14ac:dyDescent="0.25">
      <c r="A95" s="478"/>
      <c r="B95" s="490"/>
      <c r="C95" s="235">
        <v>9</v>
      </c>
      <c r="D95" s="234" t="s">
        <v>269</v>
      </c>
      <c r="E95" s="403">
        <v>0</v>
      </c>
      <c r="F95" s="230"/>
      <c r="G95" s="230"/>
      <c r="H95" s="230">
        <v>1</v>
      </c>
      <c r="I95" s="230"/>
      <c r="J95" s="230"/>
      <c r="K95" s="230">
        <v>1</v>
      </c>
      <c r="L95" s="230">
        <v>2</v>
      </c>
      <c r="M95" s="230">
        <v>6</v>
      </c>
      <c r="N95" s="36"/>
      <c r="O95" s="36"/>
      <c r="P95" s="36"/>
      <c r="Q95" s="36">
        <v>2</v>
      </c>
      <c r="R95" s="409"/>
      <c r="S95" s="409"/>
      <c r="T95" s="409"/>
      <c r="U95" s="409">
        <v>2</v>
      </c>
      <c r="V95" s="409">
        <v>3</v>
      </c>
      <c r="W95" s="409">
        <v>9</v>
      </c>
      <c r="X95" s="36"/>
      <c r="Y95" s="36"/>
      <c r="Z95" s="36">
        <v>1</v>
      </c>
    </row>
    <row r="96" spans="1:26" s="18" customFormat="1" x14ac:dyDescent="0.25">
      <c r="A96" s="478">
        <v>4</v>
      </c>
      <c r="B96" s="478" t="s">
        <v>23</v>
      </c>
      <c r="C96" s="233">
        <v>10</v>
      </c>
      <c r="D96" s="234" t="s">
        <v>23</v>
      </c>
      <c r="E96" s="403">
        <v>0</v>
      </c>
      <c r="F96" s="230"/>
      <c r="G96" s="230">
        <v>1</v>
      </c>
      <c r="H96" s="230">
        <v>1</v>
      </c>
      <c r="I96" s="230"/>
      <c r="J96" s="230">
        <v>1</v>
      </c>
      <c r="K96" s="230">
        <v>4</v>
      </c>
      <c r="L96" s="230">
        <v>5</v>
      </c>
      <c r="M96" s="230">
        <v>26</v>
      </c>
      <c r="N96" s="36">
        <v>2</v>
      </c>
      <c r="O96" s="36"/>
      <c r="P96" s="36">
        <v>1</v>
      </c>
      <c r="Q96" s="36"/>
      <c r="R96" s="409"/>
      <c r="S96" s="409"/>
      <c r="T96" s="409">
        <v>1</v>
      </c>
      <c r="U96" s="409">
        <v>2</v>
      </c>
      <c r="V96" s="409">
        <v>4</v>
      </c>
      <c r="W96" s="409">
        <v>25</v>
      </c>
      <c r="X96" s="36"/>
      <c r="Y96" s="36"/>
      <c r="Z96" s="36"/>
    </row>
    <row r="97" spans="1:26" s="18" customFormat="1" ht="37.5" x14ac:dyDescent="0.25">
      <c r="A97" s="478"/>
      <c r="B97" s="478"/>
      <c r="C97" s="233">
        <v>11</v>
      </c>
      <c r="D97" s="234" t="s">
        <v>344</v>
      </c>
      <c r="E97" s="403">
        <v>0</v>
      </c>
      <c r="F97" s="230"/>
      <c r="G97" s="230">
        <v>1</v>
      </c>
      <c r="H97" s="230">
        <v>2</v>
      </c>
      <c r="I97" s="230"/>
      <c r="J97" s="230">
        <v>1</v>
      </c>
      <c r="K97" s="230">
        <v>5</v>
      </c>
      <c r="L97" s="230">
        <v>5</v>
      </c>
      <c r="M97" s="230">
        <v>26</v>
      </c>
      <c r="N97" s="36">
        <v>3</v>
      </c>
      <c r="O97" s="36"/>
      <c r="P97" s="36"/>
      <c r="Q97" s="36"/>
      <c r="R97" s="409"/>
      <c r="S97" s="409"/>
      <c r="T97" s="409"/>
      <c r="U97" s="409">
        <v>3</v>
      </c>
      <c r="V97" s="409">
        <v>6</v>
      </c>
      <c r="W97" s="409">
        <v>29</v>
      </c>
      <c r="X97" s="36"/>
      <c r="Y97" s="36"/>
      <c r="Z97" s="36"/>
    </row>
    <row r="98" spans="1:26" s="18" customFormat="1" x14ac:dyDescent="0.25">
      <c r="A98" s="233"/>
      <c r="B98" s="233"/>
      <c r="C98" s="233">
        <v>12</v>
      </c>
      <c r="D98" s="234" t="s">
        <v>821</v>
      </c>
      <c r="E98" s="403">
        <v>0</v>
      </c>
      <c r="F98" s="230"/>
      <c r="G98" s="230">
        <v>1</v>
      </c>
      <c r="H98" s="230"/>
      <c r="I98" s="230"/>
      <c r="J98" s="230"/>
      <c r="K98" s="230">
        <v>2</v>
      </c>
      <c r="L98" s="230">
        <v>2</v>
      </c>
      <c r="M98" s="230">
        <v>9</v>
      </c>
      <c r="N98" s="36"/>
      <c r="O98" s="36"/>
      <c r="P98" s="36"/>
      <c r="Q98" s="36">
        <v>2</v>
      </c>
      <c r="R98" s="409"/>
      <c r="S98" s="409"/>
      <c r="T98" s="409"/>
      <c r="U98" s="409"/>
      <c r="V98" s="409">
        <v>1</v>
      </c>
      <c r="W98" s="409">
        <v>3</v>
      </c>
      <c r="X98" s="36"/>
      <c r="Y98" s="36"/>
      <c r="Z98" s="36"/>
    </row>
    <row r="99" spans="1:26" s="18" customFormat="1" x14ac:dyDescent="0.25">
      <c r="A99" s="233"/>
      <c r="B99" s="233"/>
      <c r="C99" s="233"/>
      <c r="D99" s="234" t="s">
        <v>1056</v>
      </c>
      <c r="E99" s="403">
        <v>0</v>
      </c>
      <c r="F99" s="230"/>
      <c r="G99" s="230"/>
      <c r="H99" s="230"/>
      <c r="I99" s="230"/>
      <c r="J99" s="230"/>
      <c r="K99" s="230">
        <v>2</v>
      </c>
      <c r="L99" s="230"/>
      <c r="M99" s="230">
        <v>3</v>
      </c>
      <c r="N99" s="36"/>
      <c r="O99" s="36"/>
      <c r="P99" s="36"/>
      <c r="Q99" s="36"/>
      <c r="R99" s="409"/>
      <c r="S99" s="409"/>
      <c r="T99" s="409"/>
      <c r="U99" s="409"/>
      <c r="V99" s="409"/>
      <c r="W99" s="409"/>
      <c r="X99" s="36"/>
      <c r="Y99" s="36"/>
      <c r="Z99" s="36"/>
    </row>
    <row r="100" spans="1:26" s="18" customFormat="1" ht="37.5" x14ac:dyDescent="0.25">
      <c r="A100" s="233"/>
      <c r="B100" s="233"/>
      <c r="C100" s="233"/>
      <c r="D100" s="234" t="s">
        <v>1055</v>
      </c>
      <c r="E100" s="403">
        <v>0</v>
      </c>
      <c r="F100" s="230">
        <v>1</v>
      </c>
      <c r="G100" s="230"/>
      <c r="H100" s="230"/>
      <c r="I100" s="230"/>
      <c r="J100" s="230"/>
      <c r="K100" s="230"/>
      <c r="L100" s="230">
        <v>1</v>
      </c>
      <c r="M100" s="230"/>
      <c r="N100" s="36"/>
      <c r="O100" s="36"/>
      <c r="P100" s="36"/>
      <c r="Q100" s="36"/>
      <c r="R100" s="409">
        <v>1</v>
      </c>
      <c r="S100" s="409"/>
      <c r="T100" s="409"/>
      <c r="U100" s="409"/>
      <c r="V100" s="409"/>
      <c r="W100" s="409"/>
      <c r="X100" s="36"/>
      <c r="Y100" s="36"/>
      <c r="Z100" s="36"/>
    </row>
    <row r="101" spans="1:26" s="18" customFormat="1" x14ac:dyDescent="0.25">
      <c r="A101" s="478">
        <v>5</v>
      </c>
      <c r="B101" s="478" t="s">
        <v>25</v>
      </c>
      <c r="C101" s="233">
        <v>13</v>
      </c>
      <c r="D101" s="234" t="s">
        <v>26</v>
      </c>
      <c r="E101" s="403">
        <v>0</v>
      </c>
      <c r="F101" s="230"/>
      <c r="G101" s="230">
        <v>1</v>
      </c>
      <c r="H101" s="230">
        <v>1</v>
      </c>
      <c r="I101" s="230"/>
      <c r="J101" s="230">
        <v>1</v>
      </c>
      <c r="K101" s="230">
        <v>4</v>
      </c>
      <c r="L101" s="230">
        <v>5</v>
      </c>
      <c r="M101" s="230">
        <v>26</v>
      </c>
      <c r="N101" s="36">
        <v>2</v>
      </c>
      <c r="O101" s="36"/>
      <c r="P101" s="36">
        <v>1</v>
      </c>
      <c r="Q101" s="36"/>
      <c r="R101" s="409"/>
      <c r="S101" s="409"/>
      <c r="T101" s="409">
        <v>1</v>
      </c>
      <c r="U101" s="409">
        <v>3</v>
      </c>
      <c r="V101" s="409">
        <v>6</v>
      </c>
      <c r="W101" s="409">
        <v>25</v>
      </c>
      <c r="X101" s="36">
        <v>1</v>
      </c>
      <c r="Y101" s="36"/>
      <c r="Z101" s="36"/>
    </row>
    <row r="102" spans="1:26" s="18" customFormat="1" x14ac:dyDescent="0.25">
      <c r="A102" s="478"/>
      <c r="B102" s="478"/>
      <c r="C102" s="233">
        <v>14</v>
      </c>
      <c r="D102" s="234" t="s">
        <v>27</v>
      </c>
      <c r="E102" s="403">
        <v>0</v>
      </c>
      <c r="F102" s="230"/>
      <c r="G102" s="230">
        <v>1</v>
      </c>
      <c r="H102" s="230">
        <v>1</v>
      </c>
      <c r="I102" s="230"/>
      <c r="J102" s="230">
        <v>1</v>
      </c>
      <c r="K102" s="230">
        <v>4</v>
      </c>
      <c r="L102" s="230">
        <v>5</v>
      </c>
      <c r="M102" s="230">
        <v>26</v>
      </c>
      <c r="N102" s="36">
        <v>2</v>
      </c>
      <c r="O102" s="36"/>
      <c r="P102" s="36">
        <v>1</v>
      </c>
      <c r="Q102" s="36"/>
      <c r="R102" s="409"/>
      <c r="S102" s="409">
        <v>0</v>
      </c>
      <c r="T102" s="409"/>
      <c r="U102" s="409">
        <v>6</v>
      </c>
      <c r="V102" s="409">
        <v>6</v>
      </c>
      <c r="W102" s="409">
        <v>31</v>
      </c>
      <c r="X102" s="36">
        <v>1</v>
      </c>
      <c r="Y102" s="36"/>
      <c r="Z102" s="36"/>
    </row>
    <row r="103" spans="1:26" s="18" customFormat="1" ht="37.5" x14ac:dyDescent="0.25">
      <c r="A103" s="478"/>
      <c r="B103" s="478"/>
      <c r="C103" s="233">
        <v>15</v>
      </c>
      <c r="D103" s="234" t="s">
        <v>268</v>
      </c>
      <c r="E103" s="403">
        <v>0</v>
      </c>
      <c r="F103" s="230"/>
      <c r="G103" s="230"/>
      <c r="H103" s="230">
        <v>1</v>
      </c>
      <c r="I103" s="230"/>
      <c r="J103" s="230"/>
      <c r="K103" s="230">
        <v>1</v>
      </c>
      <c r="L103" s="230">
        <v>2</v>
      </c>
      <c r="M103" s="230">
        <v>6</v>
      </c>
      <c r="N103" s="36"/>
      <c r="O103" s="36"/>
      <c r="P103" s="36"/>
      <c r="Q103" s="36">
        <v>2</v>
      </c>
      <c r="R103" s="409"/>
      <c r="S103" s="409"/>
      <c r="T103" s="409"/>
      <c r="U103" s="409">
        <v>1</v>
      </c>
      <c r="V103" s="409">
        <v>1</v>
      </c>
      <c r="W103" s="409">
        <v>4</v>
      </c>
      <c r="X103" s="36"/>
      <c r="Y103" s="36"/>
      <c r="Z103" s="36"/>
    </row>
    <row r="104" spans="1:26" s="18" customFormat="1" x14ac:dyDescent="0.25">
      <c r="A104" s="233"/>
      <c r="B104" s="233"/>
      <c r="C104" s="233"/>
      <c r="D104" s="234" t="s">
        <v>467</v>
      </c>
      <c r="E104" s="403">
        <v>0</v>
      </c>
      <c r="F104" s="230">
        <v>1</v>
      </c>
      <c r="G104" s="230"/>
      <c r="H104" s="230"/>
      <c r="I104" s="230"/>
      <c r="J104" s="230"/>
      <c r="K104" s="230"/>
      <c r="L104" s="230">
        <v>1</v>
      </c>
      <c r="M104" s="230"/>
      <c r="N104" s="36"/>
      <c r="O104" s="36">
        <v>1</v>
      </c>
      <c r="P104" s="36"/>
      <c r="Q104" s="36"/>
      <c r="R104" s="409">
        <v>1</v>
      </c>
      <c r="S104" s="409"/>
      <c r="T104" s="409"/>
      <c r="U104" s="409"/>
      <c r="V104" s="409"/>
      <c r="W104" s="409"/>
      <c r="X104" s="36"/>
      <c r="Y104" s="36"/>
      <c r="Z104" s="36"/>
    </row>
    <row r="105" spans="1:26" s="18" customFormat="1" x14ac:dyDescent="0.25">
      <c r="A105" s="478">
        <v>6</v>
      </c>
      <c r="B105" s="478" t="s">
        <v>28</v>
      </c>
      <c r="C105" s="233">
        <v>16</v>
      </c>
      <c r="D105" s="234" t="s">
        <v>29</v>
      </c>
      <c r="E105" s="403">
        <v>0</v>
      </c>
      <c r="F105" s="230"/>
      <c r="G105" s="230">
        <v>1</v>
      </c>
      <c r="H105" s="230">
        <v>1</v>
      </c>
      <c r="I105" s="230"/>
      <c r="J105" s="230">
        <v>1</v>
      </c>
      <c r="K105" s="230">
        <v>4</v>
      </c>
      <c r="L105" s="230">
        <v>5</v>
      </c>
      <c r="M105" s="230">
        <v>26</v>
      </c>
      <c r="N105" s="36">
        <v>2</v>
      </c>
      <c r="O105" s="36"/>
      <c r="P105" s="36">
        <v>1</v>
      </c>
      <c r="Q105" s="36"/>
      <c r="R105" s="409"/>
      <c r="S105" s="409">
        <v>1</v>
      </c>
      <c r="T105" s="409">
        <v>0</v>
      </c>
      <c r="U105" s="409">
        <v>6</v>
      </c>
      <c r="V105" s="409">
        <v>6</v>
      </c>
      <c r="W105" s="409">
        <v>29</v>
      </c>
      <c r="X105" s="36">
        <v>1</v>
      </c>
      <c r="Y105" s="36">
        <v>1</v>
      </c>
      <c r="Z105" s="36">
        <v>1</v>
      </c>
    </row>
    <row r="106" spans="1:26" s="18" customFormat="1" x14ac:dyDescent="0.25">
      <c r="A106" s="478"/>
      <c r="B106" s="478"/>
      <c r="C106" s="233">
        <v>17</v>
      </c>
      <c r="D106" s="234" t="s">
        <v>30</v>
      </c>
      <c r="E106" s="403">
        <v>0</v>
      </c>
      <c r="F106" s="230"/>
      <c r="G106" s="230">
        <v>1</v>
      </c>
      <c r="H106" s="230">
        <v>1</v>
      </c>
      <c r="I106" s="230"/>
      <c r="J106" s="230">
        <v>1</v>
      </c>
      <c r="K106" s="230">
        <v>4</v>
      </c>
      <c r="L106" s="230">
        <v>5</v>
      </c>
      <c r="M106" s="230">
        <v>26</v>
      </c>
      <c r="N106" s="36">
        <v>2</v>
      </c>
      <c r="O106" s="36"/>
      <c r="P106" s="36">
        <v>1</v>
      </c>
      <c r="Q106" s="36"/>
      <c r="R106" s="409"/>
      <c r="S106" s="409"/>
      <c r="T106" s="409"/>
      <c r="U106" s="409">
        <v>3</v>
      </c>
      <c r="V106" s="409">
        <v>3</v>
      </c>
      <c r="W106" s="409">
        <v>11</v>
      </c>
      <c r="X106" s="36">
        <v>2</v>
      </c>
      <c r="Y106" s="36"/>
      <c r="Z106" s="36">
        <v>1</v>
      </c>
    </row>
    <row r="107" spans="1:26" s="18" customFormat="1" x14ac:dyDescent="0.25">
      <c r="A107" s="478"/>
      <c r="B107" s="478"/>
      <c r="C107" s="233">
        <v>18</v>
      </c>
      <c r="D107" s="234" t="s">
        <v>31</v>
      </c>
      <c r="E107" s="403">
        <v>0</v>
      </c>
      <c r="F107" s="230"/>
      <c r="G107" s="230">
        <v>1</v>
      </c>
      <c r="H107" s="230">
        <v>1</v>
      </c>
      <c r="I107" s="230"/>
      <c r="J107" s="230">
        <v>1</v>
      </c>
      <c r="K107" s="230">
        <v>4</v>
      </c>
      <c r="L107" s="230">
        <v>5</v>
      </c>
      <c r="M107" s="230">
        <v>26</v>
      </c>
      <c r="N107" s="36"/>
      <c r="O107" s="36"/>
      <c r="P107" s="36"/>
      <c r="Q107" s="36">
        <v>3</v>
      </c>
      <c r="R107" s="409"/>
      <c r="S107" s="409">
        <v>1</v>
      </c>
      <c r="T107" s="409"/>
      <c r="U107" s="409">
        <v>2</v>
      </c>
      <c r="V107" s="409">
        <v>5</v>
      </c>
      <c r="W107" s="409">
        <v>17</v>
      </c>
      <c r="X107" s="36">
        <v>1</v>
      </c>
      <c r="Y107" s="36"/>
      <c r="Z107" s="36">
        <v>1</v>
      </c>
    </row>
    <row r="108" spans="1:26" s="18" customFormat="1" x14ac:dyDescent="0.25">
      <c r="A108" s="478"/>
      <c r="B108" s="478"/>
      <c r="C108" s="233">
        <v>19</v>
      </c>
      <c r="D108" s="234" t="s">
        <v>32</v>
      </c>
      <c r="E108" s="403">
        <v>0</v>
      </c>
      <c r="F108" s="230"/>
      <c r="G108" s="230">
        <v>1</v>
      </c>
      <c r="H108" s="230">
        <v>1</v>
      </c>
      <c r="I108" s="230"/>
      <c r="J108" s="230">
        <v>1</v>
      </c>
      <c r="K108" s="230">
        <v>4</v>
      </c>
      <c r="L108" s="230">
        <v>5</v>
      </c>
      <c r="M108" s="230">
        <v>26</v>
      </c>
      <c r="N108" s="36">
        <v>2</v>
      </c>
      <c r="O108" s="36"/>
      <c r="P108" s="36">
        <v>1</v>
      </c>
      <c r="Q108" s="36"/>
      <c r="R108" s="409"/>
      <c r="S108" s="409"/>
      <c r="T108" s="409">
        <v>1</v>
      </c>
      <c r="U108" s="409">
        <v>5</v>
      </c>
      <c r="V108" s="409">
        <v>5</v>
      </c>
      <c r="W108" s="409">
        <v>15</v>
      </c>
      <c r="X108" s="36">
        <v>2</v>
      </c>
      <c r="Y108" s="36"/>
      <c r="Z108" s="36">
        <v>1</v>
      </c>
    </row>
    <row r="109" spans="1:26" s="18" customFormat="1" x14ac:dyDescent="0.25">
      <c r="A109" s="478"/>
      <c r="B109" s="478"/>
      <c r="C109" s="233">
        <v>20</v>
      </c>
      <c r="D109" s="234" t="s">
        <v>201</v>
      </c>
      <c r="E109" s="403">
        <v>0</v>
      </c>
      <c r="F109" s="230"/>
      <c r="G109" s="230"/>
      <c r="H109" s="230">
        <v>1</v>
      </c>
      <c r="I109" s="230"/>
      <c r="J109" s="230"/>
      <c r="K109" s="230">
        <v>1</v>
      </c>
      <c r="L109" s="230">
        <v>2</v>
      </c>
      <c r="M109" s="230">
        <v>6</v>
      </c>
      <c r="N109" s="36"/>
      <c r="O109" s="36"/>
      <c r="P109" s="36"/>
      <c r="Q109" s="36">
        <v>2</v>
      </c>
      <c r="R109" s="409"/>
      <c r="S109" s="409"/>
      <c r="T109" s="409">
        <v>1</v>
      </c>
      <c r="U109" s="409">
        <v>2</v>
      </c>
      <c r="V109" s="409">
        <v>3</v>
      </c>
      <c r="W109" s="409">
        <v>7</v>
      </c>
      <c r="X109" s="36">
        <v>1</v>
      </c>
      <c r="Y109" s="36"/>
      <c r="Z109" s="36"/>
    </row>
    <row r="110" spans="1:26" s="18" customFormat="1" x14ac:dyDescent="0.25">
      <c r="A110" s="478"/>
      <c r="B110" s="478"/>
      <c r="C110" s="233">
        <v>21</v>
      </c>
      <c r="D110" s="234" t="s">
        <v>1470</v>
      </c>
      <c r="E110" s="403"/>
      <c r="F110" s="230"/>
      <c r="G110" s="230">
        <v>1</v>
      </c>
      <c r="H110" s="230">
        <v>1</v>
      </c>
      <c r="I110" s="230"/>
      <c r="J110" s="230">
        <v>1</v>
      </c>
      <c r="K110" s="230">
        <v>5</v>
      </c>
      <c r="L110" s="230">
        <v>6</v>
      </c>
      <c r="M110" s="230">
        <v>25</v>
      </c>
      <c r="N110" s="36">
        <v>2</v>
      </c>
      <c r="O110" s="36"/>
      <c r="P110" s="36">
        <v>1</v>
      </c>
      <c r="Q110" s="36"/>
      <c r="R110" s="409"/>
      <c r="S110" s="409"/>
      <c r="T110" s="409"/>
      <c r="U110" s="409"/>
      <c r="V110" s="409"/>
      <c r="W110" s="409"/>
      <c r="X110" s="36"/>
      <c r="Y110" s="36"/>
      <c r="Z110" s="36"/>
    </row>
    <row r="111" spans="1:26" s="18" customFormat="1" x14ac:dyDescent="0.25">
      <c r="A111" s="233"/>
      <c r="B111" s="233"/>
      <c r="C111" s="233"/>
      <c r="D111" s="234" t="s">
        <v>33</v>
      </c>
      <c r="E111" s="403">
        <v>0</v>
      </c>
      <c r="F111" s="230">
        <v>1</v>
      </c>
      <c r="G111" s="230"/>
      <c r="H111" s="230"/>
      <c r="I111" s="230">
        <v>1</v>
      </c>
      <c r="J111" s="230"/>
      <c r="K111" s="230"/>
      <c r="L111" s="230">
        <v>1</v>
      </c>
      <c r="M111" s="230"/>
      <c r="N111" s="36">
        <v>1</v>
      </c>
      <c r="O111" s="36">
        <v>1</v>
      </c>
      <c r="P111" s="36"/>
      <c r="Q111" s="36"/>
      <c r="R111" s="409">
        <v>1</v>
      </c>
      <c r="S111" s="409"/>
      <c r="T111" s="409"/>
      <c r="U111" s="409"/>
      <c r="V111" s="409"/>
      <c r="W111" s="409"/>
      <c r="X111" s="36"/>
      <c r="Y111" s="36"/>
      <c r="Z111" s="36"/>
    </row>
    <row r="112" spans="1:26" s="18" customFormat="1" x14ac:dyDescent="0.25">
      <c r="A112" s="478">
        <v>7</v>
      </c>
      <c r="B112" s="478" t="s">
        <v>33</v>
      </c>
      <c r="C112" s="233">
        <v>22</v>
      </c>
      <c r="D112" s="234" t="s">
        <v>33</v>
      </c>
      <c r="E112" s="403">
        <v>0</v>
      </c>
      <c r="F112" s="230"/>
      <c r="G112" s="230">
        <v>1</v>
      </c>
      <c r="H112" s="230">
        <v>3</v>
      </c>
      <c r="I112" s="230">
        <v>1</v>
      </c>
      <c r="J112" s="230"/>
      <c r="K112" s="230">
        <v>11</v>
      </c>
      <c r="L112" s="230">
        <v>11</v>
      </c>
      <c r="M112" s="230">
        <v>56</v>
      </c>
      <c r="N112" s="36">
        <v>4</v>
      </c>
      <c r="O112" s="36"/>
      <c r="P112" s="36">
        <v>1</v>
      </c>
      <c r="Q112" s="36"/>
      <c r="R112" s="409"/>
      <c r="S112" s="409">
        <v>1</v>
      </c>
      <c r="T112" s="409">
        <v>0</v>
      </c>
      <c r="U112" s="409">
        <v>11</v>
      </c>
      <c r="V112" s="409">
        <v>18</v>
      </c>
      <c r="W112" s="409">
        <v>73</v>
      </c>
      <c r="X112" s="36">
        <v>7</v>
      </c>
      <c r="Y112" s="36">
        <v>0</v>
      </c>
      <c r="Z112" s="36">
        <v>2</v>
      </c>
    </row>
    <row r="113" spans="1:26" s="18" customFormat="1" x14ac:dyDescent="0.25">
      <c r="A113" s="478"/>
      <c r="B113" s="478"/>
      <c r="C113" s="233">
        <v>23</v>
      </c>
      <c r="D113" s="234" t="s">
        <v>34</v>
      </c>
      <c r="E113" s="403">
        <v>0</v>
      </c>
      <c r="F113" s="230"/>
      <c r="G113" s="230">
        <v>1</v>
      </c>
      <c r="H113" s="230">
        <v>1</v>
      </c>
      <c r="I113" s="230"/>
      <c r="J113" s="230">
        <v>1</v>
      </c>
      <c r="K113" s="230">
        <v>4</v>
      </c>
      <c r="L113" s="230">
        <v>5</v>
      </c>
      <c r="M113" s="230">
        <v>26</v>
      </c>
      <c r="N113" s="36">
        <v>2</v>
      </c>
      <c r="O113" s="36"/>
      <c r="P113" s="36">
        <v>1</v>
      </c>
      <c r="Q113" s="36"/>
      <c r="R113" s="409"/>
      <c r="S113" s="409"/>
      <c r="T113" s="409"/>
      <c r="U113" s="409">
        <v>5</v>
      </c>
      <c r="V113" s="409">
        <v>6</v>
      </c>
      <c r="W113" s="409">
        <v>20</v>
      </c>
      <c r="X113" s="36">
        <v>2</v>
      </c>
      <c r="Y113" s="36"/>
      <c r="Z113" s="36">
        <v>1</v>
      </c>
    </row>
    <row r="114" spans="1:26" s="18" customFormat="1" x14ac:dyDescent="0.25">
      <c r="A114" s="478"/>
      <c r="B114" s="478"/>
      <c r="C114" s="233">
        <v>24</v>
      </c>
      <c r="D114" s="276" t="s">
        <v>250</v>
      </c>
      <c r="E114" s="403">
        <v>0</v>
      </c>
      <c r="F114" s="230"/>
      <c r="G114" s="230">
        <v>1</v>
      </c>
      <c r="H114" s="230">
        <v>1</v>
      </c>
      <c r="I114" s="230"/>
      <c r="J114" s="230">
        <v>1</v>
      </c>
      <c r="K114" s="230">
        <v>4</v>
      </c>
      <c r="L114" s="230">
        <v>5</v>
      </c>
      <c r="M114" s="230">
        <v>26</v>
      </c>
      <c r="N114" s="36">
        <v>2</v>
      </c>
      <c r="O114" s="36"/>
      <c r="P114" s="36">
        <v>1</v>
      </c>
      <c r="Q114" s="36"/>
      <c r="R114" s="409"/>
      <c r="S114" s="409"/>
      <c r="T114" s="409">
        <v>1</v>
      </c>
      <c r="U114" s="409">
        <v>1</v>
      </c>
      <c r="V114" s="409">
        <v>2</v>
      </c>
      <c r="W114" s="409">
        <v>11</v>
      </c>
      <c r="X114" s="36">
        <v>1</v>
      </c>
      <c r="Y114" s="36"/>
      <c r="Z114" s="36">
        <v>1</v>
      </c>
    </row>
    <row r="115" spans="1:26" s="18" customFormat="1" x14ac:dyDescent="0.25">
      <c r="A115" s="478"/>
      <c r="B115" s="478"/>
      <c r="C115" s="233">
        <v>25</v>
      </c>
      <c r="D115" s="234" t="s">
        <v>36</v>
      </c>
      <c r="E115" s="403">
        <v>0</v>
      </c>
      <c r="F115" s="230"/>
      <c r="G115" s="230">
        <v>1</v>
      </c>
      <c r="H115" s="230">
        <v>1</v>
      </c>
      <c r="I115" s="230"/>
      <c r="J115" s="230">
        <v>1</v>
      </c>
      <c r="K115" s="230">
        <v>4</v>
      </c>
      <c r="L115" s="230">
        <v>4</v>
      </c>
      <c r="M115" s="230">
        <v>26</v>
      </c>
      <c r="N115" s="36"/>
      <c r="O115" s="36"/>
      <c r="P115" s="36"/>
      <c r="Q115" s="36"/>
      <c r="R115" s="409"/>
      <c r="S115" s="409"/>
      <c r="T115" s="409"/>
      <c r="U115" s="409">
        <v>1</v>
      </c>
      <c r="V115" s="409">
        <v>4</v>
      </c>
      <c r="W115" s="409">
        <v>21</v>
      </c>
      <c r="X115" s="36">
        <v>1</v>
      </c>
      <c r="Y115" s="36"/>
      <c r="Z115" s="36"/>
    </row>
    <row r="116" spans="1:26" s="18" customFormat="1" x14ac:dyDescent="0.25">
      <c r="A116" s="478"/>
      <c r="B116" s="478"/>
      <c r="C116" s="233">
        <v>26</v>
      </c>
      <c r="D116" s="234" t="s">
        <v>37</v>
      </c>
      <c r="E116" s="403">
        <v>0</v>
      </c>
      <c r="F116" s="230"/>
      <c r="G116" s="230">
        <v>1</v>
      </c>
      <c r="H116" s="230">
        <v>1</v>
      </c>
      <c r="I116" s="230"/>
      <c r="J116" s="230">
        <v>1</v>
      </c>
      <c r="K116" s="230">
        <v>4</v>
      </c>
      <c r="L116" s="230">
        <v>5</v>
      </c>
      <c r="M116" s="230">
        <v>26</v>
      </c>
      <c r="N116" s="36"/>
      <c r="O116" s="36"/>
      <c r="P116" s="36"/>
      <c r="Q116" s="36">
        <v>3</v>
      </c>
      <c r="R116" s="409"/>
      <c r="S116" s="409"/>
      <c r="T116" s="409">
        <v>1</v>
      </c>
      <c r="U116" s="409">
        <v>2</v>
      </c>
      <c r="V116" s="409">
        <v>5</v>
      </c>
      <c r="W116" s="409">
        <v>20</v>
      </c>
      <c r="X116" s="36">
        <v>1</v>
      </c>
      <c r="Y116" s="36"/>
      <c r="Z116" s="36"/>
    </row>
    <row r="117" spans="1:26" s="18" customFormat="1" x14ac:dyDescent="0.25">
      <c r="A117" s="478"/>
      <c r="B117" s="478"/>
      <c r="C117" s="233">
        <v>27</v>
      </c>
      <c r="D117" s="234" t="s">
        <v>141</v>
      </c>
      <c r="E117" s="403">
        <v>0</v>
      </c>
      <c r="F117" s="230"/>
      <c r="G117" s="230">
        <v>1</v>
      </c>
      <c r="H117" s="230">
        <v>1</v>
      </c>
      <c r="I117" s="230"/>
      <c r="J117" s="230"/>
      <c r="K117" s="230">
        <v>4</v>
      </c>
      <c r="L117" s="230">
        <v>4</v>
      </c>
      <c r="M117" s="230">
        <v>16</v>
      </c>
      <c r="N117" s="36">
        <v>1</v>
      </c>
      <c r="O117" s="36"/>
      <c r="P117" s="36">
        <v>1</v>
      </c>
      <c r="Q117" s="36"/>
      <c r="R117" s="409"/>
      <c r="S117" s="409"/>
      <c r="T117" s="409">
        <v>1</v>
      </c>
      <c r="U117" s="409">
        <v>4</v>
      </c>
      <c r="V117" s="409">
        <v>4</v>
      </c>
      <c r="W117" s="409">
        <v>21</v>
      </c>
      <c r="X117" s="36">
        <v>1</v>
      </c>
      <c r="Y117" s="36"/>
      <c r="Z117" s="36">
        <v>1</v>
      </c>
    </row>
    <row r="118" spans="1:26" s="18" customFormat="1" x14ac:dyDescent="0.25">
      <c r="A118" s="478"/>
      <c r="B118" s="233"/>
      <c r="C118" s="233">
        <v>28</v>
      </c>
      <c r="D118" s="234" t="s">
        <v>305</v>
      </c>
      <c r="E118" s="403">
        <v>0</v>
      </c>
      <c r="F118" s="230"/>
      <c r="G118" s="230"/>
      <c r="H118" s="230">
        <v>1</v>
      </c>
      <c r="I118" s="230"/>
      <c r="J118" s="230"/>
      <c r="K118" s="230">
        <v>1</v>
      </c>
      <c r="L118" s="230">
        <v>2</v>
      </c>
      <c r="M118" s="230">
        <v>6</v>
      </c>
      <c r="N118" s="36"/>
      <c r="O118" s="36"/>
      <c r="P118" s="36"/>
      <c r="Q118" s="36">
        <v>2</v>
      </c>
      <c r="R118" s="409"/>
      <c r="S118" s="409"/>
      <c r="T118" s="409"/>
      <c r="U118" s="409"/>
      <c r="V118" s="409"/>
      <c r="W118" s="409"/>
      <c r="X118" s="36"/>
      <c r="Y118" s="36"/>
      <c r="Z118" s="36"/>
    </row>
    <row r="119" spans="1:26" s="18" customFormat="1" ht="37.5" x14ac:dyDescent="0.25">
      <c r="A119" s="233"/>
      <c r="B119" s="233"/>
      <c r="C119" s="233"/>
      <c r="D119" s="234" t="s">
        <v>1060</v>
      </c>
      <c r="E119" s="403">
        <v>0</v>
      </c>
      <c r="F119" s="230">
        <v>1</v>
      </c>
      <c r="G119" s="230"/>
      <c r="H119" s="230"/>
      <c r="I119" s="230"/>
      <c r="J119" s="230"/>
      <c r="K119" s="230"/>
      <c r="L119" s="230">
        <v>1</v>
      </c>
      <c r="M119" s="230"/>
      <c r="N119" s="36"/>
      <c r="O119" s="36"/>
      <c r="P119" s="36"/>
      <c r="Q119" s="36"/>
      <c r="R119" s="409">
        <v>1</v>
      </c>
      <c r="S119" s="409"/>
      <c r="T119" s="409"/>
      <c r="U119" s="409"/>
      <c r="V119" s="409"/>
      <c r="W119" s="409"/>
      <c r="X119" s="36"/>
      <c r="Y119" s="36"/>
      <c r="Z119" s="36"/>
    </row>
    <row r="120" spans="1:26" s="18" customFormat="1" x14ac:dyDescent="0.25">
      <c r="A120" s="478">
        <v>8</v>
      </c>
      <c r="B120" s="478" t="s">
        <v>38</v>
      </c>
      <c r="C120" s="233">
        <v>29</v>
      </c>
      <c r="D120" s="234" t="s">
        <v>38</v>
      </c>
      <c r="E120" s="403">
        <v>0</v>
      </c>
      <c r="F120" s="230"/>
      <c r="G120" s="230">
        <v>1</v>
      </c>
      <c r="H120" s="230">
        <v>1</v>
      </c>
      <c r="I120" s="230"/>
      <c r="J120" s="230">
        <v>1</v>
      </c>
      <c r="K120" s="230">
        <v>4</v>
      </c>
      <c r="L120" s="230">
        <v>5</v>
      </c>
      <c r="M120" s="230">
        <v>26</v>
      </c>
      <c r="N120" s="36">
        <v>2</v>
      </c>
      <c r="O120" s="36"/>
      <c r="P120" s="36">
        <v>2</v>
      </c>
      <c r="Q120" s="36"/>
      <c r="R120" s="409"/>
      <c r="S120" s="409"/>
      <c r="T120" s="409"/>
      <c r="U120" s="409">
        <v>5</v>
      </c>
      <c r="V120" s="409">
        <v>10</v>
      </c>
      <c r="W120" s="409">
        <v>33</v>
      </c>
      <c r="X120" s="36">
        <v>2</v>
      </c>
      <c r="Y120" s="36"/>
      <c r="Z120" s="36">
        <v>1</v>
      </c>
    </row>
    <row r="121" spans="1:26" s="391" customFormat="1" x14ac:dyDescent="0.25">
      <c r="A121" s="478"/>
      <c r="B121" s="478"/>
      <c r="C121" s="368">
        <v>30</v>
      </c>
      <c r="D121" s="371" t="s">
        <v>39</v>
      </c>
      <c r="E121" s="408">
        <v>0</v>
      </c>
      <c r="F121" s="230"/>
      <c r="G121" s="230">
        <v>1</v>
      </c>
      <c r="H121" s="230">
        <v>1</v>
      </c>
      <c r="I121" s="230"/>
      <c r="J121" s="230">
        <v>1</v>
      </c>
      <c r="K121" s="230">
        <v>4</v>
      </c>
      <c r="L121" s="230">
        <v>5</v>
      </c>
      <c r="M121" s="230">
        <v>26</v>
      </c>
      <c r="N121" s="409">
        <v>2</v>
      </c>
      <c r="O121" s="409"/>
      <c r="P121" s="409">
        <v>2</v>
      </c>
      <c r="Q121" s="409"/>
      <c r="R121" s="409"/>
      <c r="S121" s="409">
        <v>1</v>
      </c>
      <c r="T121" s="409">
        <v>1</v>
      </c>
      <c r="U121" s="409">
        <v>5</v>
      </c>
      <c r="V121" s="409">
        <v>5</v>
      </c>
      <c r="W121" s="409">
        <v>13</v>
      </c>
      <c r="X121" s="409">
        <v>2</v>
      </c>
      <c r="Y121" s="409"/>
      <c r="Z121" s="409">
        <v>2</v>
      </c>
    </row>
    <row r="122" spans="1:26" s="18" customFormat="1" x14ac:dyDescent="0.25">
      <c r="A122" s="478">
        <v>9</v>
      </c>
      <c r="B122" s="478" t="s">
        <v>88</v>
      </c>
      <c r="C122" s="233">
        <v>31</v>
      </c>
      <c r="D122" s="234" t="s">
        <v>88</v>
      </c>
      <c r="E122" s="403">
        <v>0</v>
      </c>
      <c r="F122" s="230"/>
      <c r="G122" s="230">
        <v>1</v>
      </c>
      <c r="H122" s="230">
        <v>1</v>
      </c>
      <c r="I122" s="230"/>
      <c r="J122" s="230">
        <v>1</v>
      </c>
      <c r="K122" s="230">
        <v>4</v>
      </c>
      <c r="L122" s="230">
        <v>5</v>
      </c>
      <c r="M122" s="230">
        <v>26</v>
      </c>
      <c r="N122" s="36">
        <v>2</v>
      </c>
      <c r="O122" s="36"/>
      <c r="P122" s="36">
        <v>1</v>
      </c>
      <c r="Q122" s="36"/>
      <c r="R122" s="409"/>
      <c r="S122" s="409"/>
      <c r="T122" s="409">
        <v>1</v>
      </c>
      <c r="U122" s="409">
        <v>3</v>
      </c>
      <c r="V122" s="409">
        <v>5</v>
      </c>
      <c r="W122" s="409">
        <v>26</v>
      </c>
      <c r="X122" s="36">
        <v>2</v>
      </c>
      <c r="Y122" s="36"/>
      <c r="Z122" s="36"/>
    </row>
    <row r="123" spans="1:26" s="18" customFormat="1" x14ac:dyDescent="0.25">
      <c r="A123" s="478"/>
      <c r="B123" s="478"/>
      <c r="C123" s="233">
        <v>32</v>
      </c>
      <c r="D123" s="234" t="s">
        <v>41</v>
      </c>
      <c r="E123" s="403">
        <v>0</v>
      </c>
      <c r="F123" s="230"/>
      <c r="G123" s="230"/>
      <c r="H123" s="230">
        <v>1</v>
      </c>
      <c r="I123" s="230"/>
      <c r="J123" s="230"/>
      <c r="K123" s="230">
        <v>1</v>
      </c>
      <c r="L123" s="230">
        <v>2</v>
      </c>
      <c r="M123" s="230">
        <v>8</v>
      </c>
      <c r="N123" s="36"/>
      <c r="O123" s="36"/>
      <c r="P123" s="36"/>
      <c r="Q123" s="36">
        <v>2</v>
      </c>
      <c r="R123" s="409"/>
      <c r="S123" s="409"/>
      <c r="T123" s="409"/>
      <c r="U123" s="409">
        <v>1</v>
      </c>
      <c r="V123" s="409">
        <v>2</v>
      </c>
      <c r="W123" s="409">
        <v>7</v>
      </c>
      <c r="X123" s="36">
        <v>1</v>
      </c>
      <c r="Y123" s="36"/>
      <c r="Z123" s="36"/>
    </row>
    <row r="124" spans="1:26" s="18" customFormat="1" x14ac:dyDescent="0.25">
      <c r="A124" s="478"/>
      <c r="B124" s="478"/>
      <c r="C124" s="233">
        <v>33</v>
      </c>
      <c r="D124" s="234" t="s">
        <v>42</v>
      </c>
      <c r="E124" s="403">
        <v>0</v>
      </c>
      <c r="F124" s="230"/>
      <c r="G124" s="230"/>
      <c r="H124" s="230">
        <v>1</v>
      </c>
      <c r="I124" s="230"/>
      <c r="J124" s="230"/>
      <c r="K124" s="230">
        <v>1</v>
      </c>
      <c r="L124" s="230">
        <v>2</v>
      </c>
      <c r="M124" s="230">
        <v>8</v>
      </c>
      <c r="N124" s="36"/>
      <c r="O124" s="36"/>
      <c r="P124" s="36"/>
      <c r="Q124" s="36">
        <v>2</v>
      </c>
      <c r="R124" s="409"/>
      <c r="S124" s="409"/>
      <c r="T124" s="409"/>
      <c r="U124" s="409">
        <v>1</v>
      </c>
      <c r="V124" s="409">
        <v>3</v>
      </c>
      <c r="W124" s="409">
        <v>7</v>
      </c>
      <c r="X124" s="36"/>
      <c r="Y124" s="36"/>
      <c r="Z124" s="36"/>
    </row>
    <row r="125" spans="1:26" s="18" customFormat="1" x14ac:dyDescent="0.25">
      <c r="A125" s="478">
        <v>10</v>
      </c>
      <c r="B125" s="478" t="s">
        <v>43</v>
      </c>
      <c r="C125" s="233">
        <v>34</v>
      </c>
      <c r="D125" s="234" t="s">
        <v>89</v>
      </c>
      <c r="E125" s="403">
        <v>0</v>
      </c>
      <c r="F125" s="230"/>
      <c r="G125" s="230">
        <v>1</v>
      </c>
      <c r="H125" s="230">
        <v>1</v>
      </c>
      <c r="I125" s="230">
        <v>1</v>
      </c>
      <c r="J125" s="230"/>
      <c r="K125" s="230">
        <v>2</v>
      </c>
      <c r="L125" s="230">
        <v>4</v>
      </c>
      <c r="M125" s="230">
        <v>18</v>
      </c>
      <c r="N125" s="36"/>
      <c r="O125" s="36"/>
      <c r="P125" s="36"/>
      <c r="Q125" s="36">
        <v>3</v>
      </c>
      <c r="R125" s="409"/>
      <c r="S125" s="409"/>
      <c r="T125" s="409"/>
      <c r="U125" s="409">
        <v>1</v>
      </c>
      <c r="V125" s="409">
        <v>1</v>
      </c>
      <c r="W125" s="409">
        <v>9</v>
      </c>
      <c r="X125" s="36">
        <v>1</v>
      </c>
      <c r="Y125" s="36"/>
      <c r="Z125" s="36"/>
    </row>
    <row r="126" spans="1:26" s="18" customFormat="1" x14ac:dyDescent="0.25">
      <c r="A126" s="478"/>
      <c r="B126" s="478"/>
      <c r="C126" s="233">
        <v>35</v>
      </c>
      <c r="D126" s="234" t="s">
        <v>44</v>
      </c>
      <c r="E126" s="403">
        <v>0</v>
      </c>
      <c r="F126" s="230"/>
      <c r="G126" s="230">
        <v>1</v>
      </c>
      <c r="H126" s="230">
        <v>1</v>
      </c>
      <c r="I126" s="230"/>
      <c r="J126" s="230">
        <v>1</v>
      </c>
      <c r="K126" s="230">
        <v>4</v>
      </c>
      <c r="L126" s="230">
        <v>4</v>
      </c>
      <c r="M126" s="230">
        <v>26</v>
      </c>
      <c r="N126" s="36"/>
      <c r="O126" s="36"/>
      <c r="P126" s="36"/>
      <c r="Q126" s="36"/>
      <c r="R126" s="409"/>
      <c r="S126" s="409"/>
      <c r="T126" s="409"/>
      <c r="U126" s="409">
        <v>5</v>
      </c>
      <c r="V126" s="409">
        <v>5</v>
      </c>
      <c r="W126" s="409">
        <v>26</v>
      </c>
      <c r="X126" s="36">
        <v>1</v>
      </c>
      <c r="Y126" s="36"/>
      <c r="Z126" s="36">
        <v>1</v>
      </c>
    </row>
    <row r="127" spans="1:26" s="18" customFormat="1" x14ac:dyDescent="0.25">
      <c r="A127" s="478"/>
      <c r="B127" s="478"/>
      <c r="C127" s="233">
        <v>36</v>
      </c>
      <c r="D127" s="234" t="s">
        <v>45</v>
      </c>
      <c r="E127" s="403">
        <v>0</v>
      </c>
      <c r="F127" s="230"/>
      <c r="G127" s="230">
        <v>1</v>
      </c>
      <c r="H127" s="230">
        <v>1</v>
      </c>
      <c r="I127" s="230"/>
      <c r="J127" s="230">
        <v>1</v>
      </c>
      <c r="K127" s="230">
        <v>4</v>
      </c>
      <c r="L127" s="230">
        <v>4</v>
      </c>
      <c r="M127" s="230">
        <v>26</v>
      </c>
      <c r="N127" s="36">
        <v>2</v>
      </c>
      <c r="O127" s="36"/>
      <c r="P127" s="36"/>
      <c r="Q127" s="36">
        <v>2</v>
      </c>
      <c r="R127" s="409"/>
      <c r="S127" s="409"/>
      <c r="T127" s="409">
        <v>1</v>
      </c>
      <c r="U127" s="409">
        <v>4</v>
      </c>
      <c r="V127" s="409">
        <v>5</v>
      </c>
      <c r="W127" s="409">
        <v>33</v>
      </c>
      <c r="X127" s="36">
        <v>2</v>
      </c>
      <c r="Y127" s="36"/>
      <c r="Z127" s="36">
        <v>1</v>
      </c>
    </row>
    <row r="128" spans="1:26" s="18" customFormat="1" ht="37.5" x14ac:dyDescent="0.25">
      <c r="A128" s="233"/>
      <c r="B128" s="233"/>
      <c r="C128" s="233"/>
      <c r="D128" s="234" t="s">
        <v>1061</v>
      </c>
      <c r="E128" s="403">
        <v>0</v>
      </c>
      <c r="F128" s="230">
        <v>1</v>
      </c>
      <c r="G128" s="230"/>
      <c r="H128" s="230"/>
      <c r="I128" s="230"/>
      <c r="J128" s="230"/>
      <c r="K128" s="230"/>
      <c r="L128" s="230">
        <v>1</v>
      </c>
      <c r="M128" s="230"/>
      <c r="N128" s="36"/>
      <c r="O128" s="36"/>
      <c r="P128" s="36"/>
      <c r="Q128" s="36"/>
      <c r="R128" s="409"/>
      <c r="S128" s="409"/>
      <c r="T128" s="409"/>
      <c r="U128" s="409"/>
      <c r="V128" s="409"/>
      <c r="W128" s="409"/>
      <c r="X128" s="36"/>
      <c r="Y128" s="36"/>
      <c r="Z128" s="36"/>
    </row>
    <row r="129" spans="1:26" s="18" customFormat="1" x14ac:dyDescent="0.25">
      <c r="A129" s="478">
        <v>11</v>
      </c>
      <c r="B129" s="478" t="s">
        <v>46</v>
      </c>
      <c r="C129" s="233">
        <v>37</v>
      </c>
      <c r="D129" s="234" t="s">
        <v>47</v>
      </c>
      <c r="E129" s="403">
        <v>0</v>
      </c>
      <c r="F129" s="230"/>
      <c r="G129" s="230">
        <v>1</v>
      </c>
      <c r="H129" s="230">
        <v>1</v>
      </c>
      <c r="I129" s="230"/>
      <c r="J129" s="230">
        <v>1</v>
      </c>
      <c r="K129" s="230">
        <v>4</v>
      </c>
      <c r="L129" s="230">
        <v>5</v>
      </c>
      <c r="M129" s="230">
        <v>26</v>
      </c>
      <c r="N129" s="36">
        <v>2</v>
      </c>
      <c r="O129" s="36">
        <v>0</v>
      </c>
      <c r="P129" s="36">
        <v>1</v>
      </c>
      <c r="Q129" s="36"/>
      <c r="R129" s="409"/>
      <c r="S129" s="409"/>
      <c r="T129" s="409">
        <v>1</v>
      </c>
      <c r="U129" s="409">
        <v>4</v>
      </c>
      <c r="V129" s="409">
        <v>3</v>
      </c>
      <c r="W129" s="409">
        <v>25</v>
      </c>
      <c r="X129" s="36">
        <v>2</v>
      </c>
      <c r="Y129" s="36"/>
      <c r="Z129" s="36">
        <v>1</v>
      </c>
    </row>
    <row r="130" spans="1:26" s="18" customFormat="1" x14ac:dyDescent="0.25">
      <c r="A130" s="478"/>
      <c r="B130" s="478"/>
      <c r="C130" s="233">
        <v>38</v>
      </c>
      <c r="D130" s="234" t="s">
        <v>48</v>
      </c>
      <c r="E130" s="403">
        <v>0</v>
      </c>
      <c r="F130" s="230"/>
      <c r="G130" s="230"/>
      <c r="H130" s="230">
        <v>1</v>
      </c>
      <c r="I130" s="230"/>
      <c r="J130" s="230"/>
      <c r="K130" s="230">
        <v>1</v>
      </c>
      <c r="L130" s="230">
        <v>2</v>
      </c>
      <c r="M130" s="230">
        <v>8</v>
      </c>
      <c r="N130" s="36"/>
      <c r="O130" s="36"/>
      <c r="P130" s="36"/>
      <c r="Q130" s="36">
        <v>2</v>
      </c>
      <c r="R130" s="409"/>
      <c r="S130" s="409"/>
      <c r="T130" s="409"/>
      <c r="U130" s="409">
        <v>1</v>
      </c>
      <c r="V130" s="409">
        <v>1</v>
      </c>
      <c r="W130" s="409">
        <v>8</v>
      </c>
      <c r="X130" s="36">
        <v>1</v>
      </c>
      <c r="Y130" s="36"/>
      <c r="Z130" s="36">
        <v>1</v>
      </c>
    </row>
    <row r="131" spans="1:26" s="18" customFormat="1" ht="37.5" x14ac:dyDescent="0.25">
      <c r="A131" s="478"/>
      <c r="B131" s="478"/>
      <c r="C131" s="233">
        <v>39</v>
      </c>
      <c r="D131" s="234" t="s">
        <v>314</v>
      </c>
      <c r="E131" s="403">
        <v>0</v>
      </c>
      <c r="F131" s="230"/>
      <c r="G131" s="230">
        <v>0</v>
      </c>
      <c r="H131" s="230">
        <v>1</v>
      </c>
      <c r="I131" s="230"/>
      <c r="J131" s="230"/>
      <c r="K131" s="230">
        <v>1</v>
      </c>
      <c r="L131" s="230">
        <v>2</v>
      </c>
      <c r="M131" s="230">
        <v>6</v>
      </c>
      <c r="N131" s="36"/>
      <c r="O131" s="36"/>
      <c r="P131" s="36"/>
      <c r="Q131" s="36">
        <v>2</v>
      </c>
      <c r="R131" s="409"/>
      <c r="S131" s="409"/>
      <c r="T131" s="409"/>
      <c r="U131" s="409">
        <v>1</v>
      </c>
      <c r="V131" s="409">
        <v>1</v>
      </c>
      <c r="W131" s="409">
        <v>6</v>
      </c>
      <c r="X131" s="36"/>
      <c r="Y131" s="36"/>
      <c r="Z131" s="36">
        <v>1</v>
      </c>
    </row>
    <row r="132" spans="1:26" s="18" customFormat="1" x14ac:dyDescent="0.25">
      <c r="A132" s="233"/>
      <c r="B132" s="233"/>
      <c r="C132" s="233"/>
      <c r="D132" s="234" t="s">
        <v>91</v>
      </c>
      <c r="E132" s="403">
        <v>0</v>
      </c>
      <c r="F132" s="230">
        <v>1</v>
      </c>
      <c r="G132" s="230"/>
      <c r="H132" s="230"/>
      <c r="I132" s="230">
        <v>1</v>
      </c>
      <c r="J132" s="230"/>
      <c r="K132" s="230"/>
      <c r="L132" s="230">
        <v>1</v>
      </c>
      <c r="M132" s="230"/>
      <c r="N132" s="36">
        <v>1</v>
      </c>
      <c r="O132" s="36">
        <v>1</v>
      </c>
      <c r="P132" s="36"/>
      <c r="Q132" s="36"/>
      <c r="R132" s="409">
        <v>1</v>
      </c>
      <c r="S132" s="409"/>
      <c r="T132" s="409"/>
      <c r="U132" s="409"/>
      <c r="V132" s="409"/>
      <c r="W132" s="409"/>
      <c r="X132" s="36"/>
      <c r="Y132" s="36"/>
      <c r="Z132" s="36"/>
    </row>
    <row r="133" spans="1:26" s="18" customFormat="1" x14ac:dyDescent="0.25">
      <c r="A133" s="478">
        <v>12</v>
      </c>
      <c r="B133" s="478" t="s">
        <v>49</v>
      </c>
      <c r="C133" s="233">
        <v>40</v>
      </c>
      <c r="D133" s="234" t="s">
        <v>360</v>
      </c>
      <c r="E133" s="403">
        <v>0</v>
      </c>
      <c r="F133" s="230"/>
      <c r="G133" s="230">
        <v>1</v>
      </c>
      <c r="H133" s="230">
        <v>1</v>
      </c>
      <c r="I133" s="230"/>
      <c r="J133" s="230"/>
      <c r="K133" s="230">
        <v>4</v>
      </c>
      <c r="L133" s="230">
        <v>5</v>
      </c>
      <c r="M133" s="230">
        <v>26</v>
      </c>
      <c r="N133" s="36">
        <v>2</v>
      </c>
      <c r="O133" s="36">
        <v>0</v>
      </c>
      <c r="P133" s="36">
        <v>1</v>
      </c>
      <c r="Q133" s="36"/>
      <c r="R133" s="409"/>
      <c r="S133" s="409"/>
      <c r="T133" s="409"/>
      <c r="U133" s="409">
        <v>3</v>
      </c>
      <c r="V133" s="409">
        <v>3</v>
      </c>
      <c r="W133" s="409">
        <v>23</v>
      </c>
      <c r="X133" s="36">
        <v>2</v>
      </c>
      <c r="Y133" s="36"/>
      <c r="Z133" s="36"/>
    </row>
    <row r="134" spans="1:26" s="18" customFormat="1" x14ac:dyDescent="0.25">
      <c r="A134" s="478"/>
      <c r="B134" s="478"/>
      <c r="C134" s="233">
        <v>41</v>
      </c>
      <c r="D134" s="234" t="s">
        <v>50</v>
      </c>
      <c r="E134" s="403">
        <v>0</v>
      </c>
      <c r="F134" s="230"/>
      <c r="G134" s="230">
        <v>1</v>
      </c>
      <c r="H134" s="230">
        <v>1</v>
      </c>
      <c r="I134" s="230"/>
      <c r="J134" s="230"/>
      <c r="K134" s="230">
        <v>4</v>
      </c>
      <c r="L134" s="230">
        <v>4</v>
      </c>
      <c r="M134" s="230">
        <v>26</v>
      </c>
      <c r="N134" s="36">
        <v>2</v>
      </c>
      <c r="O134" s="36"/>
      <c r="P134" s="36"/>
      <c r="Q134" s="36"/>
      <c r="R134" s="409"/>
      <c r="S134" s="409"/>
      <c r="T134" s="409">
        <v>1</v>
      </c>
      <c r="U134" s="409">
        <v>3</v>
      </c>
      <c r="V134" s="409">
        <v>2</v>
      </c>
      <c r="W134" s="409">
        <v>20</v>
      </c>
      <c r="X134" s="36">
        <v>1</v>
      </c>
      <c r="Y134" s="36"/>
      <c r="Z134" s="36">
        <v>1</v>
      </c>
    </row>
    <row r="135" spans="1:26" s="18" customFormat="1" x14ac:dyDescent="0.25">
      <c r="A135" s="478"/>
      <c r="B135" s="478"/>
      <c r="C135" s="233">
        <v>42</v>
      </c>
      <c r="D135" s="234" t="s">
        <v>51</v>
      </c>
      <c r="E135" s="403">
        <v>0</v>
      </c>
      <c r="F135" s="230"/>
      <c r="G135" s="230">
        <v>1</v>
      </c>
      <c r="H135" s="230">
        <v>1</v>
      </c>
      <c r="I135" s="230"/>
      <c r="J135" s="230"/>
      <c r="K135" s="230">
        <v>4</v>
      </c>
      <c r="L135" s="230">
        <v>5</v>
      </c>
      <c r="M135" s="230">
        <v>26</v>
      </c>
      <c r="N135" s="36">
        <v>2</v>
      </c>
      <c r="O135" s="36"/>
      <c r="P135" s="36">
        <v>1</v>
      </c>
      <c r="Q135" s="36"/>
      <c r="R135" s="409"/>
      <c r="S135" s="409">
        <v>1</v>
      </c>
      <c r="T135" s="409"/>
      <c r="U135" s="409">
        <v>8</v>
      </c>
      <c r="V135" s="409">
        <v>8</v>
      </c>
      <c r="W135" s="409">
        <v>32</v>
      </c>
      <c r="X135" s="36">
        <v>3</v>
      </c>
      <c r="Y135" s="36">
        <v>0</v>
      </c>
      <c r="Z135" s="36">
        <v>1</v>
      </c>
    </row>
    <row r="136" spans="1:26" s="18" customFormat="1" x14ac:dyDescent="0.25">
      <c r="A136" s="233"/>
      <c r="B136" s="233"/>
      <c r="C136" s="233"/>
      <c r="D136" s="234" t="s">
        <v>468</v>
      </c>
      <c r="E136" s="403">
        <v>0</v>
      </c>
      <c r="F136" s="230">
        <v>1</v>
      </c>
      <c r="G136" s="230"/>
      <c r="H136" s="230"/>
      <c r="I136" s="230"/>
      <c r="J136" s="230"/>
      <c r="K136" s="230"/>
      <c r="L136" s="230">
        <v>1</v>
      </c>
      <c r="M136" s="230"/>
      <c r="N136" s="36"/>
      <c r="O136" s="36">
        <v>1</v>
      </c>
      <c r="P136" s="36"/>
      <c r="Q136" s="36"/>
      <c r="R136" s="409">
        <v>1</v>
      </c>
      <c r="S136" s="409"/>
      <c r="T136" s="409"/>
      <c r="U136" s="409"/>
      <c r="V136" s="409"/>
      <c r="W136" s="409"/>
      <c r="X136" s="36"/>
      <c r="Y136" s="36"/>
      <c r="Z136" s="36"/>
    </row>
    <row r="137" spans="1:26" s="18" customFormat="1" x14ac:dyDescent="0.25">
      <c r="A137" s="478">
        <v>13</v>
      </c>
      <c r="B137" s="478" t="s">
        <v>52</v>
      </c>
      <c r="C137" s="233">
        <v>43</v>
      </c>
      <c r="D137" s="234" t="s">
        <v>53</v>
      </c>
      <c r="E137" s="403">
        <v>0</v>
      </c>
      <c r="F137" s="230"/>
      <c r="G137" s="230">
        <v>1</v>
      </c>
      <c r="H137" s="230">
        <v>1</v>
      </c>
      <c r="I137" s="230"/>
      <c r="J137" s="230">
        <v>1</v>
      </c>
      <c r="K137" s="230">
        <v>4</v>
      </c>
      <c r="L137" s="230">
        <v>5</v>
      </c>
      <c r="M137" s="230">
        <v>26</v>
      </c>
      <c r="N137" s="36">
        <v>2</v>
      </c>
      <c r="O137" s="36"/>
      <c r="P137" s="36">
        <v>1</v>
      </c>
      <c r="Q137" s="36"/>
      <c r="R137" s="409"/>
      <c r="S137" s="409">
        <v>1</v>
      </c>
      <c r="T137" s="409"/>
      <c r="U137" s="409">
        <v>5</v>
      </c>
      <c r="V137" s="409">
        <v>5</v>
      </c>
      <c r="W137" s="409">
        <v>33</v>
      </c>
      <c r="X137" s="36">
        <v>4</v>
      </c>
      <c r="Y137" s="36"/>
      <c r="Z137" s="36"/>
    </row>
    <row r="138" spans="1:26" s="18" customFormat="1" x14ac:dyDescent="0.25">
      <c r="A138" s="478"/>
      <c r="B138" s="478"/>
      <c r="C138" s="233">
        <v>44</v>
      </c>
      <c r="D138" s="234" t="s">
        <v>54</v>
      </c>
      <c r="E138" s="403">
        <v>0</v>
      </c>
      <c r="F138" s="230"/>
      <c r="G138" s="230">
        <v>1</v>
      </c>
      <c r="H138" s="230">
        <v>1</v>
      </c>
      <c r="I138" s="230"/>
      <c r="J138" s="230">
        <v>1</v>
      </c>
      <c r="K138" s="230">
        <v>4</v>
      </c>
      <c r="L138" s="230">
        <v>5</v>
      </c>
      <c r="M138" s="230">
        <v>26</v>
      </c>
      <c r="N138" s="36">
        <v>2</v>
      </c>
      <c r="O138" s="36"/>
      <c r="P138" s="36">
        <v>1</v>
      </c>
      <c r="Q138" s="36"/>
      <c r="R138" s="409"/>
      <c r="S138" s="409">
        <v>1</v>
      </c>
      <c r="T138" s="409"/>
      <c r="U138" s="409">
        <v>1</v>
      </c>
      <c r="V138" s="409">
        <v>1</v>
      </c>
      <c r="W138" s="409">
        <v>23</v>
      </c>
      <c r="X138" s="36">
        <v>1</v>
      </c>
      <c r="Y138" s="36"/>
      <c r="Z138" s="36"/>
    </row>
    <row r="139" spans="1:26" s="18" customFormat="1" x14ac:dyDescent="0.25">
      <c r="A139" s="478"/>
      <c r="B139" s="478"/>
      <c r="C139" s="233">
        <v>45</v>
      </c>
      <c r="D139" s="234" t="s">
        <v>55</v>
      </c>
      <c r="E139" s="403">
        <v>0</v>
      </c>
      <c r="F139" s="230"/>
      <c r="G139" s="230">
        <v>1</v>
      </c>
      <c r="H139" s="230">
        <v>1</v>
      </c>
      <c r="I139" s="230"/>
      <c r="J139" s="230">
        <v>1</v>
      </c>
      <c r="K139" s="230">
        <v>4</v>
      </c>
      <c r="L139" s="230">
        <v>5</v>
      </c>
      <c r="M139" s="230">
        <v>26</v>
      </c>
      <c r="N139" s="36">
        <v>2</v>
      </c>
      <c r="O139" s="36"/>
      <c r="P139" s="36">
        <v>1</v>
      </c>
      <c r="Q139" s="36"/>
      <c r="R139" s="409"/>
      <c r="S139" s="409"/>
      <c r="T139" s="409"/>
      <c r="U139" s="409">
        <v>2</v>
      </c>
      <c r="V139" s="409">
        <v>3</v>
      </c>
      <c r="W139" s="409">
        <v>27</v>
      </c>
      <c r="X139" s="36">
        <v>1</v>
      </c>
      <c r="Y139" s="36"/>
      <c r="Z139" s="36">
        <v>1</v>
      </c>
    </row>
    <row r="140" spans="1:26" s="18" customFormat="1" x14ac:dyDescent="0.25">
      <c r="A140" s="478"/>
      <c r="B140" s="478"/>
      <c r="C140" s="233">
        <v>46</v>
      </c>
      <c r="D140" s="234" t="s">
        <v>56</v>
      </c>
      <c r="E140" s="403">
        <v>0</v>
      </c>
      <c r="F140" s="230"/>
      <c r="G140" s="230">
        <v>1</v>
      </c>
      <c r="H140" s="230">
        <v>1</v>
      </c>
      <c r="I140" s="230"/>
      <c r="J140" s="230">
        <v>1</v>
      </c>
      <c r="K140" s="230">
        <v>4</v>
      </c>
      <c r="L140" s="230">
        <v>5</v>
      </c>
      <c r="M140" s="230">
        <v>26</v>
      </c>
      <c r="N140" s="36">
        <v>2</v>
      </c>
      <c r="O140" s="36"/>
      <c r="P140" s="36">
        <v>1</v>
      </c>
      <c r="Q140" s="36"/>
      <c r="R140" s="409"/>
      <c r="S140" s="409"/>
      <c r="T140" s="409">
        <v>1</v>
      </c>
      <c r="U140" s="409">
        <v>2</v>
      </c>
      <c r="V140" s="409">
        <v>2</v>
      </c>
      <c r="W140" s="409">
        <v>12</v>
      </c>
      <c r="X140" s="36"/>
      <c r="Y140" s="36"/>
      <c r="Z140" s="36"/>
    </row>
    <row r="141" spans="1:26" s="18" customFormat="1" x14ac:dyDescent="0.25">
      <c r="A141" s="478"/>
      <c r="B141" s="478"/>
      <c r="C141" s="233">
        <v>47</v>
      </c>
      <c r="D141" s="234" t="s">
        <v>57</v>
      </c>
      <c r="E141" s="403">
        <v>0</v>
      </c>
      <c r="F141" s="230"/>
      <c r="G141" s="230">
        <v>1</v>
      </c>
      <c r="H141" s="230">
        <v>1</v>
      </c>
      <c r="I141" s="230"/>
      <c r="J141" s="230">
        <v>1</v>
      </c>
      <c r="K141" s="230">
        <v>4</v>
      </c>
      <c r="L141" s="230">
        <v>5</v>
      </c>
      <c r="M141" s="230">
        <v>26</v>
      </c>
      <c r="N141" s="36">
        <v>2</v>
      </c>
      <c r="O141" s="36"/>
      <c r="P141" s="36">
        <v>1</v>
      </c>
      <c r="Q141" s="36"/>
      <c r="R141" s="409"/>
      <c r="S141" s="409"/>
      <c r="T141" s="409"/>
      <c r="U141" s="409">
        <v>2</v>
      </c>
      <c r="V141" s="409">
        <v>2</v>
      </c>
      <c r="W141" s="409">
        <v>24</v>
      </c>
      <c r="X141" s="36">
        <v>1</v>
      </c>
      <c r="Y141" s="36"/>
      <c r="Z141" s="36">
        <v>1</v>
      </c>
    </row>
    <row r="142" spans="1:26" s="18" customFormat="1" x14ac:dyDescent="0.25">
      <c r="A142" s="478"/>
      <c r="B142" s="478"/>
      <c r="C142" s="233">
        <v>48</v>
      </c>
      <c r="D142" s="234" t="s">
        <v>58</v>
      </c>
      <c r="E142" s="403">
        <v>0</v>
      </c>
      <c r="F142" s="230"/>
      <c r="G142" s="230">
        <v>1</v>
      </c>
      <c r="H142" s="230">
        <v>1</v>
      </c>
      <c r="I142" s="230"/>
      <c r="J142" s="230">
        <v>1</v>
      </c>
      <c r="K142" s="230">
        <v>4</v>
      </c>
      <c r="L142" s="230">
        <v>4</v>
      </c>
      <c r="M142" s="230">
        <v>26</v>
      </c>
      <c r="N142" s="36">
        <v>2</v>
      </c>
      <c r="O142" s="36"/>
      <c r="P142" s="36">
        <v>1</v>
      </c>
      <c r="Q142" s="36"/>
      <c r="R142" s="409"/>
      <c r="S142" s="409"/>
      <c r="T142" s="409">
        <v>1</v>
      </c>
      <c r="U142" s="409">
        <v>2</v>
      </c>
      <c r="V142" s="409">
        <v>2</v>
      </c>
      <c r="W142" s="409">
        <v>12</v>
      </c>
      <c r="X142" s="36"/>
      <c r="Y142" s="36"/>
      <c r="Z142" s="36"/>
    </row>
    <row r="143" spans="1:26" s="18" customFormat="1" x14ac:dyDescent="0.25">
      <c r="A143" s="478"/>
      <c r="B143" s="478"/>
      <c r="C143" s="233">
        <v>49</v>
      </c>
      <c r="D143" s="234" t="s">
        <v>336</v>
      </c>
      <c r="E143" s="403">
        <v>0</v>
      </c>
      <c r="F143" s="230"/>
      <c r="G143" s="230"/>
      <c r="H143" s="230">
        <v>1</v>
      </c>
      <c r="I143" s="230"/>
      <c r="J143" s="230"/>
      <c r="K143" s="230">
        <v>1</v>
      </c>
      <c r="L143" s="230">
        <v>2</v>
      </c>
      <c r="M143" s="230">
        <v>8</v>
      </c>
      <c r="N143" s="36"/>
      <c r="O143" s="36"/>
      <c r="P143" s="36"/>
      <c r="Q143" s="36">
        <v>2</v>
      </c>
      <c r="R143" s="409"/>
      <c r="S143" s="409"/>
      <c r="T143" s="409"/>
      <c r="U143" s="409"/>
      <c r="V143" s="409">
        <v>1</v>
      </c>
      <c r="W143" s="409">
        <v>3</v>
      </c>
      <c r="X143" s="36"/>
      <c r="Y143" s="36"/>
      <c r="Z143" s="36"/>
    </row>
    <row r="144" spans="1:26" s="18" customFormat="1" x14ac:dyDescent="0.25">
      <c r="A144" s="478"/>
      <c r="B144" s="478"/>
      <c r="C144" s="233">
        <v>50</v>
      </c>
      <c r="D144" s="234" t="s">
        <v>59</v>
      </c>
      <c r="E144" s="403">
        <v>0</v>
      </c>
      <c r="F144" s="230"/>
      <c r="G144" s="230"/>
      <c r="H144" s="230">
        <v>1</v>
      </c>
      <c r="I144" s="230"/>
      <c r="J144" s="230"/>
      <c r="K144" s="230">
        <v>1</v>
      </c>
      <c r="L144" s="230">
        <v>2</v>
      </c>
      <c r="M144" s="230">
        <v>6</v>
      </c>
      <c r="N144" s="36"/>
      <c r="O144" s="36"/>
      <c r="P144" s="36"/>
      <c r="Q144" s="36">
        <v>2</v>
      </c>
      <c r="R144" s="409"/>
      <c r="S144" s="409"/>
      <c r="T144" s="409"/>
      <c r="U144" s="409">
        <v>1</v>
      </c>
      <c r="V144" s="409"/>
      <c r="W144" s="409">
        <v>3</v>
      </c>
      <c r="X144" s="36"/>
      <c r="Y144" s="36"/>
      <c r="Z144" s="36"/>
    </row>
    <row r="145" spans="1:26" s="18" customFormat="1" ht="63" customHeight="1" x14ac:dyDescent="0.25">
      <c r="A145" s="233"/>
      <c r="B145" s="233" t="s">
        <v>1552</v>
      </c>
      <c r="C145" s="233"/>
      <c r="D145" s="234"/>
      <c r="E145" s="36">
        <v>1</v>
      </c>
      <c r="F145" s="230"/>
      <c r="G145" s="230">
        <v>1</v>
      </c>
      <c r="H145" s="230"/>
      <c r="I145" s="230"/>
      <c r="J145" s="230"/>
      <c r="K145" s="230">
        <v>1</v>
      </c>
      <c r="L145" s="230">
        <v>1</v>
      </c>
      <c r="M145" s="230">
        <v>2</v>
      </c>
      <c r="N145" s="36">
        <v>2</v>
      </c>
      <c r="O145" s="36">
        <v>1</v>
      </c>
      <c r="P145" s="36">
        <v>1</v>
      </c>
      <c r="Q145" s="36"/>
      <c r="R145" s="409"/>
      <c r="S145" s="409"/>
      <c r="T145" s="409"/>
      <c r="U145" s="409">
        <v>1</v>
      </c>
      <c r="V145" s="409">
        <v>2</v>
      </c>
      <c r="W145" s="409">
        <v>11</v>
      </c>
      <c r="X145" s="36"/>
      <c r="Y145" s="36"/>
      <c r="Z145" s="36"/>
    </row>
    <row r="146" spans="1:26" s="18" customFormat="1" x14ac:dyDescent="0.25">
      <c r="A146" s="233"/>
      <c r="B146" s="233"/>
      <c r="C146" s="233"/>
      <c r="D146" s="234" t="s">
        <v>60</v>
      </c>
      <c r="E146" s="36">
        <f>SUM(E83:E145)</f>
        <v>1</v>
      </c>
      <c r="F146" s="230">
        <f t="shared" ref="F146:Z146" si="2">SUM(F83:F145)</f>
        <v>9</v>
      </c>
      <c r="G146" s="230">
        <f t="shared" si="2"/>
        <v>38</v>
      </c>
      <c r="H146" s="230">
        <f t="shared" si="2"/>
        <v>52</v>
      </c>
      <c r="I146" s="230">
        <f t="shared" si="2"/>
        <v>4</v>
      </c>
      <c r="J146" s="230">
        <f t="shared" si="2"/>
        <v>29</v>
      </c>
      <c r="K146" s="230">
        <f t="shared" si="2"/>
        <v>171</v>
      </c>
      <c r="L146" s="230">
        <f t="shared" si="2"/>
        <v>217</v>
      </c>
      <c r="M146" s="230">
        <f t="shared" si="2"/>
        <v>1050</v>
      </c>
      <c r="N146" s="36">
        <f t="shared" si="2"/>
        <v>67</v>
      </c>
      <c r="O146" s="36">
        <f t="shared" si="2"/>
        <v>7</v>
      </c>
      <c r="P146" s="36">
        <f t="shared" si="2"/>
        <v>28</v>
      </c>
      <c r="Q146" s="36">
        <f t="shared" si="2"/>
        <v>41</v>
      </c>
      <c r="R146" s="409">
        <f t="shared" si="2"/>
        <v>8</v>
      </c>
      <c r="S146" s="409">
        <f t="shared" si="2"/>
        <v>8</v>
      </c>
      <c r="T146" s="409">
        <f t="shared" si="2"/>
        <v>16</v>
      </c>
      <c r="U146" s="409">
        <f t="shared" si="2"/>
        <v>132</v>
      </c>
      <c r="V146" s="409">
        <f t="shared" si="2"/>
        <v>188</v>
      </c>
      <c r="W146" s="409">
        <f t="shared" si="2"/>
        <v>893</v>
      </c>
      <c r="X146" s="36">
        <f t="shared" si="2"/>
        <v>57</v>
      </c>
      <c r="Y146" s="36">
        <f t="shared" si="2"/>
        <v>1</v>
      </c>
      <c r="Z146" s="36">
        <f t="shared" si="2"/>
        <v>26</v>
      </c>
    </row>
    <row r="147" spans="1:26" x14ac:dyDescent="0.25">
      <c r="A147" s="172"/>
      <c r="B147" s="172"/>
      <c r="C147" s="172"/>
      <c r="D147" s="173"/>
      <c r="E147" s="269"/>
    </row>
    <row r="148" spans="1:26" x14ac:dyDescent="0.25">
      <c r="A148" s="172"/>
      <c r="B148" s="172"/>
      <c r="C148" s="172"/>
      <c r="D148" s="173"/>
      <c r="E148" s="269"/>
    </row>
    <row r="151" spans="1:26" s="278" customFormat="1" ht="21" customHeight="1" x14ac:dyDescent="0.25">
      <c r="A151" s="491" t="s">
        <v>1226</v>
      </c>
      <c r="B151" s="491"/>
      <c r="C151" s="491"/>
      <c r="D151" s="491"/>
      <c r="E151" s="491"/>
      <c r="F151" s="491"/>
      <c r="G151" s="491"/>
      <c r="H151" s="491"/>
      <c r="I151" s="491"/>
      <c r="J151" s="491"/>
      <c r="K151" s="491"/>
      <c r="L151" s="491"/>
      <c r="M151" s="491"/>
      <c r="N151" s="491"/>
      <c r="O151" s="491"/>
      <c r="P151" s="491"/>
      <c r="Q151" s="491"/>
      <c r="R151" s="491"/>
      <c r="S151" s="491"/>
      <c r="T151" s="491"/>
      <c r="U151" s="491"/>
      <c r="V151" s="491"/>
      <c r="W151" s="491"/>
      <c r="X151" s="491"/>
      <c r="Y151" s="491"/>
      <c r="Z151" s="491"/>
    </row>
    <row r="152" spans="1:26" s="23" customFormat="1" ht="40.5" customHeight="1" x14ac:dyDescent="0.25">
      <c r="A152" s="486" t="s">
        <v>0</v>
      </c>
      <c r="B152" s="486" t="s">
        <v>1</v>
      </c>
      <c r="C152" s="223"/>
      <c r="D152" s="492" t="s">
        <v>182</v>
      </c>
      <c r="E152" s="494" t="s">
        <v>764</v>
      </c>
      <c r="F152" s="495"/>
      <c r="G152" s="495"/>
      <c r="H152" s="495"/>
      <c r="I152" s="495"/>
      <c r="J152" s="495"/>
      <c r="K152" s="495"/>
      <c r="L152" s="495"/>
      <c r="M152" s="495"/>
      <c r="N152" s="496"/>
      <c r="O152" s="227"/>
      <c r="P152" s="227"/>
      <c r="Q152" s="227"/>
      <c r="R152" s="497" t="s">
        <v>769</v>
      </c>
      <c r="S152" s="498"/>
      <c r="T152" s="498"/>
      <c r="U152" s="498"/>
      <c r="V152" s="498"/>
      <c r="W152" s="498"/>
      <c r="X152" s="498"/>
      <c r="Y152" s="498"/>
      <c r="Z152" s="498"/>
    </row>
    <row r="153" spans="1:26" s="224" customFormat="1" ht="63" x14ac:dyDescent="0.25">
      <c r="A153" s="485"/>
      <c r="B153" s="485"/>
      <c r="C153" s="253"/>
      <c r="D153" s="493"/>
      <c r="E153" s="225" t="s">
        <v>1063</v>
      </c>
      <c r="F153" s="225" t="s">
        <v>161</v>
      </c>
      <c r="G153" s="225" t="s">
        <v>765</v>
      </c>
      <c r="H153" s="225" t="s">
        <v>364</v>
      </c>
      <c r="I153" s="225" t="s">
        <v>1052</v>
      </c>
      <c r="J153" s="225" t="s">
        <v>1053</v>
      </c>
      <c r="K153" s="225" t="s">
        <v>365</v>
      </c>
      <c r="L153" s="225" t="s">
        <v>366</v>
      </c>
      <c r="M153" s="225" t="s">
        <v>367</v>
      </c>
      <c r="N153" s="225" t="s">
        <v>766</v>
      </c>
      <c r="O153" s="225" t="s">
        <v>767</v>
      </c>
      <c r="P153" s="225" t="s">
        <v>768</v>
      </c>
      <c r="Q153" s="225" t="s">
        <v>1054</v>
      </c>
      <c r="R153" s="408" t="s">
        <v>161</v>
      </c>
      <c r="S153" s="408" t="s">
        <v>765</v>
      </c>
      <c r="T153" s="408" t="s">
        <v>364</v>
      </c>
      <c r="U153" s="408" t="s">
        <v>365</v>
      </c>
      <c r="V153" s="408" t="s">
        <v>366</v>
      </c>
      <c r="W153" s="408" t="s">
        <v>367</v>
      </c>
      <c r="X153" s="228" t="s">
        <v>766</v>
      </c>
      <c r="Y153" s="228" t="s">
        <v>767</v>
      </c>
      <c r="Z153" s="228" t="s">
        <v>768</v>
      </c>
    </row>
    <row r="154" spans="1:26" s="224" customFormat="1" ht="37.5" x14ac:dyDescent="0.25">
      <c r="A154" s="223"/>
      <c r="B154" s="223" t="s">
        <v>1057</v>
      </c>
      <c r="C154" s="223"/>
      <c r="D154" s="254"/>
      <c r="E154" s="225">
        <v>0</v>
      </c>
      <c r="F154" s="225">
        <v>1</v>
      </c>
      <c r="G154" s="225"/>
      <c r="H154" s="225"/>
      <c r="I154" s="225"/>
      <c r="J154" s="225"/>
      <c r="K154" s="225"/>
      <c r="L154" s="225">
        <v>1</v>
      </c>
      <c r="M154" s="225"/>
      <c r="N154" s="225"/>
      <c r="O154" s="225">
        <v>1</v>
      </c>
      <c r="P154" s="225"/>
      <c r="Q154" s="225"/>
      <c r="R154" s="408">
        <v>1</v>
      </c>
      <c r="S154" s="408"/>
      <c r="T154" s="408"/>
      <c r="U154" s="408"/>
      <c r="V154" s="408"/>
      <c r="W154" s="408"/>
      <c r="X154" s="228"/>
      <c r="Y154" s="228"/>
      <c r="Z154" s="228"/>
    </row>
    <row r="155" spans="1:26" x14ac:dyDescent="0.25">
      <c r="A155" s="484">
        <v>1</v>
      </c>
      <c r="B155" s="484" t="s">
        <v>16</v>
      </c>
      <c r="C155" s="126">
        <v>1</v>
      </c>
      <c r="D155" s="153" t="s">
        <v>17</v>
      </c>
      <c r="E155" s="225">
        <v>0</v>
      </c>
      <c r="F155" s="230"/>
      <c r="G155" s="230">
        <v>1</v>
      </c>
      <c r="H155" s="230">
        <v>1</v>
      </c>
      <c r="I155" s="230"/>
      <c r="J155" s="230">
        <v>1</v>
      </c>
      <c r="K155" s="230">
        <v>4</v>
      </c>
      <c r="L155" s="230">
        <v>5</v>
      </c>
      <c r="M155" s="230">
        <v>26</v>
      </c>
      <c r="N155" s="230">
        <v>2</v>
      </c>
      <c r="O155" s="230"/>
      <c r="P155" s="230"/>
      <c r="Q155" s="230">
        <v>1</v>
      </c>
      <c r="R155" s="409"/>
      <c r="S155" s="409"/>
      <c r="T155" s="409"/>
      <c r="U155" s="409">
        <v>2</v>
      </c>
      <c r="V155" s="409">
        <v>6</v>
      </c>
      <c r="W155" s="409">
        <v>33</v>
      </c>
      <c r="X155" s="231">
        <v>1</v>
      </c>
      <c r="Y155" s="231"/>
      <c r="Z155" s="231">
        <v>1</v>
      </c>
    </row>
    <row r="156" spans="1:26" x14ac:dyDescent="0.25">
      <c r="A156" s="486"/>
      <c r="B156" s="486"/>
      <c r="C156" s="126">
        <v>2</v>
      </c>
      <c r="D156" s="153" t="s">
        <v>19</v>
      </c>
      <c r="E156" s="225">
        <v>0</v>
      </c>
      <c r="F156" s="230"/>
      <c r="G156" s="230">
        <v>1</v>
      </c>
      <c r="H156" s="230">
        <v>1</v>
      </c>
      <c r="I156" s="230"/>
      <c r="J156" s="230">
        <v>1</v>
      </c>
      <c r="K156" s="230">
        <v>4</v>
      </c>
      <c r="L156" s="230">
        <v>5</v>
      </c>
      <c r="M156" s="230">
        <v>26</v>
      </c>
      <c r="N156" s="230">
        <v>2</v>
      </c>
      <c r="O156" s="230"/>
      <c r="P156" s="230"/>
      <c r="Q156" s="230">
        <v>1</v>
      </c>
      <c r="R156" s="409"/>
      <c r="S156" s="409"/>
      <c r="T156" s="409">
        <v>1</v>
      </c>
      <c r="U156" s="409">
        <v>2</v>
      </c>
      <c r="V156" s="409">
        <v>4</v>
      </c>
      <c r="W156" s="409">
        <v>18</v>
      </c>
      <c r="X156" s="231">
        <v>1</v>
      </c>
      <c r="Y156" s="231"/>
      <c r="Z156" s="231"/>
    </row>
    <row r="157" spans="1:26" x14ac:dyDescent="0.25">
      <c r="A157" s="486"/>
      <c r="B157" s="486"/>
      <c r="C157" s="126">
        <v>3</v>
      </c>
      <c r="D157" s="153" t="s">
        <v>383</v>
      </c>
      <c r="E157" s="225">
        <v>0</v>
      </c>
      <c r="F157" s="230"/>
      <c r="G157" s="230"/>
      <c r="H157" s="230">
        <v>1</v>
      </c>
      <c r="I157" s="230"/>
      <c r="J157" s="230"/>
      <c r="K157" s="230">
        <v>1</v>
      </c>
      <c r="L157" s="230">
        <v>2</v>
      </c>
      <c r="M157" s="230">
        <v>6</v>
      </c>
      <c r="N157" s="230"/>
      <c r="O157" s="230"/>
      <c r="P157" s="230"/>
      <c r="Q157" s="230">
        <v>2</v>
      </c>
      <c r="R157" s="409"/>
      <c r="S157" s="409"/>
      <c r="T157" s="409"/>
      <c r="U157" s="409"/>
      <c r="V157" s="409"/>
      <c r="W157" s="409"/>
      <c r="X157" s="231"/>
      <c r="Y157" s="231"/>
      <c r="Z157" s="231"/>
    </row>
    <row r="158" spans="1:26" x14ac:dyDescent="0.25">
      <c r="A158" s="486"/>
      <c r="B158" s="486"/>
      <c r="C158" s="126">
        <v>4</v>
      </c>
      <c r="D158" s="153" t="s">
        <v>377</v>
      </c>
      <c r="E158" s="225">
        <v>0</v>
      </c>
      <c r="F158" s="230"/>
      <c r="G158" s="230"/>
      <c r="H158" s="230">
        <v>1</v>
      </c>
      <c r="I158" s="230"/>
      <c r="J158" s="230"/>
      <c r="K158" s="230">
        <v>1</v>
      </c>
      <c r="L158" s="230">
        <v>2</v>
      </c>
      <c r="M158" s="230">
        <v>6</v>
      </c>
      <c r="N158" s="230"/>
      <c r="O158" s="230"/>
      <c r="P158" s="230"/>
      <c r="Q158" s="230">
        <v>2</v>
      </c>
      <c r="R158" s="409"/>
      <c r="S158" s="409"/>
      <c r="T158" s="409"/>
      <c r="U158" s="409"/>
      <c r="V158" s="409"/>
      <c r="W158" s="409"/>
      <c r="X158" s="231"/>
      <c r="Y158" s="231"/>
      <c r="Z158" s="231"/>
    </row>
    <row r="159" spans="1:26" ht="37.5" x14ac:dyDescent="0.25">
      <c r="A159" s="485"/>
      <c r="B159" s="485"/>
      <c r="C159" s="126"/>
      <c r="D159" s="153" t="s">
        <v>1058</v>
      </c>
      <c r="E159" s="225">
        <v>0</v>
      </c>
      <c r="F159" s="230"/>
      <c r="G159" s="230"/>
      <c r="H159" s="230"/>
      <c r="I159" s="230"/>
      <c r="J159" s="230"/>
      <c r="K159" s="230">
        <v>1</v>
      </c>
      <c r="L159" s="230"/>
      <c r="M159" s="230">
        <v>2</v>
      </c>
      <c r="N159" s="230"/>
      <c r="O159" s="230"/>
      <c r="P159" s="230"/>
      <c r="Q159" s="230"/>
      <c r="R159" s="409"/>
      <c r="S159" s="409"/>
      <c r="T159" s="409"/>
      <c r="U159" s="409"/>
      <c r="V159" s="409"/>
      <c r="W159" s="409"/>
      <c r="X159" s="231"/>
      <c r="Y159" s="231"/>
      <c r="Z159" s="231"/>
    </row>
    <row r="160" spans="1:26" x14ac:dyDescent="0.25">
      <c r="A160" s="484">
        <v>2</v>
      </c>
      <c r="B160" s="484" t="s">
        <v>20</v>
      </c>
      <c r="C160" s="126">
        <v>5</v>
      </c>
      <c r="D160" s="153" t="s">
        <v>20</v>
      </c>
      <c r="E160" s="225">
        <v>0</v>
      </c>
      <c r="F160" s="230"/>
      <c r="G160" s="230">
        <v>1</v>
      </c>
      <c r="H160" s="230">
        <v>1</v>
      </c>
      <c r="I160" s="230"/>
      <c r="J160" s="230"/>
      <c r="K160" s="230">
        <v>4</v>
      </c>
      <c r="L160" s="230">
        <v>4</v>
      </c>
      <c r="M160" s="230">
        <v>26</v>
      </c>
      <c r="N160" s="230">
        <v>1</v>
      </c>
      <c r="O160" s="230"/>
      <c r="P160" s="230"/>
      <c r="Q160" s="230"/>
      <c r="R160" s="409"/>
      <c r="S160" s="409"/>
      <c r="T160" s="409"/>
      <c r="U160" s="409">
        <v>3</v>
      </c>
      <c r="V160" s="409">
        <v>8</v>
      </c>
      <c r="W160" s="409">
        <v>24</v>
      </c>
      <c r="X160" s="231"/>
      <c r="Y160" s="231"/>
      <c r="Z160" s="231"/>
    </row>
    <row r="161" spans="1:26" x14ac:dyDescent="0.25">
      <c r="A161" s="485"/>
      <c r="B161" s="485"/>
      <c r="C161" s="126"/>
      <c r="D161" s="153" t="s">
        <v>1059</v>
      </c>
      <c r="E161" s="225">
        <v>0</v>
      </c>
      <c r="F161" s="230"/>
      <c r="G161" s="230"/>
      <c r="H161" s="230"/>
      <c r="I161" s="230"/>
      <c r="J161" s="230"/>
      <c r="K161" s="230">
        <v>1</v>
      </c>
      <c r="L161" s="230"/>
      <c r="M161" s="230">
        <v>1</v>
      </c>
      <c r="N161" s="230"/>
      <c r="O161" s="230"/>
      <c r="P161" s="230"/>
      <c r="Q161" s="230"/>
      <c r="R161" s="409"/>
      <c r="S161" s="409"/>
      <c r="T161" s="409"/>
      <c r="U161" s="409"/>
      <c r="V161" s="409"/>
      <c r="W161" s="409"/>
      <c r="X161" s="231"/>
      <c r="Y161" s="231"/>
      <c r="Z161" s="231"/>
    </row>
    <row r="162" spans="1:26" x14ac:dyDescent="0.25">
      <c r="A162" s="252"/>
      <c r="B162" s="252"/>
      <c r="C162" s="126"/>
      <c r="D162" s="153" t="s">
        <v>21</v>
      </c>
      <c r="E162" s="225">
        <v>0</v>
      </c>
      <c r="F162" s="230">
        <v>1</v>
      </c>
      <c r="G162" s="230"/>
      <c r="H162" s="230"/>
      <c r="I162" s="230"/>
      <c r="J162" s="230"/>
      <c r="K162" s="230"/>
      <c r="L162" s="230">
        <v>1</v>
      </c>
      <c r="M162" s="230"/>
      <c r="N162" s="230"/>
      <c r="O162" s="230">
        <v>1</v>
      </c>
      <c r="P162" s="230"/>
      <c r="Q162" s="230"/>
      <c r="R162" s="409">
        <v>1</v>
      </c>
      <c r="S162" s="409"/>
      <c r="T162" s="409"/>
      <c r="U162" s="409"/>
      <c r="V162" s="409"/>
      <c r="W162" s="409"/>
      <c r="X162" s="231"/>
      <c r="Y162" s="231"/>
      <c r="Z162" s="231"/>
    </row>
    <row r="163" spans="1:26" ht="63" x14ac:dyDescent="0.25">
      <c r="A163" s="484">
        <v>3</v>
      </c>
      <c r="B163" s="487" t="s">
        <v>21</v>
      </c>
      <c r="C163" s="93">
        <v>6</v>
      </c>
      <c r="D163" s="153" t="s">
        <v>21</v>
      </c>
      <c r="E163" s="225">
        <v>0</v>
      </c>
      <c r="F163" s="230"/>
      <c r="G163" s="230">
        <v>1</v>
      </c>
      <c r="H163" s="230">
        <v>1</v>
      </c>
      <c r="I163" s="230"/>
      <c r="J163" s="230">
        <v>1</v>
      </c>
      <c r="K163" s="230">
        <v>4</v>
      </c>
      <c r="L163" s="230">
        <v>5</v>
      </c>
      <c r="M163" s="230">
        <v>26</v>
      </c>
      <c r="N163" s="230">
        <v>2</v>
      </c>
      <c r="O163" s="230"/>
      <c r="P163" s="230">
        <v>1</v>
      </c>
      <c r="Q163" s="230"/>
      <c r="R163" s="409"/>
      <c r="S163" s="409"/>
      <c r="T163" s="409">
        <v>1</v>
      </c>
      <c r="U163" s="409">
        <v>1</v>
      </c>
      <c r="V163" s="409" t="s">
        <v>842</v>
      </c>
      <c r="W163" s="409">
        <v>16</v>
      </c>
      <c r="X163" s="231">
        <v>5</v>
      </c>
      <c r="Y163" s="231"/>
      <c r="Z163" s="231">
        <v>1</v>
      </c>
    </row>
    <row r="164" spans="1:26" x14ac:dyDescent="0.25">
      <c r="A164" s="486"/>
      <c r="B164" s="488"/>
      <c r="C164" s="93">
        <v>7</v>
      </c>
      <c r="D164" s="153" t="s">
        <v>22</v>
      </c>
      <c r="E164" s="225">
        <v>0</v>
      </c>
      <c r="F164" s="230"/>
      <c r="G164" s="230">
        <v>1</v>
      </c>
      <c r="H164" s="230">
        <v>1</v>
      </c>
      <c r="I164" s="230"/>
      <c r="J164" s="230">
        <v>1</v>
      </c>
      <c r="K164" s="230">
        <v>4</v>
      </c>
      <c r="L164" s="230">
        <v>5</v>
      </c>
      <c r="M164" s="230">
        <v>26</v>
      </c>
      <c r="N164" s="230">
        <v>2</v>
      </c>
      <c r="O164" s="230"/>
      <c r="P164" s="230">
        <v>1</v>
      </c>
      <c r="Q164" s="230"/>
      <c r="R164" s="409"/>
      <c r="S164" s="409">
        <v>1</v>
      </c>
      <c r="T164" s="409"/>
      <c r="U164" s="409">
        <v>4</v>
      </c>
      <c r="V164" s="409">
        <v>6</v>
      </c>
      <c r="W164" s="409">
        <v>15</v>
      </c>
      <c r="X164" s="231">
        <v>1</v>
      </c>
      <c r="Y164" s="231"/>
      <c r="Z164" s="231">
        <v>1</v>
      </c>
    </row>
    <row r="165" spans="1:26" x14ac:dyDescent="0.25">
      <c r="A165" s="486"/>
      <c r="B165" s="488"/>
      <c r="C165" s="93">
        <v>8</v>
      </c>
      <c r="D165" s="153" t="s">
        <v>335</v>
      </c>
      <c r="E165" s="225">
        <v>0</v>
      </c>
      <c r="F165" s="230"/>
      <c r="G165" s="230"/>
      <c r="H165" s="230">
        <v>1</v>
      </c>
      <c r="I165" s="230"/>
      <c r="J165" s="230"/>
      <c r="K165" s="230">
        <v>1</v>
      </c>
      <c r="L165" s="230">
        <v>2</v>
      </c>
      <c r="M165" s="230">
        <v>6</v>
      </c>
      <c r="N165" s="230"/>
      <c r="O165" s="230"/>
      <c r="P165" s="230"/>
      <c r="Q165" s="230">
        <v>2</v>
      </c>
      <c r="R165" s="409"/>
      <c r="S165" s="409"/>
      <c r="T165" s="409"/>
      <c r="U165" s="409"/>
      <c r="V165" s="409"/>
      <c r="W165" s="409"/>
      <c r="X165" s="231"/>
      <c r="Y165" s="231"/>
      <c r="Z165" s="231">
        <v>1</v>
      </c>
    </row>
    <row r="166" spans="1:26" x14ac:dyDescent="0.25">
      <c r="A166" s="485"/>
      <c r="B166" s="489"/>
      <c r="C166" s="93">
        <v>9</v>
      </c>
      <c r="D166" s="153" t="s">
        <v>269</v>
      </c>
      <c r="E166" s="225">
        <v>0</v>
      </c>
      <c r="F166" s="230"/>
      <c r="G166" s="230"/>
      <c r="H166" s="230">
        <v>1</v>
      </c>
      <c r="I166" s="230"/>
      <c r="J166" s="230"/>
      <c r="K166" s="230">
        <v>1</v>
      </c>
      <c r="L166" s="230">
        <v>2</v>
      </c>
      <c r="M166" s="230">
        <v>6</v>
      </c>
      <c r="N166" s="230"/>
      <c r="O166" s="230"/>
      <c r="P166" s="230"/>
      <c r="Q166" s="230">
        <v>2</v>
      </c>
      <c r="R166" s="409"/>
      <c r="S166" s="409"/>
      <c r="T166" s="409"/>
      <c r="U166" s="409">
        <v>2</v>
      </c>
      <c r="V166" s="409">
        <v>3</v>
      </c>
      <c r="W166" s="409">
        <v>9</v>
      </c>
      <c r="X166" s="231"/>
      <c r="Y166" s="231"/>
      <c r="Z166" s="231">
        <v>1</v>
      </c>
    </row>
    <row r="167" spans="1:26" x14ac:dyDescent="0.25">
      <c r="A167" s="484">
        <v>4</v>
      </c>
      <c r="B167" s="484" t="s">
        <v>23</v>
      </c>
      <c r="C167" s="126">
        <v>10</v>
      </c>
      <c r="D167" s="153" t="s">
        <v>23</v>
      </c>
      <c r="E167" s="225">
        <v>0</v>
      </c>
      <c r="F167" s="230"/>
      <c r="G167" s="230">
        <v>1</v>
      </c>
      <c r="H167" s="230">
        <v>1</v>
      </c>
      <c r="I167" s="230"/>
      <c r="J167" s="230">
        <v>1</v>
      </c>
      <c r="K167" s="230">
        <v>4</v>
      </c>
      <c r="L167" s="230">
        <v>5</v>
      </c>
      <c r="M167" s="230">
        <v>26</v>
      </c>
      <c r="N167" s="230">
        <v>2</v>
      </c>
      <c r="O167" s="230"/>
      <c r="P167" s="230">
        <v>1</v>
      </c>
      <c r="Q167" s="230"/>
      <c r="R167" s="409"/>
      <c r="S167" s="409"/>
      <c r="T167" s="409">
        <v>1</v>
      </c>
      <c r="U167" s="409">
        <v>2</v>
      </c>
      <c r="V167" s="409">
        <v>5</v>
      </c>
      <c r="W167" s="409">
        <v>28</v>
      </c>
      <c r="X167" s="231"/>
      <c r="Y167" s="231"/>
      <c r="Z167" s="231"/>
    </row>
    <row r="168" spans="1:26" ht="37.5" x14ac:dyDescent="0.25">
      <c r="A168" s="485"/>
      <c r="B168" s="485"/>
      <c r="C168" s="126">
        <v>11</v>
      </c>
      <c r="D168" s="153" t="s">
        <v>344</v>
      </c>
      <c r="E168" s="225">
        <v>0</v>
      </c>
      <c r="F168" s="230"/>
      <c r="G168" s="230">
        <v>1</v>
      </c>
      <c r="H168" s="230">
        <v>2</v>
      </c>
      <c r="I168" s="230"/>
      <c r="J168" s="230">
        <v>1</v>
      </c>
      <c r="K168" s="230">
        <v>5</v>
      </c>
      <c r="L168" s="230">
        <v>5</v>
      </c>
      <c r="M168" s="230">
        <v>26</v>
      </c>
      <c r="N168" s="230">
        <v>3</v>
      </c>
      <c r="O168" s="230"/>
      <c r="P168" s="230"/>
      <c r="Q168" s="230"/>
      <c r="R168" s="409"/>
      <c r="S168" s="409"/>
      <c r="T168" s="409"/>
      <c r="U168" s="409">
        <v>3</v>
      </c>
      <c r="V168" s="409">
        <v>6</v>
      </c>
      <c r="W168" s="409">
        <v>29</v>
      </c>
      <c r="X168" s="231"/>
      <c r="Y168" s="231"/>
      <c r="Z168" s="231"/>
    </row>
    <row r="169" spans="1:26" x14ac:dyDescent="0.25">
      <c r="A169" s="223"/>
      <c r="B169" s="223"/>
      <c r="C169" s="126">
        <v>12</v>
      </c>
      <c r="D169" s="48" t="s">
        <v>821</v>
      </c>
      <c r="E169" s="225">
        <v>0</v>
      </c>
      <c r="F169" s="230"/>
      <c r="G169" s="230">
        <v>1</v>
      </c>
      <c r="H169" s="230"/>
      <c r="I169" s="230"/>
      <c r="J169" s="230"/>
      <c r="K169" s="230">
        <v>2</v>
      </c>
      <c r="L169" s="230">
        <v>2</v>
      </c>
      <c r="M169" s="230">
        <v>9</v>
      </c>
      <c r="N169" s="230"/>
      <c r="O169" s="230"/>
      <c r="P169" s="230"/>
      <c r="Q169" s="230">
        <v>2</v>
      </c>
      <c r="R169" s="409"/>
      <c r="S169" s="409"/>
      <c r="T169" s="409"/>
      <c r="U169" s="409"/>
      <c r="V169" s="409"/>
      <c r="W169" s="409"/>
      <c r="X169" s="231"/>
      <c r="Y169" s="231"/>
      <c r="Z169" s="231"/>
    </row>
    <row r="170" spans="1:26" x14ac:dyDescent="0.25">
      <c r="A170" s="223"/>
      <c r="B170" s="223"/>
      <c r="C170" s="126"/>
      <c r="D170" s="153" t="s">
        <v>1056</v>
      </c>
      <c r="E170" s="225">
        <v>0</v>
      </c>
      <c r="F170" s="230"/>
      <c r="G170" s="230"/>
      <c r="H170" s="230"/>
      <c r="I170" s="230"/>
      <c r="J170" s="230"/>
      <c r="K170" s="230">
        <v>2</v>
      </c>
      <c r="L170" s="230"/>
      <c r="M170" s="230">
        <v>3</v>
      </c>
      <c r="N170" s="230"/>
      <c r="O170" s="230"/>
      <c r="P170" s="230"/>
      <c r="Q170" s="230"/>
      <c r="R170" s="409"/>
      <c r="S170" s="409"/>
      <c r="T170" s="409"/>
      <c r="U170" s="409"/>
      <c r="V170" s="409"/>
      <c r="W170" s="409"/>
      <c r="X170" s="231"/>
      <c r="Y170" s="231"/>
      <c r="Z170" s="231"/>
    </row>
    <row r="171" spans="1:26" ht="37.5" x14ac:dyDescent="0.25">
      <c r="A171" s="126"/>
      <c r="B171" s="126"/>
      <c r="C171" s="126"/>
      <c r="D171" s="153" t="s">
        <v>1055</v>
      </c>
      <c r="E171" s="225">
        <v>0</v>
      </c>
      <c r="F171" s="230">
        <v>1</v>
      </c>
      <c r="G171" s="230"/>
      <c r="H171" s="230"/>
      <c r="I171" s="230"/>
      <c r="J171" s="230"/>
      <c r="K171" s="230"/>
      <c r="L171" s="230">
        <v>1</v>
      </c>
      <c r="M171" s="230"/>
      <c r="N171" s="230"/>
      <c r="O171" s="230"/>
      <c r="P171" s="230"/>
      <c r="Q171" s="230"/>
      <c r="R171" s="409">
        <v>1</v>
      </c>
      <c r="S171" s="409"/>
      <c r="T171" s="409"/>
      <c r="U171" s="409"/>
      <c r="V171" s="409"/>
      <c r="W171" s="409"/>
      <c r="X171" s="231"/>
      <c r="Y171" s="231"/>
      <c r="Z171" s="231"/>
    </row>
    <row r="172" spans="1:26" x14ac:dyDescent="0.25">
      <c r="A172" s="484">
        <v>5</v>
      </c>
      <c r="B172" s="484" t="s">
        <v>25</v>
      </c>
      <c r="C172" s="126">
        <v>13</v>
      </c>
      <c r="D172" s="153" t="s">
        <v>26</v>
      </c>
      <c r="E172" s="225">
        <v>0</v>
      </c>
      <c r="F172" s="230"/>
      <c r="G172" s="230">
        <v>1</v>
      </c>
      <c r="H172" s="230">
        <v>1</v>
      </c>
      <c r="I172" s="230"/>
      <c r="J172" s="230">
        <v>1</v>
      </c>
      <c r="K172" s="230">
        <v>4</v>
      </c>
      <c r="L172" s="230">
        <v>5</v>
      </c>
      <c r="M172" s="230">
        <v>26</v>
      </c>
      <c r="N172" s="230">
        <v>2</v>
      </c>
      <c r="O172" s="230"/>
      <c r="P172" s="230">
        <v>1</v>
      </c>
      <c r="Q172" s="230"/>
      <c r="R172" s="409"/>
      <c r="S172" s="409"/>
      <c r="T172" s="409">
        <v>1</v>
      </c>
      <c r="U172" s="409">
        <v>3</v>
      </c>
      <c r="V172" s="409">
        <v>6</v>
      </c>
      <c r="W172" s="409">
        <v>25</v>
      </c>
      <c r="X172" s="231">
        <v>1</v>
      </c>
      <c r="Y172" s="231"/>
      <c r="Z172" s="231"/>
    </row>
    <row r="173" spans="1:26" x14ac:dyDescent="0.25">
      <c r="A173" s="486"/>
      <c r="B173" s="486"/>
      <c r="C173" s="126">
        <v>14</v>
      </c>
      <c r="D173" s="153" t="s">
        <v>27</v>
      </c>
      <c r="E173" s="225">
        <v>0</v>
      </c>
      <c r="F173" s="230"/>
      <c r="G173" s="230">
        <v>1</v>
      </c>
      <c r="H173" s="230">
        <v>1</v>
      </c>
      <c r="I173" s="230"/>
      <c r="J173" s="230">
        <v>1</v>
      </c>
      <c r="K173" s="230">
        <v>4</v>
      </c>
      <c r="L173" s="230">
        <v>5</v>
      </c>
      <c r="M173" s="230">
        <v>26</v>
      </c>
      <c r="N173" s="230">
        <v>2</v>
      </c>
      <c r="O173" s="230"/>
      <c r="P173" s="230">
        <v>1</v>
      </c>
      <c r="Q173" s="230"/>
      <c r="R173" s="409"/>
      <c r="S173" s="409">
        <v>0</v>
      </c>
      <c r="T173" s="409"/>
      <c r="U173" s="409">
        <v>6</v>
      </c>
      <c r="V173" s="409">
        <v>6</v>
      </c>
      <c r="W173" s="409">
        <v>31</v>
      </c>
      <c r="X173" s="231">
        <v>1</v>
      </c>
      <c r="Y173" s="231"/>
      <c r="Z173" s="231"/>
    </row>
    <row r="174" spans="1:26" ht="37.5" x14ac:dyDescent="0.25">
      <c r="A174" s="485"/>
      <c r="B174" s="485"/>
      <c r="C174" s="126">
        <v>15</v>
      </c>
      <c r="D174" s="153" t="s">
        <v>268</v>
      </c>
      <c r="E174" s="225">
        <v>0</v>
      </c>
      <c r="F174" s="230"/>
      <c r="G174" s="230"/>
      <c r="H174" s="230">
        <v>1</v>
      </c>
      <c r="I174" s="230"/>
      <c r="J174" s="230"/>
      <c r="K174" s="230">
        <v>1</v>
      </c>
      <c r="L174" s="230">
        <v>2</v>
      </c>
      <c r="M174" s="230">
        <v>6</v>
      </c>
      <c r="N174" s="230"/>
      <c r="O174" s="230"/>
      <c r="P174" s="230"/>
      <c r="Q174" s="230">
        <v>2</v>
      </c>
      <c r="R174" s="409"/>
      <c r="S174" s="409"/>
      <c r="T174" s="409"/>
      <c r="U174" s="409">
        <v>1</v>
      </c>
      <c r="V174" s="409">
        <v>1</v>
      </c>
      <c r="W174" s="409">
        <v>4</v>
      </c>
      <c r="X174" s="231"/>
      <c r="Y174" s="231"/>
      <c r="Z174" s="231"/>
    </row>
    <row r="175" spans="1:26" x14ac:dyDescent="0.25">
      <c r="A175" s="223"/>
      <c r="B175" s="223"/>
      <c r="C175" s="126"/>
      <c r="D175" s="153" t="s">
        <v>467</v>
      </c>
      <c r="E175" s="225">
        <v>0</v>
      </c>
      <c r="F175" s="230">
        <v>1</v>
      </c>
      <c r="G175" s="230"/>
      <c r="H175" s="230"/>
      <c r="I175" s="230"/>
      <c r="J175" s="230"/>
      <c r="K175" s="230"/>
      <c r="L175" s="230">
        <v>1</v>
      </c>
      <c r="M175" s="230"/>
      <c r="N175" s="230"/>
      <c r="O175" s="230">
        <v>1</v>
      </c>
      <c r="P175" s="230"/>
      <c r="Q175" s="230"/>
      <c r="R175" s="409">
        <v>1</v>
      </c>
      <c r="S175" s="409"/>
      <c r="T175" s="409"/>
      <c r="U175" s="409"/>
      <c r="V175" s="409"/>
      <c r="W175" s="409"/>
      <c r="X175" s="231"/>
      <c r="Y175" s="231"/>
      <c r="Z175" s="231"/>
    </row>
    <row r="176" spans="1:26" x14ac:dyDescent="0.25">
      <c r="A176" s="484">
        <v>6</v>
      </c>
      <c r="B176" s="484" t="s">
        <v>28</v>
      </c>
      <c r="C176" s="126">
        <v>16</v>
      </c>
      <c r="D176" s="153" t="s">
        <v>29</v>
      </c>
      <c r="E176" s="225">
        <v>0</v>
      </c>
      <c r="F176" s="230"/>
      <c r="G176" s="230">
        <v>1</v>
      </c>
      <c r="H176" s="230">
        <v>1</v>
      </c>
      <c r="I176" s="230"/>
      <c r="J176" s="230">
        <v>1</v>
      </c>
      <c r="K176" s="230">
        <v>4</v>
      </c>
      <c r="L176" s="230">
        <v>5</v>
      </c>
      <c r="M176" s="230">
        <v>26</v>
      </c>
      <c r="N176" s="230">
        <v>2</v>
      </c>
      <c r="O176" s="230"/>
      <c r="P176" s="230">
        <v>1</v>
      </c>
      <c r="Q176" s="230"/>
      <c r="R176" s="409"/>
      <c r="S176" s="409">
        <v>1</v>
      </c>
      <c r="T176" s="409">
        <v>0</v>
      </c>
      <c r="U176" s="409">
        <v>6</v>
      </c>
      <c r="V176" s="409">
        <v>7</v>
      </c>
      <c r="W176" s="409">
        <v>29</v>
      </c>
      <c r="X176" s="245">
        <v>1</v>
      </c>
      <c r="Y176" s="245">
        <v>1</v>
      </c>
      <c r="Z176" s="245">
        <v>1</v>
      </c>
    </row>
    <row r="177" spans="1:26" x14ac:dyDescent="0.25">
      <c r="A177" s="486"/>
      <c r="B177" s="486"/>
      <c r="C177" s="126">
        <v>17</v>
      </c>
      <c r="D177" s="153" t="s">
        <v>30</v>
      </c>
      <c r="E177" s="225">
        <v>0</v>
      </c>
      <c r="F177" s="230"/>
      <c r="G177" s="230">
        <v>1</v>
      </c>
      <c r="H177" s="230">
        <v>1</v>
      </c>
      <c r="I177" s="230"/>
      <c r="J177" s="230">
        <v>1</v>
      </c>
      <c r="K177" s="230">
        <v>4</v>
      </c>
      <c r="L177" s="230">
        <v>5</v>
      </c>
      <c r="M177" s="230">
        <v>26</v>
      </c>
      <c r="N177" s="230">
        <v>2</v>
      </c>
      <c r="O177" s="230"/>
      <c r="P177" s="230">
        <v>1</v>
      </c>
      <c r="Q177" s="230"/>
      <c r="R177" s="409"/>
      <c r="S177" s="409"/>
      <c r="T177" s="409"/>
      <c r="U177" s="409">
        <v>3</v>
      </c>
      <c r="V177" s="409">
        <v>3</v>
      </c>
      <c r="W177" s="409">
        <v>11</v>
      </c>
      <c r="X177" s="231">
        <v>2</v>
      </c>
      <c r="Y177" s="231"/>
      <c r="Z177" s="245">
        <v>1</v>
      </c>
    </row>
    <row r="178" spans="1:26" x14ac:dyDescent="0.25">
      <c r="A178" s="486"/>
      <c r="B178" s="486"/>
      <c r="C178" s="126">
        <v>18</v>
      </c>
      <c r="D178" s="153" t="s">
        <v>31</v>
      </c>
      <c r="E178" s="225">
        <v>0</v>
      </c>
      <c r="F178" s="230"/>
      <c r="G178" s="230">
        <v>1</v>
      </c>
      <c r="H178" s="230">
        <v>1</v>
      </c>
      <c r="I178" s="230"/>
      <c r="J178" s="230">
        <v>1</v>
      </c>
      <c r="K178" s="230">
        <v>4</v>
      </c>
      <c r="L178" s="230">
        <v>5</v>
      </c>
      <c r="M178" s="230">
        <v>26</v>
      </c>
      <c r="N178" s="230"/>
      <c r="O178" s="230"/>
      <c r="P178" s="230"/>
      <c r="Q178" s="230">
        <v>3</v>
      </c>
      <c r="R178" s="409"/>
      <c r="S178" s="409">
        <v>1</v>
      </c>
      <c r="T178" s="409"/>
      <c r="U178" s="409">
        <v>2</v>
      </c>
      <c r="V178" s="409">
        <v>5</v>
      </c>
      <c r="W178" s="409">
        <v>17</v>
      </c>
      <c r="X178" s="245">
        <v>1</v>
      </c>
      <c r="Y178" s="231"/>
      <c r="Z178" s="245">
        <v>1</v>
      </c>
    </row>
    <row r="179" spans="1:26" x14ac:dyDescent="0.25">
      <c r="A179" s="486"/>
      <c r="B179" s="486"/>
      <c r="C179" s="126">
        <v>19</v>
      </c>
      <c r="D179" s="153" t="s">
        <v>32</v>
      </c>
      <c r="E179" s="225">
        <v>0</v>
      </c>
      <c r="F179" s="230"/>
      <c r="G179" s="230">
        <v>1</v>
      </c>
      <c r="H179" s="230">
        <v>1</v>
      </c>
      <c r="I179" s="230"/>
      <c r="J179" s="230">
        <v>1</v>
      </c>
      <c r="K179" s="230">
        <v>4</v>
      </c>
      <c r="L179" s="230">
        <v>5</v>
      </c>
      <c r="M179" s="230">
        <v>26</v>
      </c>
      <c r="N179" s="230">
        <v>2</v>
      </c>
      <c r="O179" s="230"/>
      <c r="P179" s="230">
        <v>1</v>
      </c>
      <c r="Q179" s="230"/>
      <c r="R179" s="409"/>
      <c r="S179" s="409"/>
      <c r="T179" s="409">
        <v>1</v>
      </c>
      <c r="U179" s="409">
        <v>5</v>
      </c>
      <c r="V179" s="409">
        <v>5</v>
      </c>
      <c r="W179" s="409">
        <v>15</v>
      </c>
      <c r="X179" s="245">
        <v>2</v>
      </c>
      <c r="Y179" s="231"/>
      <c r="Z179" s="245">
        <v>1</v>
      </c>
    </row>
    <row r="180" spans="1:26" x14ac:dyDescent="0.25">
      <c r="A180" s="486"/>
      <c r="B180" s="486"/>
      <c r="C180" s="126">
        <v>20</v>
      </c>
      <c r="D180" s="153" t="s">
        <v>201</v>
      </c>
      <c r="E180" s="225">
        <v>0</v>
      </c>
      <c r="F180" s="230"/>
      <c r="G180" s="230"/>
      <c r="H180" s="230">
        <v>1</v>
      </c>
      <c r="I180" s="230"/>
      <c r="J180" s="230"/>
      <c r="K180" s="230">
        <v>1</v>
      </c>
      <c r="L180" s="230">
        <v>2</v>
      </c>
      <c r="M180" s="230">
        <v>6</v>
      </c>
      <c r="N180" s="230"/>
      <c r="O180" s="230"/>
      <c r="P180" s="230"/>
      <c r="Q180" s="230">
        <v>2</v>
      </c>
      <c r="R180" s="409"/>
      <c r="S180" s="409"/>
      <c r="T180" s="409">
        <v>1</v>
      </c>
      <c r="U180" s="409">
        <v>2</v>
      </c>
      <c r="V180" s="409">
        <v>3</v>
      </c>
      <c r="W180" s="409">
        <v>7</v>
      </c>
      <c r="X180" s="245">
        <v>1</v>
      </c>
      <c r="Y180" s="231"/>
      <c r="Z180" s="231"/>
    </row>
    <row r="181" spans="1:26" x14ac:dyDescent="0.25">
      <c r="A181" s="485"/>
      <c r="B181" s="485"/>
      <c r="C181" s="126">
        <v>21</v>
      </c>
      <c r="D181" s="153" t="s">
        <v>1470</v>
      </c>
      <c r="E181" s="225"/>
      <c r="F181" s="230"/>
      <c r="G181" s="230">
        <v>1</v>
      </c>
      <c r="H181" s="230">
        <v>1</v>
      </c>
      <c r="I181" s="230"/>
      <c r="J181" s="230">
        <v>1</v>
      </c>
      <c r="K181" s="230">
        <v>5</v>
      </c>
      <c r="L181" s="230">
        <v>6</v>
      </c>
      <c r="M181" s="230">
        <v>25</v>
      </c>
      <c r="N181" s="230">
        <v>2</v>
      </c>
      <c r="O181" s="230"/>
      <c r="P181" s="230">
        <v>1</v>
      </c>
      <c r="Q181" s="230"/>
      <c r="R181" s="409"/>
      <c r="S181" s="409"/>
      <c r="T181" s="409"/>
      <c r="U181" s="409"/>
      <c r="V181" s="409"/>
      <c r="W181" s="409"/>
      <c r="X181" s="245"/>
      <c r="Y181" s="231"/>
      <c r="Z181" s="231"/>
    </row>
    <row r="182" spans="1:26" x14ac:dyDescent="0.25">
      <c r="A182" s="223"/>
      <c r="B182" s="223"/>
      <c r="C182" s="126"/>
      <c r="D182" s="153" t="s">
        <v>33</v>
      </c>
      <c r="E182" s="225">
        <v>0</v>
      </c>
      <c r="F182" s="230">
        <v>1</v>
      </c>
      <c r="G182" s="230"/>
      <c r="H182" s="230"/>
      <c r="I182" s="230">
        <v>1</v>
      </c>
      <c r="J182" s="230"/>
      <c r="K182" s="230"/>
      <c r="L182" s="230">
        <v>1</v>
      </c>
      <c r="M182" s="230"/>
      <c r="N182" s="230">
        <v>1</v>
      </c>
      <c r="O182" s="230">
        <v>1</v>
      </c>
      <c r="P182" s="230"/>
      <c r="Q182" s="230"/>
      <c r="R182" s="409">
        <v>1</v>
      </c>
      <c r="S182" s="409"/>
      <c r="T182" s="409"/>
      <c r="U182" s="409"/>
      <c r="V182" s="409"/>
      <c r="W182" s="409"/>
      <c r="X182" s="245"/>
      <c r="Y182" s="231"/>
      <c r="Z182" s="231"/>
    </row>
    <row r="183" spans="1:26" x14ac:dyDescent="0.25">
      <c r="A183" s="484">
        <v>7</v>
      </c>
      <c r="B183" s="484" t="s">
        <v>33</v>
      </c>
      <c r="C183" s="126">
        <v>22</v>
      </c>
      <c r="D183" s="153" t="s">
        <v>33</v>
      </c>
      <c r="E183" s="225">
        <v>0</v>
      </c>
      <c r="F183" s="230"/>
      <c r="G183" s="230">
        <v>1</v>
      </c>
      <c r="H183" s="230">
        <v>3</v>
      </c>
      <c r="I183" s="230">
        <v>1</v>
      </c>
      <c r="J183" s="230"/>
      <c r="K183" s="230">
        <v>11</v>
      </c>
      <c r="L183" s="230">
        <v>11</v>
      </c>
      <c r="M183" s="230">
        <v>56</v>
      </c>
      <c r="N183" s="230">
        <v>4</v>
      </c>
      <c r="O183" s="230"/>
      <c r="P183" s="230">
        <v>1</v>
      </c>
      <c r="Q183" s="230"/>
      <c r="R183" s="409"/>
      <c r="S183" s="409">
        <v>1</v>
      </c>
      <c r="T183" s="409">
        <v>0</v>
      </c>
      <c r="U183" s="409">
        <v>10</v>
      </c>
      <c r="V183" s="409">
        <v>18</v>
      </c>
      <c r="W183" s="409">
        <v>72</v>
      </c>
      <c r="X183" s="231">
        <v>7</v>
      </c>
      <c r="Y183" s="231">
        <v>0</v>
      </c>
      <c r="Z183" s="231">
        <v>2</v>
      </c>
    </row>
    <row r="184" spans="1:26" x14ac:dyDescent="0.25">
      <c r="A184" s="486"/>
      <c r="B184" s="486"/>
      <c r="C184" s="126">
        <v>23</v>
      </c>
      <c r="D184" s="153" t="s">
        <v>34</v>
      </c>
      <c r="E184" s="225">
        <v>0</v>
      </c>
      <c r="F184" s="230"/>
      <c r="G184" s="230">
        <v>1</v>
      </c>
      <c r="H184" s="230">
        <v>1</v>
      </c>
      <c r="I184" s="230"/>
      <c r="J184" s="230">
        <v>1</v>
      </c>
      <c r="K184" s="230">
        <v>4</v>
      </c>
      <c r="L184" s="230">
        <v>5</v>
      </c>
      <c r="M184" s="230">
        <v>26</v>
      </c>
      <c r="N184" s="230">
        <v>2</v>
      </c>
      <c r="O184" s="230"/>
      <c r="P184" s="230">
        <v>1</v>
      </c>
      <c r="Q184" s="230"/>
      <c r="R184" s="409"/>
      <c r="S184" s="409"/>
      <c r="T184" s="409"/>
      <c r="U184" s="409">
        <v>5</v>
      </c>
      <c r="V184" s="409">
        <v>6</v>
      </c>
      <c r="W184" s="409">
        <v>20</v>
      </c>
      <c r="X184" s="231">
        <v>2</v>
      </c>
      <c r="Y184" s="231"/>
      <c r="Z184" s="231">
        <v>1</v>
      </c>
    </row>
    <row r="185" spans="1:26" x14ac:dyDescent="0.25">
      <c r="A185" s="486"/>
      <c r="B185" s="486"/>
      <c r="C185" s="126">
        <v>24</v>
      </c>
      <c r="D185" s="92" t="s">
        <v>250</v>
      </c>
      <c r="E185" s="225">
        <v>0</v>
      </c>
      <c r="F185" s="230"/>
      <c r="G185" s="230">
        <v>1</v>
      </c>
      <c r="H185" s="230">
        <v>1</v>
      </c>
      <c r="I185" s="230"/>
      <c r="J185" s="230">
        <v>1</v>
      </c>
      <c r="K185" s="230">
        <v>4</v>
      </c>
      <c r="L185" s="230">
        <v>5</v>
      </c>
      <c r="M185" s="230">
        <v>26</v>
      </c>
      <c r="N185" s="230">
        <v>2</v>
      </c>
      <c r="O185" s="230"/>
      <c r="P185" s="230">
        <v>1</v>
      </c>
      <c r="Q185" s="230"/>
      <c r="R185" s="409"/>
      <c r="S185" s="409"/>
      <c r="T185" s="409">
        <v>1</v>
      </c>
      <c r="U185" s="409">
        <v>1</v>
      </c>
      <c r="V185" s="409">
        <v>2</v>
      </c>
      <c r="W185" s="409">
        <v>11</v>
      </c>
      <c r="X185" s="231">
        <v>1</v>
      </c>
      <c r="Y185" s="231"/>
      <c r="Z185" s="231">
        <v>1</v>
      </c>
    </row>
    <row r="186" spans="1:26" x14ac:dyDescent="0.25">
      <c r="A186" s="486"/>
      <c r="B186" s="486"/>
      <c r="C186" s="126">
        <v>25</v>
      </c>
      <c r="D186" s="153" t="s">
        <v>36</v>
      </c>
      <c r="E186" s="225">
        <v>0</v>
      </c>
      <c r="F186" s="230"/>
      <c r="G186" s="230">
        <v>1</v>
      </c>
      <c r="H186" s="230">
        <v>1</v>
      </c>
      <c r="I186" s="230"/>
      <c r="J186" s="230">
        <v>1</v>
      </c>
      <c r="K186" s="230">
        <v>4</v>
      </c>
      <c r="L186" s="230">
        <v>4</v>
      </c>
      <c r="M186" s="230">
        <v>26</v>
      </c>
      <c r="N186" s="230"/>
      <c r="O186" s="230"/>
      <c r="P186" s="230"/>
      <c r="Q186" s="230"/>
      <c r="R186" s="409"/>
      <c r="S186" s="409"/>
      <c r="T186" s="409"/>
      <c r="U186" s="409">
        <v>1</v>
      </c>
      <c r="V186" s="409">
        <v>4</v>
      </c>
      <c r="W186" s="409">
        <v>21</v>
      </c>
      <c r="X186" s="231">
        <v>1</v>
      </c>
      <c r="Y186" s="231"/>
      <c r="Z186" s="231"/>
    </row>
    <row r="187" spans="1:26" x14ac:dyDescent="0.25">
      <c r="A187" s="486"/>
      <c r="B187" s="486"/>
      <c r="C187" s="126">
        <v>26</v>
      </c>
      <c r="D187" s="153" t="s">
        <v>37</v>
      </c>
      <c r="E187" s="225">
        <v>0</v>
      </c>
      <c r="F187" s="230"/>
      <c r="G187" s="230">
        <v>1</v>
      </c>
      <c r="H187" s="230">
        <v>1</v>
      </c>
      <c r="I187" s="230"/>
      <c r="J187" s="230">
        <v>1</v>
      </c>
      <c r="K187" s="230">
        <v>4</v>
      </c>
      <c r="L187" s="230">
        <v>5</v>
      </c>
      <c r="M187" s="230">
        <v>26</v>
      </c>
      <c r="N187" s="230"/>
      <c r="O187" s="230"/>
      <c r="P187" s="230"/>
      <c r="Q187" s="230">
        <v>3</v>
      </c>
      <c r="R187" s="409"/>
      <c r="S187" s="409"/>
      <c r="T187" s="409">
        <v>1</v>
      </c>
      <c r="U187" s="409">
        <v>2</v>
      </c>
      <c r="V187" s="409">
        <v>5</v>
      </c>
      <c r="W187" s="409">
        <v>20</v>
      </c>
      <c r="X187" s="231">
        <v>1</v>
      </c>
      <c r="Y187" s="231"/>
      <c r="Z187" s="231"/>
    </row>
    <row r="188" spans="1:26" x14ac:dyDescent="0.25">
      <c r="A188" s="486"/>
      <c r="B188" s="486"/>
      <c r="C188" s="126">
        <v>27</v>
      </c>
      <c r="D188" s="153" t="s">
        <v>141</v>
      </c>
      <c r="E188" s="225">
        <v>0</v>
      </c>
      <c r="F188" s="230"/>
      <c r="G188" s="230">
        <v>1</v>
      </c>
      <c r="H188" s="230">
        <v>1</v>
      </c>
      <c r="I188" s="230"/>
      <c r="J188" s="230"/>
      <c r="K188" s="230">
        <v>4</v>
      </c>
      <c r="L188" s="230">
        <v>4</v>
      </c>
      <c r="M188" s="230">
        <v>16</v>
      </c>
      <c r="N188" s="230">
        <v>1</v>
      </c>
      <c r="O188" s="230"/>
      <c r="P188" s="230">
        <v>1</v>
      </c>
      <c r="Q188" s="230"/>
      <c r="R188" s="409"/>
      <c r="S188" s="409"/>
      <c r="T188" s="409">
        <v>1</v>
      </c>
      <c r="U188" s="409">
        <v>4</v>
      </c>
      <c r="V188" s="409">
        <v>4</v>
      </c>
      <c r="W188" s="409">
        <v>21</v>
      </c>
      <c r="X188" s="231">
        <v>1</v>
      </c>
      <c r="Y188" s="231"/>
      <c r="Z188" s="231">
        <v>1</v>
      </c>
    </row>
    <row r="189" spans="1:26" x14ac:dyDescent="0.25">
      <c r="A189" s="485"/>
      <c r="B189" s="223"/>
      <c r="C189" s="126">
        <v>28</v>
      </c>
      <c r="D189" s="153" t="s">
        <v>305</v>
      </c>
      <c r="E189" s="225">
        <v>0</v>
      </c>
      <c r="F189" s="230"/>
      <c r="G189" s="230"/>
      <c r="H189" s="230">
        <v>1</v>
      </c>
      <c r="I189" s="230"/>
      <c r="J189" s="230"/>
      <c r="K189" s="230">
        <v>1</v>
      </c>
      <c r="L189" s="230">
        <v>2</v>
      </c>
      <c r="M189" s="230">
        <v>6</v>
      </c>
      <c r="N189" s="230"/>
      <c r="O189" s="230"/>
      <c r="P189" s="230"/>
      <c r="Q189" s="230">
        <v>2</v>
      </c>
      <c r="R189" s="409"/>
      <c r="S189" s="409"/>
      <c r="T189" s="409"/>
      <c r="U189" s="409"/>
      <c r="V189" s="409"/>
      <c r="W189" s="409"/>
      <c r="X189" s="231"/>
      <c r="Y189" s="231"/>
      <c r="Z189" s="231"/>
    </row>
    <row r="190" spans="1:26" ht="37.5" x14ac:dyDescent="0.25">
      <c r="A190" s="223"/>
      <c r="B190" s="223"/>
      <c r="C190" s="126"/>
      <c r="D190" s="153" t="s">
        <v>1060</v>
      </c>
      <c r="E190" s="225">
        <v>0</v>
      </c>
      <c r="F190" s="230">
        <v>1</v>
      </c>
      <c r="G190" s="230"/>
      <c r="H190" s="230"/>
      <c r="I190" s="230"/>
      <c r="J190" s="230"/>
      <c r="K190" s="230"/>
      <c r="L190" s="230">
        <v>1</v>
      </c>
      <c r="M190" s="230"/>
      <c r="N190" s="230"/>
      <c r="O190" s="230"/>
      <c r="P190" s="230"/>
      <c r="Q190" s="230"/>
      <c r="R190" s="409">
        <v>1</v>
      </c>
      <c r="S190" s="409"/>
      <c r="T190" s="409"/>
      <c r="U190" s="409"/>
      <c r="V190" s="409"/>
      <c r="W190" s="409"/>
      <c r="X190" s="231"/>
      <c r="Y190" s="231"/>
      <c r="Z190" s="231"/>
    </row>
    <row r="191" spans="1:26" x14ac:dyDescent="0.25">
      <c r="A191" s="484">
        <v>8</v>
      </c>
      <c r="B191" s="484" t="s">
        <v>38</v>
      </c>
      <c r="C191" s="126">
        <v>29</v>
      </c>
      <c r="D191" s="153" t="s">
        <v>38</v>
      </c>
      <c r="E191" s="225">
        <v>0</v>
      </c>
      <c r="F191" s="230"/>
      <c r="G191" s="230">
        <v>1</v>
      </c>
      <c r="H191" s="230">
        <v>1</v>
      </c>
      <c r="I191" s="230"/>
      <c r="J191" s="230">
        <v>1</v>
      </c>
      <c r="K191" s="230">
        <v>4</v>
      </c>
      <c r="L191" s="230">
        <v>5</v>
      </c>
      <c r="M191" s="230">
        <v>26</v>
      </c>
      <c r="N191" s="230">
        <v>2</v>
      </c>
      <c r="O191" s="230"/>
      <c r="P191" s="230">
        <v>2</v>
      </c>
      <c r="Q191" s="230"/>
      <c r="R191" s="409"/>
      <c r="S191" s="409">
        <v>1</v>
      </c>
      <c r="T191" s="409"/>
      <c r="U191" s="409">
        <v>5</v>
      </c>
      <c r="V191" s="409">
        <v>10</v>
      </c>
      <c r="W191" s="409">
        <v>33</v>
      </c>
      <c r="X191" s="231">
        <v>2</v>
      </c>
      <c r="Y191" s="231"/>
      <c r="Z191" s="231">
        <v>1</v>
      </c>
    </row>
    <row r="192" spans="1:26" x14ac:dyDescent="0.25">
      <c r="A192" s="485"/>
      <c r="B192" s="485"/>
      <c r="C192" s="126">
        <v>30</v>
      </c>
      <c r="D192" s="153" t="s">
        <v>39</v>
      </c>
      <c r="E192" s="225">
        <v>0</v>
      </c>
      <c r="F192" s="230"/>
      <c r="G192" s="230">
        <v>1</v>
      </c>
      <c r="H192" s="230">
        <v>1</v>
      </c>
      <c r="I192" s="230"/>
      <c r="J192" s="230">
        <v>1</v>
      </c>
      <c r="K192" s="230">
        <v>4</v>
      </c>
      <c r="L192" s="230">
        <v>5</v>
      </c>
      <c r="M192" s="230">
        <v>26</v>
      </c>
      <c r="N192" s="230">
        <v>2</v>
      </c>
      <c r="O192" s="230"/>
      <c r="P192" s="230">
        <v>2</v>
      </c>
      <c r="Q192" s="230"/>
      <c r="R192" s="409"/>
      <c r="S192" s="409"/>
      <c r="T192" s="409">
        <v>1</v>
      </c>
      <c r="U192" s="409">
        <v>5</v>
      </c>
      <c r="V192" s="409">
        <v>5</v>
      </c>
      <c r="W192" s="409">
        <v>13</v>
      </c>
      <c r="X192" s="231">
        <v>2</v>
      </c>
      <c r="Y192" s="231"/>
      <c r="Z192" s="231">
        <v>2</v>
      </c>
    </row>
    <row r="193" spans="1:26" x14ac:dyDescent="0.25">
      <c r="A193" s="484">
        <v>9</v>
      </c>
      <c r="B193" s="484" t="s">
        <v>88</v>
      </c>
      <c r="C193" s="126">
        <v>31</v>
      </c>
      <c r="D193" s="153" t="s">
        <v>88</v>
      </c>
      <c r="E193" s="225">
        <v>0</v>
      </c>
      <c r="F193" s="230"/>
      <c r="G193" s="230">
        <v>1</v>
      </c>
      <c r="H193" s="230">
        <v>1</v>
      </c>
      <c r="I193" s="230"/>
      <c r="J193" s="230">
        <v>1</v>
      </c>
      <c r="K193" s="230">
        <v>4</v>
      </c>
      <c r="L193" s="230">
        <v>5</v>
      </c>
      <c r="M193" s="230">
        <v>26</v>
      </c>
      <c r="N193" s="230">
        <v>2</v>
      </c>
      <c r="O193" s="230"/>
      <c r="P193" s="230">
        <v>1</v>
      </c>
      <c r="Q193" s="230"/>
      <c r="R193" s="409"/>
      <c r="S193" s="409"/>
      <c r="T193" s="409">
        <v>1</v>
      </c>
      <c r="U193" s="409">
        <v>3</v>
      </c>
      <c r="V193" s="409">
        <v>5</v>
      </c>
      <c r="W193" s="409">
        <v>26</v>
      </c>
      <c r="X193" s="231">
        <v>2</v>
      </c>
      <c r="Y193" s="231"/>
      <c r="Z193" s="231"/>
    </row>
    <row r="194" spans="1:26" x14ac:dyDescent="0.25">
      <c r="A194" s="486"/>
      <c r="B194" s="486"/>
      <c r="C194" s="126">
        <v>32</v>
      </c>
      <c r="D194" s="153" t="s">
        <v>41</v>
      </c>
      <c r="E194" s="225">
        <v>0</v>
      </c>
      <c r="F194" s="230"/>
      <c r="G194" s="230"/>
      <c r="H194" s="230">
        <v>1</v>
      </c>
      <c r="I194" s="230"/>
      <c r="J194" s="230"/>
      <c r="K194" s="230">
        <v>1</v>
      </c>
      <c r="L194" s="230">
        <v>2</v>
      </c>
      <c r="M194" s="230">
        <v>8</v>
      </c>
      <c r="N194" s="230"/>
      <c r="O194" s="230"/>
      <c r="P194" s="230"/>
      <c r="Q194" s="230">
        <v>2</v>
      </c>
      <c r="R194" s="409"/>
      <c r="S194" s="409"/>
      <c r="T194" s="409"/>
      <c r="U194" s="409">
        <v>1</v>
      </c>
      <c r="V194" s="409">
        <v>2</v>
      </c>
      <c r="W194" s="409">
        <v>7</v>
      </c>
      <c r="X194" s="231">
        <v>1</v>
      </c>
      <c r="Y194" s="231"/>
      <c r="Z194" s="231"/>
    </row>
    <row r="195" spans="1:26" x14ac:dyDescent="0.25">
      <c r="A195" s="485"/>
      <c r="B195" s="485"/>
      <c r="C195" s="126">
        <v>33</v>
      </c>
      <c r="D195" s="153" t="s">
        <v>42</v>
      </c>
      <c r="E195" s="225">
        <v>0</v>
      </c>
      <c r="F195" s="230"/>
      <c r="G195" s="230"/>
      <c r="H195" s="230">
        <v>1</v>
      </c>
      <c r="I195" s="230"/>
      <c r="J195" s="230"/>
      <c r="K195" s="230">
        <v>1</v>
      </c>
      <c r="L195" s="230">
        <v>2</v>
      </c>
      <c r="M195" s="230">
        <v>8</v>
      </c>
      <c r="N195" s="230"/>
      <c r="O195" s="230"/>
      <c r="P195" s="230"/>
      <c r="Q195" s="230">
        <v>2</v>
      </c>
      <c r="R195" s="409"/>
      <c r="S195" s="409"/>
      <c r="T195" s="409"/>
      <c r="U195" s="409">
        <v>1</v>
      </c>
      <c r="V195" s="409">
        <v>3</v>
      </c>
      <c r="W195" s="409">
        <v>7</v>
      </c>
      <c r="X195" s="231"/>
      <c r="Y195" s="231"/>
      <c r="Z195" s="231"/>
    </row>
    <row r="196" spans="1:26" x14ac:dyDescent="0.25">
      <c r="A196" s="484">
        <v>10</v>
      </c>
      <c r="B196" s="484" t="s">
        <v>43</v>
      </c>
      <c r="C196" s="126">
        <v>34</v>
      </c>
      <c r="D196" s="48" t="s">
        <v>89</v>
      </c>
      <c r="E196" s="225">
        <v>0</v>
      </c>
      <c r="F196" s="230"/>
      <c r="G196" s="230">
        <v>1</v>
      </c>
      <c r="H196" s="230">
        <v>1</v>
      </c>
      <c r="I196" s="230">
        <v>1</v>
      </c>
      <c r="J196" s="230"/>
      <c r="K196" s="230">
        <v>2</v>
      </c>
      <c r="L196" s="230">
        <v>4</v>
      </c>
      <c r="M196" s="230">
        <v>18</v>
      </c>
      <c r="N196" s="230"/>
      <c r="O196" s="230"/>
      <c r="P196" s="230"/>
      <c r="Q196" s="230">
        <v>3</v>
      </c>
      <c r="R196" s="409"/>
      <c r="S196" s="409"/>
      <c r="T196" s="409"/>
      <c r="U196" s="409">
        <v>1</v>
      </c>
      <c r="V196" s="409">
        <v>1</v>
      </c>
      <c r="W196" s="409">
        <v>9</v>
      </c>
      <c r="X196" s="231">
        <v>1</v>
      </c>
      <c r="Y196" s="231"/>
      <c r="Z196" s="231"/>
    </row>
    <row r="197" spans="1:26" x14ac:dyDescent="0.25">
      <c r="A197" s="486"/>
      <c r="B197" s="486"/>
      <c r="C197" s="126">
        <v>35</v>
      </c>
      <c r="D197" s="153" t="s">
        <v>44</v>
      </c>
      <c r="E197" s="225">
        <v>0</v>
      </c>
      <c r="F197" s="230"/>
      <c r="G197" s="230">
        <v>1</v>
      </c>
      <c r="H197" s="230">
        <v>1</v>
      </c>
      <c r="I197" s="230"/>
      <c r="J197" s="230">
        <v>1</v>
      </c>
      <c r="K197" s="230">
        <v>4</v>
      </c>
      <c r="L197" s="230">
        <v>4</v>
      </c>
      <c r="M197" s="230">
        <v>26</v>
      </c>
      <c r="N197" s="230"/>
      <c r="O197" s="230"/>
      <c r="P197" s="230"/>
      <c r="Q197" s="230"/>
      <c r="R197" s="409"/>
      <c r="S197" s="409"/>
      <c r="T197" s="409">
        <v>0</v>
      </c>
      <c r="U197" s="409">
        <v>5</v>
      </c>
      <c r="V197" s="409">
        <v>5</v>
      </c>
      <c r="W197" s="409">
        <v>26</v>
      </c>
      <c r="X197" s="231">
        <v>1</v>
      </c>
      <c r="Y197" s="231"/>
      <c r="Z197" s="231">
        <v>1</v>
      </c>
    </row>
    <row r="198" spans="1:26" x14ac:dyDescent="0.25">
      <c r="A198" s="485"/>
      <c r="B198" s="485"/>
      <c r="C198" s="126">
        <v>36</v>
      </c>
      <c r="D198" s="153" t="s">
        <v>45</v>
      </c>
      <c r="E198" s="225">
        <v>0</v>
      </c>
      <c r="F198" s="230"/>
      <c r="G198" s="230">
        <v>1</v>
      </c>
      <c r="H198" s="230">
        <v>1</v>
      </c>
      <c r="I198" s="230"/>
      <c r="J198" s="230">
        <v>1</v>
      </c>
      <c r="K198" s="230">
        <v>4</v>
      </c>
      <c r="L198" s="230">
        <v>4</v>
      </c>
      <c r="M198" s="230">
        <v>26</v>
      </c>
      <c r="N198" s="230">
        <v>2</v>
      </c>
      <c r="O198" s="230"/>
      <c r="P198" s="230"/>
      <c r="Q198" s="230">
        <v>2</v>
      </c>
      <c r="R198" s="409"/>
      <c r="S198" s="409"/>
      <c r="T198" s="409">
        <v>1</v>
      </c>
      <c r="U198" s="409">
        <v>4</v>
      </c>
      <c r="V198" s="409">
        <v>5</v>
      </c>
      <c r="W198" s="409">
        <v>33</v>
      </c>
      <c r="X198" s="231">
        <v>2</v>
      </c>
      <c r="Y198" s="231"/>
      <c r="Z198" s="231">
        <v>1</v>
      </c>
    </row>
    <row r="199" spans="1:26" ht="37.5" x14ac:dyDescent="0.25">
      <c r="A199" s="223"/>
      <c r="B199" s="223"/>
      <c r="C199" s="126"/>
      <c r="D199" s="153" t="s">
        <v>1061</v>
      </c>
      <c r="E199" s="225">
        <v>0</v>
      </c>
      <c r="F199" s="230">
        <v>1</v>
      </c>
      <c r="G199" s="230"/>
      <c r="H199" s="230"/>
      <c r="I199" s="230"/>
      <c r="J199" s="230"/>
      <c r="K199" s="230"/>
      <c r="L199" s="230">
        <v>1</v>
      </c>
      <c r="M199" s="230"/>
      <c r="N199" s="230"/>
      <c r="O199" s="230"/>
      <c r="P199" s="230"/>
      <c r="Q199" s="230"/>
      <c r="R199" s="409"/>
      <c r="S199" s="409"/>
      <c r="T199" s="409"/>
      <c r="U199" s="409"/>
      <c r="V199" s="409"/>
      <c r="W199" s="409"/>
      <c r="X199" s="231"/>
      <c r="Y199" s="231"/>
      <c r="Z199" s="231"/>
    </row>
    <row r="200" spans="1:26" x14ac:dyDescent="0.25">
      <c r="A200" s="484">
        <v>11</v>
      </c>
      <c r="B200" s="484" t="s">
        <v>46</v>
      </c>
      <c r="C200" s="126">
        <v>37</v>
      </c>
      <c r="D200" s="153" t="s">
        <v>47</v>
      </c>
      <c r="E200" s="225">
        <v>0</v>
      </c>
      <c r="F200" s="230"/>
      <c r="G200" s="230">
        <v>1</v>
      </c>
      <c r="H200" s="230">
        <v>1</v>
      </c>
      <c r="I200" s="230"/>
      <c r="J200" s="230">
        <v>1</v>
      </c>
      <c r="K200" s="230">
        <v>4</v>
      </c>
      <c r="L200" s="230">
        <v>5</v>
      </c>
      <c r="M200" s="230">
        <v>26</v>
      </c>
      <c r="N200" s="230">
        <v>2</v>
      </c>
      <c r="O200" s="230">
        <v>0</v>
      </c>
      <c r="P200" s="230">
        <v>1</v>
      </c>
      <c r="Q200" s="230"/>
      <c r="R200" s="409"/>
      <c r="S200" s="409"/>
      <c r="T200" s="409">
        <v>1</v>
      </c>
      <c r="U200" s="409">
        <v>4</v>
      </c>
      <c r="V200" s="409">
        <v>3</v>
      </c>
      <c r="W200" s="409">
        <v>25</v>
      </c>
      <c r="X200" s="231">
        <v>2</v>
      </c>
      <c r="Y200" s="231"/>
      <c r="Z200" s="231">
        <v>1</v>
      </c>
    </row>
    <row r="201" spans="1:26" x14ac:dyDescent="0.25">
      <c r="A201" s="486"/>
      <c r="B201" s="486"/>
      <c r="C201" s="126">
        <v>38</v>
      </c>
      <c r="D201" s="153" t="s">
        <v>48</v>
      </c>
      <c r="E201" s="225">
        <v>0</v>
      </c>
      <c r="F201" s="230"/>
      <c r="G201" s="230"/>
      <c r="H201" s="230">
        <v>1</v>
      </c>
      <c r="I201" s="230"/>
      <c r="J201" s="230"/>
      <c r="K201" s="230">
        <v>1</v>
      </c>
      <c r="L201" s="230">
        <v>2</v>
      </c>
      <c r="M201" s="230">
        <v>8</v>
      </c>
      <c r="N201" s="230"/>
      <c r="O201" s="230"/>
      <c r="P201" s="230"/>
      <c r="Q201" s="230">
        <v>2</v>
      </c>
      <c r="R201" s="409"/>
      <c r="S201" s="409"/>
      <c r="T201" s="409"/>
      <c r="U201" s="409">
        <v>1</v>
      </c>
      <c r="V201" s="409">
        <v>1</v>
      </c>
      <c r="W201" s="409">
        <v>8</v>
      </c>
      <c r="X201" s="231">
        <v>1</v>
      </c>
      <c r="Y201" s="231"/>
      <c r="Z201" s="231">
        <v>1</v>
      </c>
    </row>
    <row r="202" spans="1:26" ht="37.5" x14ac:dyDescent="0.25">
      <c r="A202" s="485"/>
      <c r="B202" s="485"/>
      <c r="C202" s="126">
        <v>39</v>
      </c>
      <c r="D202" s="153" t="s">
        <v>314</v>
      </c>
      <c r="E202" s="225">
        <v>0</v>
      </c>
      <c r="F202" s="230"/>
      <c r="G202" s="230">
        <v>0</v>
      </c>
      <c r="H202" s="230">
        <v>1</v>
      </c>
      <c r="I202" s="230"/>
      <c r="J202" s="230"/>
      <c r="K202" s="230">
        <v>1</v>
      </c>
      <c r="L202" s="230">
        <v>2</v>
      </c>
      <c r="M202" s="230">
        <v>6</v>
      </c>
      <c r="N202" s="230"/>
      <c r="O202" s="230"/>
      <c r="P202" s="230"/>
      <c r="Q202" s="230">
        <v>2</v>
      </c>
      <c r="R202" s="409"/>
      <c r="S202" s="409"/>
      <c r="T202" s="409"/>
      <c r="U202" s="409">
        <v>1</v>
      </c>
      <c r="V202" s="409">
        <v>1</v>
      </c>
      <c r="W202" s="409">
        <v>6</v>
      </c>
      <c r="X202" s="231"/>
      <c r="Y202" s="231"/>
      <c r="Z202" s="231">
        <v>1</v>
      </c>
    </row>
    <row r="203" spans="1:26" x14ac:dyDescent="0.25">
      <c r="A203" s="223"/>
      <c r="B203" s="223"/>
      <c r="C203" s="126"/>
      <c r="D203" s="153" t="s">
        <v>91</v>
      </c>
      <c r="E203" s="225">
        <v>0</v>
      </c>
      <c r="F203" s="230">
        <v>1</v>
      </c>
      <c r="G203" s="230"/>
      <c r="H203" s="230"/>
      <c r="I203" s="230">
        <v>1</v>
      </c>
      <c r="J203" s="230"/>
      <c r="K203" s="230"/>
      <c r="L203" s="230">
        <v>1</v>
      </c>
      <c r="M203" s="230"/>
      <c r="N203" s="230">
        <v>1</v>
      </c>
      <c r="O203" s="230">
        <v>1</v>
      </c>
      <c r="P203" s="230"/>
      <c r="Q203" s="230"/>
      <c r="R203" s="409">
        <v>1</v>
      </c>
      <c r="S203" s="409"/>
      <c r="T203" s="409"/>
      <c r="U203" s="409"/>
      <c r="V203" s="409"/>
      <c r="W203" s="409"/>
      <c r="X203" s="231"/>
      <c r="Y203" s="231"/>
      <c r="Z203" s="231"/>
    </row>
    <row r="204" spans="1:26" x14ac:dyDescent="0.25">
      <c r="A204" s="484">
        <v>12</v>
      </c>
      <c r="B204" s="484" t="s">
        <v>49</v>
      </c>
      <c r="C204" s="126">
        <v>40</v>
      </c>
      <c r="D204" s="153" t="s">
        <v>360</v>
      </c>
      <c r="E204" s="225">
        <v>0</v>
      </c>
      <c r="F204" s="230"/>
      <c r="G204" s="230">
        <v>1</v>
      </c>
      <c r="H204" s="230">
        <v>1</v>
      </c>
      <c r="I204" s="230"/>
      <c r="J204" s="230"/>
      <c r="K204" s="230">
        <v>4</v>
      </c>
      <c r="L204" s="230">
        <v>5</v>
      </c>
      <c r="M204" s="230">
        <v>26</v>
      </c>
      <c r="N204" s="230">
        <v>2</v>
      </c>
      <c r="O204" s="230">
        <v>0</v>
      </c>
      <c r="P204" s="230">
        <v>1</v>
      </c>
      <c r="Q204" s="230"/>
      <c r="R204" s="409"/>
      <c r="S204" s="409"/>
      <c r="T204" s="409"/>
      <c r="U204" s="409">
        <v>3</v>
      </c>
      <c r="V204" s="409">
        <v>3</v>
      </c>
      <c r="W204" s="409">
        <v>23</v>
      </c>
      <c r="X204" s="231">
        <v>2</v>
      </c>
      <c r="Y204" s="231"/>
      <c r="Z204" s="231"/>
    </row>
    <row r="205" spans="1:26" x14ac:dyDescent="0.25">
      <c r="A205" s="486"/>
      <c r="B205" s="486"/>
      <c r="C205" s="126">
        <v>41</v>
      </c>
      <c r="D205" s="153" t="s">
        <v>50</v>
      </c>
      <c r="E205" s="225">
        <v>0</v>
      </c>
      <c r="F205" s="230"/>
      <c r="G205" s="230">
        <v>1</v>
      </c>
      <c r="H205" s="230">
        <v>1</v>
      </c>
      <c r="I205" s="230"/>
      <c r="J205" s="230"/>
      <c r="K205" s="230">
        <v>4</v>
      </c>
      <c r="L205" s="230">
        <v>4</v>
      </c>
      <c r="M205" s="230">
        <v>26</v>
      </c>
      <c r="N205" s="230">
        <v>2</v>
      </c>
      <c r="O205" s="230"/>
      <c r="P205" s="230"/>
      <c r="Q205" s="230"/>
      <c r="R205" s="409"/>
      <c r="S205" s="409"/>
      <c r="T205" s="409">
        <v>1</v>
      </c>
      <c r="U205" s="409">
        <v>3</v>
      </c>
      <c r="V205" s="409">
        <v>2</v>
      </c>
      <c r="W205" s="409">
        <v>20</v>
      </c>
      <c r="X205" s="231">
        <v>1</v>
      </c>
      <c r="Y205" s="231"/>
      <c r="Z205" s="231">
        <v>1</v>
      </c>
    </row>
    <row r="206" spans="1:26" x14ac:dyDescent="0.25">
      <c r="A206" s="485"/>
      <c r="B206" s="485"/>
      <c r="C206" s="126">
        <v>42</v>
      </c>
      <c r="D206" s="153" t="s">
        <v>51</v>
      </c>
      <c r="E206" s="225">
        <v>0</v>
      </c>
      <c r="F206" s="230"/>
      <c r="G206" s="230">
        <v>1</v>
      </c>
      <c r="H206" s="230">
        <v>1</v>
      </c>
      <c r="I206" s="230"/>
      <c r="J206" s="230"/>
      <c r="K206" s="230">
        <v>4</v>
      </c>
      <c r="L206" s="230">
        <v>5</v>
      </c>
      <c r="M206" s="230">
        <v>26</v>
      </c>
      <c r="N206" s="230">
        <v>2</v>
      </c>
      <c r="O206" s="230"/>
      <c r="P206" s="230">
        <v>1</v>
      </c>
      <c r="Q206" s="230"/>
      <c r="R206" s="409"/>
      <c r="S206" s="409">
        <v>1</v>
      </c>
      <c r="T206" s="409">
        <v>0</v>
      </c>
      <c r="U206" s="409">
        <v>8</v>
      </c>
      <c r="V206" s="409">
        <v>8</v>
      </c>
      <c r="W206" s="409">
        <v>32</v>
      </c>
      <c r="X206" s="231">
        <v>3</v>
      </c>
      <c r="Y206" s="231">
        <v>0</v>
      </c>
      <c r="Z206" s="231">
        <v>1</v>
      </c>
    </row>
    <row r="207" spans="1:26" x14ac:dyDescent="0.25">
      <c r="A207" s="223"/>
      <c r="B207" s="223"/>
      <c r="C207" s="126"/>
      <c r="D207" s="153" t="s">
        <v>468</v>
      </c>
      <c r="E207" s="225">
        <v>0</v>
      </c>
      <c r="F207" s="230">
        <v>1</v>
      </c>
      <c r="G207" s="230"/>
      <c r="H207" s="230"/>
      <c r="I207" s="230"/>
      <c r="J207" s="230"/>
      <c r="K207" s="230"/>
      <c r="L207" s="230">
        <v>1</v>
      </c>
      <c r="M207" s="230"/>
      <c r="N207" s="230"/>
      <c r="O207" s="230">
        <v>1</v>
      </c>
      <c r="P207" s="230"/>
      <c r="Q207" s="230"/>
      <c r="R207" s="409">
        <v>1</v>
      </c>
      <c r="S207" s="409"/>
      <c r="T207" s="409"/>
      <c r="U207" s="409"/>
      <c r="V207" s="409"/>
      <c r="W207" s="409"/>
      <c r="X207" s="231"/>
      <c r="Y207" s="231"/>
      <c r="Z207" s="231"/>
    </row>
    <row r="208" spans="1:26" x14ac:dyDescent="0.25">
      <c r="A208" s="484">
        <v>13</v>
      </c>
      <c r="B208" s="484" t="s">
        <v>52</v>
      </c>
      <c r="C208" s="126">
        <v>43</v>
      </c>
      <c r="D208" s="153" t="s">
        <v>53</v>
      </c>
      <c r="E208" s="225">
        <v>0</v>
      </c>
      <c r="F208" s="230"/>
      <c r="G208" s="230">
        <v>1</v>
      </c>
      <c r="H208" s="230">
        <v>1</v>
      </c>
      <c r="I208" s="230"/>
      <c r="J208" s="230">
        <v>1</v>
      </c>
      <c r="K208" s="230">
        <v>4</v>
      </c>
      <c r="L208" s="230">
        <v>5</v>
      </c>
      <c r="M208" s="230">
        <v>26</v>
      </c>
      <c r="N208" s="230">
        <v>2</v>
      </c>
      <c r="O208" s="230"/>
      <c r="P208" s="230">
        <v>1</v>
      </c>
      <c r="Q208" s="230"/>
      <c r="R208" s="409"/>
      <c r="S208" s="409">
        <v>1</v>
      </c>
      <c r="T208" s="409"/>
      <c r="U208" s="409">
        <v>5</v>
      </c>
      <c r="V208" s="409">
        <v>5</v>
      </c>
      <c r="W208" s="409">
        <v>33</v>
      </c>
      <c r="X208" s="231">
        <v>4</v>
      </c>
      <c r="Y208" s="231"/>
      <c r="Z208" s="231"/>
    </row>
    <row r="209" spans="1:26" x14ac:dyDescent="0.25">
      <c r="A209" s="486"/>
      <c r="B209" s="486"/>
      <c r="C209" s="126">
        <v>44</v>
      </c>
      <c r="D209" s="153" t="s">
        <v>54</v>
      </c>
      <c r="E209" s="225">
        <v>0</v>
      </c>
      <c r="F209" s="230"/>
      <c r="G209" s="230">
        <v>1</v>
      </c>
      <c r="H209" s="230">
        <v>1</v>
      </c>
      <c r="I209" s="230"/>
      <c r="J209" s="230">
        <v>1</v>
      </c>
      <c r="K209" s="230">
        <v>4</v>
      </c>
      <c r="L209" s="230">
        <v>5</v>
      </c>
      <c r="M209" s="230">
        <v>26</v>
      </c>
      <c r="N209" s="230">
        <v>2</v>
      </c>
      <c r="O209" s="230"/>
      <c r="P209" s="230">
        <v>1</v>
      </c>
      <c r="Q209" s="230"/>
      <c r="R209" s="409"/>
      <c r="S209" s="409">
        <v>1</v>
      </c>
      <c r="T209" s="409"/>
      <c r="U209" s="409">
        <v>1</v>
      </c>
      <c r="V209" s="409">
        <v>1</v>
      </c>
      <c r="W209" s="409">
        <v>23</v>
      </c>
      <c r="X209" s="231">
        <v>1</v>
      </c>
      <c r="Y209" s="231"/>
      <c r="Z209" s="231"/>
    </row>
    <row r="210" spans="1:26" x14ac:dyDescent="0.25">
      <c r="A210" s="486"/>
      <c r="B210" s="486"/>
      <c r="C210" s="126">
        <v>45</v>
      </c>
      <c r="D210" s="153" t="s">
        <v>55</v>
      </c>
      <c r="E210" s="225">
        <v>0</v>
      </c>
      <c r="F210" s="230"/>
      <c r="G210" s="230">
        <v>1</v>
      </c>
      <c r="H210" s="230">
        <v>1</v>
      </c>
      <c r="I210" s="230"/>
      <c r="J210" s="230">
        <v>1</v>
      </c>
      <c r="K210" s="230">
        <v>4</v>
      </c>
      <c r="L210" s="230">
        <v>5</v>
      </c>
      <c r="M210" s="230">
        <v>26</v>
      </c>
      <c r="N210" s="230">
        <v>2</v>
      </c>
      <c r="O210" s="230"/>
      <c r="P210" s="230">
        <v>1</v>
      </c>
      <c r="Q210" s="230"/>
      <c r="R210" s="409"/>
      <c r="S210" s="409"/>
      <c r="T210" s="409"/>
      <c r="U210" s="409">
        <v>2</v>
      </c>
      <c r="V210" s="409">
        <v>3</v>
      </c>
      <c r="W210" s="409">
        <v>27</v>
      </c>
      <c r="X210" s="231">
        <v>1</v>
      </c>
      <c r="Y210" s="231"/>
      <c r="Z210" s="231">
        <v>1</v>
      </c>
    </row>
    <row r="211" spans="1:26" x14ac:dyDescent="0.25">
      <c r="A211" s="486"/>
      <c r="B211" s="486"/>
      <c r="C211" s="126">
        <v>46</v>
      </c>
      <c r="D211" s="153" t="s">
        <v>56</v>
      </c>
      <c r="E211" s="225">
        <v>0</v>
      </c>
      <c r="F211" s="230"/>
      <c r="G211" s="230">
        <v>1</v>
      </c>
      <c r="H211" s="230">
        <v>1</v>
      </c>
      <c r="I211" s="230"/>
      <c r="J211" s="230">
        <v>1</v>
      </c>
      <c r="K211" s="230">
        <v>4</v>
      </c>
      <c r="L211" s="230">
        <v>5</v>
      </c>
      <c r="M211" s="230">
        <v>26</v>
      </c>
      <c r="N211" s="230">
        <v>2</v>
      </c>
      <c r="O211" s="230"/>
      <c r="P211" s="230">
        <v>1</v>
      </c>
      <c r="Q211" s="230"/>
      <c r="R211" s="409"/>
      <c r="S211" s="409"/>
      <c r="T211" s="409">
        <v>1</v>
      </c>
      <c r="U211" s="409">
        <v>2</v>
      </c>
      <c r="V211" s="409">
        <v>2</v>
      </c>
      <c r="W211" s="409">
        <v>12</v>
      </c>
      <c r="X211" s="231"/>
      <c r="Y211" s="231"/>
      <c r="Z211" s="231"/>
    </row>
    <row r="212" spans="1:26" x14ac:dyDescent="0.25">
      <c r="A212" s="486"/>
      <c r="B212" s="486"/>
      <c r="C212" s="126">
        <v>47</v>
      </c>
      <c r="D212" s="153" t="s">
        <v>57</v>
      </c>
      <c r="E212" s="225">
        <v>0</v>
      </c>
      <c r="F212" s="230"/>
      <c r="G212" s="230">
        <v>1</v>
      </c>
      <c r="H212" s="230">
        <v>1</v>
      </c>
      <c r="I212" s="230"/>
      <c r="J212" s="230">
        <v>1</v>
      </c>
      <c r="K212" s="230">
        <v>4</v>
      </c>
      <c r="L212" s="230">
        <v>5</v>
      </c>
      <c r="M212" s="230">
        <v>26</v>
      </c>
      <c r="N212" s="230">
        <v>2</v>
      </c>
      <c r="O212" s="230"/>
      <c r="P212" s="230">
        <v>1</v>
      </c>
      <c r="Q212" s="230"/>
      <c r="R212" s="409"/>
      <c r="S212" s="409"/>
      <c r="T212" s="409"/>
      <c r="U212" s="409">
        <v>2</v>
      </c>
      <c r="V212" s="409">
        <v>2</v>
      </c>
      <c r="W212" s="409">
        <v>24</v>
      </c>
      <c r="X212" s="231">
        <v>1</v>
      </c>
      <c r="Y212" s="231"/>
      <c r="Z212" s="231">
        <v>1</v>
      </c>
    </row>
    <row r="213" spans="1:26" x14ac:dyDescent="0.25">
      <c r="A213" s="486"/>
      <c r="B213" s="486"/>
      <c r="C213" s="126">
        <v>48</v>
      </c>
      <c r="D213" s="153" t="s">
        <v>58</v>
      </c>
      <c r="E213" s="225">
        <v>0</v>
      </c>
      <c r="F213" s="230"/>
      <c r="G213" s="230">
        <v>1</v>
      </c>
      <c r="H213" s="230">
        <v>1</v>
      </c>
      <c r="I213" s="230"/>
      <c r="J213" s="230">
        <v>1</v>
      </c>
      <c r="K213" s="230">
        <v>4</v>
      </c>
      <c r="L213" s="230">
        <v>4</v>
      </c>
      <c r="M213" s="230">
        <v>26</v>
      </c>
      <c r="N213" s="230">
        <v>2</v>
      </c>
      <c r="O213" s="230"/>
      <c r="P213" s="230">
        <v>1</v>
      </c>
      <c r="Q213" s="230"/>
      <c r="R213" s="409"/>
      <c r="S213" s="409"/>
      <c r="T213" s="409">
        <v>1</v>
      </c>
      <c r="U213" s="409">
        <v>2</v>
      </c>
      <c r="V213" s="409">
        <v>2</v>
      </c>
      <c r="W213" s="409">
        <v>12</v>
      </c>
      <c r="X213" s="231"/>
      <c r="Y213" s="231"/>
      <c r="Z213" s="231"/>
    </row>
    <row r="214" spans="1:26" x14ac:dyDescent="0.25">
      <c r="A214" s="486"/>
      <c r="B214" s="486"/>
      <c r="C214" s="126">
        <v>49</v>
      </c>
      <c r="D214" s="153" t="s">
        <v>336</v>
      </c>
      <c r="E214" s="225">
        <v>0</v>
      </c>
      <c r="F214" s="230"/>
      <c r="G214" s="230"/>
      <c r="H214" s="230">
        <v>1</v>
      </c>
      <c r="I214" s="230"/>
      <c r="J214" s="230"/>
      <c r="K214" s="230">
        <v>1</v>
      </c>
      <c r="L214" s="230">
        <v>2</v>
      </c>
      <c r="M214" s="230">
        <v>8</v>
      </c>
      <c r="N214" s="230"/>
      <c r="O214" s="230"/>
      <c r="P214" s="230"/>
      <c r="Q214" s="230">
        <v>2</v>
      </c>
      <c r="R214" s="409"/>
      <c r="S214" s="409"/>
      <c r="T214" s="409"/>
      <c r="U214" s="409"/>
      <c r="V214" s="409">
        <v>1</v>
      </c>
      <c r="W214" s="409">
        <v>3</v>
      </c>
      <c r="X214" s="231"/>
      <c r="Y214" s="231"/>
      <c r="Z214" s="231"/>
    </row>
    <row r="215" spans="1:26" x14ac:dyDescent="0.25">
      <c r="A215" s="485"/>
      <c r="B215" s="485"/>
      <c r="C215" s="126">
        <v>50</v>
      </c>
      <c r="D215" s="153" t="s">
        <v>59</v>
      </c>
      <c r="E215" s="225">
        <v>0</v>
      </c>
      <c r="F215" s="230"/>
      <c r="G215" s="230"/>
      <c r="H215" s="230">
        <v>1</v>
      </c>
      <c r="I215" s="230"/>
      <c r="J215" s="230"/>
      <c r="K215" s="230">
        <v>1</v>
      </c>
      <c r="L215" s="230">
        <v>2</v>
      </c>
      <c r="M215" s="230">
        <v>6</v>
      </c>
      <c r="N215" s="230"/>
      <c r="O215" s="230"/>
      <c r="P215" s="230"/>
      <c r="Q215" s="230">
        <v>2</v>
      </c>
      <c r="R215" s="409"/>
      <c r="S215" s="409"/>
      <c r="T215" s="409"/>
      <c r="U215" s="409">
        <v>1</v>
      </c>
      <c r="V215" s="409"/>
      <c r="W215" s="409">
        <v>3</v>
      </c>
      <c r="X215" s="231"/>
      <c r="Y215" s="231"/>
      <c r="Z215" s="231"/>
    </row>
    <row r="216" spans="1:26" x14ac:dyDescent="0.25">
      <c r="A216" s="253"/>
      <c r="B216" s="253" t="s">
        <v>1062</v>
      </c>
      <c r="C216" s="126"/>
      <c r="D216" s="153"/>
      <c r="E216" s="230">
        <v>1</v>
      </c>
      <c r="F216" s="230"/>
      <c r="G216" s="230">
        <v>1</v>
      </c>
      <c r="H216" s="230"/>
      <c r="I216" s="230"/>
      <c r="J216" s="230"/>
      <c r="K216" s="230">
        <v>1</v>
      </c>
      <c r="L216" s="230">
        <v>1</v>
      </c>
      <c r="M216" s="230">
        <v>2</v>
      </c>
      <c r="N216" s="230">
        <v>2</v>
      </c>
      <c r="O216" s="230">
        <v>1</v>
      </c>
      <c r="P216" s="230">
        <v>1</v>
      </c>
      <c r="Q216" s="230"/>
      <c r="R216" s="409"/>
      <c r="S216" s="409"/>
      <c r="T216" s="409"/>
      <c r="U216" s="409"/>
      <c r="V216" s="409"/>
      <c r="W216" s="409"/>
      <c r="X216" s="231"/>
      <c r="Y216" s="231"/>
      <c r="Z216" s="231"/>
    </row>
    <row r="217" spans="1:26" x14ac:dyDescent="0.25">
      <c r="A217" s="126"/>
      <c r="B217" s="126"/>
      <c r="C217" s="126"/>
      <c r="D217" s="153" t="s">
        <v>60</v>
      </c>
      <c r="E217" s="230">
        <f>SUM(E154:E216)</f>
        <v>1</v>
      </c>
      <c r="F217" s="230">
        <f t="shared" ref="F217:Z217" si="3">SUM(F154:F216)</f>
        <v>9</v>
      </c>
      <c r="G217" s="230">
        <f t="shared" si="3"/>
        <v>38</v>
      </c>
      <c r="H217" s="230">
        <f t="shared" si="3"/>
        <v>52</v>
      </c>
      <c r="I217" s="230">
        <f t="shared" si="3"/>
        <v>4</v>
      </c>
      <c r="J217" s="230">
        <f t="shared" si="3"/>
        <v>29</v>
      </c>
      <c r="K217" s="230">
        <f t="shared" si="3"/>
        <v>171</v>
      </c>
      <c r="L217" s="230">
        <f t="shared" si="3"/>
        <v>217</v>
      </c>
      <c r="M217" s="230">
        <f t="shared" si="3"/>
        <v>1050</v>
      </c>
      <c r="N217" s="230">
        <f t="shared" si="3"/>
        <v>67</v>
      </c>
      <c r="O217" s="230">
        <f t="shared" si="3"/>
        <v>7</v>
      </c>
      <c r="P217" s="230">
        <f t="shared" si="3"/>
        <v>28</v>
      </c>
      <c r="Q217" s="230">
        <f t="shared" si="3"/>
        <v>41</v>
      </c>
      <c r="R217" s="409">
        <f t="shared" si="3"/>
        <v>8</v>
      </c>
      <c r="S217" s="409">
        <f t="shared" si="3"/>
        <v>8</v>
      </c>
      <c r="T217" s="409">
        <f t="shared" si="3"/>
        <v>16</v>
      </c>
      <c r="U217" s="409">
        <f t="shared" si="3"/>
        <v>130</v>
      </c>
      <c r="V217" s="409">
        <f t="shared" si="3"/>
        <v>183</v>
      </c>
      <c r="W217" s="409">
        <f t="shared" si="3"/>
        <v>881</v>
      </c>
      <c r="X217" s="230">
        <f t="shared" si="3"/>
        <v>57</v>
      </c>
      <c r="Y217" s="230">
        <f t="shared" si="3"/>
        <v>1</v>
      </c>
      <c r="Z217" s="230">
        <f t="shared" si="3"/>
        <v>26</v>
      </c>
    </row>
    <row r="218" spans="1:26" x14ac:dyDescent="0.25">
      <c r="A218" s="172"/>
      <c r="B218" s="172"/>
      <c r="C218" s="172"/>
      <c r="D218" s="173"/>
      <c r="E218" s="269"/>
    </row>
    <row r="219" spans="1:26" x14ac:dyDescent="0.25">
      <c r="A219" s="172"/>
      <c r="B219" s="172"/>
      <c r="C219" s="172"/>
      <c r="D219" s="173"/>
      <c r="E219" s="269"/>
    </row>
    <row r="221" spans="1:26" s="278" customFormat="1" ht="21" customHeight="1" x14ac:dyDescent="0.25">
      <c r="A221" s="491" t="s">
        <v>1066</v>
      </c>
      <c r="B221" s="491"/>
      <c r="C221" s="491"/>
      <c r="D221" s="491"/>
      <c r="E221" s="491"/>
      <c r="F221" s="491"/>
      <c r="G221" s="491"/>
      <c r="H221" s="491"/>
      <c r="I221" s="491"/>
      <c r="J221" s="491"/>
      <c r="K221" s="491"/>
      <c r="L221" s="491"/>
      <c r="M221" s="491"/>
      <c r="N221" s="491"/>
      <c r="O221" s="491"/>
      <c r="P221" s="491"/>
      <c r="Q221" s="491"/>
      <c r="R221" s="491"/>
      <c r="S221" s="491"/>
      <c r="T221" s="491"/>
      <c r="U221" s="491"/>
      <c r="V221" s="491"/>
      <c r="W221" s="491"/>
      <c r="X221" s="491"/>
      <c r="Y221" s="491"/>
      <c r="Z221" s="491"/>
    </row>
    <row r="222" spans="1:26" s="23" customFormat="1" ht="40.5" customHeight="1" x14ac:dyDescent="0.25">
      <c r="A222" s="486" t="s">
        <v>0</v>
      </c>
      <c r="B222" s="486" t="s">
        <v>1</v>
      </c>
      <c r="C222" s="223"/>
      <c r="D222" s="492" t="s">
        <v>182</v>
      </c>
      <c r="E222" s="494" t="s">
        <v>764</v>
      </c>
      <c r="F222" s="495"/>
      <c r="G222" s="495"/>
      <c r="H222" s="495"/>
      <c r="I222" s="495"/>
      <c r="J222" s="495"/>
      <c r="K222" s="495"/>
      <c r="L222" s="495"/>
      <c r="M222" s="495"/>
      <c r="N222" s="496"/>
      <c r="O222" s="227"/>
      <c r="P222" s="227"/>
      <c r="Q222" s="227"/>
      <c r="R222" s="497" t="s">
        <v>769</v>
      </c>
      <c r="S222" s="498"/>
      <c r="T222" s="498"/>
      <c r="U222" s="498"/>
      <c r="V222" s="498"/>
      <c r="W222" s="498"/>
      <c r="X222" s="498"/>
      <c r="Y222" s="498"/>
      <c r="Z222" s="498"/>
    </row>
    <row r="223" spans="1:26" s="224" customFormat="1" ht="63" x14ac:dyDescent="0.25">
      <c r="A223" s="485"/>
      <c r="B223" s="485"/>
      <c r="C223" s="253"/>
      <c r="D223" s="493"/>
      <c r="E223" s="225" t="s">
        <v>1063</v>
      </c>
      <c r="F223" s="225" t="s">
        <v>161</v>
      </c>
      <c r="G223" s="225" t="s">
        <v>765</v>
      </c>
      <c r="H223" s="225" t="s">
        <v>364</v>
      </c>
      <c r="I223" s="225" t="s">
        <v>1052</v>
      </c>
      <c r="J223" s="225" t="s">
        <v>1053</v>
      </c>
      <c r="K223" s="225" t="s">
        <v>365</v>
      </c>
      <c r="L223" s="225" t="s">
        <v>366</v>
      </c>
      <c r="M223" s="225" t="s">
        <v>367</v>
      </c>
      <c r="N223" s="225" t="s">
        <v>766</v>
      </c>
      <c r="O223" s="225" t="s">
        <v>767</v>
      </c>
      <c r="P223" s="225" t="s">
        <v>768</v>
      </c>
      <c r="Q223" s="225" t="s">
        <v>1054</v>
      </c>
      <c r="R223" s="408" t="s">
        <v>161</v>
      </c>
      <c r="S223" s="408" t="s">
        <v>765</v>
      </c>
      <c r="T223" s="408" t="s">
        <v>364</v>
      </c>
      <c r="U223" s="408" t="s">
        <v>365</v>
      </c>
      <c r="V223" s="408" t="s">
        <v>366</v>
      </c>
      <c r="W223" s="408" t="s">
        <v>367</v>
      </c>
      <c r="X223" s="228" t="s">
        <v>766</v>
      </c>
      <c r="Y223" s="228" t="s">
        <v>767</v>
      </c>
      <c r="Z223" s="228" t="s">
        <v>768</v>
      </c>
    </row>
    <row r="224" spans="1:26" s="224" customFormat="1" ht="37.5" x14ac:dyDescent="0.25">
      <c r="A224" s="223"/>
      <c r="B224" s="223" t="s">
        <v>1057</v>
      </c>
      <c r="C224" s="223"/>
      <c r="D224" s="254"/>
      <c r="E224" s="225">
        <v>0</v>
      </c>
      <c r="F224" s="225">
        <v>1</v>
      </c>
      <c r="G224" s="225"/>
      <c r="H224" s="225"/>
      <c r="I224" s="225"/>
      <c r="J224" s="225"/>
      <c r="K224" s="225"/>
      <c r="L224" s="225">
        <v>1</v>
      </c>
      <c r="M224" s="225"/>
      <c r="N224" s="225"/>
      <c r="O224" s="225">
        <v>1</v>
      </c>
      <c r="P224" s="225"/>
      <c r="Q224" s="225"/>
      <c r="R224" s="408">
        <v>1</v>
      </c>
      <c r="S224" s="408"/>
      <c r="T224" s="408"/>
      <c r="U224" s="408"/>
      <c r="V224" s="408"/>
      <c r="W224" s="408"/>
      <c r="X224" s="228"/>
      <c r="Y224" s="228"/>
      <c r="Z224" s="228"/>
    </row>
    <row r="225" spans="1:26" x14ac:dyDescent="0.25">
      <c r="A225" s="484">
        <v>1</v>
      </c>
      <c r="B225" s="484" t="s">
        <v>16</v>
      </c>
      <c r="C225" s="126">
        <v>1</v>
      </c>
      <c r="D225" s="153" t="s">
        <v>17</v>
      </c>
      <c r="E225" s="225">
        <v>0</v>
      </c>
      <c r="F225" s="230"/>
      <c r="G225" s="230">
        <v>1</v>
      </c>
      <c r="H225" s="230">
        <v>1</v>
      </c>
      <c r="I225" s="230"/>
      <c r="J225" s="230">
        <v>1</v>
      </c>
      <c r="K225" s="230">
        <v>4</v>
      </c>
      <c r="L225" s="230">
        <v>5</v>
      </c>
      <c r="M225" s="230">
        <v>26</v>
      </c>
      <c r="N225" s="230">
        <v>2</v>
      </c>
      <c r="O225" s="230"/>
      <c r="P225" s="230"/>
      <c r="Q225" s="230">
        <v>1</v>
      </c>
      <c r="R225" s="409"/>
      <c r="S225" s="409"/>
      <c r="T225" s="409"/>
      <c r="U225" s="409">
        <v>2</v>
      </c>
      <c r="V225" s="409">
        <v>6</v>
      </c>
      <c r="W225" s="409">
        <v>33</v>
      </c>
      <c r="X225" s="231">
        <v>1</v>
      </c>
      <c r="Y225" s="231"/>
      <c r="Z225" s="231">
        <v>1</v>
      </c>
    </row>
    <row r="226" spans="1:26" x14ac:dyDescent="0.25">
      <c r="A226" s="486"/>
      <c r="B226" s="486"/>
      <c r="C226" s="126">
        <v>2</v>
      </c>
      <c r="D226" s="153" t="s">
        <v>19</v>
      </c>
      <c r="E226" s="225">
        <v>0</v>
      </c>
      <c r="F226" s="230"/>
      <c r="G226" s="230">
        <v>1</v>
      </c>
      <c r="H226" s="230">
        <v>1</v>
      </c>
      <c r="I226" s="230"/>
      <c r="J226" s="230">
        <v>1</v>
      </c>
      <c r="K226" s="230">
        <v>4</v>
      </c>
      <c r="L226" s="230">
        <v>5</v>
      </c>
      <c r="M226" s="230">
        <v>26</v>
      </c>
      <c r="N226" s="230">
        <v>2</v>
      </c>
      <c r="O226" s="230"/>
      <c r="P226" s="230"/>
      <c r="Q226" s="230">
        <v>1</v>
      </c>
      <c r="R226" s="409"/>
      <c r="S226" s="409"/>
      <c r="T226" s="409">
        <v>1</v>
      </c>
      <c r="U226" s="409">
        <v>2</v>
      </c>
      <c r="V226" s="409">
        <v>4</v>
      </c>
      <c r="W226" s="409">
        <v>18</v>
      </c>
      <c r="X226" s="231">
        <v>1</v>
      </c>
      <c r="Y226" s="231"/>
      <c r="Z226" s="231"/>
    </row>
    <row r="227" spans="1:26" x14ac:dyDescent="0.25">
      <c r="A227" s="486"/>
      <c r="B227" s="486"/>
      <c r="C227" s="126">
        <v>3</v>
      </c>
      <c r="D227" s="153" t="s">
        <v>383</v>
      </c>
      <c r="E227" s="225">
        <v>0</v>
      </c>
      <c r="F227" s="230"/>
      <c r="G227" s="230"/>
      <c r="H227" s="230">
        <v>1</v>
      </c>
      <c r="I227" s="230"/>
      <c r="J227" s="230"/>
      <c r="K227" s="230">
        <v>1</v>
      </c>
      <c r="L227" s="230">
        <v>2</v>
      </c>
      <c r="M227" s="230">
        <v>6</v>
      </c>
      <c r="N227" s="230"/>
      <c r="O227" s="230"/>
      <c r="P227" s="230"/>
      <c r="Q227" s="230">
        <v>2</v>
      </c>
      <c r="R227" s="409"/>
      <c r="S227" s="409"/>
      <c r="T227" s="409"/>
      <c r="U227" s="409"/>
      <c r="V227" s="409"/>
      <c r="W227" s="409"/>
      <c r="X227" s="231"/>
      <c r="Y227" s="231"/>
      <c r="Z227" s="231"/>
    </row>
    <row r="228" spans="1:26" x14ac:dyDescent="0.25">
      <c r="A228" s="486"/>
      <c r="B228" s="486"/>
      <c r="C228" s="126">
        <v>4</v>
      </c>
      <c r="D228" s="153" t="s">
        <v>377</v>
      </c>
      <c r="E228" s="225">
        <v>0</v>
      </c>
      <c r="F228" s="230"/>
      <c r="G228" s="230"/>
      <c r="H228" s="230">
        <v>1</v>
      </c>
      <c r="I228" s="230"/>
      <c r="J228" s="230"/>
      <c r="K228" s="230">
        <v>1</v>
      </c>
      <c r="L228" s="230">
        <v>2</v>
      </c>
      <c r="M228" s="230">
        <v>6</v>
      </c>
      <c r="N228" s="230"/>
      <c r="O228" s="230"/>
      <c r="P228" s="230"/>
      <c r="Q228" s="230">
        <v>2</v>
      </c>
      <c r="R228" s="409"/>
      <c r="S228" s="409"/>
      <c r="T228" s="409"/>
      <c r="U228" s="409"/>
      <c r="V228" s="409"/>
      <c r="W228" s="409"/>
      <c r="X228" s="231"/>
      <c r="Y228" s="231"/>
      <c r="Z228" s="231"/>
    </row>
    <row r="229" spans="1:26" ht="37.5" x14ac:dyDescent="0.25">
      <c r="A229" s="485"/>
      <c r="B229" s="485"/>
      <c r="C229" s="126"/>
      <c r="D229" s="153" t="s">
        <v>1058</v>
      </c>
      <c r="E229" s="225">
        <v>0</v>
      </c>
      <c r="F229" s="230"/>
      <c r="G229" s="230"/>
      <c r="H229" s="230"/>
      <c r="I229" s="230"/>
      <c r="J229" s="230"/>
      <c r="K229" s="230">
        <v>1</v>
      </c>
      <c r="L229" s="230"/>
      <c r="M229" s="230">
        <v>2</v>
      </c>
      <c r="N229" s="230"/>
      <c r="O229" s="230"/>
      <c r="P229" s="230"/>
      <c r="Q229" s="230"/>
      <c r="R229" s="409"/>
      <c r="S229" s="409"/>
      <c r="T229" s="409"/>
      <c r="U229" s="409"/>
      <c r="V229" s="409"/>
      <c r="W229" s="409"/>
      <c r="X229" s="231"/>
      <c r="Y229" s="231"/>
      <c r="Z229" s="231"/>
    </row>
    <row r="230" spans="1:26" x14ac:dyDescent="0.25">
      <c r="A230" s="484">
        <v>2</v>
      </c>
      <c r="B230" s="484" t="s">
        <v>20</v>
      </c>
      <c r="C230" s="126">
        <v>5</v>
      </c>
      <c r="D230" s="153" t="s">
        <v>20</v>
      </c>
      <c r="E230" s="225">
        <v>0</v>
      </c>
      <c r="F230" s="230"/>
      <c r="G230" s="230">
        <v>1</v>
      </c>
      <c r="H230" s="230">
        <v>1</v>
      </c>
      <c r="I230" s="230"/>
      <c r="J230" s="230"/>
      <c r="K230" s="230">
        <v>4</v>
      </c>
      <c r="L230" s="230">
        <v>4</v>
      </c>
      <c r="M230" s="230">
        <v>26</v>
      </c>
      <c r="N230" s="230">
        <v>1</v>
      </c>
      <c r="O230" s="230"/>
      <c r="P230" s="230"/>
      <c r="Q230" s="230"/>
      <c r="R230" s="409"/>
      <c r="S230" s="409"/>
      <c r="T230" s="409"/>
      <c r="U230" s="409">
        <v>3</v>
      </c>
      <c r="V230" s="409">
        <v>8</v>
      </c>
      <c r="W230" s="409">
        <v>24</v>
      </c>
      <c r="X230" s="231"/>
      <c r="Y230" s="231"/>
      <c r="Z230" s="231"/>
    </row>
    <row r="231" spans="1:26" x14ac:dyDescent="0.25">
      <c r="A231" s="485"/>
      <c r="B231" s="485"/>
      <c r="C231" s="126"/>
      <c r="D231" s="153" t="s">
        <v>1059</v>
      </c>
      <c r="E231" s="225">
        <v>0</v>
      </c>
      <c r="F231" s="230"/>
      <c r="G231" s="230"/>
      <c r="H231" s="230"/>
      <c r="I231" s="230"/>
      <c r="J231" s="230"/>
      <c r="K231" s="230">
        <v>1</v>
      </c>
      <c r="L231" s="230"/>
      <c r="M231" s="230">
        <v>1</v>
      </c>
      <c r="N231" s="230"/>
      <c r="O231" s="230"/>
      <c r="P231" s="230"/>
      <c r="Q231" s="230"/>
      <c r="R231" s="409"/>
      <c r="S231" s="409"/>
      <c r="T231" s="409"/>
      <c r="U231" s="409"/>
      <c r="V231" s="409"/>
      <c r="W231" s="409"/>
      <c r="X231" s="231"/>
      <c r="Y231" s="231"/>
      <c r="Z231" s="231"/>
    </row>
    <row r="232" spans="1:26" x14ac:dyDescent="0.25">
      <c r="A232" s="252"/>
      <c r="B232" s="252"/>
      <c r="C232" s="126"/>
      <c r="D232" s="153" t="s">
        <v>21</v>
      </c>
      <c r="E232" s="225">
        <v>0</v>
      </c>
      <c r="F232" s="230">
        <v>1</v>
      </c>
      <c r="G232" s="230"/>
      <c r="H232" s="230"/>
      <c r="I232" s="230"/>
      <c r="J232" s="230"/>
      <c r="K232" s="230"/>
      <c r="L232" s="230">
        <v>1</v>
      </c>
      <c r="M232" s="230"/>
      <c r="N232" s="230"/>
      <c r="O232" s="230">
        <v>1</v>
      </c>
      <c r="P232" s="230"/>
      <c r="Q232" s="230"/>
      <c r="R232" s="409">
        <v>1</v>
      </c>
      <c r="S232" s="409"/>
      <c r="T232" s="409"/>
      <c r="U232" s="409"/>
      <c r="V232" s="409"/>
      <c r="W232" s="409"/>
      <c r="X232" s="231"/>
      <c r="Y232" s="231"/>
      <c r="Z232" s="231"/>
    </row>
    <row r="233" spans="1:26" ht="63" x14ac:dyDescent="0.25">
      <c r="A233" s="484">
        <v>3</v>
      </c>
      <c r="B233" s="487" t="s">
        <v>21</v>
      </c>
      <c r="C233" s="93">
        <v>6</v>
      </c>
      <c r="D233" s="153" t="s">
        <v>21</v>
      </c>
      <c r="E233" s="225">
        <v>0</v>
      </c>
      <c r="F233" s="230"/>
      <c r="G233" s="230">
        <v>1</v>
      </c>
      <c r="H233" s="230">
        <v>1</v>
      </c>
      <c r="I233" s="230"/>
      <c r="J233" s="230">
        <v>1</v>
      </c>
      <c r="K233" s="230">
        <v>4</v>
      </c>
      <c r="L233" s="230">
        <v>5</v>
      </c>
      <c r="M233" s="230">
        <v>26</v>
      </c>
      <c r="N233" s="230">
        <v>2</v>
      </c>
      <c r="O233" s="230"/>
      <c r="P233" s="230">
        <v>1</v>
      </c>
      <c r="Q233" s="230"/>
      <c r="R233" s="409"/>
      <c r="S233" s="409"/>
      <c r="T233" s="409">
        <v>1</v>
      </c>
      <c r="U233" s="409">
        <v>1</v>
      </c>
      <c r="V233" s="409" t="s">
        <v>842</v>
      </c>
      <c r="W233" s="409">
        <v>16</v>
      </c>
      <c r="X233" s="231">
        <v>5</v>
      </c>
      <c r="Y233" s="231"/>
      <c r="Z233" s="231">
        <v>1</v>
      </c>
    </row>
    <row r="234" spans="1:26" x14ac:dyDescent="0.25">
      <c r="A234" s="486"/>
      <c r="B234" s="488"/>
      <c r="C234" s="93">
        <v>7</v>
      </c>
      <c r="D234" s="153" t="s">
        <v>22</v>
      </c>
      <c r="E234" s="225">
        <v>0</v>
      </c>
      <c r="F234" s="230"/>
      <c r="G234" s="230">
        <v>1</v>
      </c>
      <c r="H234" s="230">
        <v>1</v>
      </c>
      <c r="I234" s="230"/>
      <c r="J234" s="230">
        <v>1</v>
      </c>
      <c r="K234" s="230">
        <v>4</v>
      </c>
      <c r="L234" s="230">
        <v>5</v>
      </c>
      <c r="M234" s="230">
        <v>26</v>
      </c>
      <c r="N234" s="230">
        <v>2</v>
      </c>
      <c r="O234" s="230"/>
      <c r="P234" s="230">
        <v>1</v>
      </c>
      <c r="Q234" s="230"/>
      <c r="R234" s="409"/>
      <c r="S234" s="409">
        <v>1</v>
      </c>
      <c r="T234" s="409"/>
      <c r="U234" s="409">
        <v>4</v>
      </c>
      <c r="V234" s="409">
        <v>6</v>
      </c>
      <c r="W234" s="409">
        <v>15</v>
      </c>
      <c r="X234" s="231">
        <v>1</v>
      </c>
      <c r="Y234" s="231"/>
      <c r="Z234" s="231">
        <v>1</v>
      </c>
    </row>
    <row r="235" spans="1:26" x14ac:dyDescent="0.25">
      <c r="A235" s="486"/>
      <c r="B235" s="488"/>
      <c r="C235" s="93">
        <v>8</v>
      </c>
      <c r="D235" s="153" t="s">
        <v>335</v>
      </c>
      <c r="E235" s="225">
        <v>0</v>
      </c>
      <c r="F235" s="230"/>
      <c r="G235" s="230"/>
      <c r="H235" s="230">
        <v>1</v>
      </c>
      <c r="I235" s="230"/>
      <c r="J235" s="230"/>
      <c r="K235" s="230">
        <v>1</v>
      </c>
      <c r="L235" s="230">
        <v>2</v>
      </c>
      <c r="M235" s="230">
        <v>6</v>
      </c>
      <c r="N235" s="230"/>
      <c r="O235" s="230"/>
      <c r="P235" s="230"/>
      <c r="Q235" s="230">
        <v>2</v>
      </c>
      <c r="R235" s="409"/>
      <c r="S235" s="409"/>
      <c r="T235" s="409"/>
      <c r="U235" s="409"/>
      <c r="V235" s="409"/>
      <c r="W235" s="409"/>
      <c r="X235" s="231"/>
      <c r="Y235" s="231"/>
      <c r="Z235" s="231">
        <v>1</v>
      </c>
    </row>
    <row r="236" spans="1:26" x14ac:dyDescent="0.25">
      <c r="A236" s="485"/>
      <c r="B236" s="489"/>
      <c r="C236" s="93">
        <v>9</v>
      </c>
      <c r="D236" s="153" t="s">
        <v>269</v>
      </c>
      <c r="E236" s="225">
        <v>0</v>
      </c>
      <c r="F236" s="230"/>
      <c r="G236" s="230"/>
      <c r="H236" s="230">
        <v>1</v>
      </c>
      <c r="I236" s="230"/>
      <c r="J236" s="230"/>
      <c r="K236" s="230">
        <v>1</v>
      </c>
      <c r="L236" s="230">
        <v>2</v>
      </c>
      <c r="M236" s="230">
        <v>6</v>
      </c>
      <c r="N236" s="230"/>
      <c r="O236" s="230"/>
      <c r="P236" s="230"/>
      <c r="Q236" s="230">
        <v>2</v>
      </c>
      <c r="R236" s="409"/>
      <c r="S236" s="409"/>
      <c r="T236" s="409"/>
      <c r="U236" s="409">
        <v>2</v>
      </c>
      <c r="V236" s="409">
        <v>3</v>
      </c>
      <c r="W236" s="409">
        <v>9</v>
      </c>
      <c r="X236" s="231"/>
      <c r="Y236" s="231"/>
      <c r="Z236" s="231">
        <v>1</v>
      </c>
    </row>
    <row r="237" spans="1:26" x14ac:dyDescent="0.25">
      <c r="A237" s="484">
        <v>4</v>
      </c>
      <c r="B237" s="484" t="s">
        <v>23</v>
      </c>
      <c r="C237" s="126">
        <v>10</v>
      </c>
      <c r="D237" s="153" t="s">
        <v>23</v>
      </c>
      <c r="E237" s="225">
        <v>0</v>
      </c>
      <c r="F237" s="230"/>
      <c r="G237" s="230">
        <v>1</v>
      </c>
      <c r="H237" s="230">
        <v>1</v>
      </c>
      <c r="I237" s="230"/>
      <c r="J237" s="230">
        <v>1</v>
      </c>
      <c r="K237" s="230">
        <v>4</v>
      </c>
      <c r="L237" s="230">
        <v>5</v>
      </c>
      <c r="M237" s="230">
        <v>26</v>
      </c>
      <c r="N237" s="230">
        <v>2</v>
      </c>
      <c r="O237" s="230"/>
      <c r="P237" s="230">
        <v>1</v>
      </c>
      <c r="Q237" s="230"/>
      <c r="R237" s="409"/>
      <c r="S237" s="409"/>
      <c r="T237" s="409">
        <v>1</v>
      </c>
      <c r="U237" s="409">
        <v>2</v>
      </c>
      <c r="V237" s="409">
        <v>5</v>
      </c>
      <c r="W237" s="409">
        <v>28</v>
      </c>
      <c r="X237" s="231"/>
      <c r="Y237" s="231"/>
      <c r="Z237" s="231"/>
    </row>
    <row r="238" spans="1:26" ht="37.5" x14ac:dyDescent="0.25">
      <c r="A238" s="485"/>
      <c r="B238" s="485"/>
      <c r="C238" s="126">
        <v>11</v>
      </c>
      <c r="D238" s="153" t="s">
        <v>344</v>
      </c>
      <c r="E238" s="225">
        <v>0</v>
      </c>
      <c r="F238" s="230"/>
      <c r="G238" s="230">
        <v>1</v>
      </c>
      <c r="H238" s="230">
        <v>2</v>
      </c>
      <c r="I238" s="230"/>
      <c r="J238" s="230">
        <v>1</v>
      </c>
      <c r="K238" s="230">
        <v>5</v>
      </c>
      <c r="L238" s="230">
        <v>5</v>
      </c>
      <c r="M238" s="230">
        <v>26</v>
      </c>
      <c r="N238" s="230">
        <v>3</v>
      </c>
      <c r="O238" s="230"/>
      <c r="P238" s="230"/>
      <c r="Q238" s="230"/>
      <c r="R238" s="409"/>
      <c r="S238" s="409"/>
      <c r="T238" s="409"/>
      <c r="U238" s="409">
        <v>3</v>
      </c>
      <c r="V238" s="409">
        <v>6</v>
      </c>
      <c r="W238" s="409">
        <v>29</v>
      </c>
      <c r="X238" s="231"/>
      <c r="Y238" s="231"/>
      <c r="Z238" s="231"/>
    </row>
    <row r="239" spans="1:26" x14ac:dyDescent="0.25">
      <c r="A239" s="223"/>
      <c r="B239" s="223"/>
      <c r="C239" s="126">
        <v>12</v>
      </c>
      <c r="D239" s="48" t="s">
        <v>821</v>
      </c>
      <c r="E239" s="225">
        <v>0</v>
      </c>
      <c r="F239" s="230"/>
      <c r="G239" s="230">
        <v>1</v>
      </c>
      <c r="H239" s="230"/>
      <c r="I239" s="230"/>
      <c r="J239" s="230"/>
      <c r="K239" s="230">
        <v>2</v>
      </c>
      <c r="L239" s="230">
        <v>2</v>
      </c>
      <c r="M239" s="230">
        <v>9</v>
      </c>
      <c r="N239" s="230"/>
      <c r="O239" s="230"/>
      <c r="P239" s="230"/>
      <c r="Q239" s="230">
        <v>2</v>
      </c>
      <c r="R239" s="409"/>
      <c r="S239" s="409"/>
      <c r="T239" s="409"/>
      <c r="U239" s="409"/>
      <c r="V239" s="409"/>
      <c r="W239" s="409"/>
      <c r="X239" s="231"/>
      <c r="Y239" s="231"/>
      <c r="Z239" s="231"/>
    </row>
    <row r="240" spans="1:26" x14ac:dyDescent="0.25">
      <c r="A240" s="223"/>
      <c r="B240" s="223"/>
      <c r="C240" s="126"/>
      <c r="D240" s="153" t="s">
        <v>1056</v>
      </c>
      <c r="E240" s="225">
        <v>0</v>
      </c>
      <c r="F240" s="230"/>
      <c r="G240" s="230"/>
      <c r="H240" s="230"/>
      <c r="I240" s="230"/>
      <c r="J240" s="230"/>
      <c r="K240" s="230">
        <v>2</v>
      </c>
      <c r="L240" s="230"/>
      <c r="M240" s="230">
        <v>3</v>
      </c>
      <c r="N240" s="230"/>
      <c r="O240" s="230"/>
      <c r="P240" s="230"/>
      <c r="Q240" s="230"/>
      <c r="R240" s="409"/>
      <c r="S240" s="409"/>
      <c r="T240" s="409"/>
      <c r="U240" s="409"/>
      <c r="V240" s="409"/>
      <c r="W240" s="409"/>
      <c r="X240" s="231"/>
      <c r="Y240" s="231"/>
      <c r="Z240" s="231"/>
    </row>
    <row r="241" spans="1:26" ht="37.5" x14ac:dyDescent="0.25">
      <c r="A241" s="126"/>
      <c r="B241" s="126"/>
      <c r="C241" s="126"/>
      <c r="D241" s="153" t="s">
        <v>1055</v>
      </c>
      <c r="E241" s="225">
        <v>0</v>
      </c>
      <c r="F241" s="230">
        <v>1</v>
      </c>
      <c r="G241" s="230"/>
      <c r="H241" s="230"/>
      <c r="I241" s="230"/>
      <c r="J241" s="230"/>
      <c r="K241" s="230"/>
      <c r="L241" s="230">
        <v>1</v>
      </c>
      <c r="M241" s="230"/>
      <c r="N241" s="230"/>
      <c r="O241" s="230"/>
      <c r="P241" s="230"/>
      <c r="Q241" s="230"/>
      <c r="R241" s="409">
        <v>1</v>
      </c>
      <c r="S241" s="409"/>
      <c r="T241" s="409"/>
      <c r="U241" s="409"/>
      <c r="V241" s="409"/>
      <c r="W241" s="409"/>
      <c r="X241" s="231"/>
      <c r="Y241" s="231"/>
      <c r="Z241" s="231"/>
    </row>
    <row r="242" spans="1:26" x14ac:dyDescent="0.25">
      <c r="A242" s="484">
        <v>5</v>
      </c>
      <c r="B242" s="484" t="s">
        <v>25</v>
      </c>
      <c r="C242" s="126">
        <v>13</v>
      </c>
      <c r="D242" s="153" t="s">
        <v>26</v>
      </c>
      <c r="E242" s="225">
        <v>0</v>
      </c>
      <c r="F242" s="230"/>
      <c r="G242" s="230">
        <v>1</v>
      </c>
      <c r="H242" s="230">
        <v>1</v>
      </c>
      <c r="I242" s="230"/>
      <c r="J242" s="230">
        <v>1</v>
      </c>
      <c r="K242" s="230">
        <v>4</v>
      </c>
      <c r="L242" s="230">
        <v>5</v>
      </c>
      <c r="M242" s="230">
        <v>26</v>
      </c>
      <c r="N242" s="230">
        <v>2</v>
      </c>
      <c r="O242" s="230"/>
      <c r="P242" s="230">
        <v>1</v>
      </c>
      <c r="Q242" s="230"/>
      <c r="R242" s="409"/>
      <c r="S242" s="409"/>
      <c r="T242" s="409">
        <v>1</v>
      </c>
      <c r="U242" s="409">
        <v>3</v>
      </c>
      <c r="V242" s="409">
        <v>6</v>
      </c>
      <c r="W242" s="409">
        <v>25</v>
      </c>
      <c r="X242" s="231">
        <v>1</v>
      </c>
      <c r="Y242" s="231"/>
      <c r="Z242" s="231"/>
    </row>
    <row r="243" spans="1:26" x14ac:dyDescent="0.25">
      <c r="A243" s="486"/>
      <c r="B243" s="486"/>
      <c r="C243" s="126">
        <v>14</v>
      </c>
      <c r="D243" s="153" t="s">
        <v>27</v>
      </c>
      <c r="E243" s="225">
        <v>0</v>
      </c>
      <c r="F243" s="230"/>
      <c r="G243" s="230">
        <v>1</v>
      </c>
      <c r="H243" s="230">
        <v>1</v>
      </c>
      <c r="I243" s="230"/>
      <c r="J243" s="230">
        <v>1</v>
      </c>
      <c r="K243" s="230">
        <v>4</v>
      </c>
      <c r="L243" s="230">
        <v>5</v>
      </c>
      <c r="M243" s="230">
        <v>26</v>
      </c>
      <c r="N243" s="230">
        <v>2</v>
      </c>
      <c r="O243" s="230"/>
      <c r="P243" s="230">
        <v>1</v>
      </c>
      <c r="Q243" s="230"/>
      <c r="R243" s="409"/>
      <c r="S243" s="409">
        <v>0</v>
      </c>
      <c r="T243" s="409"/>
      <c r="U243" s="409">
        <v>6</v>
      </c>
      <c r="V243" s="409">
        <v>6</v>
      </c>
      <c r="W243" s="409">
        <v>31</v>
      </c>
      <c r="X243" s="231">
        <v>1</v>
      </c>
      <c r="Y243" s="231"/>
      <c r="Z243" s="231"/>
    </row>
    <row r="244" spans="1:26" ht="37.5" x14ac:dyDescent="0.25">
      <c r="A244" s="485"/>
      <c r="B244" s="485"/>
      <c r="C244" s="126">
        <v>15</v>
      </c>
      <c r="D244" s="153" t="s">
        <v>268</v>
      </c>
      <c r="E244" s="225">
        <v>0</v>
      </c>
      <c r="F244" s="230"/>
      <c r="G244" s="230"/>
      <c r="H244" s="230">
        <v>1</v>
      </c>
      <c r="I244" s="230"/>
      <c r="J244" s="230"/>
      <c r="K244" s="230">
        <v>1</v>
      </c>
      <c r="L244" s="230">
        <v>2</v>
      </c>
      <c r="M244" s="230">
        <v>6</v>
      </c>
      <c r="N244" s="230"/>
      <c r="O244" s="230"/>
      <c r="P244" s="230"/>
      <c r="Q244" s="230">
        <v>2</v>
      </c>
      <c r="R244" s="409"/>
      <c r="S244" s="409"/>
      <c r="T244" s="409"/>
      <c r="U244" s="409">
        <v>1</v>
      </c>
      <c r="V244" s="409">
        <v>1</v>
      </c>
      <c r="W244" s="409">
        <v>4</v>
      </c>
      <c r="X244" s="231"/>
      <c r="Y244" s="231"/>
      <c r="Z244" s="231"/>
    </row>
    <row r="245" spans="1:26" x14ac:dyDescent="0.25">
      <c r="A245" s="223"/>
      <c r="B245" s="223"/>
      <c r="C245" s="126"/>
      <c r="D245" s="153" t="s">
        <v>467</v>
      </c>
      <c r="E245" s="225">
        <v>0</v>
      </c>
      <c r="F245" s="230">
        <v>1</v>
      </c>
      <c r="G245" s="230"/>
      <c r="H245" s="230"/>
      <c r="I245" s="230"/>
      <c r="J245" s="230"/>
      <c r="K245" s="230"/>
      <c r="L245" s="230">
        <v>1</v>
      </c>
      <c r="M245" s="230"/>
      <c r="N245" s="230"/>
      <c r="O245" s="230">
        <v>1</v>
      </c>
      <c r="P245" s="230"/>
      <c r="Q245" s="230"/>
      <c r="R245" s="409">
        <v>1</v>
      </c>
      <c r="S245" s="409"/>
      <c r="T245" s="409"/>
      <c r="U245" s="409"/>
      <c r="V245" s="409"/>
      <c r="W245" s="409"/>
      <c r="X245" s="231"/>
      <c r="Y245" s="231"/>
      <c r="Z245" s="231"/>
    </row>
    <row r="246" spans="1:26" x14ac:dyDescent="0.25">
      <c r="A246" s="484">
        <v>6</v>
      </c>
      <c r="B246" s="484" t="s">
        <v>28</v>
      </c>
      <c r="C246" s="126">
        <v>16</v>
      </c>
      <c r="D246" s="153" t="s">
        <v>29</v>
      </c>
      <c r="E246" s="225">
        <v>0</v>
      </c>
      <c r="F246" s="230"/>
      <c r="G246" s="230">
        <v>1</v>
      </c>
      <c r="H246" s="230">
        <v>1</v>
      </c>
      <c r="I246" s="230"/>
      <c r="J246" s="230">
        <v>1</v>
      </c>
      <c r="K246" s="230">
        <v>4</v>
      </c>
      <c r="L246" s="230">
        <v>5</v>
      </c>
      <c r="M246" s="230">
        <v>26</v>
      </c>
      <c r="N246" s="230">
        <v>2</v>
      </c>
      <c r="O246" s="230"/>
      <c r="P246" s="230">
        <v>1</v>
      </c>
      <c r="Q246" s="230"/>
      <c r="R246" s="409"/>
      <c r="S246" s="409">
        <v>1</v>
      </c>
      <c r="T246" s="409">
        <v>0</v>
      </c>
      <c r="U246" s="409">
        <v>6</v>
      </c>
      <c r="V246" s="409">
        <v>7</v>
      </c>
      <c r="W246" s="409">
        <v>29</v>
      </c>
      <c r="X246" s="245">
        <v>1</v>
      </c>
      <c r="Y246" s="245">
        <v>1</v>
      </c>
      <c r="Z246" s="245">
        <v>1</v>
      </c>
    </row>
    <row r="247" spans="1:26" x14ac:dyDescent="0.25">
      <c r="A247" s="486"/>
      <c r="B247" s="486"/>
      <c r="C247" s="126">
        <v>17</v>
      </c>
      <c r="D247" s="153" t="s">
        <v>30</v>
      </c>
      <c r="E247" s="225">
        <v>0</v>
      </c>
      <c r="F247" s="230"/>
      <c r="G247" s="230">
        <v>1</v>
      </c>
      <c r="H247" s="230">
        <v>1</v>
      </c>
      <c r="I247" s="230"/>
      <c r="J247" s="230">
        <v>1</v>
      </c>
      <c r="K247" s="230">
        <v>4</v>
      </c>
      <c r="L247" s="230">
        <v>5</v>
      </c>
      <c r="M247" s="230">
        <v>26</v>
      </c>
      <c r="N247" s="230">
        <v>2</v>
      </c>
      <c r="O247" s="230"/>
      <c r="P247" s="230">
        <v>1</v>
      </c>
      <c r="Q247" s="230"/>
      <c r="R247" s="409"/>
      <c r="S247" s="409"/>
      <c r="T247" s="409"/>
      <c r="U247" s="409">
        <v>3</v>
      </c>
      <c r="V247" s="409">
        <v>3</v>
      </c>
      <c r="W247" s="409">
        <v>11</v>
      </c>
      <c r="X247" s="231">
        <v>2</v>
      </c>
      <c r="Y247" s="231"/>
      <c r="Z247" s="245">
        <v>1</v>
      </c>
    </row>
    <row r="248" spans="1:26" x14ac:dyDescent="0.25">
      <c r="A248" s="486"/>
      <c r="B248" s="486"/>
      <c r="C248" s="126">
        <v>18</v>
      </c>
      <c r="D248" s="153" t="s">
        <v>31</v>
      </c>
      <c r="E248" s="225">
        <v>0</v>
      </c>
      <c r="F248" s="230"/>
      <c r="G248" s="230">
        <v>1</v>
      </c>
      <c r="H248" s="230">
        <v>1</v>
      </c>
      <c r="I248" s="230"/>
      <c r="J248" s="230">
        <v>1</v>
      </c>
      <c r="K248" s="230">
        <v>4</v>
      </c>
      <c r="L248" s="230">
        <v>5</v>
      </c>
      <c r="M248" s="230">
        <v>26</v>
      </c>
      <c r="N248" s="230"/>
      <c r="O248" s="230"/>
      <c r="P248" s="230"/>
      <c r="Q248" s="230">
        <v>3</v>
      </c>
      <c r="R248" s="409"/>
      <c r="S248" s="409">
        <v>1</v>
      </c>
      <c r="T248" s="409"/>
      <c r="U248" s="409">
        <v>2</v>
      </c>
      <c r="V248" s="409">
        <v>5</v>
      </c>
      <c r="W248" s="409">
        <v>17</v>
      </c>
      <c r="X248" s="245">
        <v>1</v>
      </c>
      <c r="Y248" s="231"/>
      <c r="Z248" s="245">
        <v>1</v>
      </c>
    </row>
    <row r="249" spans="1:26" x14ac:dyDescent="0.25">
      <c r="A249" s="486"/>
      <c r="B249" s="486"/>
      <c r="C249" s="126">
        <v>19</v>
      </c>
      <c r="D249" s="153" t="s">
        <v>32</v>
      </c>
      <c r="E249" s="225">
        <v>0</v>
      </c>
      <c r="F249" s="230"/>
      <c r="G249" s="230">
        <v>1</v>
      </c>
      <c r="H249" s="230">
        <v>1</v>
      </c>
      <c r="I249" s="230"/>
      <c r="J249" s="230">
        <v>1</v>
      </c>
      <c r="K249" s="230">
        <v>4</v>
      </c>
      <c r="L249" s="230">
        <v>5</v>
      </c>
      <c r="M249" s="230">
        <v>26</v>
      </c>
      <c r="N249" s="230">
        <v>2</v>
      </c>
      <c r="O249" s="230"/>
      <c r="P249" s="230">
        <v>1</v>
      </c>
      <c r="Q249" s="230"/>
      <c r="R249" s="409"/>
      <c r="S249" s="409"/>
      <c r="T249" s="409">
        <v>1</v>
      </c>
      <c r="U249" s="409">
        <v>5</v>
      </c>
      <c r="V249" s="409">
        <v>5</v>
      </c>
      <c r="W249" s="409">
        <v>15</v>
      </c>
      <c r="X249" s="245">
        <v>2</v>
      </c>
      <c r="Y249" s="231"/>
      <c r="Z249" s="245">
        <v>1</v>
      </c>
    </row>
    <row r="250" spans="1:26" x14ac:dyDescent="0.25">
      <c r="A250" s="485"/>
      <c r="B250" s="485"/>
      <c r="C250" s="126">
        <v>20</v>
      </c>
      <c r="D250" s="153" t="s">
        <v>201</v>
      </c>
      <c r="E250" s="225">
        <v>0</v>
      </c>
      <c r="F250" s="230"/>
      <c r="G250" s="230"/>
      <c r="H250" s="230">
        <v>1</v>
      </c>
      <c r="I250" s="230"/>
      <c r="J250" s="230"/>
      <c r="K250" s="230">
        <v>1</v>
      </c>
      <c r="L250" s="230">
        <v>2</v>
      </c>
      <c r="M250" s="230">
        <v>6</v>
      </c>
      <c r="N250" s="230"/>
      <c r="O250" s="230"/>
      <c r="P250" s="230"/>
      <c r="Q250" s="230">
        <v>2</v>
      </c>
      <c r="R250" s="409"/>
      <c r="S250" s="409"/>
      <c r="T250" s="409">
        <v>1</v>
      </c>
      <c r="U250" s="409">
        <v>2</v>
      </c>
      <c r="V250" s="409">
        <v>3</v>
      </c>
      <c r="W250" s="409">
        <v>7</v>
      </c>
      <c r="X250" s="245">
        <v>1</v>
      </c>
      <c r="Y250" s="231"/>
      <c r="Z250" s="231"/>
    </row>
    <row r="251" spans="1:26" x14ac:dyDescent="0.25">
      <c r="A251" s="223"/>
      <c r="B251" s="223"/>
      <c r="C251" s="126"/>
      <c r="D251" s="153" t="s">
        <v>33</v>
      </c>
      <c r="E251" s="225">
        <v>0</v>
      </c>
      <c r="F251" s="230">
        <v>1</v>
      </c>
      <c r="G251" s="230"/>
      <c r="H251" s="230"/>
      <c r="I251" s="230">
        <v>1</v>
      </c>
      <c r="J251" s="230"/>
      <c r="K251" s="230"/>
      <c r="L251" s="230">
        <v>1</v>
      </c>
      <c r="M251" s="230"/>
      <c r="N251" s="230">
        <v>1</v>
      </c>
      <c r="O251" s="230">
        <v>1</v>
      </c>
      <c r="P251" s="230"/>
      <c r="Q251" s="230"/>
      <c r="R251" s="409">
        <v>1</v>
      </c>
      <c r="S251" s="409"/>
      <c r="T251" s="409"/>
      <c r="U251" s="409"/>
      <c r="V251" s="409"/>
      <c r="W251" s="409"/>
      <c r="X251" s="245"/>
      <c r="Y251" s="231"/>
      <c r="Z251" s="231"/>
    </row>
    <row r="252" spans="1:26" x14ac:dyDescent="0.25">
      <c r="A252" s="484">
        <v>7</v>
      </c>
      <c r="B252" s="484" t="s">
        <v>33</v>
      </c>
      <c r="C252" s="126">
        <v>21</v>
      </c>
      <c r="D252" s="153" t="s">
        <v>33</v>
      </c>
      <c r="E252" s="225">
        <v>0</v>
      </c>
      <c r="F252" s="230"/>
      <c r="G252" s="230">
        <v>1</v>
      </c>
      <c r="H252" s="230">
        <v>3</v>
      </c>
      <c r="I252" s="230">
        <v>1</v>
      </c>
      <c r="J252" s="230"/>
      <c r="K252" s="230">
        <v>11</v>
      </c>
      <c r="L252" s="230">
        <v>11</v>
      </c>
      <c r="M252" s="230">
        <v>56</v>
      </c>
      <c r="N252" s="230">
        <v>4</v>
      </c>
      <c r="O252" s="230"/>
      <c r="P252" s="230">
        <v>1</v>
      </c>
      <c r="Q252" s="230"/>
      <c r="R252" s="409"/>
      <c r="S252" s="409">
        <v>1</v>
      </c>
      <c r="T252" s="409">
        <v>0</v>
      </c>
      <c r="U252" s="409">
        <v>10</v>
      </c>
      <c r="V252" s="409">
        <v>18</v>
      </c>
      <c r="W252" s="409">
        <v>72</v>
      </c>
      <c r="X252" s="231">
        <v>7</v>
      </c>
      <c r="Y252" s="231">
        <v>0</v>
      </c>
      <c r="Z252" s="231">
        <v>2</v>
      </c>
    </row>
    <row r="253" spans="1:26" x14ac:dyDescent="0.25">
      <c r="A253" s="486"/>
      <c r="B253" s="486"/>
      <c r="C253" s="126">
        <v>22</v>
      </c>
      <c r="D253" s="153" t="s">
        <v>34</v>
      </c>
      <c r="E253" s="225">
        <v>0</v>
      </c>
      <c r="F253" s="230"/>
      <c r="G253" s="230">
        <v>1</v>
      </c>
      <c r="H253" s="230">
        <v>1</v>
      </c>
      <c r="I253" s="230"/>
      <c r="J253" s="230">
        <v>1</v>
      </c>
      <c r="K253" s="230">
        <v>4</v>
      </c>
      <c r="L253" s="230">
        <v>5</v>
      </c>
      <c r="M253" s="230">
        <v>26</v>
      </c>
      <c r="N253" s="230">
        <v>2</v>
      </c>
      <c r="O253" s="230"/>
      <c r="P253" s="230">
        <v>1</v>
      </c>
      <c r="Q253" s="230"/>
      <c r="R253" s="409"/>
      <c r="S253" s="409"/>
      <c r="T253" s="409"/>
      <c r="U253" s="409">
        <v>5</v>
      </c>
      <c r="V253" s="409">
        <v>6</v>
      </c>
      <c r="W253" s="409">
        <v>20</v>
      </c>
      <c r="X253" s="231">
        <v>2</v>
      </c>
      <c r="Y253" s="231"/>
      <c r="Z253" s="231">
        <v>1</v>
      </c>
    </row>
    <row r="254" spans="1:26" x14ac:dyDescent="0.25">
      <c r="A254" s="486"/>
      <c r="B254" s="486"/>
      <c r="C254" s="126">
        <v>23</v>
      </c>
      <c r="D254" s="92" t="s">
        <v>250</v>
      </c>
      <c r="E254" s="225">
        <v>0</v>
      </c>
      <c r="F254" s="230"/>
      <c r="G254" s="230">
        <v>1</v>
      </c>
      <c r="H254" s="230">
        <v>1</v>
      </c>
      <c r="I254" s="230"/>
      <c r="J254" s="230">
        <v>1</v>
      </c>
      <c r="K254" s="230">
        <v>4</v>
      </c>
      <c r="L254" s="230">
        <v>5</v>
      </c>
      <c r="M254" s="230">
        <v>26</v>
      </c>
      <c r="N254" s="230">
        <v>2</v>
      </c>
      <c r="O254" s="230"/>
      <c r="P254" s="230">
        <v>1</v>
      </c>
      <c r="Q254" s="230"/>
      <c r="R254" s="409"/>
      <c r="S254" s="409"/>
      <c r="T254" s="409">
        <v>1</v>
      </c>
      <c r="U254" s="409">
        <v>1</v>
      </c>
      <c r="V254" s="409">
        <v>2</v>
      </c>
      <c r="W254" s="409">
        <v>11</v>
      </c>
      <c r="X254" s="231">
        <v>1</v>
      </c>
      <c r="Y254" s="231"/>
      <c r="Z254" s="231">
        <v>1</v>
      </c>
    </row>
    <row r="255" spans="1:26" x14ac:dyDescent="0.25">
      <c r="A255" s="486"/>
      <c r="B255" s="486"/>
      <c r="C255" s="126">
        <v>24</v>
      </c>
      <c r="D255" s="153" t="s">
        <v>36</v>
      </c>
      <c r="E255" s="225">
        <v>0</v>
      </c>
      <c r="F255" s="230"/>
      <c r="G255" s="230">
        <v>1</v>
      </c>
      <c r="H255" s="230">
        <v>1</v>
      </c>
      <c r="I255" s="230"/>
      <c r="J255" s="230">
        <v>1</v>
      </c>
      <c r="K255" s="230">
        <v>4</v>
      </c>
      <c r="L255" s="230">
        <v>4</v>
      </c>
      <c r="M255" s="230">
        <v>26</v>
      </c>
      <c r="N255" s="230"/>
      <c r="O255" s="230"/>
      <c r="P255" s="230"/>
      <c r="Q255" s="230"/>
      <c r="R255" s="409"/>
      <c r="S255" s="409"/>
      <c r="T255" s="409"/>
      <c r="U255" s="409">
        <v>2</v>
      </c>
      <c r="V255" s="409">
        <v>4</v>
      </c>
      <c r="W255" s="409">
        <v>21</v>
      </c>
      <c r="X255" s="231">
        <v>1</v>
      </c>
      <c r="Y255" s="231"/>
      <c r="Z255" s="231"/>
    </row>
    <row r="256" spans="1:26" x14ac:dyDescent="0.25">
      <c r="A256" s="486"/>
      <c r="B256" s="486"/>
      <c r="C256" s="126">
        <v>25</v>
      </c>
      <c r="D256" s="153" t="s">
        <v>37</v>
      </c>
      <c r="E256" s="225">
        <v>0</v>
      </c>
      <c r="F256" s="230"/>
      <c r="G256" s="230">
        <v>1</v>
      </c>
      <c r="H256" s="230">
        <v>1</v>
      </c>
      <c r="I256" s="230"/>
      <c r="J256" s="230">
        <v>1</v>
      </c>
      <c r="K256" s="230">
        <v>4</v>
      </c>
      <c r="L256" s="230">
        <v>5</v>
      </c>
      <c r="M256" s="230">
        <v>26</v>
      </c>
      <c r="N256" s="230"/>
      <c r="O256" s="230"/>
      <c r="P256" s="230"/>
      <c r="Q256" s="230">
        <v>3</v>
      </c>
      <c r="R256" s="409"/>
      <c r="S256" s="409"/>
      <c r="T256" s="409">
        <v>1</v>
      </c>
      <c r="U256" s="409">
        <v>2</v>
      </c>
      <c r="V256" s="409">
        <v>5</v>
      </c>
      <c r="W256" s="409">
        <v>20</v>
      </c>
      <c r="X256" s="231">
        <v>1</v>
      </c>
      <c r="Y256" s="231"/>
      <c r="Z256" s="231"/>
    </row>
    <row r="257" spans="1:26" x14ac:dyDescent="0.25">
      <c r="A257" s="486"/>
      <c r="B257" s="486"/>
      <c r="C257" s="126">
        <v>26</v>
      </c>
      <c r="D257" s="153" t="s">
        <v>141</v>
      </c>
      <c r="E257" s="225">
        <v>0</v>
      </c>
      <c r="F257" s="230"/>
      <c r="G257" s="230">
        <v>1</v>
      </c>
      <c r="H257" s="230">
        <v>1</v>
      </c>
      <c r="I257" s="230"/>
      <c r="J257" s="230"/>
      <c r="K257" s="230">
        <v>4</v>
      </c>
      <c r="L257" s="230">
        <v>4</v>
      </c>
      <c r="M257" s="230">
        <v>16</v>
      </c>
      <c r="N257" s="230">
        <v>1</v>
      </c>
      <c r="O257" s="230"/>
      <c r="P257" s="230">
        <v>1</v>
      </c>
      <c r="Q257" s="230"/>
      <c r="R257" s="409"/>
      <c r="S257" s="409"/>
      <c r="T257" s="409">
        <v>1</v>
      </c>
      <c r="U257" s="409">
        <v>4</v>
      </c>
      <c r="V257" s="409">
        <v>4</v>
      </c>
      <c r="W257" s="409">
        <v>21</v>
      </c>
      <c r="X257" s="231">
        <v>1</v>
      </c>
      <c r="Y257" s="231"/>
      <c r="Z257" s="231">
        <v>1</v>
      </c>
    </row>
    <row r="258" spans="1:26" x14ac:dyDescent="0.25">
      <c r="A258" s="485"/>
      <c r="B258" s="223"/>
      <c r="C258" s="126">
        <v>27</v>
      </c>
      <c r="D258" s="153" t="s">
        <v>305</v>
      </c>
      <c r="E258" s="225">
        <v>0</v>
      </c>
      <c r="F258" s="230"/>
      <c r="G258" s="230"/>
      <c r="H258" s="230">
        <v>1</v>
      </c>
      <c r="I258" s="230"/>
      <c r="J258" s="230"/>
      <c r="K258" s="230">
        <v>1</v>
      </c>
      <c r="L258" s="230">
        <v>2</v>
      </c>
      <c r="M258" s="230">
        <v>6</v>
      </c>
      <c r="N258" s="230"/>
      <c r="O258" s="230"/>
      <c r="P258" s="230"/>
      <c r="Q258" s="230">
        <v>2</v>
      </c>
      <c r="R258" s="409"/>
      <c r="S258" s="409"/>
      <c r="T258" s="409"/>
      <c r="U258" s="409"/>
      <c r="V258" s="409"/>
      <c r="W258" s="409"/>
      <c r="X258" s="231"/>
      <c r="Y258" s="231"/>
      <c r="Z258" s="231"/>
    </row>
    <row r="259" spans="1:26" ht="37.5" x14ac:dyDescent="0.25">
      <c r="A259" s="223"/>
      <c r="B259" s="223"/>
      <c r="C259" s="126"/>
      <c r="D259" s="153" t="s">
        <v>1060</v>
      </c>
      <c r="E259" s="225">
        <v>0</v>
      </c>
      <c r="F259" s="230">
        <v>1</v>
      </c>
      <c r="G259" s="230"/>
      <c r="H259" s="230"/>
      <c r="I259" s="230"/>
      <c r="J259" s="230"/>
      <c r="K259" s="230"/>
      <c r="L259" s="230">
        <v>1</v>
      </c>
      <c r="M259" s="230"/>
      <c r="N259" s="230"/>
      <c r="O259" s="230"/>
      <c r="P259" s="230"/>
      <c r="Q259" s="230"/>
      <c r="R259" s="409">
        <v>1</v>
      </c>
      <c r="S259" s="409"/>
      <c r="T259" s="409"/>
      <c r="U259" s="409"/>
      <c r="V259" s="409"/>
      <c r="W259" s="409"/>
      <c r="X259" s="231"/>
      <c r="Y259" s="231"/>
      <c r="Z259" s="231"/>
    </row>
    <row r="260" spans="1:26" x14ac:dyDescent="0.25">
      <c r="A260" s="484">
        <v>8</v>
      </c>
      <c r="B260" s="484" t="s">
        <v>38</v>
      </c>
      <c r="C260" s="126">
        <v>28</v>
      </c>
      <c r="D260" s="153" t="s">
        <v>38</v>
      </c>
      <c r="E260" s="225">
        <v>0</v>
      </c>
      <c r="F260" s="230"/>
      <c r="G260" s="230">
        <v>1</v>
      </c>
      <c r="H260" s="230">
        <v>1</v>
      </c>
      <c r="I260" s="230"/>
      <c r="J260" s="230">
        <v>1</v>
      </c>
      <c r="K260" s="230">
        <v>4</v>
      </c>
      <c r="L260" s="230">
        <v>5</v>
      </c>
      <c r="M260" s="230">
        <v>26</v>
      </c>
      <c r="N260" s="230">
        <v>2</v>
      </c>
      <c r="O260" s="230"/>
      <c r="P260" s="230">
        <v>2</v>
      </c>
      <c r="Q260" s="230"/>
      <c r="R260" s="409"/>
      <c r="S260" s="409">
        <v>1</v>
      </c>
      <c r="T260" s="409"/>
      <c r="U260" s="409">
        <v>5</v>
      </c>
      <c r="V260" s="409">
        <v>10</v>
      </c>
      <c r="W260" s="409">
        <v>33</v>
      </c>
      <c r="X260" s="231">
        <v>2</v>
      </c>
      <c r="Y260" s="231"/>
      <c r="Z260" s="231">
        <v>1</v>
      </c>
    </row>
    <row r="261" spans="1:26" x14ac:dyDescent="0.25">
      <c r="A261" s="485"/>
      <c r="B261" s="485"/>
      <c r="C261" s="126">
        <v>29</v>
      </c>
      <c r="D261" s="153" t="s">
        <v>39</v>
      </c>
      <c r="E261" s="225">
        <v>0</v>
      </c>
      <c r="F261" s="230"/>
      <c r="G261" s="230">
        <v>1</v>
      </c>
      <c r="H261" s="230">
        <v>1</v>
      </c>
      <c r="I261" s="230"/>
      <c r="J261" s="230">
        <v>1</v>
      </c>
      <c r="K261" s="230">
        <v>4</v>
      </c>
      <c r="L261" s="230">
        <v>5</v>
      </c>
      <c r="M261" s="230">
        <v>26</v>
      </c>
      <c r="N261" s="230">
        <v>2</v>
      </c>
      <c r="O261" s="230"/>
      <c r="P261" s="230">
        <v>2</v>
      </c>
      <c r="Q261" s="230"/>
      <c r="R261" s="409"/>
      <c r="S261" s="409"/>
      <c r="T261" s="409">
        <v>1</v>
      </c>
      <c r="U261" s="409">
        <v>5</v>
      </c>
      <c r="V261" s="409">
        <v>5</v>
      </c>
      <c r="W261" s="409">
        <v>13</v>
      </c>
      <c r="X261" s="231">
        <v>2</v>
      </c>
      <c r="Y261" s="231"/>
      <c r="Z261" s="231">
        <v>2</v>
      </c>
    </row>
    <row r="262" spans="1:26" x14ac:dyDescent="0.25">
      <c r="A262" s="484">
        <v>9</v>
      </c>
      <c r="B262" s="484" t="s">
        <v>88</v>
      </c>
      <c r="C262" s="126">
        <v>30</v>
      </c>
      <c r="D262" s="153" t="s">
        <v>88</v>
      </c>
      <c r="E262" s="225">
        <v>0</v>
      </c>
      <c r="F262" s="230"/>
      <c r="G262" s="230">
        <v>1</v>
      </c>
      <c r="H262" s="230">
        <v>1</v>
      </c>
      <c r="I262" s="230"/>
      <c r="J262" s="230">
        <v>1</v>
      </c>
      <c r="K262" s="230">
        <v>4</v>
      </c>
      <c r="L262" s="230">
        <v>5</v>
      </c>
      <c r="M262" s="230">
        <v>26</v>
      </c>
      <c r="N262" s="230">
        <v>2</v>
      </c>
      <c r="O262" s="230"/>
      <c r="P262" s="230">
        <v>1</v>
      </c>
      <c r="Q262" s="230"/>
      <c r="R262" s="409"/>
      <c r="S262" s="409"/>
      <c r="T262" s="409">
        <v>1</v>
      </c>
      <c r="U262" s="409">
        <v>3</v>
      </c>
      <c r="V262" s="409">
        <v>5</v>
      </c>
      <c r="W262" s="409">
        <v>26</v>
      </c>
      <c r="X262" s="231">
        <v>2</v>
      </c>
      <c r="Y262" s="231"/>
      <c r="Z262" s="231"/>
    </row>
    <row r="263" spans="1:26" x14ac:dyDescent="0.25">
      <c r="A263" s="486"/>
      <c r="B263" s="486"/>
      <c r="C263" s="126">
        <v>31</v>
      </c>
      <c r="D263" s="153" t="s">
        <v>41</v>
      </c>
      <c r="E263" s="225">
        <v>0</v>
      </c>
      <c r="F263" s="230"/>
      <c r="G263" s="230"/>
      <c r="H263" s="230">
        <v>1</v>
      </c>
      <c r="I263" s="230"/>
      <c r="J263" s="230"/>
      <c r="K263" s="230">
        <v>1</v>
      </c>
      <c r="L263" s="230">
        <v>2</v>
      </c>
      <c r="M263" s="230">
        <v>8</v>
      </c>
      <c r="N263" s="230"/>
      <c r="O263" s="230"/>
      <c r="P263" s="230"/>
      <c r="Q263" s="230">
        <v>2</v>
      </c>
      <c r="R263" s="409"/>
      <c r="S263" s="409"/>
      <c r="T263" s="409"/>
      <c r="U263" s="409">
        <v>1</v>
      </c>
      <c r="V263" s="409">
        <v>2</v>
      </c>
      <c r="W263" s="409">
        <v>7</v>
      </c>
      <c r="X263" s="231">
        <v>1</v>
      </c>
      <c r="Y263" s="231"/>
      <c r="Z263" s="231"/>
    </row>
    <row r="264" spans="1:26" x14ac:dyDescent="0.25">
      <c r="A264" s="485"/>
      <c r="B264" s="485"/>
      <c r="C264" s="126">
        <v>32</v>
      </c>
      <c r="D264" s="153" t="s">
        <v>42</v>
      </c>
      <c r="E264" s="225">
        <v>0</v>
      </c>
      <c r="F264" s="230"/>
      <c r="G264" s="230"/>
      <c r="H264" s="230">
        <v>1</v>
      </c>
      <c r="I264" s="230"/>
      <c r="J264" s="230"/>
      <c r="K264" s="230">
        <v>1</v>
      </c>
      <c r="L264" s="230">
        <v>2</v>
      </c>
      <c r="M264" s="230">
        <v>8</v>
      </c>
      <c r="N264" s="230"/>
      <c r="O264" s="230"/>
      <c r="P264" s="230"/>
      <c r="Q264" s="230">
        <v>2</v>
      </c>
      <c r="R264" s="409"/>
      <c r="S264" s="409"/>
      <c r="T264" s="409"/>
      <c r="U264" s="409">
        <v>1</v>
      </c>
      <c r="V264" s="409">
        <v>3</v>
      </c>
      <c r="W264" s="409">
        <v>7</v>
      </c>
      <c r="X264" s="231"/>
      <c r="Y264" s="231"/>
      <c r="Z264" s="231"/>
    </row>
    <row r="265" spans="1:26" x14ac:dyDescent="0.25">
      <c r="A265" s="484">
        <v>10</v>
      </c>
      <c r="B265" s="484" t="s">
        <v>43</v>
      </c>
      <c r="C265" s="126">
        <v>33</v>
      </c>
      <c r="D265" s="48" t="s">
        <v>89</v>
      </c>
      <c r="E265" s="225">
        <v>0</v>
      </c>
      <c r="F265" s="230"/>
      <c r="G265" s="230">
        <v>1</v>
      </c>
      <c r="H265" s="230">
        <v>1</v>
      </c>
      <c r="I265" s="230">
        <v>1</v>
      </c>
      <c r="J265" s="230"/>
      <c r="K265" s="230">
        <v>2</v>
      </c>
      <c r="L265" s="230">
        <v>4</v>
      </c>
      <c r="M265" s="230">
        <v>18</v>
      </c>
      <c r="N265" s="230"/>
      <c r="O265" s="230"/>
      <c r="P265" s="230"/>
      <c r="Q265" s="230">
        <v>3</v>
      </c>
      <c r="R265" s="409"/>
      <c r="S265" s="409"/>
      <c r="T265" s="409"/>
      <c r="U265" s="409">
        <v>1</v>
      </c>
      <c r="V265" s="409">
        <v>1</v>
      </c>
      <c r="W265" s="409">
        <v>9</v>
      </c>
      <c r="X265" s="231">
        <v>1</v>
      </c>
      <c r="Y265" s="231"/>
      <c r="Z265" s="231"/>
    </row>
    <row r="266" spans="1:26" x14ac:dyDescent="0.25">
      <c r="A266" s="486"/>
      <c r="B266" s="486"/>
      <c r="C266" s="126">
        <v>34</v>
      </c>
      <c r="D266" s="153" t="s">
        <v>44</v>
      </c>
      <c r="E266" s="225">
        <v>0</v>
      </c>
      <c r="F266" s="230"/>
      <c r="G266" s="230">
        <v>1</v>
      </c>
      <c r="H266" s="230">
        <v>1</v>
      </c>
      <c r="I266" s="230"/>
      <c r="J266" s="230">
        <v>1</v>
      </c>
      <c r="K266" s="230">
        <v>4</v>
      </c>
      <c r="L266" s="230">
        <v>4</v>
      </c>
      <c r="M266" s="230">
        <v>26</v>
      </c>
      <c r="N266" s="230"/>
      <c r="O266" s="230"/>
      <c r="P266" s="230"/>
      <c r="Q266" s="230"/>
      <c r="R266" s="409"/>
      <c r="S266" s="409"/>
      <c r="T266" s="409">
        <v>0</v>
      </c>
      <c r="U266" s="409">
        <v>5</v>
      </c>
      <c r="V266" s="409">
        <v>5</v>
      </c>
      <c r="W266" s="409">
        <v>26</v>
      </c>
      <c r="X266" s="231">
        <v>1</v>
      </c>
      <c r="Y266" s="231"/>
      <c r="Z266" s="231">
        <v>1</v>
      </c>
    </row>
    <row r="267" spans="1:26" x14ac:dyDescent="0.25">
      <c r="A267" s="485"/>
      <c r="B267" s="485"/>
      <c r="C267" s="126">
        <v>35</v>
      </c>
      <c r="D267" s="153" t="s">
        <v>45</v>
      </c>
      <c r="E267" s="225">
        <v>0</v>
      </c>
      <c r="F267" s="230"/>
      <c r="G267" s="230">
        <v>1</v>
      </c>
      <c r="H267" s="230">
        <v>1</v>
      </c>
      <c r="I267" s="230"/>
      <c r="J267" s="230">
        <v>1</v>
      </c>
      <c r="K267" s="230">
        <v>4</v>
      </c>
      <c r="L267" s="230">
        <v>4</v>
      </c>
      <c r="M267" s="230">
        <v>26</v>
      </c>
      <c r="N267" s="230">
        <v>2</v>
      </c>
      <c r="O267" s="230"/>
      <c r="P267" s="230"/>
      <c r="Q267" s="230">
        <v>2</v>
      </c>
      <c r="R267" s="409"/>
      <c r="S267" s="409"/>
      <c r="T267" s="409">
        <v>1</v>
      </c>
      <c r="U267" s="409">
        <v>4</v>
      </c>
      <c r="V267" s="409">
        <v>5</v>
      </c>
      <c r="W267" s="409">
        <v>33</v>
      </c>
      <c r="X267" s="231">
        <v>2</v>
      </c>
      <c r="Y267" s="231"/>
      <c r="Z267" s="231">
        <v>1</v>
      </c>
    </row>
    <row r="268" spans="1:26" ht="37.5" x14ac:dyDescent="0.25">
      <c r="A268" s="223"/>
      <c r="B268" s="223"/>
      <c r="C268" s="126"/>
      <c r="D268" s="153" t="s">
        <v>1061</v>
      </c>
      <c r="E268" s="225">
        <v>0</v>
      </c>
      <c r="F268" s="472">
        <v>1</v>
      </c>
      <c r="G268" s="472"/>
      <c r="H268" s="472"/>
      <c r="I268" s="472"/>
      <c r="J268" s="472"/>
      <c r="K268" s="472"/>
      <c r="L268" s="472">
        <v>1</v>
      </c>
      <c r="M268" s="472"/>
      <c r="N268" s="472"/>
      <c r="O268" s="472"/>
      <c r="P268" s="472"/>
      <c r="Q268" s="472"/>
      <c r="R268" s="471"/>
      <c r="S268" s="471"/>
      <c r="T268" s="471"/>
      <c r="U268" s="471"/>
      <c r="V268" s="471"/>
      <c r="W268" s="471"/>
      <c r="X268" s="231"/>
      <c r="Y268" s="231"/>
      <c r="Z268" s="231"/>
    </row>
    <row r="269" spans="1:26" x14ac:dyDescent="0.25">
      <c r="A269" s="484">
        <v>11</v>
      </c>
      <c r="B269" s="484" t="s">
        <v>46</v>
      </c>
      <c r="C269" s="126">
        <v>36</v>
      </c>
      <c r="D269" s="153" t="s">
        <v>47</v>
      </c>
      <c r="E269" s="225">
        <v>0</v>
      </c>
      <c r="F269" s="472"/>
      <c r="G269" s="472">
        <v>0.01</v>
      </c>
      <c r="H269" s="472">
        <v>1</v>
      </c>
      <c r="I269" s="472"/>
      <c r="J269" s="472">
        <v>1</v>
      </c>
      <c r="K269" s="472">
        <v>4</v>
      </c>
      <c r="L269" s="472">
        <v>5</v>
      </c>
      <c r="M269" s="472">
        <v>26</v>
      </c>
      <c r="N269" s="472">
        <v>2</v>
      </c>
      <c r="O269" s="472">
        <v>0</v>
      </c>
      <c r="P269" s="472">
        <v>1</v>
      </c>
      <c r="Q269" s="472"/>
      <c r="R269" s="471"/>
      <c r="S269" s="471"/>
      <c r="T269" s="471">
        <v>1</v>
      </c>
      <c r="U269" s="471">
        <v>4</v>
      </c>
      <c r="V269" s="471">
        <v>3</v>
      </c>
      <c r="W269" s="471">
        <v>0.25</v>
      </c>
      <c r="X269" s="231">
        <v>2</v>
      </c>
      <c r="Y269" s="231"/>
      <c r="Z269" s="231">
        <v>1</v>
      </c>
    </row>
    <row r="270" spans="1:26" x14ac:dyDescent="0.25">
      <c r="A270" s="486"/>
      <c r="B270" s="486"/>
      <c r="C270" s="126">
        <v>37</v>
      </c>
      <c r="D270" s="153" t="s">
        <v>48</v>
      </c>
      <c r="E270" s="225">
        <v>0</v>
      </c>
      <c r="F270" s="472"/>
      <c r="G270" s="472"/>
      <c r="H270" s="472">
        <v>1</v>
      </c>
      <c r="I270" s="472"/>
      <c r="J270" s="472"/>
      <c r="K270" s="472">
        <v>1</v>
      </c>
      <c r="L270" s="472">
        <v>2</v>
      </c>
      <c r="M270" s="472">
        <v>8</v>
      </c>
      <c r="N270" s="472"/>
      <c r="O270" s="472"/>
      <c r="P270" s="472"/>
      <c r="Q270" s="472">
        <v>2</v>
      </c>
      <c r="R270" s="471"/>
      <c r="S270" s="471"/>
      <c r="T270" s="471"/>
      <c r="U270" s="471">
        <v>1</v>
      </c>
      <c r="V270" s="471">
        <v>1</v>
      </c>
      <c r="W270" s="471">
        <v>8</v>
      </c>
      <c r="X270" s="231">
        <v>1</v>
      </c>
      <c r="Y270" s="231"/>
      <c r="Z270" s="231">
        <v>1</v>
      </c>
    </row>
    <row r="271" spans="1:26" ht="37.5" x14ac:dyDescent="0.25">
      <c r="A271" s="485"/>
      <c r="B271" s="485"/>
      <c r="C271" s="126">
        <v>38</v>
      </c>
      <c r="D271" s="153" t="s">
        <v>314</v>
      </c>
      <c r="E271" s="225">
        <v>0</v>
      </c>
      <c r="F271" s="469"/>
      <c r="G271" s="469">
        <v>0</v>
      </c>
      <c r="H271" s="469">
        <v>1</v>
      </c>
      <c r="I271" s="469"/>
      <c r="J271" s="469"/>
      <c r="K271" s="469">
        <v>1</v>
      </c>
      <c r="L271" s="469">
        <v>2</v>
      </c>
      <c r="M271" s="469">
        <v>6</v>
      </c>
      <c r="N271" s="469"/>
      <c r="O271" s="469"/>
      <c r="P271" s="469"/>
      <c r="Q271" s="469">
        <v>2</v>
      </c>
      <c r="R271" s="473"/>
      <c r="S271" s="473"/>
      <c r="T271" s="473"/>
      <c r="U271" s="473">
        <v>1</v>
      </c>
      <c r="V271" s="473">
        <v>1</v>
      </c>
      <c r="W271" s="473">
        <v>6</v>
      </c>
      <c r="X271" s="231"/>
      <c r="Y271" s="231"/>
      <c r="Z271" s="231">
        <v>1</v>
      </c>
    </row>
    <row r="272" spans="1:26" x14ac:dyDescent="0.25">
      <c r="A272" s="223"/>
      <c r="B272" s="223"/>
      <c r="C272" s="126"/>
      <c r="D272" s="153" t="s">
        <v>91</v>
      </c>
      <c r="E272" s="225">
        <v>0</v>
      </c>
      <c r="F272" s="469">
        <v>1</v>
      </c>
      <c r="G272" s="469"/>
      <c r="H272" s="469"/>
      <c r="I272" s="469">
        <v>1</v>
      </c>
      <c r="J272" s="469"/>
      <c r="K272" s="469"/>
      <c r="L272" s="469">
        <v>1</v>
      </c>
      <c r="M272" s="469"/>
      <c r="N272" s="469">
        <v>1</v>
      </c>
      <c r="O272" s="469">
        <v>1</v>
      </c>
      <c r="P272" s="469"/>
      <c r="Q272" s="469"/>
      <c r="R272" s="469">
        <v>1</v>
      </c>
      <c r="S272" s="473"/>
      <c r="T272" s="473"/>
      <c r="U272" s="473"/>
      <c r="V272" s="473"/>
      <c r="W272" s="473" t="s">
        <v>1677</v>
      </c>
      <c r="X272" s="231"/>
      <c r="Y272" s="231"/>
      <c r="Z272" s="231"/>
    </row>
    <row r="273" spans="1:30" x14ac:dyDescent="0.25">
      <c r="A273" s="484">
        <v>12</v>
      </c>
      <c r="B273" s="484" t="s">
        <v>49</v>
      </c>
      <c r="C273" s="126">
        <v>39</v>
      </c>
      <c r="D273" s="153" t="s">
        <v>360</v>
      </c>
      <c r="E273" s="225">
        <v>0</v>
      </c>
      <c r="F273" s="469"/>
      <c r="G273" s="469">
        <v>1</v>
      </c>
      <c r="H273" s="469">
        <v>1</v>
      </c>
      <c r="I273" s="469"/>
      <c r="J273" s="469"/>
      <c r="K273" s="469">
        <v>4</v>
      </c>
      <c r="L273" s="469">
        <v>5</v>
      </c>
      <c r="M273" s="469">
        <v>26</v>
      </c>
      <c r="N273" s="469">
        <v>2</v>
      </c>
      <c r="O273" s="469">
        <v>0</v>
      </c>
      <c r="P273" s="469">
        <v>1</v>
      </c>
      <c r="Q273" s="469"/>
      <c r="R273" s="473"/>
      <c r="S273" s="473"/>
      <c r="T273" s="473"/>
      <c r="U273" s="473">
        <v>3</v>
      </c>
      <c r="V273" s="473">
        <v>3</v>
      </c>
      <c r="W273" s="473" t="s">
        <v>1678</v>
      </c>
      <c r="X273" s="231">
        <v>2</v>
      </c>
      <c r="Y273" s="231"/>
      <c r="Z273" s="231"/>
      <c r="AD273" s="473" t="s">
        <v>1677</v>
      </c>
    </row>
    <row r="274" spans="1:30" x14ac:dyDescent="0.25">
      <c r="A274" s="486"/>
      <c r="B274" s="486"/>
      <c r="C274" s="126">
        <v>40</v>
      </c>
      <c r="D274" s="153" t="s">
        <v>50</v>
      </c>
      <c r="E274" s="225">
        <v>0</v>
      </c>
      <c r="F274" s="469"/>
      <c r="G274" s="469">
        <v>1</v>
      </c>
      <c r="H274" s="469">
        <v>1</v>
      </c>
      <c r="I274" s="469"/>
      <c r="J274" s="469"/>
      <c r="K274" s="469">
        <v>4</v>
      </c>
      <c r="L274" s="469">
        <v>4</v>
      </c>
      <c r="M274" s="469">
        <v>26</v>
      </c>
      <c r="N274" s="469">
        <v>2</v>
      </c>
      <c r="O274" s="469"/>
      <c r="P274" s="469"/>
      <c r="Q274" s="469"/>
      <c r="R274" s="473"/>
      <c r="S274" s="473"/>
      <c r="T274" s="473">
        <v>1</v>
      </c>
      <c r="U274" s="473">
        <v>3</v>
      </c>
      <c r="V274" s="473">
        <v>2</v>
      </c>
      <c r="W274" s="473" t="s">
        <v>1679</v>
      </c>
      <c r="X274" s="231">
        <v>1</v>
      </c>
      <c r="Y274" s="231"/>
      <c r="Z274" s="231">
        <v>1</v>
      </c>
    </row>
    <row r="275" spans="1:30" x14ac:dyDescent="0.25">
      <c r="A275" s="485"/>
      <c r="B275" s="485"/>
      <c r="C275" s="126">
        <v>41</v>
      </c>
      <c r="D275" s="153" t="s">
        <v>51</v>
      </c>
      <c r="E275" s="225">
        <v>0</v>
      </c>
      <c r="F275" s="469"/>
      <c r="G275" s="469">
        <v>1</v>
      </c>
      <c r="H275" s="469">
        <v>1</v>
      </c>
      <c r="I275" s="469"/>
      <c r="J275" s="469"/>
      <c r="K275" s="469">
        <v>4</v>
      </c>
      <c r="L275" s="469">
        <v>6</v>
      </c>
      <c r="M275" s="469">
        <v>26</v>
      </c>
      <c r="N275" s="469">
        <v>2</v>
      </c>
      <c r="O275" s="469"/>
      <c r="P275" s="469">
        <v>1</v>
      </c>
      <c r="Q275" s="469"/>
      <c r="R275" s="473"/>
      <c r="S275" s="473">
        <v>1</v>
      </c>
      <c r="T275" s="473">
        <v>0</v>
      </c>
      <c r="U275" s="473">
        <v>8</v>
      </c>
      <c r="V275" s="473"/>
      <c r="W275" s="473"/>
      <c r="X275" s="231">
        <v>3</v>
      </c>
      <c r="Y275" s="231">
        <v>0</v>
      </c>
      <c r="Z275" s="231">
        <v>1</v>
      </c>
    </row>
    <row r="276" spans="1:30" x14ac:dyDescent="0.25">
      <c r="A276" s="223"/>
      <c r="B276" s="223"/>
      <c r="C276" s="126"/>
      <c r="D276" s="153" t="s">
        <v>468</v>
      </c>
      <c r="E276" s="225">
        <v>0</v>
      </c>
      <c r="F276" s="469">
        <v>1</v>
      </c>
      <c r="G276" s="469"/>
      <c r="H276" s="469"/>
      <c r="I276" s="469"/>
      <c r="J276" s="469"/>
      <c r="K276" s="469"/>
      <c r="L276" s="469">
        <v>1</v>
      </c>
      <c r="M276" s="469"/>
      <c r="N276" s="469"/>
      <c r="O276" s="469">
        <v>1</v>
      </c>
      <c r="P276" s="469"/>
      <c r="Q276" s="469"/>
      <c r="R276" s="473">
        <v>1</v>
      </c>
      <c r="S276" s="473"/>
      <c r="T276" s="473"/>
      <c r="U276" s="473"/>
      <c r="V276" s="473"/>
      <c r="W276" s="473"/>
      <c r="X276" s="231"/>
      <c r="Y276" s="231"/>
      <c r="Z276" s="231"/>
    </row>
    <row r="277" spans="1:30" x14ac:dyDescent="0.25">
      <c r="A277" s="484">
        <v>13</v>
      </c>
      <c r="B277" s="484" t="s">
        <v>52</v>
      </c>
      <c r="C277" s="126">
        <v>42</v>
      </c>
      <c r="D277" s="153" t="s">
        <v>53</v>
      </c>
      <c r="E277" s="225">
        <v>0</v>
      </c>
      <c r="F277" s="469"/>
      <c r="G277" s="469">
        <v>1</v>
      </c>
      <c r="H277" s="469">
        <v>1</v>
      </c>
      <c r="I277" s="469"/>
      <c r="J277" s="469">
        <v>1</v>
      </c>
      <c r="K277" s="469">
        <v>4</v>
      </c>
      <c r="L277" s="469">
        <v>5</v>
      </c>
      <c r="M277" s="469">
        <v>26</v>
      </c>
      <c r="N277" s="469">
        <v>2</v>
      </c>
      <c r="O277" s="469"/>
      <c r="P277" s="469">
        <v>1</v>
      </c>
      <c r="Q277" s="469"/>
      <c r="R277" s="473"/>
      <c r="S277" s="473">
        <v>1</v>
      </c>
      <c r="T277" s="473"/>
      <c r="U277" s="473">
        <v>5</v>
      </c>
      <c r="V277" s="473">
        <v>5</v>
      </c>
      <c r="W277" s="473">
        <v>33</v>
      </c>
      <c r="X277" s="231">
        <v>4</v>
      </c>
      <c r="Y277" s="231"/>
      <c r="Z277" s="231"/>
    </row>
    <row r="278" spans="1:30" x14ac:dyDescent="0.25">
      <c r="A278" s="486"/>
      <c r="B278" s="486"/>
      <c r="C278" s="126">
        <v>43</v>
      </c>
      <c r="D278" s="153" t="s">
        <v>54</v>
      </c>
      <c r="E278" s="225">
        <v>0</v>
      </c>
      <c r="F278" s="469"/>
      <c r="G278" s="469">
        <v>1</v>
      </c>
      <c r="H278" s="469">
        <v>1</v>
      </c>
      <c r="I278" s="469"/>
      <c r="J278" s="469">
        <v>1</v>
      </c>
      <c r="K278" s="469">
        <v>4</v>
      </c>
      <c r="L278" s="469">
        <v>5</v>
      </c>
      <c r="M278" s="469">
        <v>26</v>
      </c>
      <c r="N278" s="469">
        <v>2</v>
      </c>
      <c r="O278" s="469"/>
      <c r="P278" s="469">
        <v>1</v>
      </c>
      <c r="Q278" s="469"/>
      <c r="R278" s="473"/>
      <c r="S278" s="473">
        <v>1</v>
      </c>
      <c r="T278" s="473"/>
      <c r="U278" s="473">
        <v>1</v>
      </c>
      <c r="V278" s="473">
        <v>1</v>
      </c>
      <c r="W278" s="473">
        <v>23</v>
      </c>
      <c r="X278" s="231">
        <v>1</v>
      </c>
      <c r="Y278" s="231"/>
      <c r="Z278" s="231"/>
    </row>
    <row r="279" spans="1:30" x14ac:dyDescent="0.25">
      <c r="A279" s="486"/>
      <c r="B279" s="486"/>
      <c r="C279" s="126">
        <v>44</v>
      </c>
      <c r="D279" s="153" t="s">
        <v>55</v>
      </c>
      <c r="E279" s="225">
        <v>0</v>
      </c>
      <c r="F279" s="469"/>
      <c r="G279" s="469">
        <v>1</v>
      </c>
      <c r="H279" s="469">
        <v>1</v>
      </c>
      <c r="I279" s="469"/>
      <c r="J279" s="469">
        <v>1</v>
      </c>
      <c r="K279" s="469">
        <v>4</v>
      </c>
      <c r="L279" s="469">
        <v>5</v>
      </c>
      <c r="M279" s="469">
        <v>26</v>
      </c>
      <c r="N279" s="469">
        <v>2</v>
      </c>
      <c r="O279" s="469"/>
      <c r="P279" s="469">
        <v>1</v>
      </c>
      <c r="Q279" s="469"/>
      <c r="R279" s="473"/>
      <c r="S279" s="473"/>
      <c r="T279" s="473"/>
      <c r="U279" s="473">
        <v>2</v>
      </c>
      <c r="V279" s="473">
        <v>3</v>
      </c>
      <c r="W279" s="473">
        <v>27</v>
      </c>
      <c r="X279" s="231">
        <v>1</v>
      </c>
      <c r="Y279" s="231"/>
      <c r="Z279" s="231">
        <v>1</v>
      </c>
    </row>
    <row r="280" spans="1:30" x14ac:dyDescent="0.25">
      <c r="A280" s="486"/>
      <c r="B280" s="486"/>
      <c r="C280" s="126">
        <v>45</v>
      </c>
      <c r="D280" s="153" t="s">
        <v>56</v>
      </c>
      <c r="E280" s="225">
        <v>0</v>
      </c>
      <c r="F280" s="469"/>
      <c r="G280" s="469">
        <v>1</v>
      </c>
      <c r="H280" s="469">
        <v>1</v>
      </c>
      <c r="I280" s="469"/>
      <c r="J280" s="469">
        <v>1</v>
      </c>
      <c r="K280" s="469">
        <v>4</v>
      </c>
      <c r="L280" s="469">
        <v>5</v>
      </c>
      <c r="M280" s="469">
        <v>26</v>
      </c>
      <c r="N280" s="469">
        <v>2</v>
      </c>
      <c r="O280" s="469"/>
      <c r="P280" s="469">
        <v>1</v>
      </c>
      <c r="Q280" s="469"/>
      <c r="R280" s="473"/>
      <c r="S280" s="473"/>
      <c r="T280" s="473">
        <v>1</v>
      </c>
      <c r="U280" s="473">
        <v>2</v>
      </c>
      <c r="V280" s="473">
        <v>2</v>
      </c>
      <c r="W280" s="473">
        <v>12</v>
      </c>
      <c r="X280" s="231"/>
      <c r="Y280" s="231"/>
      <c r="Z280" s="231"/>
    </row>
    <row r="281" spans="1:30" x14ac:dyDescent="0.25">
      <c r="A281" s="486"/>
      <c r="B281" s="486"/>
      <c r="C281" s="126">
        <v>46</v>
      </c>
      <c r="D281" s="153" t="s">
        <v>57</v>
      </c>
      <c r="E281" s="225">
        <v>0</v>
      </c>
      <c r="F281" s="469"/>
      <c r="G281" s="469">
        <v>1</v>
      </c>
      <c r="H281" s="469">
        <v>1</v>
      </c>
      <c r="I281" s="469"/>
      <c r="J281" s="469">
        <v>1</v>
      </c>
      <c r="K281" s="469">
        <v>4</v>
      </c>
      <c r="L281" s="469">
        <v>5</v>
      </c>
      <c r="M281" s="469">
        <v>26</v>
      </c>
      <c r="N281" s="469">
        <v>2</v>
      </c>
      <c r="O281" s="469"/>
      <c r="P281" s="469">
        <v>1</v>
      </c>
      <c r="Q281" s="469"/>
      <c r="R281" s="473"/>
      <c r="S281" s="473"/>
      <c r="T281" s="473"/>
      <c r="U281" s="473">
        <v>2</v>
      </c>
      <c r="V281" s="473">
        <v>2</v>
      </c>
      <c r="W281" s="473">
        <v>24</v>
      </c>
      <c r="X281" s="231">
        <v>1</v>
      </c>
      <c r="Y281" s="231"/>
      <c r="Z281" s="231">
        <v>1</v>
      </c>
    </row>
    <row r="282" spans="1:30" x14ac:dyDescent="0.25">
      <c r="A282" s="486"/>
      <c r="B282" s="486"/>
      <c r="C282" s="126">
        <v>47</v>
      </c>
      <c r="D282" s="153" t="s">
        <v>58</v>
      </c>
      <c r="E282" s="225">
        <v>0</v>
      </c>
      <c r="F282" s="469"/>
      <c r="G282" s="469">
        <v>1</v>
      </c>
      <c r="H282" s="469">
        <v>1</v>
      </c>
      <c r="I282" s="469"/>
      <c r="J282" s="469">
        <v>1</v>
      </c>
      <c r="K282" s="469">
        <v>4</v>
      </c>
      <c r="L282" s="469">
        <v>4</v>
      </c>
      <c r="M282" s="469">
        <v>26</v>
      </c>
      <c r="N282" s="469">
        <v>2</v>
      </c>
      <c r="O282" s="469"/>
      <c r="P282" s="469">
        <v>1</v>
      </c>
      <c r="Q282" s="469"/>
      <c r="R282" s="473"/>
      <c r="S282" s="473"/>
      <c r="T282" s="473">
        <v>1</v>
      </c>
      <c r="U282" s="473">
        <v>2</v>
      </c>
      <c r="V282" s="473">
        <v>2</v>
      </c>
      <c r="W282" s="473">
        <v>12</v>
      </c>
      <c r="X282" s="231"/>
      <c r="Y282" s="231"/>
      <c r="Z282" s="231"/>
    </row>
    <row r="283" spans="1:30" x14ac:dyDescent="0.25">
      <c r="A283" s="486"/>
      <c r="B283" s="486"/>
      <c r="C283" s="126">
        <v>48</v>
      </c>
      <c r="D283" s="153" t="s">
        <v>336</v>
      </c>
      <c r="E283" s="225">
        <v>0</v>
      </c>
      <c r="F283" s="469"/>
      <c r="G283" s="469"/>
      <c r="H283" s="469">
        <v>1</v>
      </c>
      <c r="I283" s="469"/>
      <c r="J283" s="469"/>
      <c r="K283" s="469">
        <v>1</v>
      </c>
      <c r="L283" s="469">
        <v>2</v>
      </c>
      <c r="M283" s="469">
        <v>8</v>
      </c>
      <c r="N283" s="469"/>
      <c r="O283" s="469"/>
      <c r="P283" s="469"/>
      <c r="Q283" s="469">
        <v>2</v>
      </c>
      <c r="R283" s="473"/>
      <c r="S283" s="473"/>
      <c r="T283" s="473" t="s">
        <v>1677</v>
      </c>
      <c r="U283" s="473" t="s">
        <v>1680</v>
      </c>
      <c r="V283" s="473">
        <v>1</v>
      </c>
      <c r="W283" s="473">
        <v>3</v>
      </c>
      <c r="X283" s="231"/>
      <c r="Y283" s="231"/>
      <c r="Z283" s="231"/>
    </row>
    <row r="284" spans="1:30" x14ac:dyDescent="0.25">
      <c r="A284" s="485"/>
      <c r="B284" s="485"/>
      <c r="C284" s="126">
        <v>49</v>
      </c>
      <c r="D284" s="153" t="s">
        <v>59</v>
      </c>
      <c r="E284" s="225">
        <v>0</v>
      </c>
      <c r="F284" s="469"/>
      <c r="G284" s="469"/>
      <c r="H284" s="469">
        <v>1</v>
      </c>
      <c r="I284" s="469"/>
      <c r="J284" s="469"/>
      <c r="K284" s="469">
        <v>1</v>
      </c>
      <c r="L284" s="469">
        <v>2</v>
      </c>
      <c r="M284" s="469">
        <v>6</v>
      </c>
      <c r="N284" s="469"/>
      <c r="O284" s="469"/>
      <c r="P284" s="469"/>
      <c r="Q284" s="469">
        <v>2</v>
      </c>
      <c r="R284" s="473"/>
      <c r="S284" s="473"/>
      <c r="T284" s="473"/>
      <c r="U284" s="473">
        <v>1</v>
      </c>
      <c r="V284" s="473"/>
      <c r="W284" s="473">
        <v>3</v>
      </c>
      <c r="X284" s="231"/>
      <c r="Y284" s="231"/>
      <c r="Z284" s="231"/>
    </row>
    <row r="285" spans="1:30" x14ac:dyDescent="0.25">
      <c r="A285" s="253"/>
      <c r="B285" s="253" t="s">
        <v>1062</v>
      </c>
      <c r="C285" s="126"/>
      <c r="D285" s="153"/>
      <c r="E285" s="230">
        <v>1</v>
      </c>
      <c r="F285" s="469"/>
      <c r="G285" s="469">
        <v>1</v>
      </c>
      <c r="H285" s="469"/>
      <c r="I285" s="469"/>
      <c r="J285" s="469"/>
      <c r="K285" s="469">
        <v>1</v>
      </c>
      <c r="L285" s="469">
        <v>1</v>
      </c>
      <c r="M285" s="469">
        <v>2</v>
      </c>
      <c r="N285" s="469">
        <v>2</v>
      </c>
      <c r="O285" s="469">
        <v>1</v>
      </c>
      <c r="P285" s="469">
        <v>1</v>
      </c>
      <c r="Q285" s="469"/>
      <c r="R285" s="473"/>
      <c r="S285" s="473"/>
      <c r="T285" s="473"/>
      <c r="U285" s="473"/>
      <c r="V285" s="473"/>
      <c r="W285" s="473"/>
      <c r="X285" s="231"/>
      <c r="Y285" s="231"/>
      <c r="Z285" s="231"/>
    </row>
    <row r="286" spans="1:30" x14ac:dyDescent="0.25">
      <c r="A286" s="126"/>
      <c r="B286" s="126"/>
      <c r="C286" s="126"/>
      <c r="D286" s="153" t="s">
        <v>60</v>
      </c>
      <c r="E286" s="230">
        <f>SUM(E224:E285)</f>
        <v>1</v>
      </c>
      <c r="F286" s="469">
        <f t="shared" ref="F286:M286" si="4">SUM(F224:F285)</f>
        <v>9</v>
      </c>
      <c r="G286" s="469">
        <f t="shared" si="4"/>
        <v>36.010000000000005</v>
      </c>
      <c r="H286" s="469">
        <f t="shared" si="4"/>
        <v>51</v>
      </c>
      <c r="I286" s="469">
        <f t="shared" si="4"/>
        <v>4</v>
      </c>
      <c r="J286" s="469">
        <f t="shared" si="4"/>
        <v>28</v>
      </c>
      <c r="K286" s="469">
        <f t="shared" si="4"/>
        <v>166</v>
      </c>
      <c r="L286" s="469">
        <f t="shared" si="4"/>
        <v>212</v>
      </c>
      <c r="M286" s="469">
        <f t="shared" si="4"/>
        <v>1025</v>
      </c>
      <c r="N286" s="469">
        <f t="shared" ref="N286:Z286" si="5">SUM(N224:N285)</f>
        <v>65</v>
      </c>
      <c r="O286" s="469">
        <f t="shared" si="5"/>
        <v>7</v>
      </c>
      <c r="P286" s="469">
        <f t="shared" si="5"/>
        <v>27</v>
      </c>
      <c r="Q286" s="469">
        <f t="shared" si="5"/>
        <v>41</v>
      </c>
      <c r="R286" s="473">
        <f t="shared" si="5"/>
        <v>8</v>
      </c>
      <c r="S286" s="473">
        <f t="shared" si="5"/>
        <v>8</v>
      </c>
      <c r="T286" s="473">
        <f t="shared" si="5"/>
        <v>16</v>
      </c>
      <c r="U286" s="473">
        <f t="shared" si="5"/>
        <v>131</v>
      </c>
      <c r="V286" s="473">
        <f t="shared" si="5"/>
        <v>175</v>
      </c>
      <c r="W286" s="473">
        <f t="shared" si="5"/>
        <v>781.25</v>
      </c>
      <c r="X286" s="230">
        <f t="shared" si="5"/>
        <v>57</v>
      </c>
      <c r="Y286" s="230">
        <f t="shared" si="5"/>
        <v>1</v>
      </c>
      <c r="Z286" s="230">
        <f t="shared" si="5"/>
        <v>26</v>
      </c>
    </row>
    <row r="287" spans="1:30" x14ac:dyDescent="0.25">
      <c r="A287" s="172"/>
      <c r="B287" s="172"/>
      <c r="C287" s="172"/>
      <c r="D287" s="173"/>
      <c r="E287" s="269"/>
    </row>
    <row r="288" spans="1:30" x14ac:dyDescent="0.25">
      <c r="A288" s="172"/>
      <c r="B288" s="172"/>
      <c r="C288" s="172"/>
      <c r="D288" s="173"/>
      <c r="E288" s="269"/>
    </row>
    <row r="290" spans="1:26" s="278" customFormat="1" ht="21" customHeight="1" x14ac:dyDescent="0.25">
      <c r="A290" s="491" t="s">
        <v>1065</v>
      </c>
      <c r="B290" s="491"/>
      <c r="C290" s="491"/>
      <c r="D290" s="491"/>
      <c r="E290" s="491"/>
      <c r="F290" s="491"/>
      <c r="G290" s="491"/>
      <c r="H290" s="491"/>
      <c r="I290" s="491"/>
      <c r="J290" s="491"/>
      <c r="K290" s="491"/>
      <c r="L290" s="491"/>
      <c r="M290" s="491"/>
      <c r="N290" s="491"/>
      <c r="O290" s="491"/>
      <c r="P290" s="491"/>
      <c r="Q290" s="491"/>
      <c r="R290" s="491"/>
      <c r="S290" s="491"/>
      <c r="T290" s="491"/>
      <c r="U290" s="491"/>
      <c r="V290" s="491"/>
      <c r="W290" s="491"/>
      <c r="X290" s="491"/>
      <c r="Y290" s="491"/>
      <c r="Z290" s="491"/>
    </row>
    <row r="291" spans="1:26" s="23" customFormat="1" ht="40.5" customHeight="1" x14ac:dyDescent="0.25">
      <c r="A291" s="486" t="s">
        <v>0</v>
      </c>
      <c r="B291" s="486" t="s">
        <v>1</v>
      </c>
      <c r="C291" s="223"/>
      <c r="D291" s="492" t="s">
        <v>182</v>
      </c>
      <c r="E291" s="494" t="s">
        <v>764</v>
      </c>
      <c r="F291" s="495"/>
      <c r="G291" s="495"/>
      <c r="H291" s="495"/>
      <c r="I291" s="495"/>
      <c r="J291" s="495"/>
      <c r="K291" s="495"/>
      <c r="L291" s="495"/>
      <c r="M291" s="495"/>
      <c r="N291" s="496"/>
      <c r="O291" s="227"/>
      <c r="P291" s="227"/>
      <c r="Q291" s="227"/>
      <c r="R291" s="497" t="s">
        <v>769</v>
      </c>
      <c r="S291" s="498"/>
      <c r="T291" s="498"/>
      <c r="U291" s="498"/>
      <c r="V291" s="498"/>
      <c r="W291" s="498"/>
      <c r="X291" s="498"/>
      <c r="Y291" s="498"/>
      <c r="Z291" s="498"/>
    </row>
    <row r="292" spans="1:26" s="224" customFormat="1" ht="63" x14ac:dyDescent="0.25">
      <c r="A292" s="485"/>
      <c r="B292" s="485"/>
      <c r="C292" s="253"/>
      <c r="D292" s="493"/>
      <c r="E292" s="225" t="s">
        <v>1063</v>
      </c>
      <c r="F292" s="225" t="s">
        <v>161</v>
      </c>
      <c r="G292" s="225" t="s">
        <v>765</v>
      </c>
      <c r="H292" s="225" t="s">
        <v>364</v>
      </c>
      <c r="I292" s="225" t="s">
        <v>1052</v>
      </c>
      <c r="J292" s="225" t="s">
        <v>1053</v>
      </c>
      <c r="K292" s="225" t="s">
        <v>365</v>
      </c>
      <c r="L292" s="225" t="s">
        <v>366</v>
      </c>
      <c r="M292" s="225" t="s">
        <v>367</v>
      </c>
      <c r="N292" s="225" t="s">
        <v>766</v>
      </c>
      <c r="O292" s="225" t="s">
        <v>767</v>
      </c>
      <c r="P292" s="225" t="s">
        <v>768</v>
      </c>
      <c r="Q292" s="225" t="s">
        <v>1054</v>
      </c>
      <c r="R292" s="408" t="s">
        <v>161</v>
      </c>
      <c r="S292" s="408" t="s">
        <v>765</v>
      </c>
      <c r="T292" s="408" t="s">
        <v>364</v>
      </c>
      <c r="U292" s="408" t="s">
        <v>365</v>
      </c>
      <c r="V292" s="408" t="s">
        <v>366</v>
      </c>
      <c r="W292" s="408" t="s">
        <v>367</v>
      </c>
      <c r="X292" s="228" t="s">
        <v>766</v>
      </c>
      <c r="Y292" s="228" t="s">
        <v>767</v>
      </c>
      <c r="Z292" s="228" t="s">
        <v>768</v>
      </c>
    </row>
    <row r="293" spans="1:26" s="224" customFormat="1" ht="37.5" x14ac:dyDescent="0.25">
      <c r="A293" s="223"/>
      <c r="B293" s="223" t="s">
        <v>1057</v>
      </c>
      <c r="C293" s="223"/>
      <c r="D293" s="254"/>
      <c r="E293" s="225">
        <v>0</v>
      </c>
      <c r="F293" s="225">
        <v>1</v>
      </c>
      <c r="G293" s="225"/>
      <c r="H293" s="225"/>
      <c r="I293" s="225"/>
      <c r="J293" s="225"/>
      <c r="K293" s="225"/>
      <c r="L293" s="225">
        <v>1</v>
      </c>
      <c r="M293" s="225"/>
      <c r="N293" s="225"/>
      <c r="O293" s="225">
        <v>1</v>
      </c>
      <c r="P293" s="225"/>
      <c r="Q293" s="225"/>
      <c r="R293" s="408">
        <v>1</v>
      </c>
      <c r="S293" s="408"/>
      <c r="T293" s="408"/>
      <c r="U293" s="408"/>
      <c r="V293" s="408"/>
      <c r="W293" s="408"/>
      <c r="X293" s="228"/>
      <c r="Y293" s="228"/>
      <c r="Z293" s="228"/>
    </row>
    <row r="294" spans="1:26" x14ac:dyDescent="0.25">
      <c r="A294" s="484">
        <v>1</v>
      </c>
      <c r="B294" s="484" t="s">
        <v>16</v>
      </c>
      <c r="C294" s="126">
        <v>1</v>
      </c>
      <c r="D294" s="153" t="s">
        <v>17</v>
      </c>
      <c r="E294" s="225">
        <v>0</v>
      </c>
      <c r="F294" s="230"/>
      <c r="G294" s="230">
        <v>1</v>
      </c>
      <c r="H294" s="230">
        <v>1</v>
      </c>
      <c r="I294" s="230"/>
      <c r="J294" s="230">
        <v>1</v>
      </c>
      <c r="K294" s="230">
        <v>4</v>
      </c>
      <c r="L294" s="230">
        <v>5</v>
      </c>
      <c r="M294" s="230">
        <v>26</v>
      </c>
      <c r="N294" s="230">
        <v>2</v>
      </c>
      <c r="O294" s="230"/>
      <c r="P294" s="230"/>
      <c r="Q294" s="230">
        <v>1</v>
      </c>
      <c r="R294" s="409"/>
      <c r="S294" s="409"/>
      <c r="T294" s="409"/>
      <c r="U294" s="409">
        <v>2</v>
      </c>
      <c r="V294" s="409">
        <v>6</v>
      </c>
      <c r="W294" s="409">
        <v>33</v>
      </c>
      <c r="X294" s="231">
        <v>1</v>
      </c>
      <c r="Y294" s="231"/>
      <c r="Z294" s="231">
        <v>1</v>
      </c>
    </row>
    <row r="295" spans="1:26" x14ac:dyDescent="0.25">
      <c r="A295" s="486"/>
      <c r="B295" s="486"/>
      <c r="C295" s="126">
        <v>2</v>
      </c>
      <c r="D295" s="153" t="s">
        <v>19</v>
      </c>
      <c r="E295" s="225">
        <v>0</v>
      </c>
      <c r="F295" s="230"/>
      <c r="G295" s="230">
        <v>1</v>
      </c>
      <c r="H295" s="230">
        <v>1</v>
      </c>
      <c r="I295" s="230"/>
      <c r="J295" s="230">
        <v>1</v>
      </c>
      <c r="K295" s="230">
        <v>4</v>
      </c>
      <c r="L295" s="230">
        <v>5</v>
      </c>
      <c r="M295" s="230">
        <v>26</v>
      </c>
      <c r="N295" s="230">
        <v>2</v>
      </c>
      <c r="O295" s="230"/>
      <c r="P295" s="230"/>
      <c r="Q295" s="230">
        <v>1</v>
      </c>
      <c r="R295" s="409"/>
      <c r="S295" s="409"/>
      <c r="T295" s="409">
        <v>1</v>
      </c>
      <c r="U295" s="409">
        <v>2</v>
      </c>
      <c r="V295" s="409">
        <v>4</v>
      </c>
      <c r="W295" s="409">
        <v>18</v>
      </c>
      <c r="X295" s="231">
        <v>1</v>
      </c>
      <c r="Y295" s="231"/>
      <c r="Z295" s="231"/>
    </row>
    <row r="296" spans="1:26" x14ac:dyDescent="0.25">
      <c r="A296" s="486"/>
      <c r="B296" s="486"/>
      <c r="C296" s="126">
        <v>3</v>
      </c>
      <c r="D296" s="153" t="s">
        <v>383</v>
      </c>
      <c r="E296" s="225">
        <v>0</v>
      </c>
      <c r="F296" s="230"/>
      <c r="G296" s="230"/>
      <c r="H296" s="230">
        <v>1</v>
      </c>
      <c r="I296" s="230"/>
      <c r="J296" s="230"/>
      <c r="K296" s="230">
        <v>1</v>
      </c>
      <c r="L296" s="230">
        <v>2</v>
      </c>
      <c r="M296" s="230">
        <v>6</v>
      </c>
      <c r="N296" s="230"/>
      <c r="O296" s="230"/>
      <c r="P296" s="230"/>
      <c r="Q296" s="230">
        <v>2</v>
      </c>
      <c r="R296" s="409"/>
      <c r="S296" s="409"/>
      <c r="T296" s="409"/>
      <c r="U296" s="409"/>
      <c r="V296" s="409"/>
      <c r="W296" s="409"/>
      <c r="X296" s="231"/>
      <c r="Y296" s="231"/>
      <c r="Z296" s="231"/>
    </row>
    <row r="297" spans="1:26" x14ac:dyDescent="0.25">
      <c r="A297" s="486"/>
      <c r="B297" s="486"/>
      <c r="C297" s="126">
        <v>4</v>
      </c>
      <c r="D297" s="153" t="s">
        <v>377</v>
      </c>
      <c r="E297" s="225">
        <v>0</v>
      </c>
      <c r="F297" s="230"/>
      <c r="G297" s="230"/>
      <c r="H297" s="230">
        <v>1</v>
      </c>
      <c r="I297" s="230"/>
      <c r="J297" s="230"/>
      <c r="K297" s="230">
        <v>1</v>
      </c>
      <c r="L297" s="230">
        <v>2</v>
      </c>
      <c r="M297" s="230">
        <v>6</v>
      </c>
      <c r="N297" s="230"/>
      <c r="O297" s="230"/>
      <c r="P297" s="230"/>
      <c r="Q297" s="230">
        <v>2</v>
      </c>
      <c r="R297" s="409"/>
      <c r="S297" s="409"/>
      <c r="T297" s="409"/>
      <c r="U297" s="409"/>
      <c r="V297" s="409"/>
      <c r="W297" s="409"/>
      <c r="X297" s="231"/>
      <c r="Y297" s="231"/>
      <c r="Z297" s="231"/>
    </row>
    <row r="298" spans="1:26" ht="37.5" x14ac:dyDescent="0.25">
      <c r="A298" s="485"/>
      <c r="B298" s="485"/>
      <c r="C298" s="126"/>
      <c r="D298" s="153" t="s">
        <v>1058</v>
      </c>
      <c r="E298" s="225">
        <v>0</v>
      </c>
      <c r="F298" s="230"/>
      <c r="G298" s="230"/>
      <c r="H298" s="230"/>
      <c r="I298" s="230"/>
      <c r="J298" s="230"/>
      <c r="K298" s="230">
        <v>1</v>
      </c>
      <c r="L298" s="230"/>
      <c r="M298" s="230">
        <v>2</v>
      </c>
      <c r="N298" s="230"/>
      <c r="O298" s="230"/>
      <c r="P298" s="230"/>
      <c r="Q298" s="230"/>
      <c r="R298" s="409"/>
      <c r="S298" s="409"/>
      <c r="T298" s="409"/>
      <c r="U298" s="409"/>
      <c r="V298" s="409"/>
      <c r="W298" s="409"/>
      <c r="X298" s="231"/>
      <c r="Y298" s="231"/>
      <c r="Z298" s="231"/>
    </row>
    <row r="299" spans="1:26" x14ac:dyDescent="0.25">
      <c r="A299" s="484">
        <v>2</v>
      </c>
      <c r="B299" s="484" t="s">
        <v>20</v>
      </c>
      <c r="C299" s="126">
        <v>5</v>
      </c>
      <c r="D299" s="153" t="s">
        <v>20</v>
      </c>
      <c r="E299" s="225">
        <v>0</v>
      </c>
      <c r="F299" s="230"/>
      <c r="G299" s="230">
        <v>1</v>
      </c>
      <c r="H299" s="230">
        <v>1</v>
      </c>
      <c r="I299" s="230"/>
      <c r="J299" s="230"/>
      <c r="K299" s="230">
        <v>4</v>
      </c>
      <c r="L299" s="230">
        <v>4</v>
      </c>
      <c r="M299" s="230">
        <v>26</v>
      </c>
      <c r="N299" s="230">
        <v>1</v>
      </c>
      <c r="O299" s="230"/>
      <c r="P299" s="230"/>
      <c r="Q299" s="230"/>
      <c r="R299" s="409"/>
      <c r="S299" s="409"/>
      <c r="T299" s="409"/>
      <c r="U299" s="409">
        <v>3</v>
      </c>
      <c r="V299" s="409">
        <v>8</v>
      </c>
      <c r="W299" s="409">
        <v>24</v>
      </c>
      <c r="X299" s="231"/>
      <c r="Y299" s="231"/>
      <c r="Z299" s="231"/>
    </row>
    <row r="300" spans="1:26" x14ac:dyDescent="0.25">
      <c r="A300" s="485"/>
      <c r="B300" s="485"/>
      <c r="C300" s="126"/>
      <c r="D300" s="153" t="s">
        <v>1059</v>
      </c>
      <c r="E300" s="225">
        <v>0</v>
      </c>
      <c r="F300" s="230"/>
      <c r="G300" s="230"/>
      <c r="H300" s="230"/>
      <c r="I300" s="230"/>
      <c r="J300" s="230"/>
      <c r="K300" s="230">
        <v>1</v>
      </c>
      <c r="L300" s="230"/>
      <c r="M300" s="230">
        <v>1</v>
      </c>
      <c r="N300" s="230"/>
      <c r="O300" s="230"/>
      <c r="P300" s="230"/>
      <c r="Q300" s="230"/>
      <c r="R300" s="409"/>
      <c r="S300" s="409"/>
      <c r="T300" s="409"/>
      <c r="U300" s="409"/>
      <c r="V300" s="409"/>
      <c r="W300" s="409"/>
      <c r="X300" s="231"/>
      <c r="Y300" s="231"/>
      <c r="Z300" s="231"/>
    </row>
    <row r="301" spans="1:26" x14ac:dyDescent="0.25">
      <c r="A301" s="252"/>
      <c r="B301" s="252"/>
      <c r="C301" s="126"/>
      <c r="D301" s="153" t="s">
        <v>21</v>
      </c>
      <c r="E301" s="225">
        <v>0</v>
      </c>
      <c r="F301" s="230">
        <v>1</v>
      </c>
      <c r="G301" s="230"/>
      <c r="H301" s="230"/>
      <c r="I301" s="230"/>
      <c r="J301" s="230"/>
      <c r="K301" s="230"/>
      <c r="L301" s="230">
        <v>1</v>
      </c>
      <c r="M301" s="230"/>
      <c r="N301" s="230"/>
      <c r="O301" s="230">
        <v>1</v>
      </c>
      <c r="P301" s="230"/>
      <c r="Q301" s="230"/>
      <c r="R301" s="409">
        <v>1</v>
      </c>
      <c r="S301" s="409"/>
      <c r="T301" s="409"/>
      <c r="U301" s="409"/>
      <c r="V301" s="409"/>
      <c r="W301" s="409"/>
      <c r="X301" s="231"/>
      <c r="Y301" s="231"/>
      <c r="Z301" s="231"/>
    </row>
    <row r="302" spans="1:26" ht="63" x14ac:dyDescent="0.25">
      <c r="A302" s="484">
        <v>3</v>
      </c>
      <c r="B302" s="487" t="s">
        <v>21</v>
      </c>
      <c r="C302" s="93">
        <v>6</v>
      </c>
      <c r="D302" s="153" t="s">
        <v>21</v>
      </c>
      <c r="E302" s="225">
        <v>0</v>
      </c>
      <c r="F302" s="230"/>
      <c r="G302" s="230">
        <v>1</v>
      </c>
      <c r="H302" s="230">
        <v>1</v>
      </c>
      <c r="I302" s="230"/>
      <c r="J302" s="230">
        <v>1</v>
      </c>
      <c r="K302" s="230">
        <v>4</v>
      </c>
      <c r="L302" s="230">
        <v>5</v>
      </c>
      <c r="M302" s="230">
        <v>26</v>
      </c>
      <c r="N302" s="230">
        <v>2</v>
      </c>
      <c r="O302" s="230"/>
      <c r="P302" s="230">
        <v>1</v>
      </c>
      <c r="Q302" s="230"/>
      <c r="R302" s="409"/>
      <c r="S302" s="409"/>
      <c r="T302" s="409">
        <v>1</v>
      </c>
      <c r="U302" s="409">
        <v>1</v>
      </c>
      <c r="V302" s="409" t="s">
        <v>842</v>
      </c>
      <c r="W302" s="409">
        <v>16</v>
      </c>
      <c r="X302" s="231">
        <v>5</v>
      </c>
      <c r="Y302" s="231"/>
      <c r="Z302" s="231">
        <v>1</v>
      </c>
    </row>
    <row r="303" spans="1:26" x14ac:dyDescent="0.25">
      <c r="A303" s="486"/>
      <c r="B303" s="488"/>
      <c r="C303" s="93">
        <v>7</v>
      </c>
      <c r="D303" s="153" t="s">
        <v>22</v>
      </c>
      <c r="E303" s="225">
        <v>0</v>
      </c>
      <c r="F303" s="230"/>
      <c r="G303" s="230">
        <v>1</v>
      </c>
      <c r="H303" s="230">
        <v>1</v>
      </c>
      <c r="I303" s="230"/>
      <c r="J303" s="230">
        <v>1</v>
      </c>
      <c r="K303" s="230">
        <v>4</v>
      </c>
      <c r="L303" s="230">
        <v>5</v>
      </c>
      <c r="M303" s="230">
        <v>26</v>
      </c>
      <c r="N303" s="230">
        <v>2</v>
      </c>
      <c r="O303" s="230"/>
      <c r="P303" s="230">
        <v>1</v>
      </c>
      <c r="Q303" s="230"/>
      <c r="R303" s="409"/>
      <c r="S303" s="409">
        <v>1</v>
      </c>
      <c r="T303" s="409"/>
      <c r="U303" s="409">
        <v>4</v>
      </c>
      <c r="V303" s="409">
        <v>6</v>
      </c>
      <c r="W303" s="409">
        <v>15</v>
      </c>
      <c r="X303" s="231">
        <v>1</v>
      </c>
      <c r="Y303" s="231"/>
      <c r="Z303" s="231">
        <v>1</v>
      </c>
    </row>
    <row r="304" spans="1:26" x14ac:dyDescent="0.25">
      <c r="A304" s="486"/>
      <c r="B304" s="488"/>
      <c r="C304" s="93">
        <v>8</v>
      </c>
      <c r="D304" s="153" t="s">
        <v>335</v>
      </c>
      <c r="E304" s="225">
        <v>0</v>
      </c>
      <c r="F304" s="230"/>
      <c r="G304" s="230"/>
      <c r="H304" s="230">
        <v>1</v>
      </c>
      <c r="I304" s="230"/>
      <c r="J304" s="230"/>
      <c r="K304" s="230">
        <v>1</v>
      </c>
      <c r="L304" s="230">
        <v>2</v>
      </c>
      <c r="M304" s="230">
        <v>6</v>
      </c>
      <c r="N304" s="230"/>
      <c r="O304" s="230"/>
      <c r="P304" s="230"/>
      <c r="Q304" s="230">
        <v>2</v>
      </c>
      <c r="R304" s="409"/>
      <c r="S304" s="409"/>
      <c r="T304" s="409"/>
      <c r="U304" s="409"/>
      <c r="V304" s="409"/>
      <c r="W304" s="409"/>
      <c r="X304" s="231"/>
      <c r="Y304" s="231"/>
      <c r="Z304" s="231">
        <v>1</v>
      </c>
    </row>
    <row r="305" spans="1:26" x14ac:dyDescent="0.25">
      <c r="A305" s="485"/>
      <c r="B305" s="489"/>
      <c r="C305" s="93">
        <v>9</v>
      </c>
      <c r="D305" s="153" t="s">
        <v>269</v>
      </c>
      <c r="E305" s="225">
        <v>0</v>
      </c>
      <c r="F305" s="230"/>
      <c r="G305" s="230"/>
      <c r="H305" s="230">
        <v>1</v>
      </c>
      <c r="I305" s="230"/>
      <c r="J305" s="230"/>
      <c r="K305" s="230">
        <v>1</v>
      </c>
      <c r="L305" s="230">
        <v>2</v>
      </c>
      <c r="M305" s="230">
        <v>6</v>
      </c>
      <c r="N305" s="230"/>
      <c r="O305" s="230"/>
      <c r="P305" s="230"/>
      <c r="Q305" s="230">
        <v>2</v>
      </c>
      <c r="R305" s="409"/>
      <c r="S305" s="409"/>
      <c r="T305" s="409"/>
      <c r="U305" s="409">
        <v>2</v>
      </c>
      <c r="V305" s="409">
        <v>3</v>
      </c>
      <c r="W305" s="409">
        <v>9</v>
      </c>
      <c r="X305" s="231"/>
      <c r="Y305" s="231"/>
      <c r="Z305" s="231">
        <v>1</v>
      </c>
    </row>
    <row r="306" spans="1:26" x14ac:dyDescent="0.25">
      <c r="A306" s="484">
        <v>4</v>
      </c>
      <c r="B306" s="484" t="s">
        <v>23</v>
      </c>
      <c r="C306" s="126">
        <v>10</v>
      </c>
      <c r="D306" s="153" t="s">
        <v>23</v>
      </c>
      <c r="E306" s="225">
        <v>0</v>
      </c>
      <c r="F306" s="230"/>
      <c r="G306" s="230">
        <v>1</v>
      </c>
      <c r="H306" s="230">
        <v>1</v>
      </c>
      <c r="I306" s="230"/>
      <c r="J306" s="230">
        <v>1</v>
      </c>
      <c r="K306" s="230">
        <v>4</v>
      </c>
      <c r="L306" s="230">
        <v>5</v>
      </c>
      <c r="M306" s="230">
        <v>26</v>
      </c>
      <c r="N306" s="230">
        <v>2</v>
      </c>
      <c r="O306" s="230"/>
      <c r="P306" s="230">
        <v>1</v>
      </c>
      <c r="Q306" s="230"/>
      <c r="R306" s="409"/>
      <c r="S306" s="409"/>
      <c r="T306" s="409">
        <v>1</v>
      </c>
      <c r="U306" s="409">
        <v>2</v>
      </c>
      <c r="V306" s="409">
        <v>5</v>
      </c>
      <c r="W306" s="409">
        <v>28</v>
      </c>
      <c r="X306" s="231"/>
      <c r="Y306" s="231"/>
      <c r="Z306" s="231"/>
    </row>
    <row r="307" spans="1:26" ht="37.5" x14ac:dyDescent="0.25">
      <c r="A307" s="485"/>
      <c r="B307" s="485"/>
      <c r="C307" s="126">
        <v>11</v>
      </c>
      <c r="D307" s="153" t="s">
        <v>344</v>
      </c>
      <c r="E307" s="225">
        <v>0</v>
      </c>
      <c r="F307" s="230"/>
      <c r="G307" s="230">
        <v>1</v>
      </c>
      <c r="H307" s="230">
        <v>2</v>
      </c>
      <c r="I307" s="230"/>
      <c r="J307" s="230">
        <v>1</v>
      </c>
      <c r="K307" s="230">
        <v>5</v>
      </c>
      <c r="L307" s="230">
        <v>5</v>
      </c>
      <c r="M307" s="230">
        <v>26</v>
      </c>
      <c r="N307" s="230">
        <v>3</v>
      </c>
      <c r="O307" s="230"/>
      <c r="P307" s="230"/>
      <c r="Q307" s="230"/>
      <c r="R307" s="409"/>
      <c r="S307" s="409"/>
      <c r="T307" s="409"/>
      <c r="U307" s="409">
        <v>3</v>
      </c>
      <c r="V307" s="409">
        <v>6</v>
      </c>
      <c r="W307" s="409">
        <v>29</v>
      </c>
      <c r="X307" s="231"/>
      <c r="Y307" s="231"/>
      <c r="Z307" s="231"/>
    </row>
    <row r="308" spans="1:26" x14ac:dyDescent="0.25">
      <c r="A308" s="223"/>
      <c r="B308" s="223"/>
      <c r="C308" s="126">
        <v>12</v>
      </c>
      <c r="D308" s="48" t="s">
        <v>821</v>
      </c>
      <c r="E308" s="225">
        <v>0</v>
      </c>
      <c r="F308" s="230"/>
      <c r="G308" s="230">
        <v>1</v>
      </c>
      <c r="H308" s="230"/>
      <c r="I308" s="230"/>
      <c r="J308" s="230"/>
      <c r="K308" s="230">
        <v>2</v>
      </c>
      <c r="L308" s="230">
        <v>2</v>
      </c>
      <c r="M308" s="230">
        <v>9</v>
      </c>
      <c r="N308" s="230"/>
      <c r="O308" s="230"/>
      <c r="P308" s="230"/>
      <c r="Q308" s="230">
        <v>2</v>
      </c>
      <c r="R308" s="409"/>
      <c r="S308" s="409"/>
      <c r="T308" s="409"/>
      <c r="U308" s="409"/>
      <c r="V308" s="409"/>
      <c r="W308" s="409"/>
      <c r="X308" s="231"/>
      <c r="Y308" s="231"/>
      <c r="Z308" s="231"/>
    </row>
    <row r="309" spans="1:26" x14ac:dyDescent="0.25">
      <c r="A309" s="223"/>
      <c r="B309" s="223"/>
      <c r="C309" s="126"/>
      <c r="D309" s="153" t="s">
        <v>1056</v>
      </c>
      <c r="E309" s="225">
        <v>0</v>
      </c>
      <c r="F309" s="230"/>
      <c r="G309" s="230"/>
      <c r="H309" s="230"/>
      <c r="I309" s="230"/>
      <c r="J309" s="230"/>
      <c r="K309" s="230">
        <v>2</v>
      </c>
      <c r="L309" s="230"/>
      <c r="M309" s="230">
        <v>3</v>
      </c>
      <c r="N309" s="230"/>
      <c r="O309" s="230"/>
      <c r="P309" s="230"/>
      <c r="Q309" s="230"/>
      <c r="R309" s="409"/>
      <c r="S309" s="409"/>
      <c r="T309" s="409"/>
      <c r="U309" s="409"/>
      <c r="V309" s="409"/>
      <c r="W309" s="409"/>
      <c r="X309" s="231"/>
      <c r="Y309" s="231"/>
      <c r="Z309" s="231"/>
    </row>
    <row r="310" spans="1:26" ht="37.5" x14ac:dyDescent="0.25">
      <c r="A310" s="126"/>
      <c r="B310" s="126"/>
      <c r="C310" s="126"/>
      <c r="D310" s="153" t="s">
        <v>1055</v>
      </c>
      <c r="E310" s="225">
        <v>0</v>
      </c>
      <c r="F310" s="230">
        <v>1</v>
      </c>
      <c r="G310" s="230"/>
      <c r="H310" s="230"/>
      <c r="I310" s="230"/>
      <c r="J310" s="230"/>
      <c r="K310" s="230"/>
      <c r="L310" s="230">
        <v>1</v>
      </c>
      <c r="M310" s="230"/>
      <c r="N310" s="230"/>
      <c r="O310" s="230"/>
      <c r="P310" s="230"/>
      <c r="Q310" s="230"/>
      <c r="R310" s="409">
        <v>1</v>
      </c>
      <c r="S310" s="409"/>
      <c r="T310" s="409"/>
      <c r="U310" s="409"/>
      <c r="V310" s="409"/>
      <c r="W310" s="409"/>
      <c r="X310" s="231"/>
      <c r="Y310" s="231"/>
      <c r="Z310" s="231"/>
    </row>
    <row r="311" spans="1:26" x14ac:dyDescent="0.25">
      <c r="A311" s="484">
        <v>5</v>
      </c>
      <c r="B311" s="484" t="s">
        <v>25</v>
      </c>
      <c r="C311" s="126">
        <v>13</v>
      </c>
      <c r="D311" s="153" t="s">
        <v>26</v>
      </c>
      <c r="E311" s="225">
        <v>0</v>
      </c>
      <c r="F311" s="230"/>
      <c r="G311" s="230">
        <v>1</v>
      </c>
      <c r="H311" s="230">
        <v>1</v>
      </c>
      <c r="I311" s="230"/>
      <c r="J311" s="230">
        <v>1</v>
      </c>
      <c r="K311" s="230">
        <v>4</v>
      </c>
      <c r="L311" s="230">
        <v>5</v>
      </c>
      <c r="M311" s="230">
        <v>26</v>
      </c>
      <c r="N311" s="230">
        <v>2</v>
      </c>
      <c r="O311" s="230"/>
      <c r="P311" s="230">
        <v>1</v>
      </c>
      <c r="Q311" s="230"/>
      <c r="R311" s="409"/>
      <c r="S311" s="409"/>
      <c r="T311" s="409">
        <v>1</v>
      </c>
      <c r="U311" s="409">
        <v>3</v>
      </c>
      <c r="V311" s="409">
        <v>6</v>
      </c>
      <c r="W311" s="409">
        <v>25</v>
      </c>
      <c r="X311" s="231">
        <v>1</v>
      </c>
      <c r="Y311" s="231"/>
      <c r="Z311" s="231"/>
    </row>
    <row r="312" spans="1:26" x14ac:dyDescent="0.25">
      <c r="A312" s="486"/>
      <c r="B312" s="486"/>
      <c r="C312" s="126">
        <v>14</v>
      </c>
      <c r="D312" s="153" t="s">
        <v>27</v>
      </c>
      <c r="E312" s="225">
        <v>0</v>
      </c>
      <c r="F312" s="230"/>
      <c r="G312" s="230">
        <v>1</v>
      </c>
      <c r="H312" s="230">
        <v>1</v>
      </c>
      <c r="I312" s="230"/>
      <c r="J312" s="230">
        <v>1</v>
      </c>
      <c r="K312" s="230">
        <v>4</v>
      </c>
      <c r="L312" s="230">
        <v>5</v>
      </c>
      <c r="M312" s="230">
        <v>26</v>
      </c>
      <c r="N312" s="230">
        <v>2</v>
      </c>
      <c r="O312" s="230"/>
      <c r="P312" s="230">
        <v>1</v>
      </c>
      <c r="Q312" s="230"/>
      <c r="R312" s="409"/>
      <c r="S312" s="409">
        <v>0</v>
      </c>
      <c r="T312" s="409"/>
      <c r="U312" s="409">
        <v>6</v>
      </c>
      <c r="V312" s="409">
        <v>6</v>
      </c>
      <c r="W312" s="409">
        <v>31</v>
      </c>
      <c r="X312" s="231">
        <v>1</v>
      </c>
      <c r="Y312" s="231"/>
      <c r="Z312" s="231"/>
    </row>
    <row r="313" spans="1:26" ht="37.5" x14ac:dyDescent="0.25">
      <c r="A313" s="485"/>
      <c r="B313" s="485"/>
      <c r="C313" s="126">
        <v>15</v>
      </c>
      <c r="D313" s="153" t="s">
        <v>268</v>
      </c>
      <c r="E313" s="225">
        <v>0</v>
      </c>
      <c r="F313" s="230"/>
      <c r="G313" s="230"/>
      <c r="H313" s="230">
        <v>1</v>
      </c>
      <c r="I313" s="230"/>
      <c r="J313" s="230"/>
      <c r="K313" s="230">
        <v>1</v>
      </c>
      <c r="L313" s="230">
        <v>2</v>
      </c>
      <c r="M313" s="230">
        <v>6</v>
      </c>
      <c r="N313" s="230"/>
      <c r="O313" s="230"/>
      <c r="P313" s="230"/>
      <c r="Q313" s="230">
        <v>2</v>
      </c>
      <c r="R313" s="409"/>
      <c r="S313" s="409"/>
      <c r="T313" s="409"/>
      <c r="U313" s="409">
        <v>1</v>
      </c>
      <c r="V313" s="409">
        <v>1</v>
      </c>
      <c r="W313" s="409">
        <v>4</v>
      </c>
      <c r="X313" s="231"/>
      <c r="Y313" s="231"/>
      <c r="Z313" s="231"/>
    </row>
    <row r="314" spans="1:26" x14ac:dyDescent="0.25">
      <c r="A314" s="223"/>
      <c r="B314" s="223"/>
      <c r="C314" s="126"/>
      <c r="D314" s="153" t="s">
        <v>467</v>
      </c>
      <c r="E314" s="225">
        <v>0</v>
      </c>
      <c r="F314" s="230">
        <v>1</v>
      </c>
      <c r="G314" s="230"/>
      <c r="H314" s="230"/>
      <c r="I314" s="230"/>
      <c r="J314" s="230"/>
      <c r="K314" s="230"/>
      <c r="L314" s="230">
        <v>1</v>
      </c>
      <c r="M314" s="230"/>
      <c r="N314" s="230"/>
      <c r="O314" s="230">
        <v>1</v>
      </c>
      <c r="P314" s="230"/>
      <c r="Q314" s="230"/>
      <c r="R314" s="409">
        <v>1</v>
      </c>
      <c r="S314" s="409"/>
      <c r="T314" s="409"/>
      <c r="U314" s="409"/>
      <c r="V314" s="409"/>
      <c r="W314" s="409"/>
      <c r="X314" s="231"/>
      <c r="Y314" s="231"/>
      <c r="Z314" s="231"/>
    </row>
    <row r="315" spans="1:26" x14ac:dyDescent="0.25">
      <c r="A315" s="484">
        <v>6</v>
      </c>
      <c r="B315" s="484" t="s">
        <v>28</v>
      </c>
      <c r="C315" s="126">
        <v>16</v>
      </c>
      <c r="D315" s="153" t="s">
        <v>29</v>
      </c>
      <c r="E315" s="225">
        <v>0</v>
      </c>
      <c r="F315" s="230"/>
      <c r="G315" s="230">
        <v>1</v>
      </c>
      <c r="H315" s="230">
        <v>1</v>
      </c>
      <c r="I315" s="230"/>
      <c r="J315" s="230">
        <v>1</v>
      </c>
      <c r="K315" s="230">
        <v>4</v>
      </c>
      <c r="L315" s="230">
        <v>5</v>
      </c>
      <c r="M315" s="230">
        <v>26</v>
      </c>
      <c r="N315" s="230">
        <v>2</v>
      </c>
      <c r="O315" s="230"/>
      <c r="P315" s="230">
        <v>1</v>
      </c>
      <c r="Q315" s="230"/>
      <c r="R315" s="409"/>
      <c r="S315" s="409">
        <v>1</v>
      </c>
      <c r="T315" s="409">
        <v>0</v>
      </c>
      <c r="U315" s="409">
        <v>6</v>
      </c>
      <c r="V315" s="409">
        <v>7</v>
      </c>
      <c r="W315" s="409">
        <v>29</v>
      </c>
      <c r="X315" s="245">
        <v>1</v>
      </c>
      <c r="Y315" s="245">
        <v>1</v>
      </c>
      <c r="Z315" s="245">
        <v>1</v>
      </c>
    </row>
    <row r="316" spans="1:26" x14ac:dyDescent="0.25">
      <c r="A316" s="486"/>
      <c r="B316" s="486"/>
      <c r="C316" s="126">
        <v>17</v>
      </c>
      <c r="D316" s="153" t="s">
        <v>30</v>
      </c>
      <c r="E316" s="225">
        <v>0</v>
      </c>
      <c r="F316" s="230"/>
      <c r="G316" s="230">
        <v>1</v>
      </c>
      <c r="H316" s="230">
        <v>1</v>
      </c>
      <c r="I316" s="230"/>
      <c r="J316" s="230">
        <v>1</v>
      </c>
      <c r="K316" s="230">
        <v>4</v>
      </c>
      <c r="L316" s="230">
        <v>5</v>
      </c>
      <c r="M316" s="230">
        <v>26</v>
      </c>
      <c r="N316" s="230">
        <v>2</v>
      </c>
      <c r="O316" s="230"/>
      <c r="P316" s="230">
        <v>1</v>
      </c>
      <c r="Q316" s="230"/>
      <c r="R316" s="409"/>
      <c r="S316" s="409"/>
      <c r="T316" s="409"/>
      <c r="U316" s="409">
        <v>3</v>
      </c>
      <c r="V316" s="409">
        <v>3</v>
      </c>
      <c r="W316" s="409">
        <v>11</v>
      </c>
      <c r="X316" s="231">
        <v>2</v>
      </c>
      <c r="Y316" s="231"/>
      <c r="Z316" s="245">
        <v>1</v>
      </c>
    </row>
    <row r="317" spans="1:26" x14ac:dyDescent="0.25">
      <c r="A317" s="486"/>
      <c r="B317" s="486"/>
      <c r="C317" s="126">
        <v>18</v>
      </c>
      <c r="D317" s="153" t="s">
        <v>31</v>
      </c>
      <c r="E317" s="225">
        <v>0</v>
      </c>
      <c r="F317" s="230"/>
      <c r="G317" s="230">
        <v>1</v>
      </c>
      <c r="H317" s="230">
        <v>1</v>
      </c>
      <c r="I317" s="230"/>
      <c r="J317" s="230">
        <v>1</v>
      </c>
      <c r="K317" s="230">
        <v>4</v>
      </c>
      <c r="L317" s="230">
        <v>5</v>
      </c>
      <c r="M317" s="230">
        <v>26</v>
      </c>
      <c r="N317" s="230"/>
      <c r="O317" s="230"/>
      <c r="P317" s="230"/>
      <c r="Q317" s="230">
        <v>3</v>
      </c>
      <c r="R317" s="409"/>
      <c r="S317" s="409">
        <v>1</v>
      </c>
      <c r="T317" s="409"/>
      <c r="U317" s="409">
        <v>2</v>
      </c>
      <c r="V317" s="409">
        <v>5</v>
      </c>
      <c r="W317" s="409">
        <v>17</v>
      </c>
      <c r="X317" s="245">
        <v>1</v>
      </c>
      <c r="Y317" s="231"/>
      <c r="Z317" s="245">
        <v>1</v>
      </c>
    </row>
    <row r="318" spans="1:26" x14ac:dyDescent="0.25">
      <c r="A318" s="486"/>
      <c r="B318" s="486"/>
      <c r="C318" s="126">
        <v>19</v>
      </c>
      <c r="D318" s="153" t="s">
        <v>32</v>
      </c>
      <c r="E318" s="225">
        <v>0</v>
      </c>
      <c r="F318" s="230"/>
      <c r="G318" s="230">
        <v>1</v>
      </c>
      <c r="H318" s="230">
        <v>1</v>
      </c>
      <c r="I318" s="230"/>
      <c r="J318" s="230">
        <v>1</v>
      </c>
      <c r="K318" s="230">
        <v>4</v>
      </c>
      <c r="L318" s="230">
        <v>5</v>
      </c>
      <c r="M318" s="230">
        <v>26</v>
      </c>
      <c r="N318" s="230">
        <v>2</v>
      </c>
      <c r="O318" s="230"/>
      <c r="P318" s="230">
        <v>1</v>
      </c>
      <c r="Q318" s="230"/>
      <c r="R318" s="409"/>
      <c r="S318" s="409"/>
      <c r="T318" s="409">
        <v>1</v>
      </c>
      <c r="U318" s="409">
        <v>5</v>
      </c>
      <c r="V318" s="409">
        <v>5</v>
      </c>
      <c r="W318" s="409">
        <v>15</v>
      </c>
      <c r="X318" s="245">
        <v>2</v>
      </c>
      <c r="Y318" s="231"/>
      <c r="Z318" s="245">
        <v>1</v>
      </c>
    </row>
    <row r="319" spans="1:26" x14ac:dyDescent="0.25">
      <c r="A319" s="485"/>
      <c r="B319" s="485"/>
      <c r="C319" s="126">
        <v>20</v>
      </c>
      <c r="D319" s="153" t="s">
        <v>201</v>
      </c>
      <c r="E319" s="225">
        <v>0</v>
      </c>
      <c r="F319" s="230"/>
      <c r="G319" s="230"/>
      <c r="H319" s="230">
        <v>1</v>
      </c>
      <c r="I319" s="230"/>
      <c r="J319" s="230"/>
      <c r="K319" s="230">
        <v>1</v>
      </c>
      <c r="L319" s="230">
        <v>2</v>
      </c>
      <c r="M319" s="230">
        <v>6</v>
      </c>
      <c r="N319" s="230"/>
      <c r="O319" s="230"/>
      <c r="P319" s="230"/>
      <c r="Q319" s="230">
        <v>2</v>
      </c>
      <c r="R319" s="409"/>
      <c r="S319" s="409"/>
      <c r="T319" s="409">
        <v>1</v>
      </c>
      <c r="U319" s="409">
        <v>2</v>
      </c>
      <c r="V319" s="409">
        <v>3</v>
      </c>
      <c r="W319" s="409">
        <v>7</v>
      </c>
      <c r="X319" s="245">
        <v>1</v>
      </c>
      <c r="Y319" s="231"/>
      <c r="Z319" s="231"/>
    </row>
    <row r="320" spans="1:26" x14ac:dyDescent="0.25">
      <c r="A320" s="223"/>
      <c r="B320" s="223"/>
      <c r="C320" s="126"/>
      <c r="D320" s="153" t="s">
        <v>33</v>
      </c>
      <c r="E320" s="225">
        <v>0</v>
      </c>
      <c r="F320" s="230">
        <v>1</v>
      </c>
      <c r="G320" s="230"/>
      <c r="H320" s="230"/>
      <c r="I320" s="230">
        <v>1</v>
      </c>
      <c r="J320" s="230"/>
      <c r="K320" s="230"/>
      <c r="L320" s="230">
        <v>1</v>
      </c>
      <c r="M320" s="230"/>
      <c r="N320" s="230">
        <v>1</v>
      </c>
      <c r="O320" s="230">
        <v>1</v>
      </c>
      <c r="P320" s="230"/>
      <c r="Q320" s="230"/>
      <c r="R320" s="409">
        <v>1</v>
      </c>
      <c r="S320" s="409"/>
      <c r="T320" s="409"/>
      <c r="U320" s="409"/>
      <c r="V320" s="409"/>
      <c r="W320" s="409"/>
      <c r="X320" s="245"/>
      <c r="Y320" s="231"/>
      <c r="Z320" s="231"/>
    </row>
    <row r="321" spans="1:26" x14ac:dyDescent="0.25">
      <c r="A321" s="484">
        <v>7</v>
      </c>
      <c r="B321" s="484" t="s">
        <v>33</v>
      </c>
      <c r="C321" s="126">
        <v>21</v>
      </c>
      <c r="D321" s="153" t="s">
        <v>33</v>
      </c>
      <c r="E321" s="225">
        <v>0</v>
      </c>
      <c r="F321" s="230"/>
      <c r="G321" s="230">
        <v>1</v>
      </c>
      <c r="H321" s="230">
        <v>3</v>
      </c>
      <c r="I321" s="230">
        <v>1</v>
      </c>
      <c r="J321" s="230"/>
      <c r="K321" s="230">
        <v>11</v>
      </c>
      <c r="L321" s="230">
        <v>11</v>
      </c>
      <c r="M321" s="230">
        <v>56</v>
      </c>
      <c r="N321" s="230">
        <v>4</v>
      </c>
      <c r="O321" s="230"/>
      <c r="P321" s="230">
        <v>1</v>
      </c>
      <c r="Q321" s="230"/>
      <c r="R321" s="409"/>
      <c r="S321" s="409">
        <v>1</v>
      </c>
      <c r="T321" s="409">
        <v>0</v>
      </c>
      <c r="U321" s="409">
        <v>10</v>
      </c>
      <c r="V321" s="409">
        <v>18</v>
      </c>
      <c r="W321" s="409">
        <v>72</v>
      </c>
      <c r="X321" s="231">
        <v>7</v>
      </c>
      <c r="Y321" s="231">
        <v>0</v>
      </c>
      <c r="Z321" s="231">
        <v>2</v>
      </c>
    </row>
    <row r="322" spans="1:26" x14ac:dyDescent="0.25">
      <c r="A322" s="486"/>
      <c r="B322" s="486"/>
      <c r="C322" s="126">
        <v>22</v>
      </c>
      <c r="D322" s="153" t="s">
        <v>34</v>
      </c>
      <c r="E322" s="225">
        <v>0</v>
      </c>
      <c r="F322" s="230"/>
      <c r="G322" s="230">
        <v>1</v>
      </c>
      <c r="H322" s="230">
        <v>1</v>
      </c>
      <c r="I322" s="230"/>
      <c r="J322" s="230">
        <v>1</v>
      </c>
      <c r="K322" s="230">
        <v>4</v>
      </c>
      <c r="L322" s="230">
        <v>5</v>
      </c>
      <c r="M322" s="230">
        <v>26</v>
      </c>
      <c r="N322" s="230">
        <v>2</v>
      </c>
      <c r="O322" s="230"/>
      <c r="P322" s="230">
        <v>1</v>
      </c>
      <c r="Q322" s="230"/>
      <c r="R322" s="409"/>
      <c r="S322" s="409"/>
      <c r="T322" s="409"/>
      <c r="U322" s="409">
        <v>5</v>
      </c>
      <c r="V322" s="409">
        <v>6</v>
      </c>
      <c r="W322" s="409">
        <v>20</v>
      </c>
      <c r="X322" s="231">
        <v>2</v>
      </c>
      <c r="Y322" s="231"/>
      <c r="Z322" s="231">
        <v>1</v>
      </c>
    </row>
    <row r="323" spans="1:26" x14ac:dyDescent="0.25">
      <c r="A323" s="486"/>
      <c r="B323" s="486"/>
      <c r="C323" s="126">
        <v>23</v>
      </c>
      <c r="D323" s="92" t="s">
        <v>250</v>
      </c>
      <c r="E323" s="225">
        <v>0</v>
      </c>
      <c r="F323" s="230"/>
      <c r="G323" s="230">
        <v>1</v>
      </c>
      <c r="H323" s="230">
        <v>1</v>
      </c>
      <c r="I323" s="230"/>
      <c r="J323" s="230">
        <v>1</v>
      </c>
      <c r="K323" s="230">
        <v>4</v>
      </c>
      <c r="L323" s="230">
        <v>5</v>
      </c>
      <c r="M323" s="230">
        <v>26</v>
      </c>
      <c r="N323" s="230">
        <v>2</v>
      </c>
      <c r="O323" s="230"/>
      <c r="P323" s="230">
        <v>1</v>
      </c>
      <c r="Q323" s="230"/>
      <c r="R323" s="409"/>
      <c r="S323" s="409"/>
      <c r="T323" s="409">
        <v>1</v>
      </c>
      <c r="U323" s="409">
        <v>1</v>
      </c>
      <c r="V323" s="409">
        <v>2</v>
      </c>
      <c r="W323" s="409">
        <v>11</v>
      </c>
      <c r="X323" s="231">
        <v>1</v>
      </c>
      <c r="Y323" s="231"/>
      <c r="Z323" s="231">
        <v>1</v>
      </c>
    </row>
    <row r="324" spans="1:26" x14ac:dyDescent="0.25">
      <c r="A324" s="486"/>
      <c r="B324" s="486"/>
      <c r="C324" s="126">
        <v>24</v>
      </c>
      <c r="D324" s="153" t="s">
        <v>36</v>
      </c>
      <c r="E324" s="225">
        <v>0</v>
      </c>
      <c r="F324" s="230"/>
      <c r="G324" s="230">
        <v>1</v>
      </c>
      <c r="H324" s="230">
        <v>1</v>
      </c>
      <c r="I324" s="230"/>
      <c r="J324" s="230">
        <v>1</v>
      </c>
      <c r="K324" s="230">
        <v>4</v>
      </c>
      <c r="L324" s="230">
        <v>4</v>
      </c>
      <c r="M324" s="230">
        <v>26</v>
      </c>
      <c r="N324" s="230"/>
      <c r="O324" s="230"/>
      <c r="P324" s="230"/>
      <c r="Q324" s="230"/>
      <c r="R324" s="409"/>
      <c r="S324" s="409"/>
      <c r="T324" s="409"/>
      <c r="U324" s="409">
        <v>2</v>
      </c>
      <c r="V324" s="409">
        <v>4</v>
      </c>
      <c r="W324" s="409">
        <v>21</v>
      </c>
      <c r="X324" s="231">
        <v>1</v>
      </c>
      <c r="Y324" s="231"/>
      <c r="Z324" s="231"/>
    </row>
    <row r="325" spans="1:26" x14ac:dyDescent="0.25">
      <c r="A325" s="486"/>
      <c r="B325" s="486"/>
      <c r="C325" s="126">
        <v>25</v>
      </c>
      <c r="D325" s="153" t="s">
        <v>37</v>
      </c>
      <c r="E325" s="225">
        <v>0</v>
      </c>
      <c r="F325" s="230"/>
      <c r="G325" s="230">
        <v>1</v>
      </c>
      <c r="H325" s="230">
        <v>1</v>
      </c>
      <c r="I325" s="230"/>
      <c r="J325" s="230">
        <v>1</v>
      </c>
      <c r="K325" s="230">
        <v>4</v>
      </c>
      <c r="L325" s="230">
        <v>5</v>
      </c>
      <c r="M325" s="230">
        <v>26</v>
      </c>
      <c r="N325" s="230"/>
      <c r="O325" s="230"/>
      <c r="P325" s="230"/>
      <c r="Q325" s="230">
        <v>3</v>
      </c>
      <c r="R325" s="409"/>
      <c r="S325" s="409"/>
      <c r="T325" s="409">
        <v>1</v>
      </c>
      <c r="U325" s="409">
        <v>2</v>
      </c>
      <c r="V325" s="409">
        <v>5</v>
      </c>
      <c r="W325" s="409">
        <v>20</v>
      </c>
      <c r="X325" s="231">
        <v>1</v>
      </c>
      <c r="Y325" s="231"/>
      <c r="Z325" s="231"/>
    </row>
    <row r="326" spans="1:26" x14ac:dyDescent="0.25">
      <c r="A326" s="486"/>
      <c r="B326" s="486"/>
      <c r="C326" s="126">
        <v>26</v>
      </c>
      <c r="D326" s="153" t="s">
        <v>141</v>
      </c>
      <c r="E326" s="225">
        <v>0</v>
      </c>
      <c r="F326" s="230"/>
      <c r="G326" s="230">
        <v>1</v>
      </c>
      <c r="H326" s="230">
        <v>1</v>
      </c>
      <c r="I326" s="230"/>
      <c r="J326" s="230"/>
      <c r="K326" s="230">
        <v>4</v>
      </c>
      <c r="L326" s="230">
        <v>4</v>
      </c>
      <c r="M326" s="230">
        <v>16</v>
      </c>
      <c r="N326" s="230">
        <v>1</v>
      </c>
      <c r="O326" s="230"/>
      <c r="P326" s="230">
        <v>1</v>
      </c>
      <c r="Q326" s="230"/>
      <c r="R326" s="409"/>
      <c r="S326" s="409"/>
      <c r="T326" s="409">
        <v>1</v>
      </c>
      <c r="U326" s="409">
        <v>4</v>
      </c>
      <c r="V326" s="409">
        <v>4</v>
      </c>
      <c r="W326" s="409">
        <v>21</v>
      </c>
      <c r="X326" s="231">
        <v>1</v>
      </c>
      <c r="Y326" s="231"/>
      <c r="Z326" s="231">
        <v>1</v>
      </c>
    </row>
    <row r="327" spans="1:26" x14ac:dyDescent="0.25">
      <c r="A327" s="485"/>
      <c r="B327" s="223"/>
      <c r="C327" s="126">
        <v>27</v>
      </c>
      <c r="D327" s="153" t="s">
        <v>305</v>
      </c>
      <c r="E327" s="225">
        <v>0</v>
      </c>
      <c r="F327" s="230"/>
      <c r="G327" s="230"/>
      <c r="H327" s="230">
        <v>1</v>
      </c>
      <c r="I327" s="230"/>
      <c r="J327" s="230"/>
      <c r="K327" s="230">
        <v>1</v>
      </c>
      <c r="L327" s="230">
        <v>2</v>
      </c>
      <c r="M327" s="230">
        <v>6</v>
      </c>
      <c r="N327" s="230"/>
      <c r="O327" s="230"/>
      <c r="P327" s="230"/>
      <c r="Q327" s="230">
        <v>2</v>
      </c>
      <c r="R327" s="409"/>
      <c r="S327" s="409"/>
      <c r="T327" s="409"/>
      <c r="U327" s="409"/>
      <c r="V327" s="409"/>
      <c r="W327" s="409"/>
      <c r="X327" s="231"/>
      <c r="Y327" s="231"/>
      <c r="Z327" s="231"/>
    </row>
    <row r="328" spans="1:26" ht="37.5" x14ac:dyDescent="0.25">
      <c r="A328" s="223"/>
      <c r="B328" s="223"/>
      <c r="C328" s="126"/>
      <c r="D328" s="153" t="s">
        <v>1060</v>
      </c>
      <c r="E328" s="225">
        <v>0</v>
      </c>
      <c r="F328" s="230">
        <v>1</v>
      </c>
      <c r="G328" s="230"/>
      <c r="H328" s="230"/>
      <c r="I328" s="230"/>
      <c r="J328" s="230"/>
      <c r="K328" s="230"/>
      <c r="L328" s="230">
        <v>1</v>
      </c>
      <c r="M328" s="230"/>
      <c r="N328" s="230"/>
      <c r="O328" s="230"/>
      <c r="P328" s="230"/>
      <c r="Q328" s="230"/>
      <c r="R328" s="409">
        <v>1</v>
      </c>
      <c r="S328" s="409"/>
      <c r="T328" s="409"/>
      <c r="U328" s="409"/>
      <c r="V328" s="409"/>
      <c r="W328" s="409"/>
      <c r="X328" s="231"/>
      <c r="Y328" s="231"/>
      <c r="Z328" s="231"/>
    </row>
    <row r="329" spans="1:26" x14ac:dyDescent="0.25">
      <c r="A329" s="484">
        <v>8</v>
      </c>
      <c r="B329" s="484" t="s">
        <v>38</v>
      </c>
      <c r="C329" s="126">
        <v>28</v>
      </c>
      <c r="D329" s="153" t="s">
        <v>38</v>
      </c>
      <c r="E329" s="225">
        <v>0</v>
      </c>
      <c r="F329" s="230"/>
      <c r="G329" s="230">
        <v>1</v>
      </c>
      <c r="H329" s="230">
        <v>1</v>
      </c>
      <c r="I329" s="230"/>
      <c r="J329" s="230">
        <v>1</v>
      </c>
      <c r="K329" s="230">
        <v>4</v>
      </c>
      <c r="L329" s="230">
        <v>5</v>
      </c>
      <c r="M329" s="230">
        <v>26</v>
      </c>
      <c r="N329" s="230">
        <v>2</v>
      </c>
      <c r="O329" s="230"/>
      <c r="P329" s="230">
        <v>2</v>
      </c>
      <c r="Q329" s="230"/>
      <c r="R329" s="409"/>
      <c r="S329" s="409">
        <v>1</v>
      </c>
      <c r="T329" s="409"/>
      <c r="U329" s="409">
        <v>5</v>
      </c>
      <c r="V329" s="409">
        <v>10</v>
      </c>
      <c r="W329" s="409">
        <v>33</v>
      </c>
      <c r="X329" s="231">
        <v>2</v>
      </c>
      <c r="Y329" s="231"/>
      <c r="Z329" s="231">
        <v>1</v>
      </c>
    </row>
    <row r="330" spans="1:26" x14ac:dyDescent="0.25">
      <c r="A330" s="485"/>
      <c r="B330" s="485"/>
      <c r="C330" s="126">
        <v>29</v>
      </c>
      <c r="D330" s="153" t="s">
        <v>39</v>
      </c>
      <c r="E330" s="225">
        <v>0</v>
      </c>
      <c r="F330" s="230"/>
      <c r="G330" s="230">
        <v>1</v>
      </c>
      <c r="H330" s="230">
        <v>1</v>
      </c>
      <c r="I330" s="230"/>
      <c r="J330" s="230">
        <v>1</v>
      </c>
      <c r="K330" s="230">
        <v>4</v>
      </c>
      <c r="L330" s="230">
        <v>5</v>
      </c>
      <c r="M330" s="230">
        <v>26</v>
      </c>
      <c r="N330" s="230">
        <v>2</v>
      </c>
      <c r="O330" s="230"/>
      <c r="P330" s="230">
        <v>2</v>
      </c>
      <c r="Q330" s="230"/>
      <c r="R330" s="409"/>
      <c r="S330" s="409"/>
      <c r="T330" s="409">
        <v>1</v>
      </c>
      <c r="U330" s="409">
        <v>5</v>
      </c>
      <c r="V330" s="409">
        <v>5</v>
      </c>
      <c r="W330" s="409">
        <v>13</v>
      </c>
      <c r="X330" s="231">
        <v>2</v>
      </c>
      <c r="Y330" s="231"/>
      <c r="Z330" s="231">
        <v>2</v>
      </c>
    </row>
    <row r="331" spans="1:26" x14ac:dyDescent="0.25">
      <c r="A331" s="484">
        <v>9</v>
      </c>
      <c r="B331" s="484" t="s">
        <v>88</v>
      </c>
      <c r="C331" s="126">
        <v>30</v>
      </c>
      <c r="D331" s="153" t="s">
        <v>88</v>
      </c>
      <c r="E331" s="225">
        <v>0</v>
      </c>
      <c r="F331" s="230"/>
      <c r="G331" s="230">
        <v>1</v>
      </c>
      <c r="H331" s="230">
        <v>1</v>
      </c>
      <c r="I331" s="230"/>
      <c r="J331" s="230">
        <v>1</v>
      </c>
      <c r="K331" s="230">
        <v>4</v>
      </c>
      <c r="L331" s="230">
        <v>5</v>
      </c>
      <c r="M331" s="230">
        <v>26</v>
      </c>
      <c r="N331" s="230">
        <v>2</v>
      </c>
      <c r="O331" s="230"/>
      <c r="P331" s="230">
        <v>1</v>
      </c>
      <c r="Q331" s="230"/>
      <c r="R331" s="409"/>
      <c r="S331" s="409"/>
      <c r="T331" s="409">
        <v>1</v>
      </c>
      <c r="U331" s="409">
        <v>3</v>
      </c>
      <c r="V331" s="409">
        <v>5</v>
      </c>
      <c r="W331" s="409">
        <v>26</v>
      </c>
      <c r="X331" s="231">
        <v>2</v>
      </c>
      <c r="Y331" s="231"/>
      <c r="Z331" s="231"/>
    </row>
    <row r="332" spans="1:26" x14ac:dyDescent="0.25">
      <c r="A332" s="486"/>
      <c r="B332" s="486"/>
      <c r="C332" s="126">
        <v>31</v>
      </c>
      <c r="D332" s="153" t="s">
        <v>41</v>
      </c>
      <c r="E332" s="225">
        <v>0</v>
      </c>
      <c r="F332" s="230"/>
      <c r="G332" s="230"/>
      <c r="H332" s="230">
        <v>1</v>
      </c>
      <c r="I332" s="230"/>
      <c r="J332" s="230"/>
      <c r="K332" s="230">
        <v>1</v>
      </c>
      <c r="L332" s="230">
        <v>2</v>
      </c>
      <c r="M332" s="230">
        <v>8</v>
      </c>
      <c r="N332" s="230"/>
      <c r="O332" s="230"/>
      <c r="P332" s="230"/>
      <c r="Q332" s="230">
        <v>2</v>
      </c>
      <c r="R332" s="409"/>
      <c r="S332" s="409"/>
      <c r="T332" s="409"/>
      <c r="U332" s="409">
        <v>1</v>
      </c>
      <c r="V332" s="409">
        <v>2</v>
      </c>
      <c r="W332" s="409">
        <v>7</v>
      </c>
      <c r="X332" s="231">
        <v>1</v>
      </c>
      <c r="Y332" s="231"/>
      <c r="Z332" s="231"/>
    </row>
    <row r="333" spans="1:26" x14ac:dyDescent="0.25">
      <c r="A333" s="485"/>
      <c r="B333" s="485"/>
      <c r="C333" s="126">
        <v>32</v>
      </c>
      <c r="D333" s="153" t="s">
        <v>42</v>
      </c>
      <c r="E333" s="225">
        <v>0</v>
      </c>
      <c r="F333" s="230"/>
      <c r="G333" s="230"/>
      <c r="H333" s="230">
        <v>1</v>
      </c>
      <c r="I333" s="230"/>
      <c r="J333" s="230"/>
      <c r="K333" s="230">
        <v>1</v>
      </c>
      <c r="L333" s="230">
        <v>2</v>
      </c>
      <c r="M333" s="230">
        <v>8</v>
      </c>
      <c r="N333" s="230"/>
      <c r="O333" s="230"/>
      <c r="P333" s="230"/>
      <c r="Q333" s="230">
        <v>2</v>
      </c>
      <c r="R333" s="409"/>
      <c r="S333" s="409"/>
      <c r="T333" s="409"/>
      <c r="U333" s="409">
        <v>1</v>
      </c>
      <c r="V333" s="409">
        <v>3</v>
      </c>
      <c r="W333" s="409">
        <v>7</v>
      </c>
      <c r="X333" s="231"/>
      <c r="Y333" s="231"/>
      <c r="Z333" s="231"/>
    </row>
    <row r="334" spans="1:26" x14ac:dyDescent="0.25">
      <c r="A334" s="484">
        <v>10</v>
      </c>
      <c r="B334" s="484" t="s">
        <v>43</v>
      </c>
      <c r="C334" s="126">
        <v>33</v>
      </c>
      <c r="D334" s="48" t="s">
        <v>89</v>
      </c>
      <c r="E334" s="225">
        <v>0</v>
      </c>
      <c r="F334" s="230"/>
      <c r="G334" s="230">
        <v>1</v>
      </c>
      <c r="H334" s="230">
        <v>1</v>
      </c>
      <c r="I334" s="230">
        <v>1</v>
      </c>
      <c r="J334" s="230"/>
      <c r="K334" s="230">
        <v>2</v>
      </c>
      <c r="L334" s="230">
        <v>4</v>
      </c>
      <c r="M334" s="230">
        <v>18</v>
      </c>
      <c r="N334" s="230"/>
      <c r="O334" s="230"/>
      <c r="P334" s="230"/>
      <c r="Q334" s="230">
        <v>3</v>
      </c>
      <c r="R334" s="409"/>
      <c r="S334" s="409"/>
      <c r="T334" s="409"/>
      <c r="U334" s="409">
        <v>1</v>
      </c>
      <c r="V334" s="409">
        <v>1</v>
      </c>
      <c r="W334" s="409">
        <v>9</v>
      </c>
      <c r="X334" s="231">
        <v>1</v>
      </c>
      <c r="Y334" s="231"/>
      <c r="Z334" s="231"/>
    </row>
    <row r="335" spans="1:26" x14ac:dyDescent="0.25">
      <c r="A335" s="486"/>
      <c r="B335" s="486"/>
      <c r="C335" s="126">
        <v>34</v>
      </c>
      <c r="D335" s="153" t="s">
        <v>44</v>
      </c>
      <c r="E335" s="225">
        <v>0</v>
      </c>
      <c r="F335" s="230"/>
      <c r="G335" s="230">
        <v>1</v>
      </c>
      <c r="H335" s="230">
        <v>1</v>
      </c>
      <c r="I335" s="230"/>
      <c r="J335" s="230">
        <v>1</v>
      </c>
      <c r="K335" s="230">
        <v>4</v>
      </c>
      <c r="L335" s="230">
        <v>4</v>
      </c>
      <c r="M335" s="230">
        <v>26</v>
      </c>
      <c r="N335" s="230"/>
      <c r="O335" s="230"/>
      <c r="P335" s="230"/>
      <c r="Q335" s="230"/>
      <c r="R335" s="409"/>
      <c r="S335" s="409"/>
      <c r="T335" s="409">
        <v>0</v>
      </c>
      <c r="U335" s="409">
        <v>5</v>
      </c>
      <c r="V335" s="409">
        <v>5</v>
      </c>
      <c r="W335" s="409">
        <v>26</v>
      </c>
      <c r="X335" s="231">
        <v>1</v>
      </c>
      <c r="Y335" s="231"/>
      <c r="Z335" s="231">
        <v>1</v>
      </c>
    </row>
    <row r="336" spans="1:26" x14ac:dyDescent="0.25">
      <c r="A336" s="485"/>
      <c r="B336" s="485"/>
      <c r="C336" s="126">
        <v>35</v>
      </c>
      <c r="D336" s="153" t="s">
        <v>45</v>
      </c>
      <c r="E336" s="225">
        <v>0</v>
      </c>
      <c r="F336" s="230"/>
      <c r="G336" s="230">
        <v>1</v>
      </c>
      <c r="H336" s="230">
        <v>1</v>
      </c>
      <c r="I336" s="230"/>
      <c r="J336" s="230">
        <v>1</v>
      </c>
      <c r="K336" s="230">
        <v>4</v>
      </c>
      <c r="L336" s="230">
        <v>4</v>
      </c>
      <c r="M336" s="230">
        <v>26</v>
      </c>
      <c r="N336" s="230">
        <v>2</v>
      </c>
      <c r="O336" s="230"/>
      <c r="P336" s="230"/>
      <c r="Q336" s="230">
        <v>2</v>
      </c>
      <c r="R336" s="409"/>
      <c r="S336" s="409"/>
      <c r="T336" s="409">
        <v>1</v>
      </c>
      <c r="U336" s="409">
        <v>4</v>
      </c>
      <c r="V336" s="409">
        <v>5</v>
      </c>
      <c r="W336" s="409">
        <v>33</v>
      </c>
      <c r="X336" s="231">
        <v>2</v>
      </c>
      <c r="Y336" s="231"/>
      <c r="Z336" s="231">
        <v>1</v>
      </c>
    </row>
    <row r="337" spans="1:26" ht="37.5" x14ac:dyDescent="0.25">
      <c r="A337" s="223"/>
      <c r="B337" s="223"/>
      <c r="C337" s="126"/>
      <c r="D337" s="153" t="s">
        <v>1061</v>
      </c>
      <c r="E337" s="225">
        <v>0</v>
      </c>
      <c r="F337" s="230">
        <v>1</v>
      </c>
      <c r="G337" s="230"/>
      <c r="H337" s="230"/>
      <c r="I337" s="230"/>
      <c r="J337" s="230"/>
      <c r="K337" s="230"/>
      <c r="L337" s="230">
        <v>1</v>
      </c>
      <c r="M337" s="230"/>
      <c r="N337" s="230"/>
      <c r="O337" s="230"/>
      <c r="P337" s="230"/>
      <c r="Q337" s="230"/>
      <c r="R337" s="409"/>
      <c r="S337" s="409"/>
      <c r="T337" s="409"/>
      <c r="U337" s="409"/>
      <c r="V337" s="409"/>
      <c r="W337" s="409"/>
      <c r="X337" s="231"/>
      <c r="Y337" s="231"/>
      <c r="Z337" s="231"/>
    </row>
    <row r="338" spans="1:26" x14ac:dyDescent="0.25">
      <c r="A338" s="484">
        <v>11</v>
      </c>
      <c r="B338" s="484" t="s">
        <v>46</v>
      </c>
      <c r="C338" s="126">
        <v>36</v>
      </c>
      <c r="D338" s="153" t="s">
        <v>47</v>
      </c>
      <c r="E338" s="225">
        <v>0</v>
      </c>
      <c r="F338" s="230"/>
      <c r="G338" s="230">
        <v>1</v>
      </c>
      <c r="H338" s="230">
        <v>1</v>
      </c>
      <c r="I338" s="230"/>
      <c r="J338" s="230">
        <v>1</v>
      </c>
      <c r="K338" s="230">
        <v>4</v>
      </c>
      <c r="L338" s="230">
        <v>5</v>
      </c>
      <c r="M338" s="230">
        <v>26</v>
      </c>
      <c r="N338" s="230">
        <v>2</v>
      </c>
      <c r="O338" s="230">
        <v>0</v>
      </c>
      <c r="P338" s="230">
        <v>1</v>
      </c>
      <c r="Q338" s="230"/>
      <c r="R338" s="409"/>
      <c r="S338" s="409"/>
      <c r="T338" s="409">
        <v>1</v>
      </c>
      <c r="U338" s="409">
        <v>4</v>
      </c>
      <c r="V338" s="409">
        <v>3</v>
      </c>
      <c r="W338" s="409">
        <v>25</v>
      </c>
      <c r="X338" s="231">
        <v>2</v>
      </c>
      <c r="Y338" s="231"/>
      <c r="Z338" s="231">
        <v>1</v>
      </c>
    </row>
    <row r="339" spans="1:26" x14ac:dyDescent="0.25">
      <c r="A339" s="486"/>
      <c r="B339" s="486"/>
      <c r="C339" s="126">
        <v>37</v>
      </c>
      <c r="D339" s="153" t="s">
        <v>48</v>
      </c>
      <c r="E339" s="225">
        <v>0</v>
      </c>
      <c r="F339" s="230"/>
      <c r="G339" s="230"/>
      <c r="H339" s="230">
        <v>1</v>
      </c>
      <c r="I339" s="230"/>
      <c r="J339" s="230"/>
      <c r="K339" s="230">
        <v>1</v>
      </c>
      <c r="L339" s="230">
        <v>2</v>
      </c>
      <c r="M339" s="230">
        <v>8</v>
      </c>
      <c r="N339" s="230"/>
      <c r="O339" s="230"/>
      <c r="P339" s="230"/>
      <c r="Q339" s="230">
        <v>2</v>
      </c>
      <c r="R339" s="409"/>
      <c r="S339" s="409"/>
      <c r="T339" s="409"/>
      <c r="U339" s="409">
        <v>1</v>
      </c>
      <c r="V339" s="409">
        <v>1</v>
      </c>
      <c r="W339" s="409">
        <v>8</v>
      </c>
      <c r="X339" s="231">
        <v>1</v>
      </c>
      <c r="Y339" s="231"/>
      <c r="Z339" s="231">
        <v>1</v>
      </c>
    </row>
    <row r="340" spans="1:26" ht="37.5" x14ac:dyDescent="0.25">
      <c r="A340" s="485"/>
      <c r="B340" s="485"/>
      <c r="C340" s="126">
        <v>38</v>
      </c>
      <c r="D340" s="153" t="s">
        <v>314</v>
      </c>
      <c r="E340" s="225">
        <v>0</v>
      </c>
      <c r="F340" s="230"/>
      <c r="G340" s="230">
        <v>0</v>
      </c>
      <c r="H340" s="230">
        <v>1</v>
      </c>
      <c r="I340" s="230"/>
      <c r="J340" s="230"/>
      <c r="K340" s="230">
        <v>1</v>
      </c>
      <c r="L340" s="230">
        <v>2</v>
      </c>
      <c r="M340" s="230">
        <v>6</v>
      </c>
      <c r="N340" s="230"/>
      <c r="O340" s="230"/>
      <c r="P340" s="230"/>
      <c r="Q340" s="230">
        <v>2</v>
      </c>
      <c r="R340" s="409"/>
      <c r="S340" s="409"/>
      <c r="T340" s="409"/>
      <c r="U340" s="409">
        <v>1</v>
      </c>
      <c r="V340" s="409">
        <v>1</v>
      </c>
      <c r="W340" s="409">
        <v>6</v>
      </c>
      <c r="X340" s="231"/>
      <c r="Y340" s="231"/>
      <c r="Z340" s="231">
        <v>1</v>
      </c>
    </row>
    <row r="341" spans="1:26" x14ac:dyDescent="0.25">
      <c r="A341" s="223"/>
      <c r="B341" s="223"/>
      <c r="C341" s="126"/>
      <c r="D341" s="153" t="s">
        <v>91</v>
      </c>
      <c r="E341" s="225">
        <v>0</v>
      </c>
      <c r="F341" s="230">
        <v>1</v>
      </c>
      <c r="G341" s="230"/>
      <c r="H341" s="230"/>
      <c r="I341" s="230">
        <v>1</v>
      </c>
      <c r="J341" s="230"/>
      <c r="K341" s="230"/>
      <c r="L341" s="230">
        <v>1</v>
      </c>
      <c r="M341" s="230"/>
      <c r="N341" s="230">
        <v>1</v>
      </c>
      <c r="O341" s="230">
        <v>1</v>
      </c>
      <c r="P341" s="230"/>
      <c r="Q341" s="230"/>
      <c r="R341" s="409">
        <v>1</v>
      </c>
      <c r="S341" s="409"/>
      <c r="T341" s="409"/>
      <c r="U341" s="409"/>
      <c r="V341" s="409"/>
      <c r="W341" s="409"/>
      <c r="X341" s="231"/>
      <c r="Y341" s="231"/>
      <c r="Z341" s="231"/>
    </row>
    <row r="342" spans="1:26" x14ac:dyDescent="0.25">
      <c r="A342" s="484">
        <v>12</v>
      </c>
      <c r="B342" s="484" t="s">
        <v>49</v>
      </c>
      <c r="C342" s="126">
        <v>39</v>
      </c>
      <c r="D342" s="153" t="s">
        <v>360</v>
      </c>
      <c r="E342" s="225">
        <v>0</v>
      </c>
      <c r="F342" s="230"/>
      <c r="G342" s="230">
        <v>1</v>
      </c>
      <c r="H342" s="230">
        <v>1</v>
      </c>
      <c r="I342" s="230"/>
      <c r="J342" s="230"/>
      <c r="K342" s="230">
        <v>4</v>
      </c>
      <c r="L342" s="230">
        <v>5</v>
      </c>
      <c r="M342" s="230">
        <v>26</v>
      </c>
      <c r="N342" s="230">
        <v>2</v>
      </c>
      <c r="O342" s="230">
        <v>0</v>
      </c>
      <c r="P342" s="230">
        <v>1</v>
      </c>
      <c r="Q342" s="230"/>
      <c r="R342" s="409"/>
      <c r="S342" s="409"/>
      <c r="T342" s="409"/>
      <c r="U342" s="409">
        <v>3</v>
      </c>
      <c r="V342" s="409">
        <v>3</v>
      </c>
      <c r="W342" s="409">
        <v>23</v>
      </c>
      <c r="X342" s="231">
        <v>2</v>
      </c>
      <c r="Y342" s="231"/>
      <c r="Z342" s="231"/>
    </row>
    <row r="343" spans="1:26" x14ac:dyDescent="0.25">
      <c r="A343" s="486"/>
      <c r="B343" s="486"/>
      <c r="C343" s="126">
        <v>40</v>
      </c>
      <c r="D343" s="153" t="s">
        <v>50</v>
      </c>
      <c r="E343" s="225">
        <v>0</v>
      </c>
      <c r="F343" s="230"/>
      <c r="G343" s="230">
        <v>1</v>
      </c>
      <c r="H343" s="230">
        <v>1</v>
      </c>
      <c r="I343" s="230"/>
      <c r="J343" s="230"/>
      <c r="K343" s="230">
        <v>4</v>
      </c>
      <c r="L343" s="230">
        <v>4</v>
      </c>
      <c r="M343" s="230">
        <v>26</v>
      </c>
      <c r="N343" s="230">
        <v>2</v>
      </c>
      <c r="O343" s="230"/>
      <c r="P343" s="230"/>
      <c r="Q343" s="230"/>
      <c r="R343" s="409"/>
      <c r="S343" s="409"/>
      <c r="T343" s="409">
        <v>1</v>
      </c>
      <c r="U343" s="409">
        <v>3</v>
      </c>
      <c r="V343" s="409">
        <v>2</v>
      </c>
      <c r="W343" s="409">
        <v>19</v>
      </c>
      <c r="X343" s="231">
        <v>1</v>
      </c>
      <c r="Y343" s="231"/>
      <c r="Z343" s="231">
        <v>1</v>
      </c>
    </row>
    <row r="344" spans="1:26" x14ac:dyDescent="0.25">
      <c r="A344" s="485"/>
      <c r="B344" s="485"/>
      <c r="C344" s="126">
        <v>41</v>
      </c>
      <c r="D344" s="153" t="s">
        <v>51</v>
      </c>
      <c r="E344" s="225">
        <v>0</v>
      </c>
      <c r="F344" s="230"/>
      <c r="G344" s="230">
        <v>1</v>
      </c>
      <c r="H344" s="230">
        <v>1</v>
      </c>
      <c r="I344" s="230"/>
      <c r="J344" s="230"/>
      <c r="K344" s="230">
        <v>4</v>
      </c>
      <c r="L344" s="230">
        <v>5</v>
      </c>
      <c r="M344" s="230">
        <v>26</v>
      </c>
      <c r="N344" s="230">
        <v>2</v>
      </c>
      <c r="O344" s="230"/>
      <c r="P344" s="230">
        <v>1</v>
      </c>
      <c r="Q344" s="230"/>
      <c r="R344" s="409"/>
      <c r="S344" s="409">
        <v>1</v>
      </c>
      <c r="T344" s="409">
        <v>0</v>
      </c>
      <c r="U344" s="409">
        <v>8</v>
      </c>
      <c r="V344" s="409">
        <v>8</v>
      </c>
      <c r="W344" s="409">
        <v>34</v>
      </c>
      <c r="X344" s="231">
        <v>3</v>
      </c>
      <c r="Y344" s="231">
        <v>0</v>
      </c>
      <c r="Z344" s="231">
        <v>1</v>
      </c>
    </row>
    <row r="345" spans="1:26" x14ac:dyDescent="0.25">
      <c r="A345" s="223"/>
      <c r="B345" s="223"/>
      <c r="C345" s="126"/>
      <c r="D345" s="153" t="s">
        <v>468</v>
      </c>
      <c r="E345" s="225">
        <v>0</v>
      </c>
      <c r="F345" s="230">
        <v>1</v>
      </c>
      <c r="G345" s="230"/>
      <c r="H345" s="230"/>
      <c r="I345" s="230"/>
      <c r="J345" s="230"/>
      <c r="K345" s="230"/>
      <c r="L345" s="230">
        <v>1</v>
      </c>
      <c r="M345" s="230"/>
      <c r="N345" s="230"/>
      <c r="O345" s="230">
        <v>1</v>
      </c>
      <c r="P345" s="230"/>
      <c r="Q345" s="230"/>
      <c r="R345" s="409">
        <v>1</v>
      </c>
      <c r="S345" s="409"/>
      <c r="T345" s="409"/>
      <c r="U345" s="409"/>
      <c r="V345" s="409"/>
      <c r="W345" s="409"/>
      <c r="X345" s="231"/>
      <c r="Y345" s="231"/>
      <c r="Z345" s="231"/>
    </row>
    <row r="346" spans="1:26" x14ac:dyDescent="0.25">
      <c r="A346" s="484">
        <v>13</v>
      </c>
      <c r="B346" s="484" t="s">
        <v>52</v>
      </c>
      <c r="C346" s="126">
        <v>42</v>
      </c>
      <c r="D346" s="153" t="s">
        <v>53</v>
      </c>
      <c r="E346" s="225">
        <v>0</v>
      </c>
      <c r="F346" s="230"/>
      <c r="G346" s="230">
        <v>1</v>
      </c>
      <c r="H346" s="230">
        <v>1</v>
      </c>
      <c r="I346" s="230"/>
      <c r="J346" s="230">
        <v>1</v>
      </c>
      <c r="K346" s="230">
        <v>4</v>
      </c>
      <c r="L346" s="230">
        <v>5</v>
      </c>
      <c r="M346" s="230">
        <v>26</v>
      </c>
      <c r="N346" s="230">
        <v>2</v>
      </c>
      <c r="O346" s="230"/>
      <c r="P346" s="230">
        <v>1</v>
      </c>
      <c r="Q346" s="230"/>
      <c r="R346" s="409"/>
      <c r="S346" s="409">
        <v>1</v>
      </c>
      <c r="T346" s="409"/>
      <c r="U346" s="409">
        <v>5</v>
      </c>
      <c r="V346" s="409">
        <v>5</v>
      </c>
      <c r="W346" s="409">
        <v>33</v>
      </c>
      <c r="X346" s="231">
        <v>4</v>
      </c>
      <c r="Y346" s="231"/>
      <c r="Z346" s="231"/>
    </row>
    <row r="347" spans="1:26" x14ac:dyDescent="0.25">
      <c r="A347" s="486"/>
      <c r="B347" s="486"/>
      <c r="C347" s="126">
        <v>43</v>
      </c>
      <c r="D347" s="153" t="s">
        <v>54</v>
      </c>
      <c r="E347" s="225">
        <v>0</v>
      </c>
      <c r="F347" s="230"/>
      <c r="G347" s="230">
        <v>1</v>
      </c>
      <c r="H347" s="230">
        <v>1</v>
      </c>
      <c r="I347" s="230"/>
      <c r="J347" s="230">
        <v>1</v>
      </c>
      <c r="K347" s="230">
        <v>4</v>
      </c>
      <c r="L347" s="230">
        <v>5</v>
      </c>
      <c r="M347" s="230">
        <v>26</v>
      </c>
      <c r="N347" s="230">
        <v>2</v>
      </c>
      <c r="O347" s="230"/>
      <c r="P347" s="230">
        <v>1</v>
      </c>
      <c r="Q347" s="230"/>
      <c r="R347" s="409"/>
      <c r="S347" s="409">
        <v>1</v>
      </c>
      <c r="T347" s="409"/>
      <c r="U347" s="409">
        <v>1</v>
      </c>
      <c r="V347" s="409">
        <v>1</v>
      </c>
      <c r="W347" s="409">
        <v>23</v>
      </c>
      <c r="X347" s="231">
        <v>1</v>
      </c>
      <c r="Y347" s="231"/>
      <c r="Z347" s="231"/>
    </row>
    <row r="348" spans="1:26" x14ac:dyDescent="0.25">
      <c r="A348" s="486"/>
      <c r="B348" s="486"/>
      <c r="C348" s="126">
        <v>44</v>
      </c>
      <c r="D348" s="153" t="s">
        <v>55</v>
      </c>
      <c r="E348" s="225">
        <v>0</v>
      </c>
      <c r="F348" s="230"/>
      <c r="G348" s="230">
        <v>1</v>
      </c>
      <c r="H348" s="230">
        <v>1</v>
      </c>
      <c r="I348" s="230"/>
      <c r="J348" s="230">
        <v>1</v>
      </c>
      <c r="K348" s="230">
        <v>4</v>
      </c>
      <c r="L348" s="230">
        <v>5</v>
      </c>
      <c r="M348" s="230">
        <v>26</v>
      </c>
      <c r="N348" s="230">
        <v>2</v>
      </c>
      <c r="O348" s="230"/>
      <c r="P348" s="230">
        <v>1</v>
      </c>
      <c r="Q348" s="230"/>
      <c r="R348" s="409"/>
      <c r="S348" s="409"/>
      <c r="T348" s="409"/>
      <c r="U348" s="409">
        <v>2</v>
      </c>
      <c r="V348" s="409">
        <v>3</v>
      </c>
      <c r="W348" s="409">
        <v>27</v>
      </c>
      <c r="X348" s="231">
        <v>1</v>
      </c>
      <c r="Y348" s="231"/>
      <c r="Z348" s="231">
        <v>1</v>
      </c>
    </row>
    <row r="349" spans="1:26" x14ac:dyDescent="0.25">
      <c r="A349" s="486"/>
      <c r="B349" s="486"/>
      <c r="C349" s="126">
        <v>45</v>
      </c>
      <c r="D349" s="153" t="s">
        <v>56</v>
      </c>
      <c r="E349" s="225">
        <v>0</v>
      </c>
      <c r="F349" s="230"/>
      <c r="G349" s="230">
        <v>1</v>
      </c>
      <c r="H349" s="230">
        <v>1</v>
      </c>
      <c r="I349" s="230"/>
      <c r="J349" s="230">
        <v>1</v>
      </c>
      <c r="K349" s="230">
        <v>4</v>
      </c>
      <c r="L349" s="230">
        <v>5</v>
      </c>
      <c r="M349" s="230">
        <v>26</v>
      </c>
      <c r="N349" s="230">
        <v>2</v>
      </c>
      <c r="O349" s="230"/>
      <c r="P349" s="230">
        <v>1</v>
      </c>
      <c r="Q349" s="230"/>
      <c r="R349" s="409"/>
      <c r="S349" s="409"/>
      <c r="T349" s="409">
        <v>1</v>
      </c>
      <c r="U349" s="409">
        <v>2</v>
      </c>
      <c r="V349" s="409">
        <v>2</v>
      </c>
      <c r="W349" s="409">
        <v>12</v>
      </c>
      <c r="X349" s="231"/>
      <c r="Y349" s="231"/>
      <c r="Z349" s="231"/>
    </row>
    <row r="350" spans="1:26" x14ac:dyDescent="0.25">
      <c r="A350" s="486"/>
      <c r="B350" s="486"/>
      <c r="C350" s="126">
        <v>46</v>
      </c>
      <c r="D350" s="153" t="s">
        <v>57</v>
      </c>
      <c r="E350" s="225">
        <v>0</v>
      </c>
      <c r="F350" s="230"/>
      <c r="G350" s="230">
        <v>1</v>
      </c>
      <c r="H350" s="230">
        <v>1</v>
      </c>
      <c r="I350" s="230"/>
      <c r="J350" s="230">
        <v>1</v>
      </c>
      <c r="K350" s="230">
        <v>4</v>
      </c>
      <c r="L350" s="230">
        <v>5</v>
      </c>
      <c r="M350" s="230">
        <v>26</v>
      </c>
      <c r="N350" s="230">
        <v>2</v>
      </c>
      <c r="O350" s="230"/>
      <c r="P350" s="230">
        <v>1</v>
      </c>
      <c r="Q350" s="230"/>
      <c r="R350" s="409"/>
      <c r="S350" s="409"/>
      <c r="T350" s="409"/>
      <c r="U350" s="409">
        <v>2</v>
      </c>
      <c r="V350" s="409">
        <v>2</v>
      </c>
      <c r="W350" s="409">
        <v>24</v>
      </c>
      <c r="X350" s="231">
        <v>1</v>
      </c>
      <c r="Y350" s="231"/>
      <c r="Z350" s="231">
        <v>1</v>
      </c>
    </row>
    <row r="351" spans="1:26" x14ac:dyDescent="0.25">
      <c r="A351" s="486"/>
      <c r="B351" s="486"/>
      <c r="C351" s="126">
        <v>47</v>
      </c>
      <c r="D351" s="153" t="s">
        <v>58</v>
      </c>
      <c r="E351" s="225">
        <v>0</v>
      </c>
      <c r="F351" s="230"/>
      <c r="G351" s="230">
        <v>1</v>
      </c>
      <c r="H351" s="230">
        <v>1</v>
      </c>
      <c r="I351" s="230"/>
      <c r="J351" s="230">
        <v>1</v>
      </c>
      <c r="K351" s="230">
        <v>4</v>
      </c>
      <c r="L351" s="230">
        <v>4</v>
      </c>
      <c r="M351" s="230">
        <v>26</v>
      </c>
      <c r="N351" s="230">
        <v>2</v>
      </c>
      <c r="O351" s="230"/>
      <c r="P351" s="230">
        <v>1</v>
      </c>
      <c r="Q351" s="230"/>
      <c r="R351" s="409"/>
      <c r="S351" s="409"/>
      <c r="T351" s="409">
        <v>1</v>
      </c>
      <c r="U351" s="409">
        <v>2</v>
      </c>
      <c r="V351" s="409">
        <v>2</v>
      </c>
      <c r="W351" s="409">
        <v>12</v>
      </c>
      <c r="X351" s="231"/>
      <c r="Y351" s="231"/>
      <c r="Z351" s="231"/>
    </row>
    <row r="352" spans="1:26" x14ac:dyDescent="0.25">
      <c r="A352" s="486"/>
      <c r="B352" s="486"/>
      <c r="C352" s="126">
        <v>48</v>
      </c>
      <c r="D352" s="153" t="s">
        <v>336</v>
      </c>
      <c r="E352" s="225">
        <v>0</v>
      </c>
      <c r="F352" s="230"/>
      <c r="G352" s="230"/>
      <c r="H352" s="230">
        <v>1</v>
      </c>
      <c r="I352" s="230"/>
      <c r="J352" s="230"/>
      <c r="K352" s="230">
        <v>1</v>
      </c>
      <c r="L352" s="230">
        <v>2</v>
      </c>
      <c r="M352" s="230">
        <v>8</v>
      </c>
      <c r="N352" s="230"/>
      <c r="O352" s="230"/>
      <c r="P352" s="230"/>
      <c r="Q352" s="230">
        <v>2</v>
      </c>
      <c r="R352" s="409"/>
      <c r="S352" s="409"/>
      <c r="T352" s="409"/>
      <c r="U352" s="409"/>
      <c r="V352" s="409">
        <v>1</v>
      </c>
      <c r="W352" s="409">
        <v>3</v>
      </c>
      <c r="X352" s="231"/>
      <c r="Y352" s="231"/>
      <c r="Z352" s="231"/>
    </row>
    <row r="353" spans="1:26" x14ac:dyDescent="0.25">
      <c r="A353" s="485"/>
      <c r="B353" s="485"/>
      <c r="C353" s="126">
        <v>49</v>
      </c>
      <c r="D353" s="153" t="s">
        <v>59</v>
      </c>
      <c r="E353" s="225">
        <v>0</v>
      </c>
      <c r="F353" s="230"/>
      <c r="G353" s="230"/>
      <c r="H353" s="230">
        <v>1</v>
      </c>
      <c r="I353" s="230"/>
      <c r="J353" s="230"/>
      <c r="K353" s="230">
        <v>1</v>
      </c>
      <c r="L353" s="230">
        <v>2</v>
      </c>
      <c r="M353" s="230">
        <v>6</v>
      </c>
      <c r="N353" s="230"/>
      <c r="O353" s="230"/>
      <c r="P353" s="230"/>
      <c r="Q353" s="230">
        <v>2</v>
      </c>
      <c r="R353" s="409"/>
      <c r="S353" s="409"/>
      <c r="T353" s="409"/>
      <c r="U353" s="409">
        <v>1</v>
      </c>
      <c r="V353" s="409"/>
      <c r="W353" s="409">
        <v>3</v>
      </c>
      <c r="X353" s="231"/>
      <c r="Y353" s="231"/>
      <c r="Z353" s="231"/>
    </row>
    <row r="354" spans="1:26" x14ac:dyDescent="0.25">
      <c r="A354" s="253"/>
      <c r="B354" s="253" t="s">
        <v>1062</v>
      </c>
      <c r="C354" s="126"/>
      <c r="D354" s="153"/>
      <c r="E354" s="230">
        <v>1</v>
      </c>
      <c r="F354" s="230"/>
      <c r="G354" s="230">
        <v>1</v>
      </c>
      <c r="H354" s="230"/>
      <c r="I354" s="230"/>
      <c r="J354" s="230"/>
      <c r="K354" s="230">
        <v>1</v>
      </c>
      <c r="L354" s="230">
        <v>1</v>
      </c>
      <c r="M354" s="230">
        <v>2</v>
      </c>
      <c r="N354" s="230">
        <v>2</v>
      </c>
      <c r="O354" s="230">
        <v>1</v>
      </c>
      <c r="P354" s="230">
        <v>1</v>
      </c>
      <c r="Q354" s="230"/>
      <c r="R354" s="409"/>
      <c r="S354" s="409"/>
      <c r="T354" s="409"/>
      <c r="U354" s="409"/>
      <c r="V354" s="409"/>
      <c r="W354" s="409"/>
      <c r="X354" s="231"/>
      <c r="Y354" s="231"/>
      <c r="Z354" s="231"/>
    </row>
    <row r="355" spans="1:26" x14ac:dyDescent="0.25">
      <c r="A355" s="126"/>
      <c r="B355" s="126"/>
      <c r="C355" s="126"/>
      <c r="D355" s="153" t="s">
        <v>60</v>
      </c>
      <c r="E355" s="230">
        <f>SUM(E293:E354)</f>
        <v>1</v>
      </c>
      <c r="F355" s="230">
        <f t="shared" ref="F355:Z355" si="6">SUM(F293:F354)</f>
        <v>9</v>
      </c>
      <c r="G355" s="230">
        <f t="shared" si="6"/>
        <v>37</v>
      </c>
      <c r="H355" s="230">
        <f t="shared" si="6"/>
        <v>51</v>
      </c>
      <c r="I355" s="230">
        <f t="shared" si="6"/>
        <v>4</v>
      </c>
      <c r="J355" s="230">
        <f t="shared" si="6"/>
        <v>28</v>
      </c>
      <c r="K355" s="230">
        <f t="shared" si="6"/>
        <v>166</v>
      </c>
      <c r="L355" s="230">
        <f t="shared" si="6"/>
        <v>211</v>
      </c>
      <c r="M355" s="230">
        <f t="shared" si="6"/>
        <v>1025</v>
      </c>
      <c r="N355" s="230">
        <f t="shared" si="6"/>
        <v>65</v>
      </c>
      <c r="O355" s="230">
        <f t="shared" si="6"/>
        <v>7</v>
      </c>
      <c r="P355" s="230">
        <f t="shared" si="6"/>
        <v>27</v>
      </c>
      <c r="Q355" s="230">
        <f t="shared" si="6"/>
        <v>41</v>
      </c>
      <c r="R355" s="409">
        <f t="shared" si="6"/>
        <v>8</v>
      </c>
      <c r="S355" s="409">
        <f t="shared" si="6"/>
        <v>8</v>
      </c>
      <c r="T355" s="409">
        <f t="shared" si="6"/>
        <v>16</v>
      </c>
      <c r="U355" s="409">
        <f t="shared" si="6"/>
        <v>131</v>
      </c>
      <c r="V355" s="409">
        <f t="shared" si="6"/>
        <v>183</v>
      </c>
      <c r="W355" s="409">
        <f t="shared" si="6"/>
        <v>882</v>
      </c>
      <c r="X355" s="230">
        <f t="shared" si="6"/>
        <v>57</v>
      </c>
      <c r="Y355" s="230">
        <f t="shared" si="6"/>
        <v>1</v>
      </c>
      <c r="Z355" s="230">
        <f t="shared" si="6"/>
        <v>26</v>
      </c>
    </row>
    <row r="356" spans="1:26" x14ac:dyDescent="0.25">
      <c r="A356" s="172"/>
      <c r="B356" s="172"/>
      <c r="C356" s="172"/>
      <c r="D356" s="173"/>
      <c r="E356" s="269"/>
    </row>
  </sheetData>
  <mergeCells count="168">
    <mergeCell ref="A69:A76"/>
    <mergeCell ref="B69:B76"/>
    <mergeCell ref="A52:A53"/>
    <mergeCell ref="B52:B53"/>
    <mergeCell ref="A54:A56"/>
    <mergeCell ref="B54:B56"/>
    <mergeCell ref="A57:A59"/>
    <mergeCell ref="B57:B59"/>
    <mergeCell ref="A61:A63"/>
    <mergeCell ref="B61:B63"/>
    <mergeCell ref="A65:A67"/>
    <mergeCell ref="B65:B67"/>
    <mergeCell ref="A24:A27"/>
    <mergeCell ref="B24:B27"/>
    <mergeCell ref="A28:A29"/>
    <mergeCell ref="B28:B29"/>
    <mergeCell ref="A33:A35"/>
    <mergeCell ref="B33:B35"/>
    <mergeCell ref="A37:A42"/>
    <mergeCell ref="B37:B42"/>
    <mergeCell ref="A44:A50"/>
    <mergeCell ref="B44:B49"/>
    <mergeCell ref="A13:Z13"/>
    <mergeCell ref="A14:A15"/>
    <mergeCell ref="B14:B15"/>
    <mergeCell ref="D14:D15"/>
    <mergeCell ref="E14:Q14"/>
    <mergeCell ref="R14:Z14"/>
    <mergeCell ref="A16:A20"/>
    <mergeCell ref="B16:B20"/>
    <mergeCell ref="A21:A22"/>
    <mergeCell ref="B21:B22"/>
    <mergeCell ref="A329:A330"/>
    <mergeCell ref="B329:B330"/>
    <mergeCell ref="A331:A333"/>
    <mergeCell ref="B331:B333"/>
    <mergeCell ref="A346:A353"/>
    <mergeCell ref="B346:B353"/>
    <mergeCell ref="A334:A336"/>
    <mergeCell ref="B334:B336"/>
    <mergeCell ref="A338:A340"/>
    <mergeCell ref="B338:B340"/>
    <mergeCell ref="A342:A344"/>
    <mergeCell ref="B342:B344"/>
    <mergeCell ref="A302:A305"/>
    <mergeCell ref="B302:B305"/>
    <mergeCell ref="A306:A307"/>
    <mergeCell ref="B306:B307"/>
    <mergeCell ref="A311:A313"/>
    <mergeCell ref="B311:B313"/>
    <mergeCell ref="A315:A319"/>
    <mergeCell ref="B315:B319"/>
    <mergeCell ref="A321:A327"/>
    <mergeCell ref="B321:B326"/>
    <mergeCell ref="A290:Z290"/>
    <mergeCell ref="A291:A292"/>
    <mergeCell ref="B291:B292"/>
    <mergeCell ref="D291:D292"/>
    <mergeCell ref="E291:N291"/>
    <mergeCell ref="R291:Z291"/>
    <mergeCell ref="A294:A298"/>
    <mergeCell ref="B294:B298"/>
    <mergeCell ref="A299:A300"/>
    <mergeCell ref="B299:B300"/>
    <mergeCell ref="A176:A181"/>
    <mergeCell ref="B176:B181"/>
    <mergeCell ref="A155:A159"/>
    <mergeCell ref="B155:B159"/>
    <mergeCell ref="A160:A161"/>
    <mergeCell ref="B160:B161"/>
    <mergeCell ref="A277:A284"/>
    <mergeCell ref="B277:B284"/>
    <mergeCell ref="A262:A264"/>
    <mergeCell ref="B262:B264"/>
    <mergeCell ref="A265:A267"/>
    <mergeCell ref="B265:B267"/>
    <mergeCell ref="A269:A271"/>
    <mergeCell ref="B269:B271"/>
    <mergeCell ref="B230:B231"/>
    <mergeCell ref="A230:A231"/>
    <mergeCell ref="A260:A261"/>
    <mergeCell ref="B260:B261"/>
    <mergeCell ref="A233:A236"/>
    <mergeCell ref="B233:B236"/>
    <mergeCell ref="A237:A238"/>
    <mergeCell ref="B237:B238"/>
    <mergeCell ref="A151:Z151"/>
    <mergeCell ref="A152:A153"/>
    <mergeCell ref="B152:B153"/>
    <mergeCell ref="D152:D153"/>
    <mergeCell ref="E152:N152"/>
    <mergeCell ref="R152:Z152"/>
    <mergeCell ref="E222:N222"/>
    <mergeCell ref="A273:A275"/>
    <mergeCell ref="B273:B275"/>
    <mergeCell ref="A222:A223"/>
    <mergeCell ref="B222:B223"/>
    <mergeCell ref="D222:D223"/>
    <mergeCell ref="A221:Z221"/>
    <mergeCell ref="R222:Z222"/>
    <mergeCell ref="B225:B229"/>
    <mergeCell ref="A225:A229"/>
    <mergeCell ref="A242:A244"/>
    <mergeCell ref="B242:B244"/>
    <mergeCell ref="A246:A250"/>
    <mergeCell ref="B246:B250"/>
    <mergeCell ref="A252:A258"/>
    <mergeCell ref="B252:B257"/>
    <mergeCell ref="A172:A174"/>
    <mergeCell ref="B172:B174"/>
    <mergeCell ref="B89:B90"/>
    <mergeCell ref="A92:A95"/>
    <mergeCell ref="B92:B95"/>
    <mergeCell ref="A80:Z80"/>
    <mergeCell ref="A81:A82"/>
    <mergeCell ref="B81:B82"/>
    <mergeCell ref="D81:D82"/>
    <mergeCell ref="R81:Z81"/>
    <mergeCell ref="B84:B88"/>
    <mergeCell ref="A89:A90"/>
    <mergeCell ref="B122:B124"/>
    <mergeCell ref="A96:A97"/>
    <mergeCell ref="B96:B97"/>
    <mergeCell ref="A101:A103"/>
    <mergeCell ref="B101:B103"/>
    <mergeCell ref="A105:A110"/>
    <mergeCell ref="B105:B110"/>
    <mergeCell ref="A84:A88"/>
    <mergeCell ref="A208:A215"/>
    <mergeCell ref="B208:B215"/>
    <mergeCell ref="A196:A198"/>
    <mergeCell ref="B196:B198"/>
    <mergeCell ref="A200:A202"/>
    <mergeCell ref="B200:B202"/>
    <mergeCell ref="A204:A206"/>
    <mergeCell ref="B204:B206"/>
    <mergeCell ref="A183:A189"/>
    <mergeCell ref="B183:B188"/>
    <mergeCell ref="A191:A192"/>
    <mergeCell ref="B191:B192"/>
    <mergeCell ref="A193:A195"/>
    <mergeCell ref="B193:B195"/>
    <mergeCell ref="A163:A166"/>
    <mergeCell ref="B163:B166"/>
    <mergeCell ref="A1:Z1"/>
    <mergeCell ref="A2:A3"/>
    <mergeCell ref="B2:B3"/>
    <mergeCell ref="D2:D3"/>
    <mergeCell ref="E2:Q2"/>
    <mergeCell ref="R2:Z2"/>
    <mergeCell ref="A5:A11"/>
    <mergeCell ref="B5:B11"/>
    <mergeCell ref="A167:A168"/>
    <mergeCell ref="B167:B168"/>
    <mergeCell ref="A137:A144"/>
    <mergeCell ref="B137:B144"/>
    <mergeCell ref="E81:Q81"/>
    <mergeCell ref="A125:A127"/>
    <mergeCell ref="B125:B127"/>
    <mergeCell ref="A129:A131"/>
    <mergeCell ref="B129:B131"/>
    <mergeCell ref="A133:A135"/>
    <mergeCell ref="B133:B135"/>
    <mergeCell ref="A112:A118"/>
    <mergeCell ref="B112:B117"/>
    <mergeCell ref="A120:A121"/>
    <mergeCell ref="B120:B121"/>
    <mergeCell ref="A122:A124"/>
  </mergeCells>
  <pageMargins left="0.19685039370078741" right="0.15748031496062992" top="0.6692913385826772" bottom="0.23622047244094491" header="0.31496062992125984" footer="0.31496062992125984"/>
  <pageSetup paperSize="9" scale="75" orientation="landscape" verticalDpi="300" r:id="rId1"/>
  <ignoredErrors>
    <ignoredError sqref="W272:W273 W275:W28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862A3-3E6E-4328-AB37-86F4705D7BE2}">
  <dimension ref="A2"/>
  <sheetViews>
    <sheetView workbookViewId="0">
      <selection activeCell="D9" sqref="D9"/>
    </sheetView>
  </sheetViews>
  <sheetFormatPr defaultRowHeight="15" x14ac:dyDescent="0.25"/>
  <sheetData>
    <row r="2" spans="1:1" x14ac:dyDescent="0.25">
      <c r="A2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72"/>
  <sheetViews>
    <sheetView topLeftCell="A7" zoomScale="115" zoomScaleNormal="115" workbookViewId="0">
      <pane xSplit="2" ySplit="5" topLeftCell="C12" activePane="bottomRight" state="frozen"/>
      <selection activeCell="A7" sqref="A7"/>
      <selection pane="topRight" activeCell="C7" sqref="C7"/>
      <selection pane="bottomLeft" activeCell="A12" sqref="A12"/>
      <selection pane="bottomRight" activeCell="H12" sqref="H12"/>
    </sheetView>
  </sheetViews>
  <sheetFormatPr defaultColWidth="9.140625" defaultRowHeight="21" x14ac:dyDescent="0.25"/>
  <cols>
    <col min="1" max="1" width="4.42578125" style="73" customWidth="1"/>
    <col min="2" max="2" width="12.7109375" style="73" bestFit="1" customWidth="1"/>
    <col min="3" max="3" width="17.5703125" style="222" customWidth="1"/>
    <col min="4" max="4" width="8.85546875" style="73" customWidth="1"/>
    <col min="5" max="5" width="8.140625" style="73" customWidth="1"/>
    <col min="6" max="6" width="12.85546875" style="73" customWidth="1"/>
    <col min="7" max="7" width="16.28515625" style="127" customWidth="1"/>
    <col min="8" max="8" width="19" style="221" customWidth="1"/>
    <col min="9" max="9" width="17.140625" style="221" customWidth="1"/>
    <col min="10" max="10" width="18.42578125" style="127" customWidth="1"/>
    <col min="11" max="11" width="19.140625" style="127" customWidth="1"/>
    <col min="12" max="13" width="6.85546875" style="73" customWidth="1"/>
    <col min="14" max="14" width="5.85546875" style="73" customWidth="1"/>
    <col min="15" max="18" width="6.85546875" style="73" customWidth="1"/>
    <col min="19" max="19" width="20" style="73" customWidth="1"/>
    <col min="20" max="16384" width="9.140625" style="73"/>
  </cols>
  <sheetData>
    <row r="1" spans="1:21" ht="23.25" x14ac:dyDescent="0.25">
      <c r="A1" s="499" t="s">
        <v>1263</v>
      </c>
      <c r="B1" s="499"/>
      <c r="C1" s="499"/>
      <c r="D1" s="499"/>
      <c r="E1" s="499"/>
      <c r="F1" s="499"/>
      <c r="G1" s="499"/>
      <c r="H1" s="499"/>
      <c r="I1" s="499"/>
      <c r="J1" s="499"/>
      <c r="K1" s="499"/>
      <c r="L1" s="499"/>
      <c r="M1" s="499"/>
    </row>
    <row r="2" spans="1:21" ht="93" x14ac:dyDescent="0.25">
      <c r="A2" s="58" t="s">
        <v>0</v>
      </c>
      <c r="B2" s="71" t="s">
        <v>182</v>
      </c>
      <c r="C2" s="58" t="s">
        <v>3</v>
      </c>
      <c r="D2" s="58" t="s">
        <v>4</v>
      </c>
      <c r="E2" s="58" t="s">
        <v>5</v>
      </c>
      <c r="F2" s="58" t="s">
        <v>9</v>
      </c>
      <c r="G2" s="58" t="s">
        <v>183</v>
      </c>
      <c r="H2" s="499" t="s">
        <v>11</v>
      </c>
      <c r="I2" s="499"/>
      <c r="J2" s="499" t="s">
        <v>300</v>
      </c>
      <c r="K2" s="499"/>
      <c r="L2" s="499" t="s">
        <v>12</v>
      </c>
      <c r="M2" s="499"/>
    </row>
    <row r="3" spans="1:21" ht="46.5" x14ac:dyDescent="0.25">
      <c r="A3" s="58"/>
      <c r="B3" s="71"/>
      <c r="C3" s="58"/>
      <c r="D3" s="58"/>
      <c r="E3" s="58"/>
      <c r="F3" s="58"/>
      <c r="G3" s="58"/>
      <c r="H3" s="58" t="s">
        <v>14</v>
      </c>
      <c r="I3" s="58" t="s">
        <v>15</v>
      </c>
      <c r="J3" s="58" t="s">
        <v>14</v>
      </c>
      <c r="K3" s="58" t="s">
        <v>15</v>
      </c>
      <c r="L3" s="58" t="s">
        <v>14</v>
      </c>
      <c r="M3" s="58" t="s">
        <v>15</v>
      </c>
    </row>
    <row r="4" spans="1:21" ht="23.25" x14ac:dyDescent="0.25">
      <c r="A4" s="58"/>
      <c r="B4" s="71" t="s">
        <v>1264</v>
      </c>
      <c r="C4" s="58">
        <v>120</v>
      </c>
      <c r="D4" s="58">
        <v>1</v>
      </c>
      <c r="E4" s="58">
        <v>119</v>
      </c>
      <c r="F4" s="58">
        <v>15049500</v>
      </c>
      <c r="G4" s="58">
        <v>121124500</v>
      </c>
      <c r="H4" s="58">
        <v>0</v>
      </c>
      <c r="I4" s="58">
        <v>63</v>
      </c>
      <c r="J4" s="58">
        <v>1</v>
      </c>
      <c r="K4" s="72">
        <v>0</v>
      </c>
      <c r="L4" s="72">
        <v>76</v>
      </c>
      <c r="M4" s="72">
        <v>0</v>
      </c>
    </row>
    <row r="5" spans="1:21" ht="23.25" x14ac:dyDescent="0.25">
      <c r="A5" s="58"/>
      <c r="B5" s="71" t="s">
        <v>1265</v>
      </c>
      <c r="C5" s="58">
        <v>188</v>
      </c>
      <c r="D5" s="58">
        <v>0</v>
      </c>
      <c r="E5" s="58">
        <v>188</v>
      </c>
      <c r="F5" s="58">
        <v>7935000</v>
      </c>
      <c r="G5" s="58">
        <v>86488500</v>
      </c>
      <c r="H5" s="58">
        <v>2</v>
      </c>
      <c r="I5" s="58">
        <v>0</v>
      </c>
      <c r="J5" s="58">
        <v>2</v>
      </c>
      <c r="K5" s="72">
        <v>6</v>
      </c>
      <c r="L5" s="72">
        <v>361</v>
      </c>
      <c r="M5" s="72">
        <v>1</v>
      </c>
    </row>
    <row r="6" spans="1:21" ht="23.25" x14ac:dyDescent="0.25">
      <c r="A6" s="58"/>
      <c r="B6" s="71" t="s">
        <v>1390</v>
      </c>
      <c r="C6" s="58">
        <v>228</v>
      </c>
      <c r="D6" s="58">
        <v>1</v>
      </c>
      <c r="E6" s="58">
        <v>227</v>
      </c>
      <c r="F6" s="58">
        <v>20351500</v>
      </c>
      <c r="G6" s="58">
        <v>610635300</v>
      </c>
      <c r="H6" s="58">
        <v>2</v>
      </c>
      <c r="I6" s="58">
        <v>7</v>
      </c>
      <c r="J6" s="58">
        <v>6</v>
      </c>
      <c r="K6" s="72">
        <v>3</v>
      </c>
      <c r="L6" s="72">
        <v>92</v>
      </c>
      <c r="M6" s="72">
        <v>7</v>
      </c>
    </row>
    <row r="7" spans="1:21" ht="23.25" x14ac:dyDescent="0.25">
      <c r="A7" s="58"/>
      <c r="B7" s="71" t="s">
        <v>60</v>
      </c>
      <c r="C7" s="58">
        <f>SUM(C4:C6)</f>
        <v>536</v>
      </c>
      <c r="D7" s="58">
        <f t="shared" ref="D7:M7" si="0">SUM(D4:D6)</f>
        <v>2</v>
      </c>
      <c r="E7" s="58">
        <f t="shared" si="0"/>
        <v>534</v>
      </c>
      <c r="F7" s="58">
        <f t="shared" si="0"/>
        <v>43336000</v>
      </c>
      <c r="G7" s="58">
        <f t="shared" si="0"/>
        <v>818248300</v>
      </c>
      <c r="H7" s="58">
        <f t="shared" si="0"/>
        <v>4</v>
      </c>
      <c r="I7" s="58">
        <f t="shared" si="0"/>
        <v>70</v>
      </c>
      <c r="J7" s="58">
        <f t="shared" si="0"/>
        <v>9</v>
      </c>
      <c r="K7" s="58">
        <f t="shared" si="0"/>
        <v>9</v>
      </c>
      <c r="L7" s="58">
        <f t="shared" si="0"/>
        <v>529</v>
      </c>
      <c r="M7" s="58">
        <f t="shared" si="0"/>
        <v>8</v>
      </c>
    </row>
    <row r="8" spans="1:21" ht="23.25" x14ac:dyDescent="0.25">
      <c r="A8" s="197"/>
      <c r="B8" s="198"/>
      <c r="C8" s="236"/>
      <c r="D8" s="236"/>
      <c r="E8" s="236"/>
      <c r="F8" s="236"/>
      <c r="G8" s="236"/>
      <c r="H8" s="236"/>
      <c r="I8" s="236"/>
      <c r="J8" s="236"/>
      <c r="K8" s="236"/>
      <c r="L8" s="236"/>
      <c r="M8" s="236"/>
      <c r="S8" s="196"/>
      <c r="T8" s="196"/>
      <c r="U8" s="196"/>
    </row>
    <row r="9" spans="1:21" s="18" customFormat="1" ht="32.25" customHeight="1" x14ac:dyDescent="0.25">
      <c r="A9" s="501" t="s">
        <v>1649</v>
      </c>
      <c r="B9" s="501"/>
      <c r="C9" s="501"/>
      <c r="D9" s="501"/>
      <c r="E9" s="501"/>
      <c r="F9" s="501"/>
      <c r="G9" s="501"/>
      <c r="H9" s="501"/>
      <c r="I9" s="501"/>
      <c r="J9" s="501"/>
      <c r="K9" s="501"/>
      <c r="L9" s="501"/>
      <c r="M9" s="501"/>
      <c r="N9" s="501"/>
      <c r="O9" s="501"/>
      <c r="P9" s="501"/>
      <c r="Q9" s="501"/>
    </row>
    <row r="10" spans="1:21" s="18" customFormat="1" ht="21" customHeight="1" x14ac:dyDescent="0.25">
      <c r="A10" s="478" t="s">
        <v>0</v>
      </c>
      <c r="B10" s="478" t="s">
        <v>1</v>
      </c>
      <c r="C10" s="479" t="s">
        <v>182</v>
      </c>
      <c r="D10" s="478" t="s">
        <v>3</v>
      </c>
      <c r="E10" s="478" t="s">
        <v>4</v>
      </c>
      <c r="F10" s="478" t="s">
        <v>5</v>
      </c>
      <c r="G10" s="478" t="s">
        <v>6</v>
      </c>
      <c r="H10" s="479" t="s">
        <v>7</v>
      </c>
      <c r="I10" s="479" t="s">
        <v>8</v>
      </c>
      <c r="J10" s="478" t="s">
        <v>9</v>
      </c>
      <c r="K10" s="478" t="s">
        <v>183</v>
      </c>
      <c r="L10" s="478" t="s">
        <v>11</v>
      </c>
      <c r="M10" s="478"/>
      <c r="N10" s="478" t="s">
        <v>300</v>
      </c>
      <c r="O10" s="478"/>
      <c r="P10" s="478" t="s">
        <v>12</v>
      </c>
      <c r="Q10" s="478"/>
    </row>
    <row r="11" spans="1:21" s="18" customFormat="1" x14ac:dyDescent="0.25">
      <c r="A11" s="478"/>
      <c r="B11" s="478"/>
      <c r="C11" s="479"/>
      <c r="D11" s="478"/>
      <c r="E11" s="478"/>
      <c r="F11" s="478"/>
      <c r="G11" s="478"/>
      <c r="H11" s="479"/>
      <c r="I11" s="479"/>
      <c r="J11" s="478"/>
      <c r="K11" s="478"/>
      <c r="L11" s="233" t="s">
        <v>14</v>
      </c>
      <c r="M11" s="233" t="s">
        <v>15</v>
      </c>
      <c r="N11" s="233" t="s">
        <v>14</v>
      </c>
      <c r="O11" s="233" t="s">
        <v>15</v>
      </c>
      <c r="P11" s="233" t="s">
        <v>14</v>
      </c>
      <c r="Q11" s="233" t="s">
        <v>15</v>
      </c>
    </row>
    <row r="12" spans="1:21" s="18" customFormat="1" x14ac:dyDescent="0.25">
      <c r="A12" s="478">
        <v>1</v>
      </c>
      <c r="B12" s="478" t="s">
        <v>16</v>
      </c>
      <c r="C12" s="234" t="s">
        <v>17</v>
      </c>
      <c r="D12" s="452">
        <v>1</v>
      </c>
      <c r="E12" s="453"/>
      <c r="F12" s="453">
        <v>1</v>
      </c>
      <c r="G12" s="234" t="s">
        <v>17</v>
      </c>
      <c r="H12" s="457" t="s">
        <v>1665</v>
      </c>
      <c r="I12" s="456" t="s">
        <v>1664</v>
      </c>
      <c r="J12" s="453">
        <v>50000</v>
      </c>
      <c r="K12" s="453">
        <v>950000</v>
      </c>
      <c r="L12" s="453"/>
      <c r="M12" s="453"/>
      <c r="N12" s="453"/>
      <c r="O12" s="453"/>
      <c r="P12" s="453">
        <v>5</v>
      </c>
      <c r="Q12" s="453"/>
    </row>
    <row r="13" spans="1:21" s="18" customFormat="1" x14ac:dyDescent="0.25">
      <c r="A13" s="478"/>
      <c r="B13" s="478"/>
      <c r="C13" s="234" t="s">
        <v>19</v>
      </c>
      <c r="D13" s="454"/>
      <c r="E13" s="455"/>
      <c r="F13" s="455"/>
      <c r="G13" s="455"/>
      <c r="H13" s="455"/>
      <c r="I13" s="455"/>
      <c r="J13" s="455"/>
      <c r="K13" s="455"/>
      <c r="L13" s="455"/>
      <c r="M13" s="455"/>
      <c r="N13" s="455"/>
      <c r="O13" s="455"/>
      <c r="P13" s="455"/>
      <c r="Q13" s="455"/>
    </row>
    <row r="14" spans="1:21" s="18" customFormat="1" x14ac:dyDescent="0.25">
      <c r="A14" s="233">
        <v>2</v>
      </c>
      <c r="B14" s="233" t="s">
        <v>20</v>
      </c>
      <c r="C14" s="234" t="s">
        <v>20</v>
      </c>
      <c r="D14" s="13"/>
      <c r="E14" s="13"/>
      <c r="F14" s="13"/>
      <c r="G14" s="13"/>
      <c r="H14" s="13"/>
      <c r="I14" s="13"/>
      <c r="J14" s="415"/>
      <c r="K14" s="415"/>
      <c r="L14" s="13"/>
      <c r="M14" s="13"/>
      <c r="N14" s="13"/>
      <c r="O14" s="13"/>
      <c r="P14" s="13"/>
      <c r="Q14" s="13"/>
    </row>
    <row r="15" spans="1:21" s="18" customFormat="1" x14ac:dyDescent="0.25">
      <c r="A15" s="478">
        <v>3</v>
      </c>
      <c r="B15" s="490" t="s">
        <v>21</v>
      </c>
      <c r="C15" s="234" t="s">
        <v>21</v>
      </c>
      <c r="D15" s="13"/>
      <c r="E15" s="13"/>
      <c r="F15" s="13"/>
      <c r="G15" s="13"/>
      <c r="H15" s="13"/>
      <c r="I15" s="13"/>
      <c r="J15" s="415"/>
      <c r="K15" s="415"/>
      <c r="L15" s="13"/>
      <c r="M15" s="13"/>
      <c r="N15" s="13"/>
      <c r="O15" s="13"/>
      <c r="P15" s="13"/>
      <c r="Q15" s="13"/>
    </row>
    <row r="16" spans="1:21" s="18" customFormat="1" ht="354.75" customHeight="1" x14ac:dyDescent="0.25">
      <c r="A16" s="478"/>
      <c r="B16" s="490"/>
      <c r="C16" s="234" t="s">
        <v>22</v>
      </c>
      <c r="D16" s="13"/>
      <c r="E16" s="13"/>
      <c r="F16" s="13"/>
      <c r="G16" s="13"/>
      <c r="H16" s="13"/>
      <c r="I16" s="13"/>
      <c r="J16" s="415"/>
      <c r="K16" s="415"/>
      <c r="L16" s="13"/>
      <c r="M16" s="13"/>
      <c r="N16" s="13"/>
      <c r="O16" s="13"/>
      <c r="P16" s="13"/>
      <c r="Q16" s="13"/>
    </row>
    <row r="17" spans="1:17" s="18" customFormat="1" x14ac:dyDescent="0.25">
      <c r="A17" s="478"/>
      <c r="B17" s="490"/>
      <c r="C17" s="234" t="s">
        <v>335</v>
      </c>
      <c r="D17" s="13"/>
      <c r="E17" s="13"/>
      <c r="F17" s="13"/>
      <c r="G17" s="13"/>
      <c r="H17" s="13"/>
      <c r="I17" s="13"/>
      <c r="J17" s="415"/>
      <c r="K17" s="415"/>
      <c r="L17" s="13"/>
      <c r="M17" s="13"/>
      <c r="N17" s="13"/>
      <c r="O17" s="13"/>
      <c r="P17" s="13"/>
      <c r="Q17" s="13"/>
    </row>
    <row r="18" spans="1:17" s="18" customFormat="1" x14ac:dyDescent="0.25">
      <c r="A18" s="478"/>
      <c r="B18" s="490"/>
      <c r="C18" s="234" t="s">
        <v>269</v>
      </c>
      <c r="D18" s="13"/>
      <c r="E18" s="13"/>
      <c r="F18" s="13"/>
      <c r="G18" s="13"/>
      <c r="H18" s="13"/>
      <c r="I18" s="13"/>
      <c r="J18" s="415"/>
      <c r="K18" s="415"/>
      <c r="L18" s="13"/>
      <c r="M18" s="13"/>
      <c r="N18" s="13"/>
      <c r="O18" s="13"/>
      <c r="P18" s="13"/>
      <c r="Q18" s="13"/>
    </row>
    <row r="19" spans="1:17" s="18" customFormat="1" x14ac:dyDescent="0.25">
      <c r="A19" s="478">
        <v>4</v>
      </c>
      <c r="B19" s="478" t="s">
        <v>23</v>
      </c>
      <c r="C19" s="234" t="s">
        <v>23</v>
      </c>
      <c r="D19" s="13"/>
      <c r="E19" s="13"/>
      <c r="F19" s="13"/>
      <c r="G19" s="13"/>
      <c r="H19" s="13"/>
      <c r="I19" s="13"/>
      <c r="J19" s="415"/>
      <c r="K19" s="415"/>
      <c r="L19" s="13"/>
      <c r="M19" s="13"/>
      <c r="N19" s="13"/>
      <c r="O19" s="13"/>
      <c r="P19" s="13"/>
      <c r="Q19" s="13"/>
    </row>
    <row r="20" spans="1:17" s="18" customFormat="1" x14ac:dyDescent="0.25">
      <c r="A20" s="478"/>
      <c r="B20" s="478"/>
      <c r="C20" s="234" t="s">
        <v>344</v>
      </c>
      <c r="D20" s="13"/>
      <c r="E20" s="13"/>
      <c r="F20" s="13"/>
      <c r="G20" s="13"/>
      <c r="H20" s="13"/>
      <c r="I20" s="13"/>
      <c r="J20" s="415"/>
      <c r="K20" s="415"/>
      <c r="L20" s="13"/>
      <c r="M20" s="13"/>
      <c r="N20" s="13"/>
      <c r="O20" s="13"/>
      <c r="P20" s="13"/>
      <c r="Q20" s="13"/>
    </row>
    <row r="21" spans="1:17" s="18" customFormat="1" x14ac:dyDescent="0.25">
      <c r="A21" s="478"/>
      <c r="B21" s="478"/>
      <c r="C21" s="234" t="s">
        <v>1603</v>
      </c>
      <c r="D21" s="13"/>
      <c r="E21" s="13"/>
      <c r="F21" s="13"/>
      <c r="G21" s="13"/>
      <c r="H21" s="13"/>
      <c r="I21" s="13"/>
      <c r="J21" s="415"/>
      <c r="K21" s="415"/>
      <c r="L21" s="13"/>
      <c r="M21" s="13"/>
      <c r="N21" s="13"/>
      <c r="O21" s="13"/>
      <c r="P21" s="13"/>
      <c r="Q21" s="13"/>
    </row>
    <row r="22" spans="1:17" s="18" customFormat="1" x14ac:dyDescent="0.25">
      <c r="A22" s="478">
        <v>5</v>
      </c>
      <c r="B22" s="478" t="s">
        <v>25</v>
      </c>
      <c r="C22" s="234" t="s">
        <v>26</v>
      </c>
      <c r="D22" s="13"/>
      <c r="E22" s="13"/>
      <c r="F22" s="13"/>
      <c r="G22" s="13"/>
      <c r="H22" s="13"/>
      <c r="I22" s="13"/>
      <c r="J22" s="415"/>
      <c r="K22" s="415"/>
      <c r="L22" s="13"/>
      <c r="M22" s="13"/>
      <c r="N22" s="13"/>
      <c r="O22" s="13"/>
      <c r="P22" s="13"/>
      <c r="Q22" s="13"/>
    </row>
    <row r="23" spans="1:17" s="18" customFormat="1" x14ac:dyDescent="0.25">
      <c r="A23" s="478"/>
      <c r="B23" s="478"/>
      <c r="C23" s="234" t="s">
        <v>27</v>
      </c>
      <c r="D23" s="13"/>
      <c r="E23" s="13"/>
      <c r="F23" s="13"/>
      <c r="G23" s="13"/>
      <c r="H23" s="13"/>
      <c r="I23" s="13"/>
      <c r="J23" s="415"/>
      <c r="K23" s="415"/>
      <c r="L23" s="13"/>
      <c r="M23" s="13"/>
      <c r="N23" s="13"/>
      <c r="O23" s="13"/>
      <c r="P23" s="13"/>
      <c r="Q23" s="13"/>
    </row>
    <row r="24" spans="1:17" s="18" customFormat="1" x14ac:dyDescent="0.25">
      <c r="A24" s="478"/>
      <c r="B24" s="478"/>
      <c r="C24" s="234" t="s">
        <v>268</v>
      </c>
      <c r="D24" s="13"/>
      <c r="E24" s="13"/>
      <c r="F24" s="13"/>
      <c r="G24" s="13"/>
      <c r="H24" s="13"/>
      <c r="I24" s="13"/>
      <c r="J24" s="415"/>
      <c r="K24" s="415"/>
      <c r="L24" s="13"/>
      <c r="M24" s="13"/>
      <c r="N24" s="13"/>
      <c r="O24" s="13"/>
      <c r="P24" s="13"/>
      <c r="Q24" s="13"/>
    </row>
    <row r="25" spans="1:17" s="18" customFormat="1" x14ac:dyDescent="0.25">
      <c r="A25" s="478">
        <v>6</v>
      </c>
      <c r="B25" s="478" t="s">
        <v>28</v>
      </c>
      <c r="C25" s="234" t="s">
        <v>29</v>
      </c>
      <c r="D25" s="13"/>
      <c r="E25" s="13"/>
      <c r="F25" s="13"/>
      <c r="G25" s="13"/>
      <c r="H25" s="13"/>
      <c r="I25" s="13"/>
      <c r="J25" s="415"/>
      <c r="K25" s="415"/>
      <c r="L25" s="13"/>
      <c r="M25" s="13"/>
      <c r="N25" s="13"/>
      <c r="O25" s="13"/>
      <c r="P25" s="13"/>
      <c r="Q25" s="13"/>
    </row>
    <row r="26" spans="1:17" s="18" customFormat="1" x14ac:dyDescent="0.25">
      <c r="A26" s="478"/>
      <c r="B26" s="478"/>
      <c r="C26" s="234" t="s">
        <v>30</v>
      </c>
      <c r="D26" s="13"/>
      <c r="E26" s="13"/>
      <c r="F26" s="13"/>
      <c r="G26" s="13"/>
      <c r="H26" s="13"/>
      <c r="I26" s="13"/>
      <c r="J26" s="415"/>
      <c r="K26" s="415"/>
      <c r="L26" s="13"/>
      <c r="M26" s="13"/>
      <c r="N26" s="13"/>
      <c r="O26" s="13"/>
      <c r="P26" s="13"/>
      <c r="Q26" s="13"/>
    </row>
    <row r="27" spans="1:17" s="18" customFormat="1" x14ac:dyDescent="0.25">
      <c r="A27" s="478"/>
      <c r="B27" s="478"/>
      <c r="C27" s="234" t="s">
        <v>31</v>
      </c>
      <c r="D27" s="13"/>
      <c r="E27" s="13"/>
      <c r="F27" s="13"/>
      <c r="G27" s="13"/>
      <c r="H27" s="13"/>
      <c r="I27" s="13"/>
      <c r="J27" s="415"/>
      <c r="K27" s="415"/>
      <c r="L27" s="13"/>
      <c r="M27" s="13"/>
      <c r="N27" s="13"/>
      <c r="O27" s="13"/>
      <c r="P27" s="13"/>
      <c r="Q27" s="13"/>
    </row>
    <row r="28" spans="1:17" s="18" customFormat="1" x14ac:dyDescent="0.25">
      <c r="A28" s="478"/>
      <c r="B28" s="478"/>
      <c r="C28" s="234" t="s">
        <v>32</v>
      </c>
      <c r="D28" s="13"/>
      <c r="E28" s="13"/>
      <c r="F28" s="13"/>
      <c r="G28" s="13"/>
      <c r="H28" s="13"/>
      <c r="I28" s="13"/>
      <c r="J28" s="415"/>
      <c r="K28" s="415"/>
      <c r="L28" s="13"/>
      <c r="M28" s="13"/>
      <c r="N28" s="13"/>
      <c r="O28" s="13"/>
      <c r="P28" s="13"/>
      <c r="Q28" s="13"/>
    </row>
    <row r="29" spans="1:17" s="18" customFormat="1" x14ac:dyDescent="0.25">
      <c r="A29" s="478"/>
      <c r="B29" s="478"/>
      <c r="C29" s="234" t="s">
        <v>201</v>
      </c>
      <c r="D29" s="13"/>
      <c r="E29" s="13"/>
      <c r="F29" s="13"/>
      <c r="G29" s="13"/>
      <c r="H29" s="13"/>
      <c r="I29" s="13"/>
      <c r="J29" s="415"/>
      <c r="K29" s="415"/>
      <c r="L29" s="13"/>
      <c r="M29" s="13"/>
      <c r="N29" s="13"/>
      <c r="O29" s="13"/>
      <c r="P29" s="13"/>
      <c r="Q29" s="13"/>
    </row>
    <row r="30" spans="1:17" s="18" customFormat="1" x14ac:dyDescent="0.25">
      <c r="A30" s="478">
        <v>7</v>
      </c>
      <c r="B30" s="481" t="s">
        <v>33</v>
      </c>
      <c r="C30" s="234" t="s">
        <v>33</v>
      </c>
      <c r="D30" s="13"/>
      <c r="E30" s="13"/>
      <c r="F30" s="13"/>
      <c r="G30" s="13"/>
      <c r="H30" s="13"/>
      <c r="I30" s="13"/>
      <c r="J30" s="415"/>
      <c r="K30" s="415"/>
      <c r="L30" s="13"/>
      <c r="M30" s="13"/>
      <c r="N30" s="13"/>
      <c r="O30" s="13"/>
      <c r="P30" s="13"/>
      <c r="Q30" s="13"/>
    </row>
    <row r="31" spans="1:17" s="18" customFormat="1" x14ac:dyDescent="0.25">
      <c r="A31" s="478"/>
      <c r="B31" s="482"/>
      <c r="C31" s="234" t="s">
        <v>34</v>
      </c>
      <c r="D31" s="13"/>
      <c r="E31" s="13"/>
      <c r="F31" s="13"/>
      <c r="G31" s="234"/>
      <c r="H31" s="13"/>
      <c r="I31" s="13"/>
      <c r="J31" s="415"/>
      <c r="K31" s="415"/>
      <c r="L31" s="13"/>
      <c r="M31" s="13"/>
      <c r="N31" s="13"/>
      <c r="O31" s="13"/>
      <c r="P31" s="13"/>
      <c r="Q31" s="13"/>
    </row>
    <row r="32" spans="1:17" s="18" customFormat="1" x14ac:dyDescent="0.25">
      <c r="A32" s="478"/>
      <c r="B32" s="482"/>
      <c r="C32" s="276" t="s">
        <v>250</v>
      </c>
      <c r="D32" s="13"/>
      <c r="E32" s="13"/>
      <c r="F32" s="13"/>
      <c r="G32" s="13"/>
      <c r="H32" s="13"/>
      <c r="I32" s="13"/>
      <c r="J32" s="415"/>
      <c r="K32" s="415"/>
      <c r="L32" s="13"/>
      <c r="M32" s="13"/>
      <c r="N32" s="13"/>
      <c r="O32" s="13"/>
      <c r="P32" s="13"/>
      <c r="Q32" s="13"/>
    </row>
    <row r="33" spans="1:17" s="18" customFormat="1" x14ac:dyDescent="0.25">
      <c r="A33" s="478"/>
      <c r="B33" s="482"/>
      <c r="C33" s="234" t="s">
        <v>36</v>
      </c>
      <c r="D33" s="13"/>
      <c r="E33" s="13"/>
      <c r="F33" s="13"/>
      <c r="G33" s="13"/>
      <c r="H33" s="13"/>
      <c r="I33" s="13"/>
      <c r="J33" s="415"/>
      <c r="K33" s="415"/>
      <c r="L33" s="13"/>
      <c r="M33" s="13"/>
      <c r="N33" s="13"/>
      <c r="O33" s="13"/>
      <c r="P33" s="13"/>
      <c r="Q33" s="13"/>
    </row>
    <row r="34" spans="1:17" s="18" customFormat="1" x14ac:dyDescent="0.25">
      <c r="A34" s="478"/>
      <c r="B34" s="482"/>
      <c r="C34" s="234" t="s">
        <v>37</v>
      </c>
      <c r="D34" s="13"/>
      <c r="E34" s="13"/>
      <c r="F34" s="13"/>
      <c r="G34" s="13"/>
      <c r="H34" s="13"/>
      <c r="I34" s="13"/>
      <c r="J34" s="415"/>
      <c r="K34" s="415"/>
      <c r="L34" s="13"/>
      <c r="M34" s="13"/>
      <c r="N34" s="13"/>
      <c r="O34" s="13"/>
      <c r="P34" s="13"/>
      <c r="Q34" s="13"/>
    </row>
    <row r="35" spans="1:17" s="18" customFormat="1" x14ac:dyDescent="0.25">
      <c r="A35" s="478"/>
      <c r="B35" s="482"/>
      <c r="C35" s="234" t="s">
        <v>141</v>
      </c>
      <c r="D35" s="13"/>
      <c r="E35" s="13"/>
      <c r="F35" s="13"/>
      <c r="G35" s="13"/>
      <c r="H35" s="13"/>
      <c r="I35" s="13"/>
      <c r="J35" s="415"/>
      <c r="K35" s="415"/>
      <c r="L35" s="13"/>
      <c r="M35" s="13"/>
      <c r="N35" s="13"/>
      <c r="O35" s="13"/>
      <c r="P35" s="13"/>
      <c r="Q35" s="13"/>
    </row>
    <row r="36" spans="1:17" s="18" customFormat="1" x14ac:dyDescent="0.25">
      <c r="A36" s="478"/>
      <c r="B36" s="483"/>
      <c r="C36" s="234" t="s">
        <v>305</v>
      </c>
      <c r="D36" s="13"/>
      <c r="E36" s="13"/>
      <c r="F36" s="13"/>
      <c r="G36" s="13"/>
      <c r="H36" s="13"/>
      <c r="I36" s="13"/>
      <c r="J36" s="415"/>
      <c r="K36" s="415"/>
      <c r="L36" s="13"/>
      <c r="M36" s="13"/>
      <c r="N36" s="13"/>
      <c r="O36" s="13"/>
      <c r="P36" s="13"/>
      <c r="Q36" s="13"/>
    </row>
    <row r="37" spans="1:17" s="18" customFormat="1" x14ac:dyDescent="0.25">
      <c r="A37" s="478">
        <v>8</v>
      </c>
      <c r="B37" s="478" t="s">
        <v>38</v>
      </c>
      <c r="C37" s="234" t="s">
        <v>38</v>
      </c>
      <c r="D37" s="13"/>
      <c r="E37" s="13"/>
      <c r="F37" s="13"/>
      <c r="G37" s="13"/>
      <c r="H37" s="13"/>
      <c r="I37" s="13"/>
      <c r="J37" s="415"/>
      <c r="K37" s="415"/>
      <c r="L37" s="13"/>
      <c r="M37" s="13"/>
      <c r="N37" s="13"/>
      <c r="O37" s="13"/>
      <c r="P37" s="13"/>
      <c r="Q37" s="13"/>
    </row>
    <row r="38" spans="1:17" s="18" customFormat="1" x14ac:dyDescent="0.25">
      <c r="A38" s="478"/>
      <c r="B38" s="478"/>
      <c r="C38" s="234" t="s">
        <v>39</v>
      </c>
      <c r="D38" s="13"/>
      <c r="E38" s="13"/>
      <c r="F38" s="13"/>
      <c r="G38" s="13"/>
      <c r="H38" s="13"/>
      <c r="I38" s="13"/>
      <c r="J38" s="415"/>
      <c r="K38" s="415"/>
      <c r="L38" s="13"/>
      <c r="M38" s="13"/>
      <c r="N38" s="13"/>
      <c r="O38" s="13"/>
      <c r="P38" s="13"/>
      <c r="Q38" s="13"/>
    </row>
    <row r="39" spans="1:17" s="18" customFormat="1" x14ac:dyDescent="0.25">
      <c r="A39" s="478">
        <v>9</v>
      </c>
      <c r="B39" s="478" t="s">
        <v>88</v>
      </c>
      <c r="C39" s="234" t="s">
        <v>88</v>
      </c>
      <c r="D39" s="13"/>
      <c r="E39" s="13"/>
      <c r="F39" s="13"/>
      <c r="G39" s="13"/>
      <c r="H39" s="13"/>
      <c r="I39" s="13"/>
      <c r="J39" s="415"/>
      <c r="K39" s="415"/>
      <c r="L39" s="13"/>
      <c r="M39" s="13"/>
      <c r="N39" s="13"/>
      <c r="O39" s="13"/>
      <c r="P39" s="13"/>
      <c r="Q39" s="13"/>
    </row>
    <row r="40" spans="1:17" s="18" customFormat="1" x14ac:dyDescent="0.25">
      <c r="A40" s="478"/>
      <c r="B40" s="478"/>
      <c r="C40" s="234" t="s">
        <v>41</v>
      </c>
      <c r="D40" s="13"/>
      <c r="E40" s="13"/>
      <c r="F40" s="13"/>
      <c r="G40" s="13"/>
      <c r="H40" s="13"/>
      <c r="I40" s="13"/>
      <c r="J40" s="415"/>
      <c r="K40" s="415"/>
      <c r="L40" s="13"/>
      <c r="M40" s="13"/>
      <c r="N40" s="13"/>
      <c r="O40" s="13"/>
      <c r="P40" s="13"/>
      <c r="Q40" s="13"/>
    </row>
    <row r="41" spans="1:17" s="18" customFormat="1" x14ac:dyDescent="0.25">
      <c r="A41" s="478"/>
      <c r="B41" s="478"/>
      <c r="C41" s="234" t="s">
        <v>42</v>
      </c>
      <c r="D41" s="13"/>
      <c r="E41" s="13"/>
      <c r="F41" s="13"/>
      <c r="G41" s="13"/>
      <c r="H41" s="13"/>
      <c r="I41" s="13"/>
      <c r="J41" s="415"/>
      <c r="K41" s="415"/>
      <c r="L41" s="13"/>
      <c r="M41" s="13"/>
      <c r="N41" s="13"/>
      <c r="O41" s="13"/>
      <c r="P41" s="13"/>
      <c r="Q41" s="13"/>
    </row>
    <row r="42" spans="1:17" s="18" customFormat="1" x14ac:dyDescent="0.25">
      <c r="A42" s="478">
        <v>10</v>
      </c>
      <c r="B42" s="478" t="s">
        <v>43</v>
      </c>
      <c r="C42" s="234" t="s">
        <v>89</v>
      </c>
      <c r="D42" s="13"/>
      <c r="E42" s="13"/>
      <c r="F42" s="13"/>
      <c r="G42" s="13"/>
      <c r="H42" s="13"/>
      <c r="I42" s="13"/>
      <c r="J42" s="415"/>
      <c r="K42" s="415"/>
      <c r="L42" s="13"/>
      <c r="M42" s="13"/>
      <c r="N42" s="13"/>
      <c r="O42" s="13"/>
      <c r="P42" s="13"/>
      <c r="Q42" s="13"/>
    </row>
    <row r="43" spans="1:17" s="18" customFormat="1" x14ac:dyDescent="0.25">
      <c r="A43" s="478"/>
      <c r="B43" s="478"/>
      <c r="C43" s="234" t="s">
        <v>44</v>
      </c>
      <c r="D43" s="13"/>
      <c r="E43" s="13"/>
      <c r="F43" s="13"/>
      <c r="G43" s="13"/>
      <c r="H43" s="13"/>
      <c r="I43" s="13"/>
      <c r="J43" s="415"/>
      <c r="K43" s="415"/>
      <c r="L43" s="13"/>
      <c r="M43" s="13"/>
      <c r="N43" s="13"/>
      <c r="O43" s="13"/>
      <c r="P43" s="13"/>
      <c r="Q43" s="13"/>
    </row>
    <row r="44" spans="1:17" s="18" customFormat="1" x14ac:dyDescent="0.25">
      <c r="A44" s="478"/>
      <c r="B44" s="478"/>
      <c r="C44" s="234" t="s">
        <v>45</v>
      </c>
      <c r="D44" s="13"/>
      <c r="E44" s="13"/>
      <c r="F44" s="13"/>
      <c r="G44" s="13"/>
      <c r="H44" s="13"/>
      <c r="I44" s="13"/>
      <c r="J44" s="415"/>
      <c r="K44" s="415"/>
      <c r="L44" s="13"/>
      <c r="M44" s="13"/>
      <c r="N44" s="13"/>
      <c r="O44" s="13"/>
      <c r="P44" s="13"/>
      <c r="Q44" s="13"/>
    </row>
    <row r="45" spans="1:17" s="18" customFormat="1" x14ac:dyDescent="0.25">
      <c r="A45" s="481">
        <v>11</v>
      </c>
      <c r="B45" s="481" t="s">
        <v>46</v>
      </c>
      <c r="C45" s="234" t="s">
        <v>47</v>
      </c>
      <c r="D45" s="13"/>
      <c r="E45" s="13"/>
      <c r="F45" s="13"/>
      <c r="G45" s="13"/>
      <c r="H45" s="13"/>
      <c r="I45" s="13"/>
      <c r="J45" s="415"/>
      <c r="K45" s="415"/>
      <c r="L45" s="13"/>
      <c r="M45" s="13"/>
      <c r="N45" s="13"/>
      <c r="O45" s="13"/>
      <c r="P45" s="13"/>
      <c r="Q45" s="13"/>
    </row>
    <row r="46" spans="1:17" s="18" customFormat="1" x14ac:dyDescent="0.25">
      <c r="A46" s="482"/>
      <c r="B46" s="482"/>
      <c r="C46" s="234" t="s">
        <v>48</v>
      </c>
      <c r="E46" s="13"/>
      <c r="F46" s="13"/>
      <c r="G46" s="13"/>
      <c r="H46" s="13"/>
      <c r="I46" s="13"/>
      <c r="J46" s="415"/>
      <c r="K46" s="415"/>
      <c r="L46" s="13"/>
      <c r="M46" s="13"/>
      <c r="N46" s="13"/>
      <c r="O46" s="13"/>
      <c r="P46" s="13"/>
      <c r="Q46" s="13"/>
    </row>
    <row r="47" spans="1:17" s="18" customFormat="1" x14ac:dyDescent="0.25">
      <c r="A47" s="483"/>
      <c r="B47" s="483"/>
      <c r="C47" s="234" t="s">
        <v>314</v>
      </c>
      <c r="D47" s="13"/>
      <c r="E47" s="13"/>
      <c r="F47" s="13"/>
      <c r="G47" s="13"/>
      <c r="H47" s="13"/>
      <c r="I47" s="13"/>
      <c r="J47" s="415"/>
      <c r="K47" s="415"/>
      <c r="L47" s="13"/>
      <c r="M47" s="13"/>
      <c r="N47" s="13"/>
      <c r="O47" s="13"/>
      <c r="P47" s="13"/>
      <c r="Q47" s="13"/>
    </row>
    <row r="48" spans="1:17" s="18" customFormat="1" x14ac:dyDescent="0.25">
      <c r="A48" s="478">
        <v>12</v>
      </c>
      <c r="B48" s="478" t="s">
        <v>49</v>
      </c>
      <c r="C48" s="234" t="s">
        <v>360</v>
      </c>
      <c r="D48" s="13"/>
      <c r="E48" s="13"/>
      <c r="F48" s="13"/>
      <c r="G48" s="13"/>
      <c r="H48" s="13"/>
      <c r="I48" s="13"/>
      <c r="J48" s="415"/>
      <c r="K48" s="415"/>
      <c r="L48" s="13"/>
      <c r="M48" s="13"/>
      <c r="N48" s="13"/>
      <c r="O48" s="13"/>
      <c r="P48" s="13"/>
      <c r="Q48" s="13"/>
    </row>
    <row r="49" spans="1:21" s="18" customFormat="1" x14ac:dyDescent="0.25">
      <c r="A49" s="478"/>
      <c r="B49" s="478"/>
      <c r="C49" s="234" t="s">
        <v>50</v>
      </c>
      <c r="D49" s="13"/>
      <c r="E49" s="13"/>
      <c r="F49" s="13"/>
      <c r="G49" s="13"/>
      <c r="H49" s="13"/>
      <c r="I49" s="13"/>
      <c r="J49" s="415"/>
      <c r="K49" s="415"/>
      <c r="L49" s="13"/>
      <c r="M49" s="13"/>
      <c r="N49" s="13"/>
      <c r="O49" s="13"/>
      <c r="P49" s="13"/>
      <c r="Q49" s="13"/>
    </row>
    <row r="50" spans="1:21" s="18" customFormat="1" x14ac:dyDescent="0.25">
      <c r="A50" s="478"/>
      <c r="B50" s="478"/>
      <c r="C50" s="234" t="s">
        <v>51</v>
      </c>
      <c r="D50" s="13"/>
      <c r="E50" s="13"/>
      <c r="F50" s="13"/>
      <c r="G50" s="13"/>
      <c r="H50" s="13"/>
      <c r="I50" s="13"/>
      <c r="J50" s="415"/>
      <c r="K50" s="415"/>
      <c r="L50" s="13"/>
      <c r="M50" s="13"/>
      <c r="N50" s="13"/>
      <c r="O50" s="13"/>
      <c r="P50" s="13"/>
      <c r="Q50" s="13"/>
    </row>
    <row r="51" spans="1:21" s="18" customFormat="1" x14ac:dyDescent="0.25">
      <c r="A51" s="478">
        <v>13</v>
      </c>
      <c r="B51" s="478" t="s">
        <v>52</v>
      </c>
      <c r="C51" s="234" t="s">
        <v>53</v>
      </c>
      <c r="D51" s="13"/>
      <c r="E51" s="13"/>
      <c r="F51" s="13"/>
      <c r="G51" s="13"/>
      <c r="H51" s="13"/>
      <c r="I51" s="13"/>
      <c r="J51" s="415"/>
      <c r="K51" s="415"/>
      <c r="L51" s="13"/>
      <c r="M51" s="13"/>
      <c r="N51" s="13"/>
      <c r="O51" s="13"/>
      <c r="P51" s="13"/>
      <c r="Q51" s="13"/>
    </row>
    <row r="52" spans="1:21" s="18" customFormat="1" x14ac:dyDescent="0.25">
      <c r="A52" s="478"/>
      <c r="B52" s="478"/>
      <c r="C52" s="234" t="s">
        <v>54</v>
      </c>
      <c r="D52" s="13"/>
      <c r="E52" s="13"/>
      <c r="F52" s="13"/>
      <c r="G52" s="13"/>
      <c r="H52" s="13"/>
      <c r="I52" s="13"/>
      <c r="J52" s="415"/>
      <c r="K52" s="415"/>
      <c r="L52" s="13"/>
      <c r="M52" s="13"/>
      <c r="N52" s="13"/>
      <c r="O52" s="13"/>
      <c r="P52" s="13"/>
      <c r="Q52" s="13"/>
    </row>
    <row r="53" spans="1:21" s="18" customFormat="1" x14ac:dyDescent="0.25">
      <c r="A53" s="478"/>
      <c r="B53" s="478"/>
      <c r="C53" s="234" t="s">
        <v>55</v>
      </c>
      <c r="D53" s="13"/>
      <c r="E53" s="13"/>
      <c r="F53" s="13"/>
      <c r="G53" s="13"/>
      <c r="H53" s="13"/>
      <c r="I53" s="13"/>
      <c r="J53" s="415"/>
      <c r="K53" s="415"/>
      <c r="L53" s="13"/>
      <c r="M53" s="13"/>
      <c r="N53" s="13"/>
      <c r="O53" s="13"/>
      <c r="P53" s="13"/>
      <c r="Q53" s="13"/>
    </row>
    <row r="54" spans="1:21" s="18" customFormat="1" x14ac:dyDescent="0.25">
      <c r="A54" s="478"/>
      <c r="B54" s="478"/>
      <c r="C54" s="234" t="s">
        <v>56</v>
      </c>
      <c r="D54" s="13"/>
      <c r="E54" s="13"/>
      <c r="F54" s="13"/>
      <c r="G54" s="13"/>
      <c r="H54" s="13"/>
      <c r="I54" s="13"/>
      <c r="J54" s="415"/>
      <c r="K54" s="415"/>
      <c r="L54" s="13"/>
      <c r="M54" s="13"/>
      <c r="N54" s="13"/>
      <c r="O54" s="13"/>
      <c r="P54" s="13"/>
      <c r="Q54" s="13"/>
    </row>
    <row r="55" spans="1:21" s="18" customFormat="1" x14ac:dyDescent="0.25">
      <c r="A55" s="478"/>
      <c r="B55" s="478"/>
      <c r="C55" s="234" t="s">
        <v>57</v>
      </c>
      <c r="D55" s="13"/>
      <c r="E55" s="13"/>
      <c r="F55" s="13"/>
      <c r="G55" s="13"/>
      <c r="H55" s="13"/>
      <c r="I55" s="13"/>
      <c r="J55" s="415"/>
      <c r="K55" s="415"/>
      <c r="L55" s="13"/>
      <c r="M55" s="13"/>
      <c r="N55" s="13"/>
      <c r="O55" s="13"/>
      <c r="P55" s="13"/>
      <c r="Q55" s="13"/>
    </row>
    <row r="56" spans="1:21" s="18" customFormat="1" x14ac:dyDescent="0.25">
      <c r="A56" s="478"/>
      <c r="B56" s="478"/>
      <c r="C56" s="234" t="s">
        <v>58</v>
      </c>
      <c r="D56" s="13"/>
      <c r="E56" s="13"/>
      <c r="F56" s="13"/>
      <c r="G56" s="13"/>
      <c r="H56" s="13"/>
      <c r="I56" s="13"/>
      <c r="J56" s="415"/>
      <c r="K56" s="415"/>
      <c r="L56" s="13"/>
      <c r="M56" s="13"/>
      <c r="N56" s="13"/>
      <c r="O56" s="13"/>
      <c r="P56" s="13"/>
      <c r="Q56" s="13"/>
    </row>
    <row r="57" spans="1:21" s="18" customFormat="1" x14ac:dyDescent="0.25">
      <c r="A57" s="478"/>
      <c r="B57" s="478"/>
      <c r="C57" s="234" t="s">
        <v>336</v>
      </c>
      <c r="D57" s="13"/>
      <c r="E57" s="13"/>
      <c r="F57" s="13"/>
      <c r="G57" s="13"/>
      <c r="H57" s="13"/>
      <c r="I57" s="13"/>
      <c r="J57" s="415"/>
      <c r="K57" s="415"/>
      <c r="L57" s="13"/>
      <c r="M57" s="13"/>
      <c r="N57" s="13"/>
      <c r="O57" s="13"/>
      <c r="P57" s="13"/>
      <c r="Q57" s="13"/>
    </row>
    <row r="58" spans="1:21" s="18" customFormat="1" x14ac:dyDescent="0.25">
      <c r="A58" s="478"/>
      <c r="B58" s="478"/>
      <c r="C58" s="234" t="s">
        <v>59</v>
      </c>
      <c r="D58" s="13"/>
      <c r="E58" s="13"/>
      <c r="F58" s="13"/>
      <c r="G58" s="13"/>
      <c r="H58" s="13"/>
      <c r="I58" s="13"/>
      <c r="J58" s="415"/>
      <c r="K58" s="415"/>
      <c r="L58" s="13"/>
      <c r="M58" s="13"/>
      <c r="N58" s="13"/>
      <c r="O58" s="13"/>
      <c r="P58" s="13"/>
      <c r="Q58" s="13"/>
    </row>
    <row r="59" spans="1:21" s="18" customFormat="1" x14ac:dyDescent="0.25">
      <c r="A59" s="233"/>
      <c r="B59" s="233"/>
      <c r="C59" s="234" t="s">
        <v>60</v>
      </c>
      <c r="D59" s="13">
        <f>SUM(D12:D58)</f>
        <v>1</v>
      </c>
      <c r="E59" s="13">
        <f t="shared" ref="E59:P59" si="1">SUM(E12:E58)</f>
        <v>0</v>
      </c>
      <c r="F59" s="13">
        <f t="shared" si="1"/>
        <v>1</v>
      </c>
      <c r="G59" s="13">
        <f t="shared" si="1"/>
        <v>0</v>
      </c>
      <c r="H59" s="13">
        <f t="shared" si="1"/>
        <v>0</v>
      </c>
      <c r="I59" s="13">
        <f t="shared" si="1"/>
        <v>0</v>
      </c>
      <c r="J59" s="415">
        <f t="shared" si="1"/>
        <v>50000</v>
      </c>
      <c r="K59" s="415">
        <f t="shared" si="1"/>
        <v>950000</v>
      </c>
      <c r="L59" s="13">
        <f t="shared" si="1"/>
        <v>0</v>
      </c>
      <c r="M59" s="13">
        <f t="shared" si="1"/>
        <v>0</v>
      </c>
      <c r="N59" s="13">
        <f t="shared" si="1"/>
        <v>0</v>
      </c>
      <c r="O59" s="13">
        <f t="shared" si="1"/>
        <v>0</v>
      </c>
      <c r="P59" s="13">
        <f t="shared" si="1"/>
        <v>5</v>
      </c>
      <c r="Q59" s="13">
        <f>SUM(Q12:Q58)</f>
        <v>0</v>
      </c>
    </row>
    <row r="60" spans="1:21" x14ac:dyDescent="0.25">
      <c r="A60" s="172"/>
      <c r="B60" s="172"/>
      <c r="C60" s="17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</row>
    <row r="62" spans="1:21" ht="23.25" x14ac:dyDescent="0.25">
      <c r="A62" s="197"/>
      <c r="B62" s="198"/>
      <c r="C62" s="236"/>
      <c r="D62" s="236"/>
      <c r="E62" s="236"/>
      <c r="F62" s="236"/>
      <c r="G62" s="236"/>
      <c r="H62" s="236"/>
      <c r="I62" s="236"/>
      <c r="J62" s="236"/>
      <c r="K62" s="236"/>
      <c r="L62" s="236"/>
      <c r="M62" s="236"/>
      <c r="S62" s="196"/>
      <c r="T62" s="196"/>
      <c r="U62" s="196"/>
    </row>
    <row r="63" spans="1:21" s="18" customFormat="1" ht="32.25" customHeight="1" x14ac:dyDescent="0.25">
      <c r="A63" s="501" t="s">
        <v>1476</v>
      </c>
      <c r="B63" s="501"/>
      <c r="C63" s="501"/>
      <c r="D63" s="501"/>
      <c r="E63" s="501"/>
      <c r="F63" s="501"/>
      <c r="G63" s="501"/>
      <c r="H63" s="501"/>
      <c r="I63" s="501"/>
      <c r="J63" s="501"/>
      <c r="K63" s="501"/>
      <c r="L63" s="501"/>
      <c r="M63" s="501"/>
      <c r="N63" s="501"/>
      <c r="O63" s="501"/>
      <c r="P63" s="501"/>
      <c r="Q63" s="501"/>
    </row>
    <row r="64" spans="1:21" s="18" customFormat="1" ht="21" customHeight="1" x14ac:dyDescent="0.25">
      <c r="A64" s="478" t="s">
        <v>0</v>
      </c>
      <c r="B64" s="478" t="s">
        <v>1</v>
      </c>
      <c r="C64" s="479" t="s">
        <v>182</v>
      </c>
      <c r="D64" s="478" t="s">
        <v>3</v>
      </c>
      <c r="E64" s="478" t="s">
        <v>4</v>
      </c>
      <c r="F64" s="478" t="s">
        <v>5</v>
      </c>
      <c r="G64" s="478" t="s">
        <v>6</v>
      </c>
      <c r="H64" s="479" t="s">
        <v>7</v>
      </c>
      <c r="I64" s="479" t="s">
        <v>8</v>
      </c>
      <c r="J64" s="478" t="s">
        <v>9</v>
      </c>
      <c r="K64" s="478" t="s">
        <v>183</v>
      </c>
      <c r="L64" s="478" t="s">
        <v>11</v>
      </c>
      <c r="M64" s="478"/>
      <c r="N64" s="478" t="s">
        <v>300</v>
      </c>
      <c r="O64" s="478"/>
      <c r="P64" s="478" t="s">
        <v>12</v>
      </c>
      <c r="Q64" s="478"/>
    </row>
    <row r="65" spans="1:17" s="18" customFormat="1" x14ac:dyDescent="0.25">
      <c r="A65" s="478"/>
      <c r="B65" s="478"/>
      <c r="C65" s="479"/>
      <c r="D65" s="478"/>
      <c r="E65" s="478"/>
      <c r="F65" s="478"/>
      <c r="G65" s="478"/>
      <c r="H65" s="479"/>
      <c r="I65" s="479"/>
      <c r="J65" s="478"/>
      <c r="K65" s="478"/>
      <c r="L65" s="233" t="s">
        <v>14</v>
      </c>
      <c r="M65" s="233" t="s">
        <v>15</v>
      </c>
      <c r="N65" s="233" t="s">
        <v>14</v>
      </c>
      <c r="O65" s="233" t="s">
        <v>15</v>
      </c>
      <c r="P65" s="233" t="s">
        <v>14</v>
      </c>
      <c r="Q65" s="233" t="s">
        <v>15</v>
      </c>
    </row>
    <row r="66" spans="1:17" s="18" customFormat="1" ht="81" x14ac:dyDescent="0.25">
      <c r="A66" s="478">
        <v>1</v>
      </c>
      <c r="B66" s="478" t="s">
        <v>16</v>
      </c>
      <c r="C66" s="234" t="s">
        <v>17</v>
      </c>
      <c r="D66" s="13">
        <v>4</v>
      </c>
      <c r="E66" s="13"/>
      <c r="F66" s="13">
        <v>4</v>
      </c>
      <c r="G66" s="13" t="s">
        <v>170</v>
      </c>
      <c r="H66" s="13" t="s">
        <v>1635</v>
      </c>
      <c r="I66" s="13" t="s">
        <v>1636</v>
      </c>
      <c r="J66" s="415">
        <v>90000</v>
      </c>
      <c r="K66" s="415">
        <v>1480000</v>
      </c>
      <c r="L66" s="13"/>
      <c r="M66" s="13"/>
      <c r="N66" s="13">
        <v>2</v>
      </c>
      <c r="O66" s="13"/>
      <c r="P66" s="13">
        <v>2</v>
      </c>
      <c r="Q66" s="13"/>
    </row>
    <row r="67" spans="1:17" s="18" customFormat="1" x14ac:dyDescent="0.25">
      <c r="A67" s="478"/>
      <c r="B67" s="478"/>
      <c r="C67" s="234" t="s">
        <v>19</v>
      </c>
      <c r="D67" s="13">
        <v>1</v>
      </c>
      <c r="E67" s="13"/>
      <c r="F67" s="13">
        <v>1</v>
      </c>
      <c r="G67" s="13" t="s">
        <v>19</v>
      </c>
      <c r="H67" s="13" t="s">
        <v>1637</v>
      </c>
      <c r="I67" s="13" t="s">
        <v>991</v>
      </c>
      <c r="J67" s="415">
        <v>200000</v>
      </c>
      <c r="K67" s="415">
        <v>0</v>
      </c>
      <c r="L67" s="13">
        <v>2</v>
      </c>
      <c r="M67" s="13"/>
      <c r="N67" s="13"/>
      <c r="O67" s="13"/>
      <c r="P67" s="13"/>
      <c r="Q67" s="13"/>
    </row>
    <row r="68" spans="1:17" s="18" customFormat="1" x14ac:dyDescent="0.25">
      <c r="A68" s="233">
        <v>2</v>
      </c>
      <c r="B68" s="233" t="s">
        <v>20</v>
      </c>
      <c r="C68" s="234" t="s">
        <v>20</v>
      </c>
      <c r="D68" s="13">
        <v>1</v>
      </c>
      <c r="E68" s="13"/>
      <c r="F68" s="13">
        <v>1</v>
      </c>
      <c r="G68" s="13" t="s">
        <v>20</v>
      </c>
      <c r="H68" s="13" t="s">
        <v>1176</v>
      </c>
      <c r="I68" s="13" t="s">
        <v>1517</v>
      </c>
      <c r="J68" s="415">
        <v>20000</v>
      </c>
      <c r="K68" s="415">
        <v>140000</v>
      </c>
      <c r="L68" s="13"/>
      <c r="M68" s="13"/>
      <c r="N68" s="13"/>
      <c r="O68" s="13"/>
      <c r="P68" s="13"/>
      <c r="Q68" s="13"/>
    </row>
    <row r="69" spans="1:17" s="18" customFormat="1" x14ac:dyDescent="0.25">
      <c r="A69" s="478">
        <v>3</v>
      </c>
      <c r="B69" s="490" t="s">
        <v>21</v>
      </c>
      <c r="C69" s="234" t="s">
        <v>21</v>
      </c>
      <c r="D69" s="13"/>
      <c r="E69" s="13"/>
      <c r="F69" s="13"/>
      <c r="G69" s="13"/>
      <c r="H69" s="13"/>
      <c r="I69" s="13"/>
      <c r="J69" s="415"/>
      <c r="K69" s="415"/>
      <c r="L69" s="13"/>
      <c r="M69" s="13"/>
      <c r="N69" s="13"/>
      <c r="O69" s="13"/>
      <c r="P69" s="13"/>
      <c r="Q69" s="13"/>
    </row>
    <row r="70" spans="1:17" s="18" customFormat="1" ht="354.75" customHeight="1" x14ac:dyDescent="0.25">
      <c r="A70" s="478"/>
      <c r="B70" s="490"/>
      <c r="C70" s="234" t="s">
        <v>22</v>
      </c>
      <c r="D70" s="13">
        <v>8</v>
      </c>
      <c r="E70" s="13"/>
      <c r="F70" s="13">
        <v>8</v>
      </c>
      <c r="G70" s="13" t="s">
        <v>164</v>
      </c>
      <c r="H70" s="13" t="s">
        <v>1556</v>
      </c>
      <c r="I70" s="13" t="s">
        <v>1557</v>
      </c>
      <c r="J70" s="415">
        <v>1702500</v>
      </c>
      <c r="K70" s="415"/>
      <c r="L70" s="13"/>
      <c r="M70" s="13"/>
      <c r="N70" s="13"/>
      <c r="O70" s="13"/>
      <c r="P70" s="13"/>
      <c r="Q70" s="13"/>
    </row>
    <row r="71" spans="1:17" s="18" customFormat="1" x14ac:dyDescent="0.25">
      <c r="A71" s="478"/>
      <c r="B71" s="490"/>
      <c r="C71" s="234" t="s">
        <v>335</v>
      </c>
      <c r="D71" s="13"/>
      <c r="E71" s="13"/>
      <c r="F71" s="13"/>
      <c r="G71" s="13"/>
      <c r="H71" s="13"/>
      <c r="I71" s="13"/>
      <c r="J71" s="415"/>
      <c r="K71" s="415"/>
      <c r="L71" s="13"/>
      <c r="M71" s="13"/>
      <c r="N71" s="13"/>
      <c r="O71" s="13"/>
      <c r="P71" s="13"/>
      <c r="Q71" s="13"/>
    </row>
    <row r="72" spans="1:17" s="18" customFormat="1" ht="40.5" x14ac:dyDescent="0.25">
      <c r="A72" s="478"/>
      <c r="B72" s="490"/>
      <c r="C72" s="234" t="s">
        <v>269</v>
      </c>
      <c r="D72" s="13">
        <v>2</v>
      </c>
      <c r="E72" s="13"/>
      <c r="F72" s="13">
        <v>2</v>
      </c>
      <c r="G72" s="13" t="s">
        <v>163</v>
      </c>
      <c r="H72" s="13" t="s">
        <v>1616</v>
      </c>
      <c r="I72" s="13" t="s">
        <v>1617</v>
      </c>
      <c r="J72" s="415">
        <v>25000</v>
      </c>
      <c r="K72" s="415">
        <v>2975000</v>
      </c>
      <c r="L72" s="13"/>
      <c r="M72" s="13"/>
      <c r="N72" s="13"/>
      <c r="O72" s="13"/>
      <c r="P72" s="13"/>
      <c r="Q72" s="13"/>
    </row>
    <row r="73" spans="1:17" s="18" customFormat="1" ht="40.5" x14ac:dyDescent="0.25">
      <c r="A73" s="478">
        <v>4</v>
      </c>
      <c r="B73" s="478" t="s">
        <v>23</v>
      </c>
      <c r="C73" s="234" t="s">
        <v>23</v>
      </c>
      <c r="D73" s="13">
        <v>3</v>
      </c>
      <c r="E73" s="13"/>
      <c r="F73" s="13">
        <v>3</v>
      </c>
      <c r="G73" s="13" t="s">
        <v>167</v>
      </c>
      <c r="H73" s="13" t="s">
        <v>1601</v>
      </c>
      <c r="I73" s="13" t="s">
        <v>1602</v>
      </c>
      <c r="J73" s="415">
        <v>65000</v>
      </c>
      <c r="K73" s="415">
        <v>3635000</v>
      </c>
      <c r="L73" s="13"/>
      <c r="M73" s="13"/>
      <c r="N73" s="13"/>
      <c r="O73" s="13"/>
      <c r="P73" s="13"/>
      <c r="Q73" s="13">
        <v>8</v>
      </c>
    </row>
    <row r="74" spans="1:17" s="18" customFormat="1" x14ac:dyDescent="0.25">
      <c r="A74" s="478"/>
      <c r="B74" s="478"/>
      <c r="C74" s="234" t="s">
        <v>344</v>
      </c>
      <c r="D74" s="13"/>
      <c r="E74" s="13"/>
      <c r="F74" s="13"/>
      <c r="G74" s="13"/>
      <c r="H74" s="13"/>
      <c r="I74" s="13"/>
      <c r="J74" s="415"/>
      <c r="K74" s="415"/>
      <c r="L74" s="13"/>
      <c r="M74" s="13"/>
      <c r="N74" s="13"/>
      <c r="O74" s="13"/>
      <c r="P74" s="13"/>
      <c r="Q74" s="13"/>
    </row>
    <row r="75" spans="1:17" s="18" customFormat="1" x14ac:dyDescent="0.25">
      <c r="A75" s="478"/>
      <c r="B75" s="478"/>
      <c r="C75" s="234" t="s">
        <v>1603</v>
      </c>
      <c r="D75" s="13">
        <v>2</v>
      </c>
      <c r="E75" s="13"/>
      <c r="F75" s="13">
        <v>2</v>
      </c>
      <c r="G75" s="13" t="s">
        <v>821</v>
      </c>
      <c r="H75" s="13" t="s">
        <v>337</v>
      </c>
      <c r="I75" s="13" t="s">
        <v>1604</v>
      </c>
      <c r="J75" s="415">
        <v>790000</v>
      </c>
      <c r="K75" s="415">
        <v>2710000</v>
      </c>
      <c r="L75" s="13"/>
      <c r="M75" s="13"/>
      <c r="N75" s="13"/>
      <c r="O75" s="13"/>
      <c r="P75" s="13"/>
      <c r="Q75" s="13"/>
    </row>
    <row r="76" spans="1:17" s="18" customFormat="1" x14ac:dyDescent="0.25">
      <c r="A76" s="478">
        <v>5</v>
      </c>
      <c r="B76" s="478" t="s">
        <v>25</v>
      </c>
      <c r="C76" s="234" t="s">
        <v>26</v>
      </c>
      <c r="D76" s="13"/>
      <c r="E76" s="13"/>
      <c r="F76" s="13"/>
      <c r="G76" s="13"/>
      <c r="H76" s="13"/>
      <c r="I76" s="13"/>
      <c r="J76" s="415"/>
      <c r="K76" s="415"/>
      <c r="L76" s="13"/>
      <c r="M76" s="13"/>
      <c r="N76" s="13"/>
      <c r="O76" s="13"/>
      <c r="P76" s="13"/>
      <c r="Q76" s="13"/>
    </row>
    <row r="77" spans="1:17" s="18" customFormat="1" x14ac:dyDescent="0.25">
      <c r="A77" s="478"/>
      <c r="B77" s="478"/>
      <c r="C77" s="234" t="s">
        <v>27</v>
      </c>
      <c r="D77" s="13"/>
      <c r="E77" s="13"/>
      <c r="F77" s="13"/>
      <c r="G77" s="13"/>
      <c r="H77" s="13"/>
      <c r="I77" s="13"/>
      <c r="J77" s="415"/>
      <c r="K77" s="415"/>
      <c r="L77" s="13"/>
      <c r="M77" s="13"/>
      <c r="N77" s="13"/>
      <c r="O77" s="13"/>
      <c r="P77" s="13"/>
      <c r="Q77" s="13"/>
    </row>
    <row r="78" spans="1:17" s="18" customFormat="1" x14ac:dyDescent="0.25">
      <c r="A78" s="478"/>
      <c r="B78" s="478"/>
      <c r="C78" s="234" t="s">
        <v>268</v>
      </c>
      <c r="D78" s="13"/>
      <c r="E78" s="13"/>
      <c r="F78" s="13"/>
      <c r="G78" s="13"/>
      <c r="H78" s="13"/>
      <c r="I78" s="13"/>
      <c r="J78" s="415"/>
      <c r="K78" s="415"/>
      <c r="L78" s="13"/>
      <c r="M78" s="13"/>
      <c r="N78" s="13"/>
      <c r="O78" s="13"/>
      <c r="P78" s="13"/>
      <c r="Q78" s="13"/>
    </row>
    <row r="79" spans="1:17" s="18" customFormat="1" ht="162" x14ac:dyDescent="0.25">
      <c r="A79" s="478">
        <v>6</v>
      </c>
      <c r="B79" s="478" t="s">
        <v>28</v>
      </c>
      <c r="C79" s="234" t="s">
        <v>29</v>
      </c>
      <c r="D79" s="13">
        <v>38</v>
      </c>
      <c r="E79" s="13"/>
      <c r="F79" s="13">
        <v>38</v>
      </c>
      <c r="G79" s="13" t="s">
        <v>207</v>
      </c>
      <c r="H79" s="13" t="s">
        <v>1542</v>
      </c>
      <c r="I79" s="13" t="s">
        <v>1543</v>
      </c>
      <c r="J79" s="415">
        <v>2090500</v>
      </c>
      <c r="K79" s="415">
        <v>108665500</v>
      </c>
      <c r="L79" s="13">
        <v>2</v>
      </c>
      <c r="M79" s="13">
        <v>0</v>
      </c>
      <c r="N79" s="13">
        <v>1</v>
      </c>
      <c r="O79" s="13">
        <v>2</v>
      </c>
      <c r="P79" s="13">
        <v>62</v>
      </c>
      <c r="Q79" s="13"/>
    </row>
    <row r="80" spans="1:17" s="18" customFormat="1" ht="101.25" x14ac:dyDescent="0.25">
      <c r="A80" s="478"/>
      <c r="B80" s="478"/>
      <c r="C80" s="234" t="s">
        <v>30</v>
      </c>
      <c r="D80" s="13">
        <v>14</v>
      </c>
      <c r="E80" s="13"/>
      <c r="F80" s="13">
        <v>14</v>
      </c>
      <c r="G80" s="13" t="s">
        <v>171</v>
      </c>
      <c r="H80" s="13" t="s">
        <v>1548</v>
      </c>
      <c r="I80" s="13" t="s">
        <v>1549</v>
      </c>
      <c r="J80" s="415">
        <v>528400</v>
      </c>
      <c r="K80" s="415">
        <v>1208600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</row>
    <row r="81" spans="1:17" s="18" customFormat="1" ht="141.75" x14ac:dyDescent="0.25">
      <c r="A81" s="478"/>
      <c r="B81" s="478"/>
      <c r="C81" s="234" t="s">
        <v>31</v>
      </c>
      <c r="D81" s="13">
        <v>13</v>
      </c>
      <c r="E81" s="13"/>
      <c r="F81" s="13">
        <v>13</v>
      </c>
      <c r="G81" s="13" t="s">
        <v>31</v>
      </c>
      <c r="H81" s="13" t="s">
        <v>1546</v>
      </c>
      <c r="I81" s="13" t="s">
        <v>1547</v>
      </c>
      <c r="J81" s="415">
        <v>100500</v>
      </c>
      <c r="K81" s="415">
        <v>3244500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</row>
    <row r="82" spans="1:17" s="18" customFormat="1" ht="182.25" x14ac:dyDescent="0.25">
      <c r="A82" s="478"/>
      <c r="B82" s="478"/>
      <c r="C82" s="234" t="s">
        <v>32</v>
      </c>
      <c r="D82" s="13">
        <v>39</v>
      </c>
      <c r="E82" s="13"/>
      <c r="F82" s="13">
        <v>39</v>
      </c>
      <c r="G82" s="13" t="s">
        <v>909</v>
      </c>
      <c r="H82" s="13" t="s">
        <v>1544</v>
      </c>
      <c r="I82" s="13" t="s">
        <v>1545</v>
      </c>
      <c r="J82" s="415">
        <v>1151500</v>
      </c>
      <c r="K82" s="415">
        <v>58213500</v>
      </c>
      <c r="L82" s="13">
        <v>0</v>
      </c>
      <c r="M82" s="13">
        <v>0</v>
      </c>
      <c r="N82" s="13">
        <v>0</v>
      </c>
      <c r="O82" s="13">
        <v>0</v>
      </c>
      <c r="P82" s="13">
        <v>3</v>
      </c>
      <c r="Q82" s="13">
        <v>0</v>
      </c>
    </row>
    <row r="83" spans="1:17" s="18" customFormat="1" ht="121.5" x14ac:dyDescent="0.25">
      <c r="A83" s="478"/>
      <c r="B83" s="478"/>
      <c r="C83" s="234" t="s">
        <v>201</v>
      </c>
      <c r="D83" s="13">
        <v>12</v>
      </c>
      <c r="E83" s="13"/>
      <c r="F83" s="13">
        <v>12</v>
      </c>
      <c r="G83" s="13" t="s">
        <v>201</v>
      </c>
      <c r="H83" s="13" t="s">
        <v>1550</v>
      </c>
      <c r="I83" s="13" t="s">
        <v>1551</v>
      </c>
      <c r="J83" s="415">
        <v>1526000</v>
      </c>
      <c r="K83" s="415">
        <v>5694000</v>
      </c>
      <c r="L83" s="13">
        <v>0</v>
      </c>
      <c r="M83" s="13">
        <v>2</v>
      </c>
      <c r="N83" s="13">
        <v>0</v>
      </c>
      <c r="O83" s="13">
        <v>0</v>
      </c>
      <c r="P83" s="13">
        <v>0</v>
      </c>
      <c r="Q83" s="13">
        <v>1</v>
      </c>
    </row>
    <row r="84" spans="1:17" s="18" customFormat="1" ht="121.5" x14ac:dyDescent="0.25">
      <c r="A84" s="478">
        <v>7</v>
      </c>
      <c r="B84" s="481" t="s">
        <v>33</v>
      </c>
      <c r="C84" s="234" t="s">
        <v>33</v>
      </c>
      <c r="D84" s="13">
        <v>68</v>
      </c>
      <c r="E84" s="13"/>
      <c r="F84" s="13">
        <v>68</v>
      </c>
      <c r="G84" s="13" t="s">
        <v>127</v>
      </c>
      <c r="H84" s="13" t="s">
        <v>1561</v>
      </c>
      <c r="I84" s="13" t="s">
        <v>1562</v>
      </c>
      <c r="J84" s="415">
        <v>4357000</v>
      </c>
      <c r="K84" s="415">
        <v>97941000</v>
      </c>
      <c r="L84" s="13"/>
      <c r="M84" s="13"/>
      <c r="N84" s="13"/>
      <c r="O84" s="13"/>
      <c r="P84" s="13"/>
      <c r="Q84" s="13"/>
    </row>
    <row r="85" spans="1:17" s="18" customFormat="1" ht="141.75" x14ac:dyDescent="0.25">
      <c r="A85" s="478"/>
      <c r="B85" s="482"/>
      <c r="C85" s="234" t="s">
        <v>34</v>
      </c>
      <c r="D85" s="13">
        <v>23</v>
      </c>
      <c r="E85" s="13"/>
      <c r="F85" s="13">
        <v>23</v>
      </c>
      <c r="G85" s="234" t="s">
        <v>172</v>
      </c>
      <c r="H85" s="13" t="s">
        <v>1563</v>
      </c>
      <c r="I85" s="13" t="s">
        <v>1564</v>
      </c>
      <c r="J85" s="415">
        <v>287000</v>
      </c>
      <c r="K85" s="415">
        <v>9143000</v>
      </c>
      <c r="L85" s="13"/>
      <c r="M85" s="13"/>
      <c r="N85" s="13"/>
      <c r="O85" s="13"/>
      <c r="P85" s="13"/>
      <c r="Q85" s="13"/>
    </row>
    <row r="86" spans="1:17" s="18" customFormat="1" x14ac:dyDescent="0.25">
      <c r="A86" s="478"/>
      <c r="B86" s="482"/>
      <c r="C86" s="276" t="s">
        <v>250</v>
      </c>
      <c r="D86" s="13">
        <v>1</v>
      </c>
      <c r="E86" s="13"/>
      <c r="F86" s="13">
        <v>1</v>
      </c>
      <c r="G86" s="13" t="s">
        <v>250</v>
      </c>
      <c r="H86" s="13" t="s">
        <v>1176</v>
      </c>
      <c r="I86" s="13" t="s">
        <v>991</v>
      </c>
      <c r="J86" s="415">
        <v>550000</v>
      </c>
      <c r="K86" s="415"/>
      <c r="L86" s="13"/>
      <c r="M86" s="13"/>
      <c r="N86" s="13"/>
      <c r="O86" s="13"/>
      <c r="P86" s="13"/>
      <c r="Q86" s="13"/>
    </row>
    <row r="87" spans="1:17" s="18" customFormat="1" ht="222.75" x14ac:dyDescent="0.25">
      <c r="A87" s="478"/>
      <c r="B87" s="482"/>
      <c r="C87" s="234" t="s">
        <v>36</v>
      </c>
      <c r="D87" s="13">
        <v>11</v>
      </c>
      <c r="E87" s="13"/>
      <c r="F87" s="13">
        <v>11</v>
      </c>
      <c r="G87" s="13" t="s">
        <v>173</v>
      </c>
      <c r="H87" s="13" t="s">
        <v>1567</v>
      </c>
      <c r="I87" s="13" t="s">
        <v>1568</v>
      </c>
      <c r="J87" s="415">
        <v>997927</v>
      </c>
      <c r="K87" s="415">
        <v>10634000</v>
      </c>
      <c r="L87" s="13"/>
      <c r="M87" s="13"/>
      <c r="N87" s="13"/>
      <c r="O87" s="13"/>
      <c r="P87" s="13"/>
      <c r="Q87" s="13"/>
    </row>
    <row r="88" spans="1:17" s="18" customFormat="1" ht="141.75" x14ac:dyDescent="0.25">
      <c r="A88" s="478"/>
      <c r="B88" s="482"/>
      <c r="C88" s="234" t="s">
        <v>37</v>
      </c>
      <c r="D88" s="13">
        <v>9</v>
      </c>
      <c r="E88" s="13"/>
      <c r="F88" s="13">
        <v>9</v>
      </c>
      <c r="G88" s="13" t="s">
        <v>174</v>
      </c>
      <c r="H88" s="13" t="s">
        <v>1565</v>
      </c>
      <c r="I88" s="13" t="s">
        <v>1566</v>
      </c>
      <c r="J88" s="415">
        <v>81000</v>
      </c>
      <c r="K88" s="415">
        <v>28900</v>
      </c>
      <c r="L88" s="13"/>
      <c r="M88" s="13"/>
      <c r="N88" s="13"/>
      <c r="O88" s="13"/>
      <c r="P88" s="13"/>
      <c r="Q88" s="13"/>
    </row>
    <row r="89" spans="1:17" s="18" customFormat="1" ht="81" x14ac:dyDescent="0.25">
      <c r="A89" s="478"/>
      <c r="B89" s="482"/>
      <c r="C89" s="234" t="s">
        <v>141</v>
      </c>
      <c r="D89" s="13">
        <v>5</v>
      </c>
      <c r="E89" s="13"/>
      <c r="F89" s="13">
        <v>5</v>
      </c>
      <c r="G89" s="13" t="s">
        <v>141</v>
      </c>
      <c r="H89" s="13" t="s">
        <v>1282</v>
      </c>
      <c r="I89" s="13" t="s">
        <v>1569</v>
      </c>
      <c r="J89" s="415">
        <v>18000</v>
      </c>
      <c r="K89" s="415">
        <v>6082000</v>
      </c>
      <c r="L89" s="13"/>
      <c r="M89" s="13"/>
      <c r="N89" s="13"/>
      <c r="O89" s="13"/>
      <c r="P89" s="13"/>
      <c r="Q89" s="13"/>
    </row>
    <row r="90" spans="1:17" s="18" customFormat="1" x14ac:dyDescent="0.25">
      <c r="A90" s="478"/>
      <c r="B90" s="483"/>
      <c r="C90" s="234" t="s">
        <v>305</v>
      </c>
      <c r="D90" s="13"/>
      <c r="E90" s="13"/>
      <c r="F90" s="13"/>
      <c r="G90" s="13"/>
      <c r="H90" s="13"/>
      <c r="I90" s="13"/>
      <c r="J90" s="415"/>
      <c r="K90" s="415"/>
      <c r="L90" s="13"/>
      <c r="M90" s="13"/>
      <c r="N90" s="13"/>
      <c r="O90" s="13"/>
      <c r="P90" s="13"/>
      <c r="Q90" s="13"/>
    </row>
    <row r="91" spans="1:17" s="18" customFormat="1" x14ac:dyDescent="0.25">
      <c r="A91" s="478">
        <v>8</v>
      </c>
      <c r="B91" s="478" t="s">
        <v>38</v>
      </c>
      <c r="C91" s="234" t="s">
        <v>38</v>
      </c>
      <c r="D91" s="13"/>
      <c r="E91" s="13"/>
      <c r="F91" s="13"/>
      <c r="G91" s="13"/>
      <c r="H91" s="13"/>
      <c r="I91" s="13"/>
      <c r="J91" s="415"/>
      <c r="K91" s="415"/>
      <c r="L91" s="13"/>
      <c r="M91" s="13"/>
      <c r="N91" s="13"/>
      <c r="O91" s="13"/>
      <c r="P91" s="13"/>
      <c r="Q91" s="13"/>
    </row>
    <row r="92" spans="1:17" s="18" customFormat="1" ht="81" x14ac:dyDescent="0.25">
      <c r="A92" s="478"/>
      <c r="B92" s="478"/>
      <c r="C92" s="234" t="s">
        <v>39</v>
      </c>
      <c r="D92" s="13">
        <v>1</v>
      </c>
      <c r="E92" s="13"/>
      <c r="F92" s="13">
        <v>1</v>
      </c>
      <c r="G92" s="13" t="s">
        <v>39</v>
      </c>
      <c r="H92" s="13" t="s">
        <v>1580</v>
      </c>
      <c r="I92" s="13"/>
      <c r="J92" s="415"/>
      <c r="K92" s="415"/>
      <c r="L92" s="13"/>
      <c r="M92" s="13"/>
      <c r="N92" s="13"/>
      <c r="O92" s="13"/>
      <c r="P92" s="13"/>
      <c r="Q92" s="13"/>
    </row>
    <row r="93" spans="1:17" s="18" customFormat="1" ht="81" x14ac:dyDescent="0.25">
      <c r="A93" s="478">
        <v>9</v>
      </c>
      <c r="B93" s="478" t="s">
        <v>88</v>
      </c>
      <c r="C93" s="234" t="s">
        <v>88</v>
      </c>
      <c r="D93" s="13">
        <v>5</v>
      </c>
      <c r="E93" s="13"/>
      <c r="F93" s="13">
        <v>5</v>
      </c>
      <c r="G93" s="13" t="s">
        <v>257</v>
      </c>
      <c r="H93" s="13" t="s">
        <v>1511</v>
      </c>
      <c r="I93" s="13" t="s">
        <v>1512</v>
      </c>
      <c r="J93" s="415">
        <v>750000</v>
      </c>
      <c r="K93" s="415">
        <v>11950000</v>
      </c>
      <c r="L93" s="13"/>
      <c r="M93" s="13"/>
      <c r="N93" s="13">
        <v>6</v>
      </c>
      <c r="O93" s="13"/>
      <c r="P93" s="13">
        <v>6</v>
      </c>
      <c r="Q93" s="13"/>
    </row>
    <row r="94" spans="1:17" s="18" customFormat="1" ht="60.75" x14ac:dyDescent="0.25">
      <c r="A94" s="478"/>
      <c r="B94" s="478"/>
      <c r="C94" s="234" t="s">
        <v>41</v>
      </c>
      <c r="D94" s="13">
        <v>5</v>
      </c>
      <c r="E94" s="13"/>
      <c r="F94" s="13">
        <v>5</v>
      </c>
      <c r="G94" s="13" t="s">
        <v>946</v>
      </c>
      <c r="H94" s="13" t="s">
        <v>1513</v>
      </c>
      <c r="I94" s="13" t="s">
        <v>1514</v>
      </c>
      <c r="J94" s="415">
        <v>30000</v>
      </c>
      <c r="K94" s="415">
        <v>475000</v>
      </c>
      <c r="L94" s="13"/>
      <c r="M94" s="13">
        <v>1</v>
      </c>
      <c r="N94" s="13"/>
      <c r="O94" s="13"/>
      <c r="P94" s="13"/>
      <c r="Q94" s="13"/>
    </row>
    <row r="95" spans="1:17" s="18" customFormat="1" x14ac:dyDescent="0.25">
      <c r="A95" s="478"/>
      <c r="B95" s="478"/>
      <c r="C95" s="234" t="s">
        <v>42</v>
      </c>
      <c r="D95" s="13"/>
      <c r="E95" s="13"/>
      <c r="F95" s="13"/>
      <c r="G95" s="13"/>
      <c r="H95" s="13"/>
      <c r="I95" s="13"/>
      <c r="J95" s="415"/>
      <c r="K95" s="415"/>
      <c r="L95" s="13"/>
      <c r="M95" s="13"/>
      <c r="N95" s="13"/>
      <c r="O95" s="13"/>
      <c r="P95" s="13"/>
      <c r="Q95" s="13"/>
    </row>
    <row r="96" spans="1:17" s="18" customFormat="1" x14ac:dyDescent="0.25">
      <c r="A96" s="478">
        <v>10</v>
      </c>
      <c r="B96" s="478" t="s">
        <v>43</v>
      </c>
      <c r="C96" s="234" t="s">
        <v>89</v>
      </c>
      <c r="D96" s="13"/>
      <c r="E96" s="13"/>
      <c r="F96" s="13"/>
      <c r="G96" s="13"/>
      <c r="H96" s="13"/>
      <c r="I96" s="13"/>
      <c r="J96" s="415"/>
      <c r="K96" s="415"/>
      <c r="L96" s="13"/>
      <c r="M96" s="13"/>
      <c r="N96" s="13"/>
      <c r="O96" s="13"/>
      <c r="P96" s="13"/>
      <c r="Q96" s="13"/>
    </row>
    <row r="97" spans="1:17" s="18" customFormat="1" x14ac:dyDescent="0.25">
      <c r="A97" s="478"/>
      <c r="B97" s="478"/>
      <c r="C97" s="234" t="s">
        <v>44</v>
      </c>
      <c r="D97" s="13">
        <v>1</v>
      </c>
      <c r="E97" s="13"/>
      <c r="F97" s="13">
        <v>1</v>
      </c>
      <c r="G97" s="13" t="s">
        <v>176</v>
      </c>
      <c r="H97" s="13" t="s">
        <v>1592</v>
      </c>
      <c r="I97" s="13" t="s">
        <v>345</v>
      </c>
      <c r="J97" s="415">
        <v>150000</v>
      </c>
      <c r="K97" s="415">
        <v>150000</v>
      </c>
      <c r="L97" s="13"/>
      <c r="M97" s="13"/>
      <c r="N97" s="13"/>
      <c r="O97" s="13"/>
      <c r="P97" s="13"/>
      <c r="Q97" s="13"/>
    </row>
    <row r="98" spans="1:17" s="18" customFormat="1" ht="81" x14ac:dyDescent="0.25">
      <c r="A98" s="478"/>
      <c r="B98" s="478"/>
      <c r="C98" s="234" t="s">
        <v>45</v>
      </c>
      <c r="D98" s="13">
        <v>9</v>
      </c>
      <c r="E98" s="13"/>
      <c r="F98" s="13">
        <v>9</v>
      </c>
      <c r="G98" s="13" t="s">
        <v>185</v>
      </c>
      <c r="H98" s="13" t="s">
        <v>1593</v>
      </c>
      <c r="I98" s="13" t="s">
        <v>1594</v>
      </c>
      <c r="J98" s="415">
        <v>353000</v>
      </c>
      <c r="K98" s="415">
        <v>3507000</v>
      </c>
      <c r="L98" s="13"/>
      <c r="M98" s="13"/>
      <c r="N98" s="13"/>
      <c r="O98" s="13"/>
      <c r="P98" s="13"/>
      <c r="Q98" s="13"/>
    </row>
    <row r="99" spans="1:17" s="18" customFormat="1" ht="101.25" x14ac:dyDescent="0.25">
      <c r="A99" s="481">
        <v>11</v>
      </c>
      <c r="B99" s="481" t="s">
        <v>46</v>
      </c>
      <c r="C99" s="234" t="s">
        <v>47</v>
      </c>
      <c r="D99" s="13">
        <v>5</v>
      </c>
      <c r="E99" s="13"/>
      <c r="F99" s="13">
        <v>5</v>
      </c>
      <c r="G99" s="13" t="s">
        <v>46</v>
      </c>
      <c r="H99" s="13" t="s">
        <v>1495</v>
      </c>
      <c r="I99" s="13" t="s">
        <v>1496</v>
      </c>
      <c r="J99" s="415">
        <v>566000</v>
      </c>
      <c r="K99" s="415">
        <v>3304000</v>
      </c>
      <c r="L99" s="13"/>
      <c r="M99" s="13"/>
      <c r="N99" s="13"/>
      <c r="O99" s="13"/>
      <c r="P99" s="13"/>
      <c r="Q99" s="13"/>
    </row>
    <row r="100" spans="1:17" s="18" customFormat="1" ht="60.75" x14ac:dyDescent="0.25">
      <c r="A100" s="482"/>
      <c r="B100" s="482"/>
      <c r="C100" s="234" t="s">
        <v>48</v>
      </c>
      <c r="D100" s="18">
        <v>2</v>
      </c>
      <c r="E100" s="13"/>
      <c r="F100" s="13">
        <v>2</v>
      </c>
      <c r="G100" s="13" t="s">
        <v>979</v>
      </c>
      <c r="H100" s="13" t="s">
        <v>1497</v>
      </c>
      <c r="I100" s="13" t="s">
        <v>1498</v>
      </c>
      <c r="J100" s="415">
        <v>40000</v>
      </c>
      <c r="K100" s="415">
        <v>1000000</v>
      </c>
      <c r="L100" s="13"/>
      <c r="M100" s="13"/>
      <c r="N100" s="13"/>
      <c r="O100" s="13"/>
      <c r="P100" s="13"/>
      <c r="Q100" s="13"/>
    </row>
    <row r="101" spans="1:17" s="18" customFormat="1" x14ac:dyDescent="0.25">
      <c r="A101" s="483"/>
      <c r="B101" s="483"/>
      <c r="C101" s="234" t="s">
        <v>314</v>
      </c>
      <c r="D101" s="13"/>
      <c r="E101" s="13"/>
      <c r="F101" s="13"/>
      <c r="G101" s="13"/>
      <c r="H101" s="13"/>
      <c r="I101" s="13"/>
      <c r="J101" s="415"/>
      <c r="K101" s="415"/>
      <c r="L101" s="13"/>
      <c r="M101" s="13"/>
      <c r="N101" s="13"/>
      <c r="O101" s="13"/>
      <c r="P101" s="13"/>
      <c r="Q101" s="13"/>
    </row>
    <row r="102" spans="1:17" s="18" customFormat="1" ht="40.5" x14ac:dyDescent="0.25">
      <c r="A102" s="478">
        <v>12</v>
      </c>
      <c r="B102" s="478" t="s">
        <v>49</v>
      </c>
      <c r="C102" s="234" t="s">
        <v>360</v>
      </c>
      <c r="D102" s="13">
        <v>4</v>
      </c>
      <c r="E102" s="13"/>
      <c r="F102" s="13">
        <v>4</v>
      </c>
      <c r="G102" s="13" t="s">
        <v>360</v>
      </c>
      <c r="H102" s="13" t="s">
        <v>1136</v>
      </c>
      <c r="I102" s="13" t="s">
        <v>1625</v>
      </c>
      <c r="J102" s="415">
        <v>930000</v>
      </c>
      <c r="K102" s="415">
        <v>4150000</v>
      </c>
      <c r="L102" s="13"/>
      <c r="M102" s="13"/>
      <c r="N102" s="13"/>
      <c r="O102" s="13"/>
      <c r="P102" s="13"/>
      <c r="Q102" s="13"/>
    </row>
    <row r="103" spans="1:17" s="18" customFormat="1" ht="81" x14ac:dyDescent="0.25">
      <c r="A103" s="478"/>
      <c r="B103" s="478"/>
      <c r="C103" s="234" t="s">
        <v>50</v>
      </c>
      <c r="D103" s="13">
        <v>23</v>
      </c>
      <c r="E103" s="13"/>
      <c r="F103" s="13">
        <v>23</v>
      </c>
      <c r="G103" s="13" t="s">
        <v>1626</v>
      </c>
      <c r="H103" s="13" t="s">
        <v>1627</v>
      </c>
      <c r="I103" s="13"/>
      <c r="J103" s="415">
        <v>1475000</v>
      </c>
      <c r="K103" s="415">
        <v>17729500</v>
      </c>
      <c r="L103" s="13">
        <v>2</v>
      </c>
      <c r="M103" s="13"/>
      <c r="N103" s="13">
        <v>4</v>
      </c>
      <c r="O103" s="13"/>
      <c r="P103" s="13"/>
      <c r="Q103" s="13"/>
    </row>
    <row r="104" spans="1:17" s="18" customFormat="1" ht="202.5" x14ac:dyDescent="0.25">
      <c r="A104" s="478"/>
      <c r="B104" s="478"/>
      <c r="C104" s="234" t="s">
        <v>51</v>
      </c>
      <c r="D104" s="13">
        <v>34</v>
      </c>
      <c r="E104" s="13"/>
      <c r="F104" s="13">
        <v>34</v>
      </c>
      <c r="G104" s="13" t="s">
        <v>184</v>
      </c>
      <c r="H104" s="13" t="s">
        <v>1623</v>
      </c>
      <c r="I104" s="13" t="s">
        <v>1624</v>
      </c>
      <c r="J104" s="415">
        <v>2300000</v>
      </c>
      <c r="K104" s="415">
        <v>49510000</v>
      </c>
      <c r="L104" s="13">
        <v>1</v>
      </c>
      <c r="M104" s="13">
        <v>1</v>
      </c>
      <c r="N104" s="13">
        <v>6</v>
      </c>
      <c r="O104" s="13"/>
      <c r="P104" s="13">
        <v>6</v>
      </c>
      <c r="Q104" s="13"/>
    </row>
    <row r="105" spans="1:17" s="18" customFormat="1" ht="141.75" x14ac:dyDescent="0.25">
      <c r="A105" s="478">
        <v>13</v>
      </c>
      <c r="B105" s="478" t="s">
        <v>52</v>
      </c>
      <c r="C105" s="234" t="s">
        <v>53</v>
      </c>
      <c r="D105" s="13">
        <v>41</v>
      </c>
      <c r="E105" s="13"/>
      <c r="F105" s="13">
        <v>41</v>
      </c>
      <c r="G105" s="13" t="s">
        <v>177</v>
      </c>
      <c r="H105" s="13" t="s">
        <v>1527</v>
      </c>
      <c r="I105" s="13" t="s">
        <v>1528</v>
      </c>
      <c r="J105" s="415">
        <v>2937000</v>
      </c>
      <c r="K105" s="415">
        <v>5185000</v>
      </c>
      <c r="L105" s="13"/>
      <c r="M105" s="13"/>
      <c r="N105" s="13"/>
      <c r="O105" s="13"/>
      <c r="P105" s="13"/>
      <c r="Q105" s="13"/>
    </row>
    <row r="106" spans="1:17" s="18" customFormat="1" ht="121.5" x14ac:dyDescent="0.25">
      <c r="A106" s="478"/>
      <c r="B106" s="478"/>
      <c r="C106" s="234" t="s">
        <v>54</v>
      </c>
      <c r="D106" s="13">
        <v>5</v>
      </c>
      <c r="E106" s="13"/>
      <c r="F106" s="13">
        <v>5</v>
      </c>
      <c r="G106" s="13" t="s">
        <v>252</v>
      </c>
      <c r="H106" s="13" t="s">
        <v>1520</v>
      </c>
      <c r="I106" s="13" t="s">
        <v>1521</v>
      </c>
      <c r="J106" s="415"/>
      <c r="K106" s="415"/>
      <c r="L106" s="13"/>
      <c r="M106" s="13"/>
      <c r="N106" s="13"/>
      <c r="O106" s="13"/>
      <c r="P106" s="13"/>
      <c r="Q106" s="13"/>
    </row>
    <row r="107" spans="1:17" s="18" customFormat="1" ht="162" x14ac:dyDescent="0.25">
      <c r="A107" s="478"/>
      <c r="B107" s="478"/>
      <c r="C107" s="234" t="s">
        <v>55</v>
      </c>
      <c r="D107" s="13">
        <v>41</v>
      </c>
      <c r="E107" s="13"/>
      <c r="F107" s="13">
        <v>41</v>
      </c>
      <c r="G107" s="13" t="s">
        <v>179</v>
      </c>
      <c r="H107" s="13" t="s">
        <v>1252</v>
      </c>
      <c r="I107" s="13" t="s">
        <v>1524</v>
      </c>
      <c r="J107" s="415">
        <v>3845000</v>
      </c>
      <c r="K107" s="415">
        <v>33873000</v>
      </c>
      <c r="L107" s="13"/>
      <c r="M107" s="13"/>
      <c r="N107" s="13"/>
      <c r="O107" s="13"/>
      <c r="P107" s="13"/>
      <c r="Q107" s="13"/>
    </row>
    <row r="108" spans="1:17" s="18" customFormat="1" ht="81" x14ac:dyDescent="0.25">
      <c r="A108" s="478"/>
      <c r="B108" s="478"/>
      <c r="C108" s="234" t="s">
        <v>56</v>
      </c>
      <c r="D108" s="13">
        <v>26</v>
      </c>
      <c r="E108" s="13"/>
      <c r="F108" s="13">
        <v>26</v>
      </c>
      <c r="G108" s="13" t="s">
        <v>188</v>
      </c>
      <c r="H108" s="13" t="s">
        <v>1252</v>
      </c>
      <c r="I108" s="13" t="s">
        <v>1530</v>
      </c>
      <c r="J108" s="415">
        <v>180000</v>
      </c>
      <c r="K108" s="415">
        <v>330000</v>
      </c>
      <c r="L108" s="13"/>
      <c r="M108" s="13"/>
      <c r="N108" s="13"/>
      <c r="O108" s="13">
        <v>5</v>
      </c>
      <c r="P108" s="13"/>
      <c r="Q108" s="13">
        <v>5</v>
      </c>
    </row>
    <row r="109" spans="1:17" s="18" customFormat="1" ht="101.25" x14ac:dyDescent="0.25">
      <c r="A109" s="478"/>
      <c r="B109" s="478"/>
      <c r="C109" s="234" t="s">
        <v>57</v>
      </c>
      <c r="D109" s="13">
        <v>48</v>
      </c>
      <c r="E109" s="13"/>
      <c r="F109" s="13">
        <v>48</v>
      </c>
      <c r="G109" s="13" t="s">
        <v>178</v>
      </c>
      <c r="H109" s="13" t="s">
        <v>1522</v>
      </c>
      <c r="I109" s="13" t="s">
        <v>1523</v>
      </c>
      <c r="J109" s="415">
        <v>1601500</v>
      </c>
      <c r="K109" s="415">
        <v>5331000</v>
      </c>
      <c r="L109" s="13"/>
      <c r="M109" s="13"/>
      <c r="N109" s="13"/>
      <c r="O109" s="13">
        <v>2</v>
      </c>
      <c r="P109" s="13"/>
      <c r="Q109" s="13">
        <v>2</v>
      </c>
    </row>
    <row r="110" spans="1:17" s="18" customFormat="1" ht="141.75" x14ac:dyDescent="0.25">
      <c r="A110" s="478"/>
      <c r="B110" s="478"/>
      <c r="C110" s="234" t="s">
        <v>58</v>
      </c>
      <c r="D110" s="13">
        <v>27</v>
      </c>
      <c r="E110" s="13"/>
      <c r="F110" s="13">
        <v>27</v>
      </c>
      <c r="G110" s="13" t="s">
        <v>58</v>
      </c>
      <c r="H110" s="13" t="s">
        <v>1518</v>
      </c>
      <c r="I110" s="13" t="s">
        <v>1519</v>
      </c>
      <c r="J110" s="415">
        <v>1862000</v>
      </c>
      <c r="K110" s="415">
        <v>10008000</v>
      </c>
      <c r="L110" s="13"/>
      <c r="M110" s="13"/>
      <c r="N110" s="13"/>
      <c r="O110" s="13"/>
      <c r="P110" s="13"/>
      <c r="Q110" s="13"/>
    </row>
    <row r="111" spans="1:17" s="18" customFormat="1" ht="202.5" x14ac:dyDescent="0.25">
      <c r="A111" s="478"/>
      <c r="B111" s="478"/>
      <c r="C111" s="234" t="s">
        <v>336</v>
      </c>
      <c r="D111" s="13">
        <v>9</v>
      </c>
      <c r="E111" s="13"/>
      <c r="F111" s="13">
        <v>9</v>
      </c>
      <c r="G111" s="13" t="s">
        <v>336</v>
      </c>
      <c r="H111" s="13" t="s">
        <v>1252</v>
      </c>
      <c r="I111" s="13" t="s">
        <v>1529</v>
      </c>
      <c r="J111" s="415">
        <v>745000</v>
      </c>
      <c r="K111" s="415">
        <v>3455000</v>
      </c>
      <c r="L111" s="13"/>
      <c r="M111" s="13"/>
      <c r="N111" s="13"/>
      <c r="O111" s="13"/>
      <c r="P111" s="13"/>
      <c r="Q111" s="13"/>
    </row>
    <row r="112" spans="1:17" s="18" customFormat="1" ht="81" x14ac:dyDescent="0.25">
      <c r="A112" s="478"/>
      <c r="B112" s="478"/>
      <c r="C112" s="234" t="s">
        <v>59</v>
      </c>
      <c r="D112" s="13">
        <v>19</v>
      </c>
      <c r="E112" s="13"/>
      <c r="F112" s="13">
        <v>19</v>
      </c>
      <c r="G112" s="13" t="s">
        <v>187</v>
      </c>
      <c r="H112" s="13" t="s">
        <v>1525</v>
      </c>
      <c r="I112" s="13" t="s">
        <v>1526</v>
      </c>
      <c r="J112" s="415">
        <v>1181000</v>
      </c>
      <c r="K112" s="415">
        <v>23579000</v>
      </c>
      <c r="L112" s="13"/>
      <c r="M112" s="13"/>
      <c r="N112" s="13"/>
      <c r="O112" s="13">
        <v>3</v>
      </c>
      <c r="P112" s="13"/>
      <c r="Q112" s="13">
        <v>3</v>
      </c>
    </row>
    <row r="113" spans="1:21" s="18" customFormat="1" x14ac:dyDescent="0.25">
      <c r="A113" s="233"/>
      <c r="B113" s="233"/>
      <c r="C113" s="234" t="s">
        <v>60</v>
      </c>
      <c r="D113" s="13">
        <f>SUM(D66:D112)</f>
        <v>559</v>
      </c>
      <c r="E113" s="13">
        <f t="shared" ref="E113:P113" si="2">SUM(E66:E112)</f>
        <v>0</v>
      </c>
      <c r="F113" s="13">
        <f t="shared" si="2"/>
        <v>559</v>
      </c>
      <c r="G113" s="13">
        <f t="shared" si="2"/>
        <v>0</v>
      </c>
      <c r="H113" s="13">
        <f t="shared" si="2"/>
        <v>0</v>
      </c>
      <c r="I113" s="13">
        <f t="shared" si="2"/>
        <v>0</v>
      </c>
      <c r="J113" s="415">
        <f t="shared" si="2"/>
        <v>33525827</v>
      </c>
      <c r="K113" s="415">
        <f t="shared" si="2"/>
        <v>485331500</v>
      </c>
      <c r="L113" s="13">
        <f t="shared" si="2"/>
        <v>7</v>
      </c>
      <c r="M113" s="13">
        <f t="shared" si="2"/>
        <v>4</v>
      </c>
      <c r="N113" s="13">
        <f t="shared" si="2"/>
        <v>19</v>
      </c>
      <c r="O113" s="13">
        <f t="shared" si="2"/>
        <v>12</v>
      </c>
      <c r="P113" s="13">
        <f t="shared" si="2"/>
        <v>79</v>
      </c>
      <c r="Q113" s="13">
        <f>SUM(Q66:Q112)</f>
        <v>19</v>
      </c>
    </row>
    <row r="114" spans="1:21" x14ac:dyDescent="0.25">
      <c r="A114" s="172"/>
      <c r="B114" s="172"/>
      <c r="C114" s="17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</row>
    <row r="116" spans="1:21" ht="23.25" x14ac:dyDescent="0.25">
      <c r="A116" s="197"/>
      <c r="B116" s="198"/>
      <c r="C116" s="236"/>
      <c r="D116" s="236"/>
      <c r="E116" s="236"/>
      <c r="F116" s="236"/>
      <c r="G116" s="236"/>
      <c r="H116" s="236"/>
      <c r="I116" s="236"/>
      <c r="J116" s="236"/>
      <c r="K116" s="236"/>
      <c r="L116" s="236"/>
      <c r="M116" s="236"/>
      <c r="S116" s="196"/>
      <c r="T116" s="196"/>
      <c r="U116" s="196"/>
    </row>
    <row r="117" spans="1:21" ht="32.25" customHeight="1" x14ac:dyDescent="0.25">
      <c r="A117" s="504" t="s">
        <v>1227</v>
      </c>
      <c r="B117" s="504"/>
      <c r="C117" s="504"/>
      <c r="D117" s="504"/>
      <c r="E117" s="504"/>
      <c r="F117" s="504"/>
      <c r="G117" s="504"/>
      <c r="H117" s="504"/>
      <c r="I117" s="504"/>
      <c r="J117" s="504"/>
      <c r="K117" s="504"/>
      <c r="L117" s="504"/>
      <c r="M117" s="504"/>
      <c r="N117" s="504"/>
      <c r="O117" s="504"/>
      <c r="P117" s="504"/>
      <c r="Q117" s="504"/>
    </row>
    <row r="118" spans="1:21" ht="21" customHeight="1" x14ac:dyDescent="0.25">
      <c r="A118" s="500" t="s">
        <v>0</v>
      </c>
      <c r="B118" s="500" t="s">
        <v>1</v>
      </c>
      <c r="C118" s="503" t="s">
        <v>182</v>
      </c>
      <c r="D118" s="500" t="s">
        <v>3</v>
      </c>
      <c r="E118" s="500" t="s">
        <v>4</v>
      </c>
      <c r="F118" s="500" t="s">
        <v>5</v>
      </c>
      <c r="G118" s="500" t="s">
        <v>6</v>
      </c>
      <c r="H118" s="503" t="s">
        <v>7</v>
      </c>
      <c r="I118" s="503" t="s">
        <v>8</v>
      </c>
      <c r="J118" s="500" t="s">
        <v>9</v>
      </c>
      <c r="K118" s="500" t="s">
        <v>183</v>
      </c>
      <c r="L118" s="500" t="s">
        <v>11</v>
      </c>
      <c r="M118" s="500"/>
      <c r="N118" s="500" t="s">
        <v>300</v>
      </c>
      <c r="O118" s="500"/>
      <c r="P118" s="500" t="s">
        <v>12</v>
      </c>
      <c r="Q118" s="500"/>
    </row>
    <row r="119" spans="1:21" x14ac:dyDescent="0.25">
      <c r="A119" s="500"/>
      <c r="B119" s="500"/>
      <c r="C119" s="503"/>
      <c r="D119" s="500"/>
      <c r="E119" s="500"/>
      <c r="F119" s="500"/>
      <c r="G119" s="500"/>
      <c r="H119" s="503"/>
      <c r="I119" s="503"/>
      <c r="J119" s="500"/>
      <c r="K119" s="500"/>
      <c r="L119" s="126" t="s">
        <v>14</v>
      </c>
      <c r="M119" s="126" t="s">
        <v>15</v>
      </c>
      <c r="N119" s="126" t="s">
        <v>14</v>
      </c>
      <c r="O119" s="126" t="s">
        <v>15</v>
      </c>
      <c r="P119" s="126" t="s">
        <v>14</v>
      </c>
      <c r="Q119" s="126" t="s">
        <v>15</v>
      </c>
    </row>
    <row r="120" spans="1:21" x14ac:dyDescent="0.25">
      <c r="A120" s="500">
        <v>1</v>
      </c>
      <c r="B120" s="500" t="s">
        <v>16</v>
      </c>
      <c r="C120" s="153" t="s">
        <v>17</v>
      </c>
      <c r="D120" s="35">
        <v>1</v>
      </c>
      <c r="E120" s="35"/>
      <c r="F120" s="35">
        <v>1</v>
      </c>
      <c r="G120" s="35" t="s">
        <v>83</v>
      </c>
      <c r="H120" s="35" t="s">
        <v>337</v>
      </c>
      <c r="I120" s="35" t="s">
        <v>981</v>
      </c>
      <c r="J120" s="285">
        <v>950000</v>
      </c>
      <c r="K120" s="285">
        <v>2050000</v>
      </c>
      <c r="L120" s="35">
        <v>2</v>
      </c>
      <c r="M120" s="35"/>
      <c r="N120" s="35"/>
      <c r="O120" s="35"/>
      <c r="P120" s="35">
        <v>3</v>
      </c>
      <c r="Q120" s="35"/>
    </row>
    <row r="121" spans="1:21" x14ac:dyDescent="0.25">
      <c r="A121" s="500"/>
      <c r="B121" s="500"/>
      <c r="C121" s="153" t="s">
        <v>19</v>
      </c>
      <c r="D121" s="35"/>
      <c r="E121" s="35"/>
      <c r="F121" s="35"/>
      <c r="G121" s="35"/>
      <c r="H121" s="35"/>
      <c r="I121" s="35"/>
      <c r="J121" s="285"/>
      <c r="K121" s="285"/>
      <c r="L121" s="35"/>
      <c r="M121" s="35"/>
      <c r="N121" s="35"/>
      <c r="O121" s="35"/>
      <c r="P121" s="35"/>
      <c r="Q121" s="35"/>
    </row>
    <row r="122" spans="1:21" x14ac:dyDescent="0.25">
      <c r="A122" s="126">
        <v>2</v>
      </c>
      <c r="B122" s="126" t="s">
        <v>20</v>
      </c>
      <c r="C122" s="153" t="s">
        <v>20</v>
      </c>
      <c r="D122" s="35">
        <v>1</v>
      </c>
      <c r="E122" s="35"/>
      <c r="F122" s="35">
        <v>1</v>
      </c>
      <c r="G122" s="35" t="s">
        <v>20</v>
      </c>
      <c r="H122" s="35" t="s">
        <v>337</v>
      </c>
      <c r="I122" s="35" t="s">
        <v>1272</v>
      </c>
      <c r="J122" s="285"/>
      <c r="K122" s="285"/>
      <c r="L122" s="35"/>
      <c r="M122" s="35"/>
      <c r="N122" s="35"/>
      <c r="O122" s="35"/>
      <c r="P122" s="35"/>
      <c r="Q122" s="35"/>
    </row>
    <row r="123" spans="1:21" x14ac:dyDescent="0.25">
      <c r="A123" s="500">
        <v>3</v>
      </c>
      <c r="B123" s="502" t="s">
        <v>21</v>
      </c>
      <c r="C123" s="153" t="s">
        <v>21</v>
      </c>
      <c r="D123" s="35"/>
      <c r="E123" s="35"/>
      <c r="F123" s="35"/>
      <c r="G123" s="35"/>
      <c r="H123" s="35"/>
      <c r="I123" s="35"/>
      <c r="J123" s="285"/>
      <c r="K123" s="285"/>
      <c r="L123" s="35"/>
      <c r="M123" s="35"/>
      <c r="N123" s="35"/>
      <c r="O123" s="35"/>
      <c r="P123" s="35"/>
      <c r="Q123" s="35"/>
    </row>
    <row r="124" spans="1:21" ht="40.5" x14ac:dyDescent="0.25">
      <c r="A124" s="500"/>
      <c r="B124" s="502"/>
      <c r="C124" s="153" t="s">
        <v>22</v>
      </c>
      <c r="D124" s="35">
        <v>3</v>
      </c>
      <c r="E124" s="35"/>
      <c r="F124" s="35">
        <v>3</v>
      </c>
      <c r="G124" s="35" t="s">
        <v>164</v>
      </c>
      <c r="H124" s="35" t="s">
        <v>1140</v>
      </c>
      <c r="I124" s="35" t="s">
        <v>1306</v>
      </c>
      <c r="J124" s="285">
        <v>1005000</v>
      </c>
      <c r="K124" s="285">
        <v>1515000</v>
      </c>
      <c r="L124" s="35"/>
      <c r="M124" s="35"/>
      <c r="N124" s="35">
        <v>1</v>
      </c>
      <c r="O124" s="35"/>
      <c r="P124" s="35">
        <v>1</v>
      </c>
      <c r="Q124" s="35"/>
    </row>
    <row r="125" spans="1:21" x14ac:dyDescent="0.25">
      <c r="A125" s="500"/>
      <c r="B125" s="502"/>
      <c r="C125" s="153" t="s">
        <v>335</v>
      </c>
      <c r="D125" s="35"/>
      <c r="E125" s="35"/>
      <c r="F125" s="35"/>
      <c r="G125" s="35"/>
      <c r="H125" s="35"/>
      <c r="I125" s="35"/>
      <c r="J125" s="285"/>
      <c r="K125" s="285"/>
      <c r="L125" s="35"/>
      <c r="M125" s="35"/>
      <c r="N125" s="35"/>
      <c r="O125" s="35"/>
      <c r="P125" s="35"/>
      <c r="Q125" s="35"/>
    </row>
    <row r="126" spans="1:21" ht="40.5" x14ac:dyDescent="0.25">
      <c r="A126" s="500"/>
      <c r="B126" s="502"/>
      <c r="C126" s="153" t="s">
        <v>269</v>
      </c>
      <c r="D126" s="35">
        <v>1</v>
      </c>
      <c r="E126" s="35"/>
      <c r="F126" s="35">
        <v>1</v>
      </c>
      <c r="G126" s="35" t="s">
        <v>163</v>
      </c>
      <c r="H126" s="35" t="s">
        <v>337</v>
      </c>
      <c r="I126" s="35" t="s">
        <v>1307</v>
      </c>
      <c r="J126" s="285">
        <v>200000</v>
      </c>
      <c r="K126" s="285">
        <v>600000</v>
      </c>
      <c r="L126" s="35"/>
      <c r="M126" s="35"/>
      <c r="N126" s="35"/>
      <c r="O126" s="35"/>
      <c r="P126" s="35"/>
      <c r="Q126" s="35"/>
    </row>
    <row r="127" spans="1:21" ht="40.5" x14ac:dyDescent="0.25">
      <c r="A127" s="500">
        <v>4</v>
      </c>
      <c r="B127" s="500" t="s">
        <v>23</v>
      </c>
      <c r="C127" s="153" t="s">
        <v>23</v>
      </c>
      <c r="D127" s="35">
        <v>1</v>
      </c>
      <c r="E127" s="35"/>
      <c r="F127" s="35">
        <v>1</v>
      </c>
      <c r="G127" s="35" t="s">
        <v>167</v>
      </c>
      <c r="H127" s="35" t="s">
        <v>886</v>
      </c>
      <c r="I127" s="35" t="s">
        <v>1301</v>
      </c>
      <c r="J127" s="285">
        <v>5000</v>
      </c>
      <c r="K127" s="285">
        <v>4995000</v>
      </c>
      <c r="L127" s="35"/>
      <c r="M127" s="35"/>
      <c r="N127" s="35"/>
      <c r="O127" s="35"/>
      <c r="P127" s="35"/>
      <c r="Q127" s="35"/>
    </row>
    <row r="128" spans="1:21" x14ac:dyDescent="0.25">
      <c r="A128" s="500"/>
      <c r="B128" s="500"/>
      <c r="C128" s="153" t="s">
        <v>344</v>
      </c>
      <c r="D128" s="35"/>
      <c r="E128" s="35"/>
      <c r="F128" s="35"/>
      <c r="G128" s="35"/>
      <c r="H128" s="35"/>
      <c r="I128" s="35"/>
      <c r="J128" s="285"/>
      <c r="K128" s="285"/>
      <c r="L128" s="35"/>
      <c r="M128" s="35"/>
      <c r="N128" s="35"/>
      <c r="O128" s="35"/>
      <c r="P128" s="35"/>
      <c r="Q128" s="35"/>
    </row>
    <row r="129" spans="1:17" ht="81" x14ac:dyDescent="0.25">
      <c r="A129" s="500">
        <v>5</v>
      </c>
      <c r="B129" s="500" t="s">
        <v>25</v>
      </c>
      <c r="C129" s="153" t="s">
        <v>26</v>
      </c>
      <c r="D129" s="35">
        <v>4</v>
      </c>
      <c r="E129" s="35"/>
      <c r="F129" s="35">
        <v>4</v>
      </c>
      <c r="G129" s="35" t="s">
        <v>256</v>
      </c>
      <c r="H129" s="35" t="s">
        <v>1344</v>
      </c>
      <c r="I129" s="35" t="s">
        <v>1345</v>
      </c>
      <c r="J129" s="285">
        <v>240000</v>
      </c>
      <c r="K129" s="285">
        <v>38860000</v>
      </c>
      <c r="L129" s="35"/>
      <c r="M129" s="35"/>
      <c r="N129" s="35"/>
      <c r="O129" s="35"/>
      <c r="P129" s="35"/>
      <c r="Q129" s="35">
        <v>2</v>
      </c>
    </row>
    <row r="130" spans="1:17" x14ac:dyDescent="0.25">
      <c r="A130" s="500"/>
      <c r="B130" s="500"/>
      <c r="C130" s="153" t="s">
        <v>27</v>
      </c>
      <c r="D130" s="35"/>
      <c r="E130" s="35"/>
      <c r="F130" s="35"/>
      <c r="G130" s="35"/>
      <c r="H130" s="35"/>
      <c r="I130" s="35"/>
      <c r="J130" s="285"/>
      <c r="K130" s="285"/>
      <c r="L130" s="35"/>
      <c r="M130" s="35"/>
      <c r="N130" s="35"/>
      <c r="O130" s="35"/>
      <c r="P130" s="35"/>
      <c r="Q130" s="35"/>
    </row>
    <row r="131" spans="1:17" x14ac:dyDescent="0.25">
      <c r="A131" s="500"/>
      <c r="B131" s="500"/>
      <c r="C131" s="153" t="s">
        <v>268</v>
      </c>
      <c r="D131" s="35"/>
      <c r="E131" s="35"/>
      <c r="F131" s="35"/>
      <c r="G131" s="35"/>
      <c r="H131" s="35"/>
      <c r="I131" s="35"/>
      <c r="J131" s="285"/>
      <c r="K131" s="285"/>
      <c r="L131" s="35"/>
      <c r="M131" s="35"/>
      <c r="N131" s="35"/>
      <c r="O131" s="35"/>
      <c r="P131" s="35"/>
      <c r="Q131" s="35"/>
    </row>
    <row r="132" spans="1:17" ht="263.25" x14ac:dyDescent="0.25">
      <c r="A132" s="500">
        <v>6</v>
      </c>
      <c r="B132" s="500" t="s">
        <v>28</v>
      </c>
      <c r="C132" s="153" t="s">
        <v>29</v>
      </c>
      <c r="D132" s="35">
        <v>18</v>
      </c>
      <c r="E132" s="35"/>
      <c r="F132" s="35">
        <v>18</v>
      </c>
      <c r="G132" s="35" t="s">
        <v>207</v>
      </c>
      <c r="H132" s="35" t="s">
        <v>1375</v>
      </c>
      <c r="I132" s="35" t="s">
        <v>1376</v>
      </c>
      <c r="J132" s="285">
        <v>1687000</v>
      </c>
      <c r="K132" s="285">
        <v>45893000</v>
      </c>
      <c r="L132" s="35"/>
      <c r="M132" s="35"/>
      <c r="N132" s="35">
        <v>4</v>
      </c>
      <c r="O132" s="35">
        <v>1</v>
      </c>
      <c r="P132" s="35">
        <v>62</v>
      </c>
      <c r="Q132" s="35"/>
    </row>
    <row r="133" spans="1:17" ht="121.5" x14ac:dyDescent="0.25">
      <c r="A133" s="500"/>
      <c r="B133" s="500"/>
      <c r="C133" s="153" t="s">
        <v>30</v>
      </c>
      <c r="D133" s="35">
        <v>11</v>
      </c>
      <c r="E133" s="35"/>
      <c r="F133" s="35">
        <v>11</v>
      </c>
      <c r="G133" s="35" t="s">
        <v>171</v>
      </c>
      <c r="H133" s="35" t="s">
        <v>1380</v>
      </c>
      <c r="I133" s="35" t="s">
        <v>1381</v>
      </c>
      <c r="J133" s="285">
        <v>801000</v>
      </c>
      <c r="K133" s="285">
        <v>5979000</v>
      </c>
      <c r="L133" s="35"/>
      <c r="M133" s="35"/>
      <c r="N133" s="35"/>
      <c r="O133" s="35"/>
      <c r="P133" s="35"/>
      <c r="Q133" s="35"/>
    </row>
    <row r="134" spans="1:17" ht="60.75" x14ac:dyDescent="0.25">
      <c r="A134" s="500"/>
      <c r="B134" s="500"/>
      <c r="C134" s="153" t="s">
        <v>31</v>
      </c>
      <c r="D134" s="35">
        <v>3</v>
      </c>
      <c r="E134" s="35"/>
      <c r="F134" s="35">
        <v>3</v>
      </c>
      <c r="G134" s="35" t="s">
        <v>1378</v>
      </c>
      <c r="H134" s="35" t="s">
        <v>1125</v>
      </c>
      <c r="I134" s="35" t="s">
        <v>1379</v>
      </c>
      <c r="J134" s="285">
        <v>25000</v>
      </c>
      <c r="K134" s="285">
        <v>1175000</v>
      </c>
      <c r="L134" s="35"/>
      <c r="M134" s="35"/>
      <c r="N134" s="35"/>
      <c r="O134" s="35"/>
      <c r="P134" s="35"/>
      <c r="Q134" s="35"/>
    </row>
    <row r="135" spans="1:17" ht="202.5" x14ac:dyDescent="0.25">
      <c r="A135" s="500"/>
      <c r="B135" s="500"/>
      <c r="C135" s="153" t="s">
        <v>32</v>
      </c>
      <c r="D135" s="35">
        <v>19</v>
      </c>
      <c r="E135" s="35"/>
      <c r="F135" s="35">
        <v>19</v>
      </c>
      <c r="G135" s="35" t="s">
        <v>909</v>
      </c>
      <c r="H135" s="35"/>
      <c r="I135" s="35" t="s">
        <v>1377</v>
      </c>
      <c r="J135" s="285">
        <v>2636000</v>
      </c>
      <c r="K135" s="285">
        <v>45594000</v>
      </c>
      <c r="L135" s="35"/>
      <c r="M135" s="35">
        <v>3</v>
      </c>
      <c r="N135" s="35"/>
      <c r="O135" s="35">
        <v>2</v>
      </c>
      <c r="P135" s="35">
        <v>19</v>
      </c>
      <c r="Q135" s="35">
        <v>5</v>
      </c>
    </row>
    <row r="136" spans="1:17" ht="60.75" x14ac:dyDescent="0.25">
      <c r="A136" s="500"/>
      <c r="B136" s="500"/>
      <c r="C136" s="153" t="s">
        <v>201</v>
      </c>
      <c r="D136" s="35">
        <v>3</v>
      </c>
      <c r="E136" s="35"/>
      <c r="F136" s="35">
        <v>3</v>
      </c>
      <c r="G136" s="35" t="s">
        <v>201</v>
      </c>
      <c r="H136" s="35" t="s">
        <v>1382</v>
      </c>
      <c r="I136" s="35" t="s">
        <v>1383</v>
      </c>
      <c r="J136" s="285">
        <v>765000</v>
      </c>
      <c r="K136" s="285">
        <v>5390000</v>
      </c>
      <c r="L136" s="35"/>
      <c r="M136" s="35">
        <v>3</v>
      </c>
      <c r="N136" s="35"/>
      <c r="O136" s="35"/>
      <c r="P136" s="35"/>
      <c r="Q136" s="35"/>
    </row>
    <row r="137" spans="1:17" ht="222.75" x14ac:dyDescent="0.25">
      <c r="A137" s="500">
        <v>7</v>
      </c>
      <c r="B137" s="500" t="s">
        <v>33</v>
      </c>
      <c r="C137" s="153" t="s">
        <v>33</v>
      </c>
      <c r="D137" s="35">
        <v>30</v>
      </c>
      <c r="E137" s="35"/>
      <c r="F137" s="35">
        <v>30</v>
      </c>
      <c r="G137" s="35" t="s">
        <v>127</v>
      </c>
      <c r="H137" s="35" t="s">
        <v>1249</v>
      </c>
      <c r="I137" s="35" t="s">
        <v>1250</v>
      </c>
      <c r="J137" s="285">
        <v>3008500</v>
      </c>
      <c r="K137" s="285">
        <v>162418300</v>
      </c>
      <c r="L137" s="35"/>
      <c r="M137" s="35"/>
      <c r="N137" s="35"/>
      <c r="O137" s="35"/>
      <c r="P137" s="35"/>
      <c r="Q137" s="35"/>
    </row>
    <row r="138" spans="1:17" ht="162" x14ac:dyDescent="0.25">
      <c r="A138" s="500"/>
      <c r="B138" s="500"/>
      <c r="C138" s="153" t="s">
        <v>34</v>
      </c>
      <c r="D138" s="35">
        <v>10</v>
      </c>
      <c r="E138" s="35"/>
      <c r="F138" s="35">
        <v>10</v>
      </c>
      <c r="G138" s="153" t="s">
        <v>1251</v>
      </c>
      <c r="H138" s="35" t="s">
        <v>1252</v>
      </c>
      <c r="I138" s="35" t="s">
        <v>1253</v>
      </c>
      <c r="J138" s="285">
        <v>160000</v>
      </c>
      <c r="K138" s="285">
        <v>4820000</v>
      </c>
      <c r="L138" s="35"/>
      <c r="M138" s="35"/>
      <c r="N138" s="35"/>
      <c r="O138" s="35"/>
      <c r="P138" s="35"/>
      <c r="Q138" s="35"/>
    </row>
    <row r="139" spans="1:17" x14ac:dyDescent="0.25">
      <c r="A139" s="500"/>
      <c r="B139" s="500"/>
      <c r="C139" s="92" t="s">
        <v>250</v>
      </c>
      <c r="D139" s="35"/>
      <c r="E139" s="35"/>
      <c r="F139" s="35"/>
      <c r="G139" s="35"/>
      <c r="H139" s="35"/>
      <c r="I139" s="35"/>
      <c r="J139" s="285"/>
      <c r="K139" s="285"/>
      <c r="L139" s="35"/>
      <c r="M139" s="35"/>
      <c r="N139" s="35"/>
      <c r="O139" s="35"/>
      <c r="P139" s="35"/>
      <c r="Q139" s="35"/>
    </row>
    <row r="140" spans="1:17" ht="40.5" x14ac:dyDescent="0.25">
      <c r="A140" s="500"/>
      <c r="B140" s="500"/>
      <c r="C140" s="153" t="s">
        <v>36</v>
      </c>
      <c r="D140" s="35">
        <v>2</v>
      </c>
      <c r="E140" s="35"/>
      <c r="F140" s="35">
        <v>2</v>
      </c>
      <c r="G140" s="35" t="s">
        <v>173</v>
      </c>
      <c r="H140" s="35" t="s">
        <v>1257</v>
      </c>
      <c r="I140" s="35" t="s">
        <v>1256</v>
      </c>
      <c r="J140" s="285">
        <v>15000</v>
      </c>
      <c r="K140" s="285">
        <v>35000</v>
      </c>
      <c r="L140" s="35"/>
      <c r="M140" s="35"/>
      <c r="N140" s="35"/>
      <c r="O140" s="35"/>
      <c r="P140" s="35"/>
      <c r="Q140" s="35"/>
    </row>
    <row r="141" spans="1:17" ht="40.5" x14ac:dyDescent="0.25">
      <c r="A141" s="500"/>
      <c r="B141" s="500"/>
      <c r="C141" s="153" t="s">
        <v>37</v>
      </c>
      <c r="D141" s="35">
        <v>3</v>
      </c>
      <c r="E141" s="35"/>
      <c r="F141" s="35">
        <v>3</v>
      </c>
      <c r="G141" s="35" t="s">
        <v>174</v>
      </c>
      <c r="H141" s="35" t="s">
        <v>1254</v>
      </c>
      <c r="I141" s="35" t="s">
        <v>1255</v>
      </c>
      <c r="J141" s="285">
        <v>82000</v>
      </c>
      <c r="K141" s="285">
        <v>5428000</v>
      </c>
      <c r="L141" s="35"/>
      <c r="M141" s="35"/>
      <c r="N141" s="35"/>
      <c r="O141" s="35"/>
      <c r="P141" s="35"/>
      <c r="Q141" s="35"/>
    </row>
    <row r="142" spans="1:17" ht="60.75" x14ac:dyDescent="0.25">
      <c r="A142" s="500"/>
      <c r="B142" s="500"/>
      <c r="C142" s="153" t="s">
        <v>141</v>
      </c>
      <c r="D142" s="35">
        <v>4</v>
      </c>
      <c r="E142" s="35"/>
      <c r="F142" s="35">
        <v>4</v>
      </c>
      <c r="G142" s="35" t="s">
        <v>141</v>
      </c>
      <c r="H142" s="35" t="s">
        <v>1259</v>
      </c>
      <c r="I142" s="35" t="s">
        <v>1258</v>
      </c>
      <c r="J142" s="285">
        <v>525000</v>
      </c>
      <c r="K142" s="285">
        <v>10025000</v>
      </c>
      <c r="L142" s="35"/>
      <c r="M142" s="35"/>
      <c r="N142" s="35"/>
      <c r="O142" s="35"/>
      <c r="P142" s="35"/>
      <c r="Q142" s="35"/>
    </row>
    <row r="143" spans="1:17" x14ac:dyDescent="0.25">
      <c r="A143" s="500"/>
      <c r="B143" s="126"/>
      <c r="C143" s="153" t="s">
        <v>305</v>
      </c>
      <c r="D143" s="35"/>
      <c r="E143" s="35"/>
      <c r="F143" s="35"/>
      <c r="G143" s="35"/>
      <c r="H143" s="35"/>
      <c r="I143" s="35"/>
      <c r="J143" s="285"/>
      <c r="K143" s="285"/>
      <c r="L143" s="35"/>
      <c r="M143" s="35"/>
      <c r="N143" s="35"/>
      <c r="O143" s="35"/>
      <c r="P143" s="35"/>
      <c r="Q143" s="35"/>
    </row>
    <row r="144" spans="1:17" ht="40.5" x14ac:dyDescent="0.25">
      <c r="A144" s="500">
        <v>8</v>
      </c>
      <c r="B144" s="500" t="s">
        <v>38</v>
      </c>
      <c r="C144" s="153" t="s">
        <v>38</v>
      </c>
      <c r="D144" s="35">
        <v>2</v>
      </c>
      <c r="E144" s="35"/>
      <c r="F144" s="35">
        <v>2</v>
      </c>
      <c r="G144" s="35" t="s">
        <v>186</v>
      </c>
      <c r="H144" s="35" t="s">
        <v>1269</v>
      </c>
      <c r="I144" s="35" t="s">
        <v>1270</v>
      </c>
      <c r="J144" s="285">
        <v>15000</v>
      </c>
      <c r="K144" s="285">
        <v>485000</v>
      </c>
      <c r="L144" s="35"/>
      <c r="M144" s="35"/>
      <c r="N144" s="35"/>
      <c r="O144" s="35"/>
      <c r="P144" s="35"/>
      <c r="Q144" s="35"/>
    </row>
    <row r="145" spans="1:17" x14ac:dyDescent="0.25">
      <c r="A145" s="500"/>
      <c r="B145" s="500"/>
      <c r="C145" s="153" t="s">
        <v>39</v>
      </c>
      <c r="D145" s="35"/>
      <c r="E145" s="35"/>
      <c r="F145" s="35"/>
      <c r="G145" s="35"/>
      <c r="H145" s="35"/>
      <c r="I145" s="35"/>
      <c r="J145" s="285"/>
      <c r="K145" s="285"/>
      <c r="L145" s="35"/>
      <c r="M145" s="35"/>
      <c r="N145" s="35"/>
      <c r="O145" s="35"/>
      <c r="P145" s="35"/>
      <c r="Q145" s="35"/>
    </row>
    <row r="146" spans="1:17" ht="60.75" x14ac:dyDescent="0.25">
      <c r="A146" s="500">
        <v>9</v>
      </c>
      <c r="B146" s="500" t="s">
        <v>88</v>
      </c>
      <c r="C146" s="153" t="s">
        <v>88</v>
      </c>
      <c r="D146" s="35">
        <v>4</v>
      </c>
      <c r="E146" s="35">
        <v>1</v>
      </c>
      <c r="F146" s="35">
        <v>3</v>
      </c>
      <c r="G146" s="35" t="s">
        <v>257</v>
      </c>
      <c r="H146" s="35" t="s">
        <v>1327</v>
      </c>
      <c r="I146" s="35" t="s">
        <v>1328</v>
      </c>
      <c r="J146" s="285">
        <v>100000</v>
      </c>
      <c r="K146" s="285">
        <v>1800000</v>
      </c>
      <c r="L146" s="35"/>
      <c r="M146" s="35"/>
      <c r="N146" s="35"/>
      <c r="O146" s="35"/>
      <c r="P146" s="35">
        <v>6</v>
      </c>
      <c r="Q146" s="35"/>
    </row>
    <row r="147" spans="1:17" ht="40.5" x14ac:dyDescent="0.25">
      <c r="A147" s="500"/>
      <c r="B147" s="500"/>
      <c r="C147" s="153" t="s">
        <v>41</v>
      </c>
      <c r="D147" s="35">
        <v>1</v>
      </c>
      <c r="E147" s="35"/>
      <c r="F147" s="35">
        <v>1</v>
      </c>
      <c r="G147" s="35" t="s">
        <v>946</v>
      </c>
      <c r="H147" s="35" t="s">
        <v>886</v>
      </c>
      <c r="I147" s="35" t="s">
        <v>981</v>
      </c>
      <c r="J147" s="285">
        <v>650000</v>
      </c>
      <c r="K147" s="285">
        <v>1350000</v>
      </c>
      <c r="L147" s="35"/>
      <c r="M147" s="35"/>
      <c r="N147" s="35"/>
      <c r="O147" s="35"/>
      <c r="P147" s="35"/>
      <c r="Q147" s="35"/>
    </row>
    <row r="148" spans="1:17" x14ac:dyDescent="0.25">
      <c r="A148" s="500"/>
      <c r="B148" s="500"/>
      <c r="C148" s="153" t="s">
        <v>42</v>
      </c>
      <c r="D148" s="35"/>
      <c r="E148" s="35"/>
      <c r="F148" s="35"/>
      <c r="G148" s="35"/>
      <c r="H148" s="35"/>
      <c r="I148" s="35"/>
      <c r="J148" s="285"/>
      <c r="K148" s="285"/>
      <c r="L148" s="35"/>
      <c r="M148" s="35"/>
      <c r="N148" s="35"/>
      <c r="O148" s="35"/>
      <c r="P148" s="35"/>
      <c r="Q148" s="35"/>
    </row>
    <row r="149" spans="1:17" x14ac:dyDescent="0.25">
      <c r="A149" s="500">
        <v>10</v>
      </c>
      <c r="B149" s="500" t="s">
        <v>43</v>
      </c>
      <c r="C149" s="153" t="s">
        <v>89</v>
      </c>
      <c r="D149" s="35"/>
      <c r="E149" s="35"/>
      <c r="F149" s="35"/>
      <c r="G149" s="35"/>
      <c r="H149" s="35"/>
      <c r="I149" s="35"/>
      <c r="J149" s="285"/>
      <c r="K149" s="285"/>
      <c r="L149" s="35"/>
      <c r="M149" s="35"/>
      <c r="N149" s="35"/>
      <c r="O149" s="35"/>
      <c r="P149" s="35"/>
      <c r="Q149" s="35"/>
    </row>
    <row r="150" spans="1:17" x14ac:dyDescent="0.25">
      <c r="A150" s="500"/>
      <c r="B150" s="500"/>
      <c r="C150" s="153" t="s">
        <v>44</v>
      </c>
      <c r="D150" s="35"/>
      <c r="E150" s="35"/>
      <c r="F150" s="35"/>
      <c r="G150" s="35"/>
      <c r="H150" s="35"/>
      <c r="I150" s="35"/>
      <c r="J150" s="285"/>
      <c r="K150" s="285"/>
      <c r="L150" s="35"/>
      <c r="M150" s="35"/>
      <c r="N150" s="35"/>
      <c r="O150" s="35"/>
      <c r="P150" s="35"/>
      <c r="Q150" s="35"/>
    </row>
    <row r="151" spans="1:17" ht="40.5" x14ac:dyDescent="0.25">
      <c r="A151" s="500"/>
      <c r="B151" s="500"/>
      <c r="C151" s="153" t="s">
        <v>45</v>
      </c>
      <c r="D151" s="35">
        <v>5</v>
      </c>
      <c r="E151" s="35"/>
      <c r="F151" s="35">
        <v>5</v>
      </c>
      <c r="G151" s="35" t="s">
        <v>185</v>
      </c>
      <c r="H151" s="35" t="s">
        <v>1140</v>
      </c>
      <c r="I151" s="35" t="s">
        <v>1296</v>
      </c>
      <c r="J151" s="285">
        <v>41000</v>
      </c>
      <c r="K151" s="285">
        <v>289000</v>
      </c>
      <c r="L151" s="35"/>
      <c r="M151" s="35"/>
      <c r="N151" s="35"/>
      <c r="O151" s="35"/>
      <c r="P151" s="35"/>
      <c r="Q151" s="35"/>
    </row>
    <row r="152" spans="1:17" x14ac:dyDescent="0.25">
      <c r="A152" s="500">
        <v>11</v>
      </c>
      <c r="B152" s="500" t="s">
        <v>46</v>
      </c>
      <c r="C152" s="153" t="s">
        <v>47</v>
      </c>
      <c r="D152" s="35">
        <v>1</v>
      </c>
      <c r="E152" s="35"/>
      <c r="F152" s="35">
        <v>1</v>
      </c>
      <c r="G152" s="35" t="s">
        <v>46</v>
      </c>
      <c r="H152" s="35" t="s">
        <v>1320</v>
      </c>
      <c r="I152" s="35"/>
      <c r="J152" s="285">
        <v>750000</v>
      </c>
      <c r="K152" s="285">
        <v>5000000</v>
      </c>
      <c r="L152" s="35"/>
      <c r="M152" s="35"/>
      <c r="N152" s="35"/>
      <c r="O152" s="35"/>
      <c r="P152" s="35"/>
      <c r="Q152" s="35"/>
    </row>
    <row r="153" spans="1:17" ht="40.5" x14ac:dyDescent="0.25">
      <c r="A153" s="500"/>
      <c r="B153" s="500"/>
      <c r="C153" s="153" t="s">
        <v>48</v>
      </c>
      <c r="D153" s="73">
        <v>1</v>
      </c>
      <c r="E153" s="35"/>
      <c r="F153" s="35">
        <v>1</v>
      </c>
      <c r="G153" s="35" t="s">
        <v>979</v>
      </c>
      <c r="H153" s="35" t="s">
        <v>1321</v>
      </c>
      <c r="I153" s="35" t="s">
        <v>1322</v>
      </c>
      <c r="J153" s="285">
        <v>80000</v>
      </c>
      <c r="K153" s="285">
        <v>20000</v>
      </c>
      <c r="L153" s="35"/>
      <c r="M153" s="35"/>
      <c r="N153" s="35"/>
      <c r="O153" s="35"/>
      <c r="P153" s="35"/>
      <c r="Q153" s="35"/>
    </row>
    <row r="154" spans="1:17" x14ac:dyDescent="0.25">
      <c r="A154" s="500"/>
      <c r="B154" s="500"/>
      <c r="C154" s="153" t="s">
        <v>314</v>
      </c>
      <c r="D154" s="35"/>
      <c r="E154" s="35"/>
      <c r="F154" s="35"/>
      <c r="G154" s="35"/>
      <c r="H154" s="35"/>
      <c r="I154" s="35"/>
      <c r="J154" s="285"/>
      <c r="K154" s="285"/>
      <c r="L154" s="35"/>
      <c r="M154" s="35"/>
      <c r="N154" s="35"/>
      <c r="O154" s="35"/>
      <c r="P154" s="35"/>
      <c r="Q154" s="35"/>
    </row>
    <row r="155" spans="1:17" ht="60.75" x14ac:dyDescent="0.25">
      <c r="A155" s="500">
        <v>12</v>
      </c>
      <c r="B155" s="500" t="s">
        <v>49</v>
      </c>
      <c r="C155" s="153" t="s">
        <v>360</v>
      </c>
      <c r="D155" s="35">
        <v>11</v>
      </c>
      <c r="E155" s="35"/>
      <c r="F155" s="35">
        <v>11</v>
      </c>
      <c r="G155" s="35" t="s">
        <v>360</v>
      </c>
      <c r="H155" s="35" t="s">
        <v>1352</v>
      </c>
      <c r="I155" s="35"/>
      <c r="J155" s="285">
        <v>544000</v>
      </c>
      <c r="K155" s="285">
        <v>50736000</v>
      </c>
      <c r="L155" s="35"/>
      <c r="M155" s="35"/>
      <c r="N155" s="35">
        <v>1</v>
      </c>
      <c r="O155" s="35"/>
      <c r="P155" s="35">
        <v>1</v>
      </c>
      <c r="Q155" s="35"/>
    </row>
    <row r="156" spans="1:17" x14ac:dyDescent="0.25">
      <c r="A156" s="500"/>
      <c r="B156" s="500"/>
      <c r="C156" s="153" t="s">
        <v>50</v>
      </c>
      <c r="D156" s="35"/>
      <c r="E156" s="35"/>
      <c r="F156" s="35"/>
      <c r="G156" s="35"/>
      <c r="H156" s="35"/>
      <c r="I156" s="35"/>
      <c r="J156" s="285"/>
      <c r="K156" s="285"/>
      <c r="L156" s="35"/>
      <c r="M156" s="35"/>
      <c r="N156" s="35"/>
      <c r="O156" s="35"/>
      <c r="P156" s="35"/>
      <c r="Q156" s="35"/>
    </row>
    <row r="157" spans="1:17" ht="101.25" x14ac:dyDescent="0.25">
      <c r="A157" s="500"/>
      <c r="B157" s="500"/>
      <c r="C157" s="153" t="s">
        <v>51</v>
      </c>
      <c r="D157" s="35">
        <v>24</v>
      </c>
      <c r="E157" s="35"/>
      <c r="F157" s="35">
        <v>24</v>
      </c>
      <c r="G157" s="35" t="s">
        <v>184</v>
      </c>
      <c r="H157" s="35" t="s">
        <v>1350</v>
      </c>
      <c r="I157" s="35" t="s">
        <v>1351</v>
      </c>
      <c r="J157" s="285">
        <v>1869000</v>
      </c>
      <c r="K157" s="285">
        <v>7060000</v>
      </c>
      <c r="L157" s="35"/>
      <c r="M157" s="35"/>
      <c r="N157" s="35"/>
      <c r="O157" s="35"/>
      <c r="P157" s="35"/>
      <c r="Q157" s="35"/>
    </row>
    <row r="158" spans="1:17" ht="182.25" x14ac:dyDescent="0.25">
      <c r="A158" s="500">
        <v>13</v>
      </c>
      <c r="B158" s="500" t="s">
        <v>52</v>
      </c>
      <c r="C158" s="153" t="s">
        <v>53</v>
      </c>
      <c r="D158" s="35">
        <v>22</v>
      </c>
      <c r="E158" s="35"/>
      <c r="F158" s="35">
        <v>22</v>
      </c>
      <c r="G158" s="35" t="s">
        <v>177</v>
      </c>
      <c r="H158" s="35" t="s">
        <v>1284</v>
      </c>
      <c r="I158" s="35" t="s">
        <v>1285</v>
      </c>
      <c r="J158" s="285">
        <v>997000</v>
      </c>
      <c r="K158" s="285">
        <v>2883000</v>
      </c>
      <c r="L158" s="35"/>
      <c r="M158" s="35"/>
      <c r="N158" s="35"/>
      <c r="O158" s="35"/>
      <c r="P158" s="35"/>
      <c r="Q158" s="35"/>
    </row>
    <row r="159" spans="1:17" ht="40.5" x14ac:dyDescent="0.25">
      <c r="A159" s="500"/>
      <c r="B159" s="500"/>
      <c r="C159" s="153" t="s">
        <v>54</v>
      </c>
      <c r="D159" s="35">
        <v>3</v>
      </c>
      <c r="E159" s="35"/>
      <c r="F159" s="35">
        <v>3</v>
      </c>
      <c r="G159" s="35" t="s">
        <v>252</v>
      </c>
      <c r="H159" s="35" t="s">
        <v>1286</v>
      </c>
      <c r="I159" s="35" t="s">
        <v>1287</v>
      </c>
      <c r="J159" s="285">
        <v>10000</v>
      </c>
      <c r="K159" s="285">
        <v>200990000</v>
      </c>
      <c r="L159" s="35"/>
      <c r="M159" s="35"/>
      <c r="N159" s="35"/>
      <c r="O159" s="35"/>
      <c r="P159" s="35"/>
      <c r="Q159" s="35"/>
    </row>
    <row r="160" spans="1:17" ht="121.5" x14ac:dyDescent="0.25">
      <c r="A160" s="500"/>
      <c r="B160" s="500"/>
      <c r="C160" s="153" t="s">
        <v>55</v>
      </c>
      <c r="D160" s="35">
        <v>14</v>
      </c>
      <c r="E160" s="35"/>
      <c r="F160" s="35">
        <v>14</v>
      </c>
      <c r="G160" s="35" t="s">
        <v>179</v>
      </c>
      <c r="H160" s="288" t="s">
        <v>1277</v>
      </c>
      <c r="I160" s="35" t="s">
        <v>1278</v>
      </c>
      <c r="J160" s="285">
        <v>1428000</v>
      </c>
      <c r="K160" s="285">
        <v>2783000</v>
      </c>
      <c r="L160" s="35"/>
      <c r="M160" s="35">
        <v>1</v>
      </c>
      <c r="N160" s="35"/>
      <c r="O160" s="35"/>
      <c r="P160" s="35"/>
      <c r="Q160" s="35"/>
    </row>
    <row r="161" spans="1:21" ht="40.5" x14ac:dyDescent="0.25">
      <c r="A161" s="500"/>
      <c r="B161" s="500"/>
      <c r="C161" s="153" t="s">
        <v>56</v>
      </c>
      <c r="D161" s="35">
        <v>8</v>
      </c>
      <c r="E161" s="35"/>
      <c r="F161" s="35">
        <v>8</v>
      </c>
      <c r="G161" s="35" t="s">
        <v>188</v>
      </c>
      <c r="H161" s="35" t="s">
        <v>1282</v>
      </c>
      <c r="I161" s="35" t="s">
        <v>1283</v>
      </c>
      <c r="J161" s="285"/>
      <c r="K161" s="285"/>
      <c r="L161" s="35"/>
      <c r="M161" s="35"/>
      <c r="N161" s="35"/>
      <c r="O161" s="35"/>
      <c r="P161" s="35"/>
      <c r="Q161" s="35"/>
    </row>
    <row r="162" spans="1:21" ht="81" x14ac:dyDescent="0.25">
      <c r="A162" s="500"/>
      <c r="B162" s="500"/>
      <c r="C162" s="153" t="s">
        <v>57</v>
      </c>
      <c r="D162" s="35">
        <v>5</v>
      </c>
      <c r="E162" s="35"/>
      <c r="F162" s="35">
        <v>5</v>
      </c>
      <c r="G162" s="35" t="s">
        <v>178</v>
      </c>
      <c r="H162" s="35" t="s">
        <v>1275</v>
      </c>
      <c r="I162" s="35" t="s">
        <v>1276</v>
      </c>
      <c r="J162" s="285">
        <v>510000</v>
      </c>
      <c r="K162" s="285">
        <v>580000</v>
      </c>
      <c r="L162" s="35"/>
      <c r="M162" s="35"/>
      <c r="N162" s="35"/>
      <c r="O162" s="35"/>
      <c r="P162" s="35"/>
      <c r="Q162" s="35"/>
    </row>
    <row r="163" spans="1:21" ht="101.25" x14ac:dyDescent="0.25">
      <c r="A163" s="500"/>
      <c r="B163" s="500"/>
      <c r="C163" s="153" t="s">
        <v>58</v>
      </c>
      <c r="D163" s="35">
        <v>9</v>
      </c>
      <c r="E163" s="35"/>
      <c r="F163" s="35">
        <v>9</v>
      </c>
      <c r="G163" s="35" t="s">
        <v>58</v>
      </c>
      <c r="H163" s="35" t="s">
        <v>1280</v>
      </c>
      <c r="I163" s="35" t="s">
        <v>1281</v>
      </c>
      <c r="J163" s="285">
        <v>843000</v>
      </c>
      <c r="K163" s="285">
        <v>292000</v>
      </c>
      <c r="L163" s="35"/>
      <c r="M163" s="35"/>
      <c r="N163" s="35"/>
      <c r="O163" s="35"/>
      <c r="P163" s="35"/>
      <c r="Q163" s="35"/>
    </row>
    <row r="164" spans="1:21" x14ac:dyDescent="0.25">
      <c r="A164" s="500"/>
      <c r="B164" s="500"/>
      <c r="C164" s="153" t="s">
        <v>336</v>
      </c>
      <c r="D164" s="35"/>
      <c r="E164" s="35"/>
      <c r="F164" s="35"/>
      <c r="G164" s="35"/>
      <c r="H164" s="35"/>
      <c r="I164" s="35"/>
      <c r="J164" s="285"/>
      <c r="K164" s="285"/>
      <c r="L164" s="35"/>
      <c r="M164" s="35"/>
      <c r="N164" s="35"/>
      <c r="O164" s="35"/>
      <c r="P164" s="35"/>
      <c r="Q164" s="35"/>
    </row>
    <row r="165" spans="1:21" ht="60.75" x14ac:dyDescent="0.25">
      <c r="A165" s="500"/>
      <c r="B165" s="500"/>
      <c r="C165" s="153" t="s">
        <v>59</v>
      </c>
      <c r="D165" s="35">
        <v>4</v>
      </c>
      <c r="E165" s="35"/>
      <c r="F165" s="35">
        <v>4</v>
      </c>
      <c r="G165" s="35" t="s">
        <v>187</v>
      </c>
      <c r="H165" s="35" t="s">
        <v>1125</v>
      </c>
      <c r="I165" s="35" t="s">
        <v>1279</v>
      </c>
      <c r="J165" s="285">
        <v>410000</v>
      </c>
      <c r="K165" s="285">
        <v>1590000</v>
      </c>
      <c r="L165" s="35"/>
      <c r="M165" s="35"/>
      <c r="N165" s="35"/>
      <c r="O165" s="35"/>
      <c r="P165" s="35"/>
      <c r="Q165" s="35"/>
    </row>
    <row r="166" spans="1:21" x14ac:dyDescent="0.25">
      <c r="A166" s="126"/>
      <c r="B166" s="126"/>
      <c r="C166" s="153" t="s">
        <v>60</v>
      </c>
      <c r="D166" s="35">
        <f>SUM(D120:D165)</f>
        <v>228</v>
      </c>
      <c r="E166" s="35">
        <f t="shared" ref="E166:P166" si="3">SUM(E120:E165)</f>
        <v>1</v>
      </c>
      <c r="F166" s="35">
        <f t="shared" si="3"/>
        <v>227</v>
      </c>
      <c r="G166" s="35">
        <f t="shared" si="3"/>
        <v>0</v>
      </c>
      <c r="H166" s="35">
        <f t="shared" si="3"/>
        <v>0</v>
      </c>
      <c r="I166" s="35">
        <f t="shared" si="3"/>
        <v>0</v>
      </c>
      <c r="J166" s="285">
        <f t="shared" si="3"/>
        <v>20351500</v>
      </c>
      <c r="K166" s="285">
        <f t="shared" si="3"/>
        <v>610635300</v>
      </c>
      <c r="L166" s="35">
        <f t="shared" si="3"/>
        <v>2</v>
      </c>
      <c r="M166" s="35">
        <f t="shared" si="3"/>
        <v>7</v>
      </c>
      <c r="N166" s="35">
        <f t="shared" si="3"/>
        <v>6</v>
      </c>
      <c r="O166" s="35">
        <f t="shared" si="3"/>
        <v>3</v>
      </c>
      <c r="P166" s="35">
        <f t="shared" si="3"/>
        <v>92</v>
      </c>
      <c r="Q166" s="35">
        <f>SUM(Q120:Q165)</f>
        <v>7</v>
      </c>
    </row>
    <row r="167" spans="1:21" x14ac:dyDescent="0.25">
      <c r="A167" s="172"/>
      <c r="B167" s="172"/>
      <c r="C167" s="17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</row>
    <row r="169" spans="1:21" ht="23.25" x14ac:dyDescent="0.25">
      <c r="A169" s="197"/>
      <c r="B169" s="198"/>
      <c r="C169" s="236"/>
      <c r="D169" s="236"/>
      <c r="E169" s="236"/>
      <c r="F169" s="236"/>
      <c r="G169" s="236"/>
      <c r="H169" s="236"/>
      <c r="I169" s="236"/>
      <c r="J169" s="236"/>
      <c r="K169" s="236"/>
      <c r="L169" s="236"/>
      <c r="M169" s="236"/>
      <c r="S169" s="196"/>
      <c r="T169" s="196"/>
      <c r="U169" s="196"/>
    </row>
    <row r="170" spans="1:21" ht="32.25" customHeight="1" x14ac:dyDescent="0.25">
      <c r="A170" s="499" t="s">
        <v>1067</v>
      </c>
      <c r="B170" s="499"/>
      <c r="C170" s="499"/>
      <c r="D170" s="499"/>
      <c r="E170" s="499"/>
      <c r="F170" s="499"/>
      <c r="G170" s="499"/>
      <c r="H170" s="499"/>
      <c r="I170" s="499"/>
      <c r="J170" s="499"/>
      <c r="K170" s="499"/>
      <c r="L170" s="499"/>
      <c r="M170" s="499"/>
      <c r="N170" s="499"/>
      <c r="O170" s="499"/>
      <c r="P170" s="499"/>
      <c r="Q170" s="499"/>
    </row>
    <row r="171" spans="1:21" ht="21" customHeight="1" x14ac:dyDescent="0.25">
      <c r="A171" s="500" t="s">
        <v>0</v>
      </c>
      <c r="B171" s="500" t="s">
        <v>1</v>
      </c>
      <c r="C171" s="503" t="s">
        <v>182</v>
      </c>
      <c r="D171" s="500" t="s">
        <v>3</v>
      </c>
      <c r="E171" s="500" t="s">
        <v>4</v>
      </c>
      <c r="F171" s="500" t="s">
        <v>5</v>
      </c>
      <c r="G171" s="500" t="s">
        <v>6</v>
      </c>
      <c r="H171" s="503" t="s">
        <v>7</v>
      </c>
      <c r="I171" s="503" t="s">
        <v>8</v>
      </c>
      <c r="J171" s="500" t="s">
        <v>9</v>
      </c>
      <c r="K171" s="500" t="s">
        <v>183</v>
      </c>
      <c r="L171" s="500" t="s">
        <v>11</v>
      </c>
      <c r="M171" s="500"/>
      <c r="N171" s="500" t="s">
        <v>300</v>
      </c>
      <c r="O171" s="500"/>
      <c r="P171" s="500" t="s">
        <v>12</v>
      </c>
      <c r="Q171" s="500"/>
    </row>
    <row r="172" spans="1:21" ht="68.25" customHeight="1" x14ac:dyDescent="0.25">
      <c r="A172" s="500"/>
      <c r="B172" s="500"/>
      <c r="C172" s="503"/>
      <c r="D172" s="500"/>
      <c r="E172" s="500"/>
      <c r="F172" s="500"/>
      <c r="G172" s="500"/>
      <c r="H172" s="503"/>
      <c r="I172" s="503"/>
      <c r="J172" s="500"/>
      <c r="K172" s="500"/>
      <c r="L172" s="126" t="s">
        <v>14</v>
      </c>
      <c r="M172" s="126" t="s">
        <v>15</v>
      </c>
      <c r="N172" s="126" t="s">
        <v>14</v>
      </c>
      <c r="O172" s="126" t="s">
        <v>15</v>
      </c>
      <c r="P172" s="126" t="s">
        <v>14</v>
      </c>
      <c r="Q172" s="126" t="s">
        <v>15</v>
      </c>
    </row>
    <row r="173" spans="1:21" x14ac:dyDescent="0.25">
      <c r="A173" s="500">
        <v>1</v>
      </c>
      <c r="B173" s="500" t="s">
        <v>16</v>
      </c>
      <c r="C173" s="153" t="s">
        <v>17</v>
      </c>
      <c r="D173" s="35">
        <v>3</v>
      </c>
      <c r="E173" s="35"/>
      <c r="F173" s="35">
        <v>3</v>
      </c>
      <c r="G173" s="35" t="s">
        <v>170</v>
      </c>
      <c r="H173" s="35" t="s">
        <v>337</v>
      </c>
      <c r="I173" s="35" t="s">
        <v>1175</v>
      </c>
      <c r="J173" s="35">
        <v>670000</v>
      </c>
      <c r="K173" s="35">
        <v>3030000</v>
      </c>
      <c r="L173" s="35"/>
      <c r="M173" s="35"/>
      <c r="N173" s="35">
        <v>1</v>
      </c>
      <c r="O173" s="35"/>
      <c r="P173" s="35">
        <v>1</v>
      </c>
      <c r="Q173" s="35"/>
    </row>
    <row r="174" spans="1:21" x14ac:dyDescent="0.25">
      <c r="A174" s="500"/>
      <c r="B174" s="500"/>
      <c r="C174" s="153" t="s">
        <v>19</v>
      </c>
      <c r="D174" s="35">
        <v>1</v>
      </c>
      <c r="E174" s="35"/>
      <c r="F174" s="35">
        <v>1</v>
      </c>
      <c r="G174" s="35" t="s">
        <v>19</v>
      </c>
      <c r="H174" s="35" t="s">
        <v>1176</v>
      </c>
      <c r="I174" s="35" t="s">
        <v>1177</v>
      </c>
      <c r="J174" s="35">
        <v>800000</v>
      </c>
      <c r="K174" s="35">
        <v>4200000</v>
      </c>
      <c r="L174" s="35"/>
      <c r="M174" s="35"/>
      <c r="N174" s="35"/>
      <c r="O174" s="35"/>
      <c r="P174" s="35"/>
      <c r="Q174" s="35"/>
    </row>
    <row r="175" spans="1:21" ht="60.75" x14ac:dyDescent="0.25">
      <c r="A175" s="126">
        <v>2</v>
      </c>
      <c r="B175" s="126" t="s">
        <v>20</v>
      </c>
      <c r="C175" s="153" t="s">
        <v>20</v>
      </c>
      <c r="D175" s="35">
        <v>3</v>
      </c>
      <c r="E175" s="35"/>
      <c r="F175" s="35">
        <v>3</v>
      </c>
      <c r="G175" s="35" t="s">
        <v>20</v>
      </c>
      <c r="H175" s="35" t="s">
        <v>1140</v>
      </c>
      <c r="I175" s="35" t="s">
        <v>1146</v>
      </c>
      <c r="J175" s="35" t="s">
        <v>1147</v>
      </c>
      <c r="K175" s="35" t="s">
        <v>1148</v>
      </c>
      <c r="L175" s="35"/>
      <c r="M175" s="35"/>
      <c r="N175" s="35"/>
      <c r="O175" s="35"/>
      <c r="P175" s="35"/>
      <c r="Q175" s="35"/>
    </row>
    <row r="176" spans="1:21" x14ac:dyDescent="0.25">
      <c r="A176" s="500">
        <v>3</v>
      </c>
      <c r="B176" s="502" t="s">
        <v>21</v>
      </c>
      <c r="C176" s="153" t="s">
        <v>21</v>
      </c>
      <c r="D176" s="35">
        <v>1</v>
      </c>
      <c r="E176" s="35"/>
      <c r="F176" s="35">
        <v>1</v>
      </c>
      <c r="G176" s="35" t="s">
        <v>191</v>
      </c>
      <c r="H176" s="35" t="s">
        <v>337</v>
      </c>
      <c r="I176" s="35" t="s">
        <v>1185</v>
      </c>
      <c r="J176" s="35"/>
      <c r="K176" s="35"/>
      <c r="L176" s="35"/>
      <c r="M176" s="35"/>
      <c r="N176" s="35"/>
      <c r="O176" s="35"/>
      <c r="P176" s="35"/>
      <c r="Q176" s="35"/>
    </row>
    <row r="177" spans="1:17" ht="40.5" x14ac:dyDescent="0.25">
      <c r="A177" s="500"/>
      <c r="B177" s="502"/>
      <c r="C177" s="153" t="s">
        <v>22</v>
      </c>
      <c r="D177" s="35">
        <v>3</v>
      </c>
      <c r="E177" s="35"/>
      <c r="F177" s="35">
        <v>3</v>
      </c>
      <c r="G177" s="35" t="s">
        <v>164</v>
      </c>
      <c r="H177" s="35" t="s">
        <v>1140</v>
      </c>
      <c r="I177" s="35" t="s">
        <v>1186</v>
      </c>
      <c r="J177" s="35">
        <v>450000</v>
      </c>
      <c r="K177" s="35">
        <v>1350000</v>
      </c>
      <c r="L177" s="35"/>
      <c r="M177" s="35"/>
      <c r="N177" s="35"/>
      <c r="O177" s="35"/>
      <c r="P177" s="35"/>
      <c r="Q177" s="35"/>
    </row>
    <row r="178" spans="1:17" x14ac:dyDescent="0.25">
      <c r="A178" s="500"/>
      <c r="B178" s="502"/>
      <c r="C178" s="153" t="s">
        <v>335</v>
      </c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</row>
    <row r="179" spans="1:17" x14ac:dyDescent="0.25">
      <c r="A179" s="500"/>
      <c r="B179" s="502"/>
      <c r="C179" s="153" t="s">
        <v>269</v>
      </c>
      <c r="D179" s="35">
        <v>1</v>
      </c>
      <c r="E179" s="35"/>
      <c r="F179" s="35">
        <v>1</v>
      </c>
      <c r="G179" s="35" t="s">
        <v>163</v>
      </c>
      <c r="H179" s="35" t="s">
        <v>338</v>
      </c>
      <c r="I179" s="35" t="s">
        <v>1187</v>
      </c>
      <c r="J179" s="35">
        <v>20000</v>
      </c>
      <c r="K179" s="35">
        <v>480000</v>
      </c>
      <c r="L179" s="35"/>
      <c r="M179" s="35"/>
      <c r="N179" s="35"/>
      <c r="O179" s="35"/>
      <c r="P179" s="35"/>
      <c r="Q179" s="35"/>
    </row>
    <row r="180" spans="1:17" ht="60.75" x14ac:dyDescent="0.25">
      <c r="A180" s="500">
        <v>4</v>
      </c>
      <c r="B180" s="500" t="s">
        <v>23</v>
      </c>
      <c r="C180" s="153" t="s">
        <v>23</v>
      </c>
      <c r="D180" s="35">
        <v>2</v>
      </c>
      <c r="E180" s="35"/>
      <c r="F180" s="35">
        <v>2</v>
      </c>
      <c r="G180" s="35" t="s">
        <v>167</v>
      </c>
      <c r="H180" s="35" t="s">
        <v>337</v>
      </c>
      <c r="I180" s="35" t="s">
        <v>1181</v>
      </c>
      <c r="J180" s="35">
        <v>230000</v>
      </c>
      <c r="K180" s="35">
        <v>3770000</v>
      </c>
      <c r="L180" s="35"/>
      <c r="M180" s="35"/>
      <c r="N180" s="35"/>
      <c r="O180" s="35"/>
      <c r="P180" s="35"/>
      <c r="Q180" s="35"/>
    </row>
    <row r="181" spans="1:17" ht="40.5" x14ac:dyDescent="0.25">
      <c r="A181" s="500"/>
      <c r="B181" s="500"/>
      <c r="C181" s="153" t="s">
        <v>344</v>
      </c>
      <c r="D181" s="35">
        <v>3</v>
      </c>
      <c r="E181" s="35"/>
      <c r="F181" s="35">
        <v>3</v>
      </c>
      <c r="G181" s="35" t="s">
        <v>341</v>
      </c>
      <c r="H181" s="35" t="s">
        <v>1136</v>
      </c>
      <c r="I181" s="35" t="s">
        <v>1182</v>
      </c>
      <c r="J181" s="35">
        <v>200000</v>
      </c>
      <c r="K181" s="35">
        <v>1500000</v>
      </c>
      <c r="L181" s="35"/>
      <c r="M181" s="35"/>
      <c r="N181" s="35"/>
      <c r="O181" s="35"/>
      <c r="P181" s="35"/>
      <c r="Q181" s="35"/>
    </row>
    <row r="182" spans="1:17" ht="21" customHeight="1" x14ac:dyDescent="0.25">
      <c r="A182" s="500">
        <v>5</v>
      </c>
      <c r="B182" s="500" t="s">
        <v>25</v>
      </c>
      <c r="C182" s="153" t="s">
        <v>26</v>
      </c>
      <c r="D182" s="35"/>
      <c r="E182" s="35"/>
      <c r="F182" s="35"/>
      <c r="G182" s="35"/>
      <c r="H182" s="35"/>
      <c r="J182" s="35"/>
      <c r="K182" s="35"/>
      <c r="L182" s="35"/>
      <c r="M182" s="35"/>
      <c r="N182" s="35"/>
      <c r="O182" s="35"/>
      <c r="P182" s="35"/>
      <c r="Q182" s="35"/>
    </row>
    <row r="183" spans="1:17" x14ac:dyDescent="0.25">
      <c r="A183" s="500"/>
      <c r="B183" s="500"/>
      <c r="C183" s="153" t="s">
        <v>27</v>
      </c>
      <c r="D183" s="35">
        <v>1</v>
      </c>
      <c r="E183" s="35"/>
      <c r="F183" s="35">
        <v>1</v>
      </c>
      <c r="G183" s="35" t="s">
        <v>255</v>
      </c>
      <c r="H183" s="35" t="s">
        <v>337</v>
      </c>
      <c r="I183" s="35" t="s">
        <v>1214</v>
      </c>
      <c r="J183" s="35">
        <v>2500</v>
      </c>
      <c r="K183" s="35">
        <v>52500</v>
      </c>
      <c r="L183" s="35"/>
      <c r="M183" s="35"/>
      <c r="N183" s="35"/>
      <c r="O183" s="35"/>
      <c r="P183" s="35"/>
      <c r="Q183" s="35"/>
    </row>
    <row r="184" spans="1:17" ht="39.75" customHeight="1" x14ac:dyDescent="0.25">
      <c r="A184" s="500"/>
      <c r="B184" s="500"/>
      <c r="C184" s="153" t="s">
        <v>268</v>
      </c>
      <c r="D184" s="35">
        <v>1</v>
      </c>
      <c r="E184" s="35"/>
      <c r="F184" s="35">
        <v>1</v>
      </c>
      <c r="G184" s="35" t="s">
        <v>773</v>
      </c>
      <c r="H184" s="35" t="s">
        <v>1215</v>
      </c>
      <c r="I184" s="35"/>
      <c r="J184" s="35"/>
      <c r="K184" s="35"/>
      <c r="L184" s="35"/>
      <c r="M184" s="35"/>
      <c r="N184" s="35"/>
      <c r="O184" s="35"/>
      <c r="P184" s="35"/>
      <c r="Q184" s="35"/>
    </row>
    <row r="185" spans="1:17" ht="82.5" customHeight="1" x14ac:dyDescent="0.25">
      <c r="A185" s="500">
        <v>6</v>
      </c>
      <c r="B185" s="500" t="s">
        <v>28</v>
      </c>
      <c r="C185" s="153" t="s">
        <v>29</v>
      </c>
      <c r="D185" s="35">
        <v>15</v>
      </c>
      <c r="E185" s="35"/>
      <c r="F185" s="35">
        <v>15</v>
      </c>
      <c r="G185" s="35" t="s">
        <v>207</v>
      </c>
      <c r="H185" s="35" t="s">
        <v>1084</v>
      </c>
      <c r="I185" s="35" t="s">
        <v>1085</v>
      </c>
      <c r="J185" s="35" t="s">
        <v>1082</v>
      </c>
      <c r="K185" s="35" t="s">
        <v>1083</v>
      </c>
      <c r="L185" s="35" t="s">
        <v>18</v>
      </c>
      <c r="M185" s="35" t="s">
        <v>18</v>
      </c>
      <c r="N185" s="35" t="s">
        <v>18</v>
      </c>
      <c r="O185" s="35" t="s">
        <v>18</v>
      </c>
      <c r="P185" s="35">
        <v>345</v>
      </c>
      <c r="Q185" s="35" t="s">
        <v>18</v>
      </c>
    </row>
    <row r="186" spans="1:17" ht="101.25" x14ac:dyDescent="0.25">
      <c r="A186" s="500"/>
      <c r="B186" s="500"/>
      <c r="C186" s="153" t="s">
        <v>30</v>
      </c>
      <c r="D186" s="35">
        <v>6</v>
      </c>
      <c r="E186" s="35"/>
      <c r="F186" s="35">
        <v>6</v>
      </c>
      <c r="G186" s="35" t="s">
        <v>171</v>
      </c>
      <c r="H186" s="35" t="s">
        <v>886</v>
      </c>
      <c r="I186" s="35" t="s">
        <v>1095</v>
      </c>
      <c r="J186" s="35" t="s">
        <v>1093</v>
      </c>
      <c r="K186" s="35" t="s">
        <v>1094</v>
      </c>
      <c r="L186" s="35" t="s">
        <v>18</v>
      </c>
      <c r="M186" s="35" t="s">
        <v>18</v>
      </c>
      <c r="N186" s="35" t="s">
        <v>18</v>
      </c>
      <c r="O186" s="35" t="s">
        <v>18</v>
      </c>
      <c r="P186" s="35" t="s">
        <v>18</v>
      </c>
      <c r="Q186" s="35" t="s">
        <v>18</v>
      </c>
    </row>
    <row r="187" spans="1:17" ht="141.75" x14ac:dyDescent="0.25">
      <c r="A187" s="500"/>
      <c r="B187" s="500"/>
      <c r="C187" s="153" t="s">
        <v>31</v>
      </c>
      <c r="D187" s="35">
        <v>4</v>
      </c>
      <c r="E187" s="35"/>
      <c r="F187" s="35">
        <v>4</v>
      </c>
      <c r="G187" s="35" t="s">
        <v>31</v>
      </c>
      <c r="H187" s="35" t="s">
        <v>1092</v>
      </c>
      <c r="I187" s="35"/>
      <c r="J187" s="35" t="s">
        <v>1090</v>
      </c>
      <c r="K187" s="35" t="s">
        <v>1091</v>
      </c>
      <c r="L187" s="35" t="s">
        <v>18</v>
      </c>
      <c r="M187" s="35" t="s">
        <v>18</v>
      </c>
      <c r="N187" s="35" t="s">
        <v>18</v>
      </c>
      <c r="O187" s="35" t="s">
        <v>18</v>
      </c>
      <c r="P187" s="35" t="s">
        <v>18</v>
      </c>
      <c r="Q187" s="35" t="s">
        <v>18</v>
      </c>
    </row>
    <row r="188" spans="1:17" ht="101.25" x14ac:dyDescent="0.25">
      <c r="A188" s="500"/>
      <c r="B188" s="500"/>
      <c r="C188" s="153" t="s">
        <v>32</v>
      </c>
      <c r="D188" s="35">
        <v>17</v>
      </c>
      <c r="E188" s="35"/>
      <c r="F188" s="35">
        <v>17</v>
      </c>
      <c r="G188" s="35" t="s">
        <v>909</v>
      </c>
      <c r="H188" s="35" t="s">
        <v>1088</v>
      </c>
      <c r="I188" s="35" t="s">
        <v>1089</v>
      </c>
      <c r="J188" s="35" t="s">
        <v>1086</v>
      </c>
      <c r="K188" s="35" t="s">
        <v>1087</v>
      </c>
      <c r="L188" s="35" t="s">
        <v>18</v>
      </c>
      <c r="M188" s="35" t="s">
        <v>18</v>
      </c>
      <c r="N188" s="35" t="s">
        <v>18</v>
      </c>
      <c r="O188" s="35" t="s">
        <v>18</v>
      </c>
      <c r="P188" s="35">
        <v>15</v>
      </c>
      <c r="Q188" s="35" t="s">
        <v>18</v>
      </c>
    </row>
    <row r="189" spans="1:17" x14ac:dyDescent="0.25">
      <c r="A189" s="500"/>
      <c r="B189" s="500"/>
      <c r="C189" s="153" t="s">
        <v>201</v>
      </c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</row>
    <row r="190" spans="1:17" ht="101.25" x14ac:dyDescent="0.25">
      <c r="A190" s="500">
        <v>7</v>
      </c>
      <c r="B190" s="500" t="s">
        <v>33</v>
      </c>
      <c r="C190" s="153" t="s">
        <v>33</v>
      </c>
      <c r="D190" s="35">
        <v>30</v>
      </c>
      <c r="E190" s="35"/>
      <c r="F190" s="35">
        <v>30</v>
      </c>
      <c r="G190" s="35" t="s">
        <v>127</v>
      </c>
      <c r="H190" s="35" t="s">
        <v>1161</v>
      </c>
      <c r="I190" s="35" t="s">
        <v>1162</v>
      </c>
      <c r="J190" s="35">
        <v>2360000</v>
      </c>
      <c r="K190" s="35">
        <v>56250000</v>
      </c>
      <c r="L190" s="35"/>
      <c r="M190" s="35"/>
      <c r="N190" s="35"/>
      <c r="O190" s="35"/>
      <c r="P190" s="35"/>
      <c r="Q190" s="35"/>
    </row>
    <row r="191" spans="1:17" ht="60.75" x14ac:dyDescent="0.25">
      <c r="A191" s="500"/>
      <c r="B191" s="500"/>
      <c r="C191" s="153" t="s">
        <v>34</v>
      </c>
      <c r="D191" s="35">
        <v>4</v>
      </c>
      <c r="E191" s="35"/>
      <c r="F191" s="35">
        <v>4</v>
      </c>
      <c r="G191" s="153" t="s">
        <v>34</v>
      </c>
      <c r="H191" s="35" t="s">
        <v>1163</v>
      </c>
      <c r="I191" s="35" t="s">
        <v>1164</v>
      </c>
      <c r="J191" s="35">
        <v>375000</v>
      </c>
      <c r="K191" s="35">
        <v>213000</v>
      </c>
      <c r="L191" s="35"/>
      <c r="M191" s="35"/>
      <c r="N191" s="35"/>
      <c r="O191" s="35"/>
      <c r="P191" s="35"/>
      <c r="Q191" s="35"/>
    </row>
    <row r="192" spans="1:17" x14ac:dyDescent="0.25">
      <c r="A192" s="500"/>
      <c r="B192" s="500"/>
      <c r="C192" s="92" t="s">
        <v>250</v>
      </c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</row>
    <row r="193" spans="1:17" ht="101.25" x14ac:dyDescent="0.25">
      <c r="A193" s="500"/>
      <c r="B193" s="500"/>
      <c r="C193" s="153" t="s">
        <v>36</v>
      </c>
      <c r="D193" s="35">
        <v>4</v>
      </c>
      <c r="E193" s="35"/>
      <c r="F193" s="35">
        <v>4</v>
      </c>
      <c r="G193" s="35" t="s">
        <v>173</v>
      </c>
      <c r="H193" s="35" t="s">
        <v>1166</v>
      </c>
      <c r="I193" s="35" t="s">
        <v>1167</v>
      </c>
      <c r="J193" s="35">
        <v>27000</v>
      </c>
      <c r="K193" s="35">
        <v>5043000</v>
      </c>
      <c r="L193" s="35">
        <v>1</v>
      </c>
      <c r="M193" s="35"/>
      <c r="N193" s="35"/>
      <c r="O193" s="35"/>
      <c r="P193" s="35"/>
      <c r="Q193" s="35"/>
    </row>
    <row r="194" spans="1:17" ht="60.75" x14ac:dyDescent="0.25">
      <c r="A194" s="500"/>
      <c r="B194" s="500"/>
      <c r="C194" s="153" t="s">
        <v>37</v>
      </c>
      <c r="D194" s="35">
        <v>3</v>
      </c>
      <c r="E194" s="35"/>
      <c r="F194" s="35">
        <v>3</v>
      </c>
      <c r="G194" s="35" t="s">
        <v>174</v>
      </c>
      <c r="H194" s="35" t="s">
        <v>1140</v>
      </c>
      <c r="I194" s="35" t="s">
        <v>1165</v>
      </c>
      <c r="J194" s="35">
        <v>22000</v>
      </c>
      <c r="K194" s="35">
        <v>128000</v>
      </c>
      <c r="L194" s="35"/>
      <c r="M194" s="35"/>
      <c r="N194" s="35"/>
      <c r="O194" s="35"/>
      <c r="P194" s="35"/>
      <c r="Q194" s="35"/>
    </row>
    <row r="195" spans="1:17" ht="60.75" x14ac:dyDescent="0.25">
      <c r="A195" s="500"/>
      <c r="B195" s="500"/>
      <c r="C195" s="153" t="s">
        <v>141</v>
      </c>
      <c r="D195" s="35">
        <v>3</v>
      </c>
      <c r="E195" s="35"/>
      <c r="F195" s="35">
        <v>3</v>
      </c>
      <c r="G195" s="35" t="s">
        <v>141</v>
      </c>
      <c r="H195" s="35" t="s">
        <v>1168</v>
      </c>
      <c r="I195" s="35" t="s">
        <v>1169</v>
      </c>
      <c r="J195" s="35">
        <v>160000</v>
      </c>
      <c r="K195" s="35">
        <v>5390000</v>
      </c>
      <c r="L195" s="35"/>
      <c r="M195" s="35"/>
      <c r="N195" s="35"/>
      <c r="O195" s="35"/>
      <c r="P195" s="35"/>
      <c r="Q195" s="35"/>
    </row>
    <row r="196" spans="1:17" x14ac:dyDescent="0.25">
      <c r="A196" s="500"/>
      <c r="B196" s="126"/>
      <c r="C196" s="153" t="s">
        <v>305</v>
      </c>
      <c r="D196" s="35">
        <v>1</v>
      </c>
      <c r="E196" s="35"/>
      <c r="F196" s="35">
        <v>1</v>
      </c>
      <c r="G196" s="35" t="s">
        <v>885</v>
      </c>
      <c r="H196" s="35" t="s">
        <v>1170</v>
      </c>
      <c r="I196" s="35" t="s">
        <v>1171</v>
      </c>
      <c r="J196" s="35">
        <v>20000</v>
      </c>
      <c r="K196" s="35">
        <v>100000</v>
      </c>
      <c r="L196" s="35"/>
      <c r="M196" s="35"/>
      <c r="N196" s="35"/>
      <c r="O196" s="35"/>
      <c r="P196" s="35"/>
      <c r="Q196" s="35"/>
    </row>
    <row r="197" spans="1:17" ht="60.75" x14ac:dyDescent="0.25">
      <c r="A197" s="500">
        <v>8</v>
      </c>
      <c r="B197" s="500" t="s">
        <v>38</v>
      </c>
      <c r="C197" s="153" t="s">
        <v>38</v>
      </c>
      <c r="D197" s="35">
        <v>2</v>
      </c>
      <c r="E197" s="35"/>
      <c r="F197" s="35">
        <v>2</v>
      </c>
      <c r="G197" s="35" t="s">
        <v>186</v>
      </c>
      <c r="H197" s="35" t="s">
        <v>1192</v>
      </c>
      <c r="I197" s="35" t="s">
        <v>345</v>
      </c>
      <c r="J197" s="35">
        <v>900000</v>
      </c>
      <c r="K197" s="35"/>
      <c r="L197" s="35"/>
      <c r="M197" s="35"/>
      <c r="N197" s="35"/>
      <c r="O197" s="35"/>
      <c r="P197" s="35"/>
      <c r="Q197" s="35"/>
    </row>
    <row r="198" spans="1:17" ht="81" x14ac:dyDescent="0.25">
      <c r="A198" s="500"/>
      <c r="B198" s="500"/>
      <c r="C198" s="153" t="s">
        <v>39</v>
      </c>
      <c r="D198" s="35">
        <v>3</v>
      </c>
      <c r="E198" s="35"/>
      <c r="F198" s="35">
        <v>3</v>
      </c>
      <c r="G198" s="35" t="s">
        <v>39</v>
      </c>
      <c r="H198" s="35" t="s">
        <v>1193</v>
      </c>
      <c r="I198" s="35"/>
      <c r="J198" s="35">
        <v>400000</v>
      </c>
      <c r="K198" s="35">
        <v>380000</v>
      </c>
      <c r="L198" s="35"/>
      <c r="M198" s="35"/>
      <c r="N198" s="35"/>
      <c r="O198" s="35"/>
      <c r="P198" s="35"/>
      <c r="Q198" s="35"/>
    </row>
    <row r="199" spans="1:17" ht="40.5" x14ac:dyDescent="0.25">
      <c r="A199" s="500">
        <v>9</v>
      </c>
      <c r="B199" s="500" t="s">
        <v>88</v>
      </c>
      <c r="C199" s="153" t="s">
        <v>88</v>
      </c>
      <c r="D199" s="35">
        <v>1</v>
      </c>
      <c r="E199" s="35"/>
      <c r="F199" s="35">
        <v>1</v>
      </c>
      <c r="G199" s="35" t="s">
        <v>257</v>
      </c>
      <c r="H199" s="35" t="s">
        <v>1154</v>
      </c>
      <c r="I199" s="35" t="s">
        <v>1155</v>
      </c>
      <c r="J199" s="35">
        <v>500</v>
      </c>
      <c r="K199" s="35" t="s">
        <v>1153</v>
      </c>
      <c r="L199" s="35"/>
      <c r="M199" s="35"/>
      <c r="N199" s="35"/>
      <c r="O199" s="35"/>
      <c r="P199" s="35"/>
      <c r="Q199" s="35"/>
    </row>
    <row r="200" spans="1:17" x14ac:dyDescent="0.25">
      <c r="A200" s="500"/>
      <c r="B200" s="500"/>
      <c r="C200" s="153" t="s">
        <v>41</v>
      </c>
      <c r="D200" s="35">
        <v>3</v>
      </c>
      <c r="E200" s="35"/>
      <c r="F200" s="35">
        <v>3</v>
      </c>
      <c r="G200" s="35" t="s">
        <v>946</v>
      </c>
      <c r="H200" s="35" t="s">
        <v>338</v>
      </c>
      <c r="I200" s="35" t="s">
        <v>1157</v>
      </c>
      <c r="J200" s="35"/>
      <c r="K200" s="35"/>
      <c r="L200" s="35"/>
      <c r="M200" s="35"/>
      <c r="N200" s="35"/>
      <c r="O200" s="35"/>
      <c r="P200" s="35"/>
      <c r="Q200" s="35"/>
    </row>
    <row r="201" spans="1:17" x14ac:dyDescent="0.25">
      <c r="A201" s="500"/>
      <c r="B201" s="500"/>
      <c r="C201" s="153" t="s">
        <v>42</v>
      </c>
      <c r="D201" s="35">
        <v>1</v>
      </c>
      <c r="E201" s="35"/>
      <c r="F201" s="35">
        <v>1</v>
      </c>
      <c r="G201" s="35" t="s">
        <v>947</v>
      </c>
      <c r="H201" s="35" t="s">
        <v>337</v>
      </c>
      <c r="I201" s="35" t="s">
        <v>1156</v>
      </c>
      <c r="J201" s="35"/>
      <c r="K201" s="35"/>
      <c r="L201" s="35"/>
      <c r="M201" s="35"/>
      <c r="N201" s="35"/>
      <c r="O201" s="35"/>
      <c r="P201" s="35"/>
      <c r="Q201" s="35"/>
    </row>
    <row r="202" spans="1:17" x14ac:dyDescent="0.25">
      <c r="A202" s="500">
        <v>10</v>
      </c>
      <c r="B202" s="500" t="s">
        <v>43</v>
      </c>
      <c r="C202" s="153" t="s">
        <v>89</v>
      </c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</row>
    <row r="203" spans="1:17" x14ac:dyDescent="0.25">
      <c r="A203" s="500"/>
      <c r="B203" s="500"/>
      <c r="C203" s="153" t="s">
        <v>44</v>
      </c>
      <c r="D203" s="35">
        <v>1</v>
      </c>
      <c r="E203" s="35"/>
      <c r="F203" s="35">
        <v>1</v>
      </c>
      <c r="G203" s="35" t="s">
        <v>176</v>
      </c>
      <c r="H203" s="35" t="s">
        <v>1203</v>
      </c>
      <c r="I203" s="35" t="s">
        <v>1204</v>
      </c>
      <c r="J203" s="35">
        <v>20000</v>
      </c>
      <c r="K203" s="35">
        <v>50000</v>
      </c>
      <c r="L203" s="35"/>
      <c r="M203" s="35"/>
      <c r="N203" s="35"/>
      <c r="O203" s="35"/>
      <c r="P203" s="35"/>
      <c r="Q203" s="35"/>
    </row>
    <row r="204" spans="1:17" ht="40.5" x14ac:dyDescent="0.25">
      <c r="A204" s="500"/>
      <c r="B204" s="500"/>
      <c r="C204" s="153" t="s">
        <v>45</v>
      </c>
      <c r="D204" s="35">
        <v>3</v>
      </c>
      <c r="E204" s="35"/>
      <c r="F204" s="35">
        <v>3</v>
      </c>
      <c r="G204" s="35" t="s">
        <v>185</v>
      </c>
      <c r="H204" s="35" t="s">
        <v>1140</v>
      </c>
      <c r="I204" s="35" t="s">
        <v>1205</v>
      </c>
      <c r="J204" s="35">
        <v>1120000</v>
      </c>
      <c r="K204" s="35">
        <v>460000</v>
      </c>
      <c r="L204" s="35"/>
      <c r="M204" s="35"/>
      <c r="N204" s="35"/>
      <c r="O204" s="35"/>
      <c r="P204" s="35"/>
      <c r="Q204" s="35"/>
    </row>
    <row r="205" spans="1:17" x14ac:dyDescent="0.25">
      <c r="A205" s="500">
        <v>11</v>
      </c>
      <c r="B205" s="500" t="s">
        <v>46</v>
      </c>
      <c r="C205" s="153" t="s">
        <v>47</v>
      </c>
      <c r="D205" s="35">
        <v>1</v>
      </c>
      <c r="E205" s="35"/>
      <c r="F205" s="35">
        <v>1</v>
      </c>
      <c r="G205" s="35" t="s">
        <v>46</v>
      </c>
      <c r="H205" s="35" t="s">
        <v>1221</v>
      </c>
      <c r="I205" s="35" t="s">
        <v>1222</v>
      </c>
      <c r="J205" s="35"/>
      <c r="K205" s="35"/>
      <c r="L205" s="35"/>
      <c r="M205" s="35"/>
      <c r="N205" s="35"/>
      <c r="O205" s="35"/>
      <c r="P205" s="35"/>
      <c r="Q205" s="35"/>
    </row>
    <row r="206" spans="1:17" x14ac:dyDescent="0.25">
      <c r="A206" s="500"/>
      <c r="B206" s="500"/>
      <c r="C206" s="153" t="s">
        <v>48</v>
      </c>
      <c r="D206" s="73">
        <v>1</v>
      </c>
      <c r="E206" s="35"/>
      <c r="F206" s="35">
        <v>1</v>
      </c>
      <c r="G206" s="35" t="s">
        <v>979</v>
      </c>
      <c r="H206" s="35" t="s">
        <v>982</v>
      </c>
      <c r="I206" s="35"/>
      <c r="J206" s="35">
        <v>100000</v>
      </c>
      <c r="K206" s="35">
        <v>2900000</v>
      </c>
      <c r="L206" s="35"/>
      <c r="M206" s="35"/>
      <c r="N206" s="35"/>
      <c r="O206" s="35"/>
      <c r="P206" s="35"/>
      <c r="Q206" s="35"/>
    </row>
    <row r="207" spans="1:17" x14ac:dyDescent="0.25">
      <c r="A207" s="500"/>
      <c r="B207" s="500"/>
      <c r="C207" s="153" t="s">
        <v>314</v>
      </c>
      <c r="D207" s="35">
        <v>2</v>
      </c>
      <c r="E207" s="35"/>
      <c r="F207" s="35">
        <v>2</v>
      </c>
      <c r="G207" s="35" t="s">
        <v>142</v>
      </c>
      <c r="H207" s="35" t="s">
        <v>982</v>
      </c>
      <c r="I207" s="35" t="s">
        <v>1204</v>
      </c>
      <c r="J207" s="35">
        <v>58000</v>
      </c>
      <c r="K207" s="35">
        <v>1192000</v>
      </c>
      <c r="L207" s="35"/>
      <c r="M207" s="35"/>
      <c r="N207" s="35"/>
      <c r="O207" s="35"/>
      <c r="P207" s="35"/>
      <c r="Q207" s="35"/>
    </row>
    <row r="208" spans="1:17" ht="40.5" x14ac:dyDescent="0.25">
      <c r="A208" s="500">
        <v>12</v>
      </c>
      <c r="B208" s="500" t="s">
        <v>49</v>
      </c>
      <c r="C208" s="153" t="s">
        <v>360</v>
      </c>
      <c r="D208" s="35">
        <v>3</v>
      </c>
      <c r="E208" s="35"/>
      <c r="F208" s="35">
        <v>3</v>
      </c>
      <c r="G208" s="35" t="s">
        <v>360</v>
      </c>
      <c r="H208" s="35" t="s">
        <v>1106</v>
      </c>
      <c r="I208" s="35" t="s">
        <v>1107</v>
      </c>
      <c r="J208" s="35" t="s">
        <v>1108</v>
      </c>
      <c r="K208" s="35" t="s">
        <v>1109</v>
      </c>
      <c r="L208" s="35"/>
      <c r="M208" s="35"/>
      <c r="N208" s="35"/>
      <c r="O208" s="35"/>
      <c r="P208" s="35"/>
      <c r="Q208" s="35"/>
    </row>
    <row r="209" spans="1:21" ht="40.5" x14ac:dyDescent="0.25">
      <c r="A209" s="500"/>
      <c r="B209" s="500"/>
      <c r="C209" s="153" t="s">
        <v>50</v>
      </c>
      <c r="D209" s="35">
        <v>4</v>
      </c>
      <c r="E209" s="35"/>
      <c r="F209" s="35">
        <v>4</v>
      </c>
      <c r="G209" s="35" t="s">
        <v>175</v>
      </c>
      <c r="H209" s="35" t="s">
        <v>338</v>
      </c>
      <c r="I209" s="35" t="s">
        <v>1110</v>
      </c>
      <c r="J209" s="35" t="s">
        <v>1112</v>
      </c>
      <c r="K209" s="35" t="s">
        <v>1111</v>
      </c>
      <c r="L209" s="35"/>
      <c r="M209" s="35"/>
      <c r="N209" s="35"/>
      <c r="O209" s="35"/>
      <c r="P209" s="35"/>
      <c r="Q209" s="35"/>
    </row>
    <row r="210" spans="1:21" ht="81" x14ac:dyDescent="0.25">
      <c r="A210" s="500"/>
      <c r="B210" s="500"/>
      <c r="C210" s="153" t="s">
        <v>51</v>
      </c>
      <c r="D210" s="35">
        <v>14</v>
      </c>
      <c r="E210" s="35"/>
      <c r="F210" s="35">
        <v>14</v>
      </c>
      <c r="G210" s="35" t="s">
        <v>184</v>
      </c>
      <c r="H210" s="35" t="s">
        <v>1102</v>
      </c>
      <c r="I210" s="35" t="s">
        <v>1105</v>
      </c>
      <c r="J210" s="35" t="s">
        <v>1103</v>
      </c>
      <c r="K210" s="35" t="s">
        <v>1104</v>
      </c>
      <c r="L210" s="35">
        <v>0</v>
      </c>
      <c r="M210" s="35">
        <v>0</v>
      </c>
      <c r="N210" s="35">
        <v>0</v>
      </c>
      <c r="O210" s="35">
        <v>1</v>
      </c>
      <c r="P210" s="35">
        <v>0</v>
      </c>
      <c r="Q210" s="35">
        <v>1</v>
      </c>
    </row>
    <row r="211" spans="1:21" ht="101.25" x14ac:dyDescent="0.25">
      <c r="A211" s="500">
        <v>13</v>
      </c>
      <c r="B211" s="500" t="s">
        <v>52</v>
      </c>
      <c r="C211" s="153" t="s">
        <v>53</v>
      </c>
      <c r="D211" s="35">
        <v>14</v>
      </c>
      <c r="E211" s="35"/>
      <c r="F211" s="35">
        <v>14</v>
      </c>
      <c r="G211" s="35" t="s">
        <v>177</v>
      </c>
      <c r="H211" s="35" t="s">
        <v>1122</v>
      </c>
      <c r="I211" s="35" t="s">
        <v>1123</v>
      </c>
      <c r="J211" s="35" t="s">
        <v>1120</v>
      </c>
      <c r="K211" s="35" t="s">
        <v>1121</v>
      </c>
      <c r="L211" s="35"/>
      <c r="M211" s="35"/>
      <c r="N211" s="35"/>
      <c r="O211" s="35"/>
      <c r="P211" s="35"/>
      <c r="Q211" s="35"/>
    </row>
    <row r="212" spans="1:21" ht="81" x14ac:dyDescent="0.25">
      <c r="A212" s="500"/>
      <c r="B212" s="500"/>
      <c r="C212" s="153" t="s">
        <v>54</v>
      </c>
      <c r="D212" s="35">
        <v>8</v>
      </c>
      <c r="E212" s="35"/>
      <c r="F212" s="35">
        <v>8</v>
      </c>
      <c r="G212" s="35" t="s">
        <v>252</v>
      </c>
      <c r="H212" s="35" t="s">
        <v>1140</v>
      </c>
      <c r="I212" s="35" t="s">
        <v>1141</v>
      </c>
      <c r="J212" s="35"/>
      <c r="K212" s="35" t="s">
        <v>1142</v>
      </c>
      <c r="L212" s="35"/>
      <c r="M212" s="35"/>
      <c r="N212" s="35"/>
      <c r="O212" s="35"/>
      <c r="P212" s="35"/>
      <c r="Q212" s="35"/>
    </row>
    <row r="213" spans="1:21" x14ac:dyDescent="0.25">
      <c r="A213" s="500"/>
      <c r="B213" s="500"/>
      <c r="C213" s="153" t="s">
        <v>55</v>
      </c>
      <c r="D213" s="35">
        <v>6</v>
      </c>
      <c r="E213" s="35"/>
      <c r="F213" s="35">
        <v>6</v>
      </c>
      <c r="G213" s="35" t="s">
        <v>179</v>
      </c>
      <c r="H213" s="35"/>
      <c r="I213" s="35"/>
      <c r="J213" s="35" t="s">
        <v>1134</v>
      </c>
      <c r="K213" s="35" t="s">
        <v>1135</v>
      </c>
      <c r="L213" s="35"/>
      <c r="M213" s="35"/>
      <c r="N213" s="35">
        <v>1</v>
      </c>
      <c r="O213" s="35"/>
      <c r="P213" s="35"/>
      <c r="Q213" s="35"/>
    </row>
    <row r="214" spans="1:21" ht="121.5" x14ac:dyDescent="0.25">
      <c r="A214" s="500"/>
      <c r="B214" s="500"/>
      <c r="C214" s="153" t="s">
        <v>56</v>
      </c>
      <c r="D214" s="35">
        <v>6</v>
      </c>
      <c r="E214" s="35"/>
      <c r="F214" s="35">
        <v>6</v>
      </c>
      <c r="G214" s="35" t="s">
        <v>188</v>
      </c>
      <c r="H214" s="35" t="s">
        <v>1125</v>
      </c>
      <c r="I214" s="35" t="s">
        <v>1126</v>
      </c>
      <c r="J214" s="35" t="s">
        <v>1096</v>
      </c>
      <c r="K214" s="35" t="s">
        <v>1124</v>
      </c>
      <c r="L214" s="35"/>
      <c r="M214" s="35"/>
      <c r="N214" s="35"/>
      <c r="O214" s="35"/>
      <c r="P214" s="35"/>
      <c r="Q214" s="35"/>
    </row>
    <row r="215" spans="1:21" ht="60.75" x14ac:dyDescent="0.25">
      <c r="A215" s="500"/>
      <c r="B215" s="500"/>
      <c r="C215" s="153" t="s">
        <v>57</v>
      </c>
      <c r="D215" s="35">
        <v>3</v>
      </c>
      <c r="E215" s="35"/>
      <c r="F215" s="35">
        <v>3</v>
      </c>
      <c r="G215" s="35" t="s">
        <v>178</v>
      </c>
      <c r="H215" s="35" t="s">
        <v>1130</v>
      </c>
      <c r="I215" s="35" t="s">
        <v>1131</v>
      </c>
      <c r="J215" s="35" t="s">
        <v>1132</v>
      </c>
      <c r="K215" s="35" t="s">
        <v>1133</v>
      </c>
      <c r="L215" s="35">
        <v>1</v>
      </c>
      <c r="M215" s="35"/>
      <c r="N215" s="35"/>
      <c r="O215" s="35"/>
      <c r="P215" s="35"/>
      <c r="Q215" s="35"/>
    </row>
    <row r="216" spans="1:21" ht="40.5" x14ac:dyDescent="0.25">
      <c r="A216" s="500"/>
      <c r="B216" s="500"/>
      <c r="C216" s="153" t="s">
        <v>58</v>
      </c>
      <c r="D216" s="35">
        <v>4</v>
      </c>
      <c r="E216" s="35"/>
      <c r="F216" s="35">
        <v>4</v>
      </c>
      <c r="G216" s="35" t="s">
        <v>58</v>
      </c>
      <c r="H216" s="35" t="s">
        <v>338</v>
      </c>
      <c r="I216" s="35" t="s">
        <v>1127</v>
      </c>
      <c r="J216" s="35" t="s">
        <v>1128</v>
      </c>
      <c r="K216" s="35" t="s">
        <v>1129</v>
      </c>
      <c r="L216" s="35"/>
      <c r="M216" s="35"/>
      <c r="N216" s="35"/>
      <c r="O216" s="35">
        <v>5</v>
      </c>
      <c r="P216" s="35"/>
      <c r="Q216" s="35"/>
    </row>
    <row r="217" spans="1:21" x14ac:dyDescent="0.25">
      <c r="A217" s="500"/>
      <c r="B217" s="500"/>
      <c r="C217" s="153" t="s">
        <v>336</v>
      </c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</row>
    <row r="218" spans="1:21" ht="40.5" x14ac:dyDescent="0.25">
      <c r="A218" s="500"/>
      <c r="B218" s="500"/>
      <c r="C218" s="153" t="s">
        <v>59</v>
      </c>
      <c r="D218" s="35">
        <v>2</v>
      </c>
      <c r="E218" s="35"/>
      <c r="F218" s="35">
        <v>2</v>
      </c>
      <c r="G218" s="35" t="s">
        <v>187</v>
      </c>
      <c r="H218" s="35" t="s">
        <v>1136</v>
      </c>
      <c r="I218" s="35" t="s">
        <v>1137</v>
      </c>
      <c r="J218" s="35" t="s">
        <v>1138</v>
      </c>
      <c r="K218" s="35" t="s">
        <v>1139</v>
      </c>
      <c r="L218" s="35"/>
      <c r="M218" s="35"/>
      <c r="N218" s="35"/>
      <c r="O218" s="35"/>
      <c r="P218" s="35"/>
      <c r="Q218" s="35"/>
    </row>
    <row r="219" spans="1:21" x14ac:dyDescent="0.25">
      <c r="A219" s="126"/>
      <c r="B219" s="126"/>
      <c r="C219" s="153" t="s">
        <v>60</v>
      </c>
      <c r="D219" s="35">
        <f>SUM(D173:D218)</f>
        <v>188</v>
      </c>
      <c r="E219" s="35">
        <f t="shared" ref="E219:Q219" si="4">SUM(E173:E218)</f>
        <v>0</v>
      </c>
      <c r="F219" s="35">
        <f t="shared" si="4"/>
        <v>188</v>
      </c>
      <c r="G219" s="35">
        <f t="shared" si="4"/>
        <v>0</v>
      </c>
      <c r="H219" s="35">
        <f t="shared" si="4"/>
        <v>0</v>
      </c>
      <c r="I219" s="35">
        <f t="shared" si="4"/>
        <v>0</v>
      </c>
      <c r="J219" s="35">
        <f t="shared" si="4"/>
        <v>7935000</v>
      </c>
      <c r="K219" s="35">
        <f t="shared" si="4"/>
        <v>86488500</v>
      </c>
      <c r="L219" s="35">
        <f t="shared" si="4"/>
        <v>2</v>
      </c>
      <c r="M219" s="35">
        <f t="shared" si="4"/>
        <v>0</v>
      </c>
      <c r="N219" s="35">
        <f t="shared" si="4"/>
        <v>2</v>
      </c>
      <c r="O219" s="35">
        <f t="shared" si="4"/>
        <v>6</v>
      </c>
      <c r="P219" s="35">
        <f t="shared" si="4"/>
        <v>361</v>
      </c>
      <c r="Q219" s="35">
        <f t="shared" si="4"/>
        <v>1</v>
      </c>
    </row>
    <row r="220" spans="1:21" x14ac:dyDescent="0.25">
      <c r="A220" s="172"/>
      <c r="B220" s="172"/>
      <c r="C220" s="17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</row>
    <row r="222" spans="1:21" ht="23.25" x14ac:dyDescent="0.25">
      <c r="A222" s="197"/>
      <c r="B222" s="198"/>
      <c r="C222" s="236"/>
      <c r="D222" s="236"/>
      <c r="E222" s="236"/>
      <c r="F222" s="236"/>
      <c r="G222" s="236"/>
      <c r="H222" s="236"/>
      <c r="I222" s="236"/>
      <c r="J222" s="236"/>
      <c r="K222" s="236"/>
      <c r="L222" s="236"/>
      <c r="M222" s="236"/>
      <c r="S222" s="196"/>
      <c r="T222" s="196"/>
      <c r="U222" s="196"/>
    </row>
    <row r="223" spans="1:21" ht="32.25" customHeight="1" x14ac:dyDescent="0.25">
      <c r="A223" s="499" t="s">
        <v>774</v>
      </c>
      <c r="B223" s="499"/>
      <c r="C223" s="499"/>
      <c r="D223" s="499"/>
      <c r="E223" s="499"/>
      <c r="F223" s="499"/>
      <c r="G223" s="499"/>
      <c r="H223" s="499"/>
      <c r="I223" s="499"/>
      <c r="J223" s="499"/>
      <c r="K223" s="499"/>
      <c r="L223" s="499"/>
      <c r="M223" s="499"/>
      <c r="N223" s="499"/>
      <c r="O223" s="499"/>
      <c r="P223" s="499"/>
      <c r="Q223" s="499"/>
    </row>
    <row r="224" spans="1:21" ht="21" customHeight="1" x14ac:dyDescent="0.25">
      <c r="A224" s="500" t="s">
        <v>0</v>
      </c>
      <c r="B224" s="500" t="s">
        <v>1</v>
      </c>
      <c r="C224" s="503" t="s">
        <v>182</v>
      </c>
      <c r="D224" s="500" t="s">
        <v>3</v>
      </c>
      <c r="E224" s="500" t="s">
        <v>4</v>
      </c>
      <c r="F224" s="500" t="s">
        <v>5</v>
      </c>
      <c r="G224" s="500" t="s">
        <v>6</v>
      </c>
      <c r="H224" s="503" t="s">
        <v>7</v>
      </c>
      <c r="I224" s="503" t="s">
        <v>8</v>
      </c>
      <c r="J224" s="500" t="s">
        <v>9</v>
      </c>
      <c r="K224" s="500" t="s">
        <v>183</v>
      </c>
      <c r="L224" s="500" t="s">
        <v>11</v>
      </c>
      <c r="M224" s="500"/>
      <c r="N224" s="500" t="s">
        <v>300</v>
      </c>
      <c r="O224" s="500"/>
      <c r="P224" s="500" t="s">
        <v>12</v>
      </c>
      <c r="Q224" s="500"/>
    </row>
    <row r="225" spans="1:17" ht="68.25" customHeight="1" x14ac:dyDescent="0.25">
      <c r="A225" s="500"/>
      <c r="B225" s="500"/>
      <c r="C225" s="503"/>
      <c r="D225" s="500"/>
      <c r="E225" s="500"/>
      <c r="F225" s="500"/>
      <c r="G225" s="500"/>
      <c r="H225" s="503"/>
      <c r="I225" s="503"/>
      <c r="J225" s="500"/>
      <c r="K225" s="500"/>
      <c r="L225" s="126" t="s">
        <v>14</v>
      </c>
      <c r="M225" s="126" t="s">
        <v>15</v>
      </c>
      <c r="N225" s="126" t="s">
        <v>14</v>
      </c>
      <c r="O225" s="126" t="s">
        <v>15</v>
      </c>
      <c r="P225" s="126" t="s">
        <v>14</v>
      </c>
      <c r="Q225" s="126" t="s">
        <v>15</v>
      </c>
    </row>
    <row r="226" spans="1:17" ht="60.75" x14ac:dyDescent="0.25">
      <c r="A226" s="500">
        <v>1</v>
      </c>
      <c r="B226" s="500" t="s">
        <v>16</v>
      </c>
      <c r="C226" s="153" t="s">
        <v>17</v>
      </c>
      <c r="D226" s="35">
        <v>1</v>
      </c>
      <c r="E226" s="35" t="s">
        <v>18</v>
      </c>
      <c r="F226" s="35">
        <v>1</v>
      </c>
      <c r="G226" s="35" t="s">
        <v>170</v>
      </c>
      <c r="H226" s="35" t="s">
        <v>958</v>
      </c>
      <c r="I226" s="35" t="s">
        <v>345</v>
      </c>
      <c r="J226" s="35">
        <v>30000</v>
      </c>
      <c r="K226" s="35">
        <v>970000</v>
      </c>
      <c r="L226" s="35" t="s">
        <v>18</v>
      </c>
      <c r="M226" s="35" t="s">
        <v>18</v>
      </c>
      <c r="N226" s="35" t="s">
        <v>18</v>
      </c>
      <c r="O226" s="35" t="s">
        <v>18</v>
      </c>
      <c r="P226" s="35" t="s">
        <v>18</v>
      </c>
      <c r="Q226" s="35" t="s">
        <v>18</v>
      </c>
    </row>
    <row r="227" spans="1:17" ht="60.75" x14ac:dyDescent="0.25">
      <c r="A227" s="500"/>
      <c r="B227" s="500"/>
      <c r="C227" s="153" t="s">
        <v>19</v>
      </c>
      <c r="D227" s="35">
        <v>1</v>
      </c>
      <c r="E227" s="35" t="s">
        <v>18</v>
      </c>
      <c r="F227" s="35">
        <v>1</v>
      </c>
      <c r="G227" s="35" t="s">
        <v>19</v>
      </c>
      <c r="H227" s="35" t="s">
        <v>959</v>
      </c>
      <c r="I227" s="35" t="s">
        <v>960</v>
      </c>
      <c r="J227" s="35" t="s">
        <v>18</v>
      </c>
      <c r="K227" s="35">
        <v>150000</v>
      </c>
      <c r="L227" s="35" t="s">
        <v>18</v>
      </c>
      <c r="M227" s="35" t="s">
        <v>18</v>
      </c>
      <c r="N227" s="35" t="s">
        <v>18</v>
      </c>
      <c r="O227" s="35" t="s">
        <v>18</v>
      </c>
      <c r="P227" s="35" t="s">
        <v>18</v>
      </c>
      <c r="Q227" s="35" t="s">
        <v>18</v>
      </c>
    </row>
    <row r="228" spans="1:17" x14ac:dyDescent="0.25">
      <c r="A228" s="126">
        <v>2</v>
      </c>
      <c r="B228" s="126" t="s">
        <v>20</v>
      </c>
      <c r="C228" s="153" t="s">
        <v>20</v>
      </c>
      <c r="D228" s="35" t="s">
        <v>18</v>
      </c>
      <c r="E228" s="35" t="s">
        <v>18</v>
      </c>
      <c r="F228" s="35" t="s">
        <v>18</v>
      </c>
      <c r="G228" s="35" t="s">
        <v>18</v>
      </c>
      <c r="H228" s="35" t="s">
        <v>18</v>
      </c>
      <c r="I228" s="35" t="s">
        <v>18</v>
      </c>
      <c r="J228" s="35" t="s">
        <v>18</v>
      </c>
      <c r="K228" s="35" t="s">
        <v>18</v>
      </c>
      <c r="L228" s="35" t="s">
        <v>18</v>
      </c>
      <c r="M228" s="35" t="s">
        <v>18</v>
      </c>
      <c r="N228" s="35" t="s">
        <v>18</v>
      </c>
      <c r="O228" s="35" t="s">
        <v>18</v>
      </c>
      <c r="P228" s="35" t="s">
        <v>18</v>
      </c>
      <c r="Q228" s="35" t="s">
        <v>18</v>
      </c>
    </row>
    <row r="229" spans="1:17" x14ac:dyDescent="0.25">
      <c r="A229" s="500">
        <v>3</v>
      </c>
      <c r="B229" s="502" t="s">
        <v>21</v>
      </c>
      <c r="C229" s="153" t="s">
        <v>21</v>
      </c>
      <c r="D229" s="35">
        <v>1</v>
      </c>
      <c r="E229" s="35" t="s">
        <v>18</v>
      </c>
      <c r="F229" s="35">
        <v>1</v>
      </c>
      <c r="G229" s="35" t="s">
        <v>191</v>
      </c>
      <c r="H229" s="35" t="s">
        <v>859</v>
      </c>
      <c r="I229" s="35" t="s">
        <v>858</v>
      </c>
      <c r="J229" s="35" t="s">
        <v>18</v>
      </c>
      <c r="K229" s="35" t="s">
        <v>18</v>
      </c>
      <c r="L229" s="35" t="s">
        <v>18</v>
      </c>
      <c r="M229" s="35" t="s">
        <v>18</v>
      </c>
      <c r="N229" s="35" t="s">
        <v>18</v>
      </c>
      <c r="O229" s="35" t="s">
        <v>18</v>
      </c>
      <c r="P229" s="35" t="s">
        <v>18</v>
      </c>
      <c r="Q229" s="35" t="s">
        <v>18</v>
      </c>
    </row>
    <row r="230" spans="1:17" ht="40.5" x14ac:dyDescent="0.25">
      <c r="A230" s="500"/>
      <c r="B230" s="502"/>
      <c r="C230" s="153" t="s">
        <v>22</v>
      </c>
      <c r="D230" s="35">
        <v>2</v>
      </c>
      <c r="E230" s="35" t="s">
        <v>18</v>
      </c>
      <c r="F230" s="35">
        <v>2</v>
      </c>
      <c r="G230" s="35" t="s">
        <v>164</v>
      </c>
      <c r="H230" s="35" t="s">
        <v>860</v>
      </c>
      <c r="I230" s="35" t="s">
        <v>861</v>
      </c>
      <c r="J230" s="35">
        <v>10000</v>
      </c>
      <c r="K230" s="35">
        <v>1190000</v>
      </c>
      <c r="L230" s="35" t="s">
        <v>18</v>
      </c>
      <c r="M230" s="35" t="s">
        <v>18</v>
      </c>
      <c r="N230" s="35" t="s">
        <v>18</v>
      </c>
      <c r="O230" s="35" t="s">
        <v>18</v>
      </c>
      <c r="P230" s="35" t="s">
        <v>18</v>
      </c>
      <c r="Q230" s="35" t="s">
        <v>18</v>
      </c>
    </row>
    <row r="231" spans="1:17" x14ac:dyDescent="0.25">
      <c r="A231" s="500"/>
      <c r="B231" s="502"/>
      <c r="C231" s="153" t="s">
        <v>335</v>
      </c>
      <c r="D231" s="35" t="s">
        <v>18</v>
      </c>
      <c r="E231" s="35" t="s">
        <v>18</v>
      </c>
      <c r="F231" s="35" t="s">
        <v>18</v>
      </c>
      <c r="G231" s="35" t="s">
        <v>18</v>
      </c>
      <c r="H231" s="35" t="s">
        <v>18</v>
      </c>
      <c r="I231" s="35" t="s">
        <v>18</v>
      </c>
      <c r="J231" s="35" t="s">
        <v>18</v>
      </c>
      <c r="K231" s="35" t="s">
        <v>18</v>
      </c>
      <c r="L231" s="35" t="s">
        <v>18</v>
      </c>
      <c r="M231" s="35" t="s">
        <v>18</v>
      </c>
      <c r="N231" s="35" t="s">
        <v>18</v>
      </c>
      <c r="O231" s="35" t="s">
        <v>18</v>
      </c>
      <c r="P231" s="35" t="s">
        <v>18</v>
      </c>
      <c r="Q231" s="35" t="s">
        <v>18</v>
      </c>
    </row>
    <row r="232" spans="1:17" x14ac:dyDescent="0.25">
      <c r="A232" s="500"/>
      <c r="B232" s="502"/>
      <c r="C232" s="153" t="s">
        <v>269</v>
      </c>
      <c r="D232" s="35">
        <v>2</v>
      </c>
      <c r="E232" s="35" t="s">
        <v>18</v>
      </c>
      <c r="F232" s="35">
        <v>2</v>
      </c>
      <c r="G232" s="35" t="s">
        <v>163</v>
      </c>
      <c r="H232" s="35" t="s">
        <v>337</v>
      </c>
      <c r="I232" s="35" t="s">
        <v>862</v>
      </c>
      <c r="J232" s="35">
        <v>50000</v>
      </c>
      <c r="K232" s="35" t="s">
        <v>18</v>
      </c>
      <c r="L232" s="35" t="s">
        <v>18</v>
      </c>
      <c r="M232" s="35" t="s">
        <v>18</v>
      </c>
      <c r="N232" s="35" t="s">
        <v>18</v>
      </c>
      <c r="O232" s="35" t="s">
        <v>18</v>
      </c>
      <c r="P232" s="35" t="s">
        <v>18</v>
      </c>
      <c r="Q232" s="35" t="s">
        <v>18</v>
      </c>
    </row>
    <row r="233" spans="1:17" ht="121.5" x14ac:dyDescent="0.25">
      <c r="A233" s="500">
        <v>4</v>
      </c>
      <c r="B233" s="500" t="s">
        <v>23</v>
      </c>
      <c r="C233" s="153" t="s">
        <v>23</v>
      </c>
      <c r="D233" s="35">
        <v>3</v>
      </c>
      <c r="E233" s="35" t="s">
        <v>18</v>
      </c>
      <c r="F233" s="35">
        <v>3</v>
      </c>
      <c r="G233" s="35" t="s">
        <v>167</v>
      </c>
      <c r="H233" s="35" t="s">
        <v>833</v>
      </c>
      <c r="I233" s="35" t="s">
        <v>834</v>
      </c>
      <c r="J233" s="35">
        <v>1036000</v>
      </c>
      <c r="K233" s="35">
        <v>9964000</v>
      </c>
      <c r="L233" s="35" t="s">
        <v>18</v>
      </c>
      <c r="M233" s="35" t="s">
        <v>18</v>
      </c>
      <c r="N233" s="35" t="s">
        <v>18</v>
      </c>
      <c r="O233" s="35" t="s">
        <v>18</v>
      </c>
      <c r="P233" s="35" t="s">
        <v>18</v>
      </c>
      <c r="Q233" s="35" t="s">
        <v>18</v>
      </c>
    </row>
    <row r="234" spans="1:17" ht="40.5" x14ac:dyDescent="0.25">
      <c r="A234" s="500"/>
      <c r="B234" s="500"/>
      <c r="C234" s="153" t="s">
        <v>344</v>
      </c>
      <c r="D234" s="35">
        <v>1</v>
      </c>
      <c r="E234" s="35" t="s">
        <v>18</v>
      </c>
      <c r="F234" s="35">
        <v>1</v>
      </c>
      <c r="G234" s="35" t="s">
        <v>341</v>
      </c>
      <c r="H234" s="35" t="s">
        <v>835</v>
      </c>
      <c r="I234" s="35" t="s">
        <v>836</v>
      </c>
      <c r="J234" s="35" t="s">
        <v>18</v>
      </c>
      <c r="K234" s="35" t="s">
        <v>18</v>
      </c>
      <c r="L234" s="35" t="s">
        <v>18</v>
      </c>
      <c r="M234" s="35" t="s">
        <v>18</v>
      </c>
      <c r="N234" s="35" t="s">
        <v>18</v>
      </c>
      <c r="O234" s="35" t="s">
        <v>18</v>
      </c>
      <c r="P234" s="35" t="s">
        <v>18</v>
      </c>
      <c r="Q234" s="35" t="s">
        <v>18</v>
      </c>
    </row>
    <row r="235" spans="1:17" ht="21" customHeight="1" x14ac:dyDescent="0.25">
      <c r="A235" s="500">
        <v>5</v>
      </c>
      <c r="B235" s="500" t="s">
        <v>25</v>
      </c>
      <c r="C235" s="153" t="s">
        <v>26</v>
      </c>
      <c r="D235" s="35">
        <v>1</v>
      </c>
      <c r="E235" s="35" t="s">
        <v>18</v>
      </c>
      <c r="F235" s="35">
        <v>1</v>
      </c>
      <c r="G235" s="35" t="s">
        <v>361</v>
      </c>
      <c r="H235" s="35" t="s">
        <v>338</v>
      </c>
      <c r="I235" s="35" t="s">
        <v>811</v>
      </c>
      <c r="J235" s="35">
        <v>5000</v>
      </c>
      <c r="K235" s="35">
        <v>195000</v>
      </c>
      <c r="L235" s="35" t="s">
        <v>18</v>
      </c>
      <c r="M235" s="35" t="s">
        <v>18</v>
      </c>
      <c r="N235" s="35" t="s">
        <v>18</v>
      </c>
      <c r="O235" s="35" t="s">
        <v>18</v>
      </c>
      <c r="P235" s="35" t="s">
        <v>18</v>
      </c>
      <c r="Q235" s="35" t="s">
        <v>18</v>
      </c>
    </row>
    <row r="236" spans="1:17" ht="121.5" x14ac:dyDescent="0.25">
      <c r="A236" s="500"/>
      <c r="B236" s="500"/>
      <c r="C236" s="153" t="s">
        <v>27</v>
      </c>
      <c r="D236" s="35">
        <v>3</v>
      </c>
      <c r="E236" s="35" t="s">
        <v>18</v>
      </c>
      <c r="F236" s="35">
        <v>3</v>
      </c>
      <c r="G236" s="35" t="s">
        <v>255</v>
      </c>
      <c r="H236" s="35" t="s">
        <v>809</v>
      </c>
      <c r="I236" s="35" t="s">
        <v>810</v>
      </c>
      <c r="J236" s="35">
        <v>1686000</v>
      </c>
      <c r="K236" s="35">
        <v>9914000</v>
      </c>
      <c r="L236" s="35" t="s">
        <v>18</v>
      </c>
      <c r="M236" s="35" t="s">
        <v>18</v>
      </c>
      <c r="N236" s="35" t="s">
        <v>18</v>
      </c>
      <c r="O236" s="35" t="s">
        <v>18</v>
      </c>
      <c r="P236" s="35" t="s">
        <v>18</v>
      </c>
      <c r="Q236" s="35" t="s">
        <v>18</v>
      </c>
    </row>
    <row r="237" spans="1:17" ht="39.75" customHeight="1" x14ac:dyDescent="0.25">
      <c r="A237" s="500"/>
      <c r="B237" s="500"/>
      <c r="C237" s="153" t="s">
        <v>268</v>
      </c>
      <c r="D237" s="35">
        <v>1</v>
      </c>
      <c r="E237" s="35" t="s">
        <v>18</v>
      </c>
      <c r="F237" s="35">
        <v>1</v>
      </c>
      <c r="G237" s="35" t="s">
        <v>773</v>
      </c>
      <c r="H237" s="35" t="s">
        <v>812</v>
      </c>
      <c r="I237" s="35" t="s">
        <v>345</v>
      </c>
      <c r="J237" s="35">
        <v>5000</v>
      </c>
      <c r="K237" s="35">
        <v>20000</v>
      </c>
      <c r="L237" s="35" t="s">
        <v>18</v>
      </c>
      <c r="M237" s="35" t="s">
        <v>18</v>
      </c>
      <c r="N237" s="35" t="s">
        <v>18</v>
      </c>
      <c r="O237" s="35" t="s">
        <v>18</v>
      </c>
      <c r="P237" s="35" t="s">
        <v>18</v>
      </c>
      <c r="Q237" s="35" t="s">
        <v>18</v>
      </c>
    </row>
    <row r="238" spans="1:17" ht="121.5" x14ac:dyDescent="0.25">
      <c r="A238" s="500">
        <v>6</v>
      </c>
      <c r="B238" s="500" t="s">
        <v>28</v>
      </c>
      <c r="C238" s="153" t="s">
        <v>29</v>
      </c>
      <c r="D238" s="35">
        <v>8</v>
      </c>
      <c r="E238" s="35" t="s">
        <v>18</v>
      </c>
      <c r="F238" s="35">
        <v>8</v>
      </c>
      <c r="G238" s="35" t="s">
        <v>207</v>
      </c>
      <c r="H238" s="35" t="s">
        <v>916</v>
      </c>
      <c r="I238" s="35" t="s">
        <v>917</v>
      </c>
      <c r="J238" s="35">
        <v>843000</v>
      </c>
      <c r="K238" s="35">
        <v>18767000</v>
      </c>
      <c r="L238" s="35" t="s">
        <v>18</v>
      </c>
      <c r="M238" s="35">
        <v>1</v>
      </c>
      <c r="N238" s="35">
        <v>1</v>
      </c>
      <c r="O238" s="35" t="s">
        <v>18</v>
      </c>
      <c r="P238" s="35">
        <v>70</v>
      </c>
      <c r="Q238" s="35" t="s">
        <v>18</v>
      </c>
    </row>
    <row r="239" spans="1:17" ht="81" x14ac:dyDescent="0.25">
      <c r="A239" s="500"/>
      <c r="B239" s="500"/>
      <c r="C239" s="153" t="s">
        <v>30</v>
      </c>
      <c r="D239" s="35">
        <v>4</v>
      </c>
      <c r="E239" s="35" t="s">
        <v>18</v>
      </c>
      <c r="F239" s="35">
        <v>4</v>
      </c>
      <c r="G239" s="35" t="s">
        <v>171</v>
      </c>
      <c r="H239" s="35" t="s">
        <v>922</v>
      </c>
      <c r="I239" s="35" t="s">
        <v>923</v>
      </c>
      <c r="J239" s="35">
        <v>490000</v>
      </c>
      <c r="K239" s="35">
        <v>1630000</v>
      </c>
      <c r="L239" s="35" t="s">
        <v>18</v>
      </c>
      <c r="M239" s="35" t="s">
        <v>18</v>
      </c>
      <c r="N239" s="35" t="s">
        <v>18</v>
      </c>
      <c r="O239" s="35" t="s">
        <v>18</v>
      </c>
      <c r="P239" s="35" t="s">
        <v>18</v>
      </c>
      <c r="Q239" s="35" t="s">
        <v>18</v>
      </c>
    </row>
    <row r="240" spans="1:17" ht="60.75" x14ac:dyDescent="0.25">
      <c r="A240" s="500"/>
      <c r="B240" s="500"/>
      <c r="C240" s="153" t="s">
        <v>31</v>
      </c>
      <c r="D240" s="35">
        <v>3</v>
      </c>
      <c r="E240" s="35" t="s">
        <v>18</v>
      </c>
      <c r="F240" s="35">
        <v>3</v>
      </c>
      <c r="G240" s="35" t="s">
        <v>31</v>
      </c>
      <c r="H240" s="35" t="s">
        <v>920</v>
      </c>
      <c r="I240" s="35" t="s">
        <v>921</v>
      </c>
      <c r="J240" s="35">
        <v>500</v>
      </c>
      <c r="K240" s="35">
        <v>999500</v>
      </c>
      <c r="L240" s="35" t="s">
        <v>18</v>
      </c>
      <c r="M240" s="35" t="s">
        <v>18</v>
      </c>
      <c r="N240" s="35" t="s">
        <v>18</v>
      </c>
      <c r="O240" s="35" t="s">
        <v>18</v>
      </c>
      <c r="P240" s="35" t="s">
        <v>18</v>
      </c>
      <c r="Q240" s="35" t="s">
        <v>18</v>
      </c>
    </row>
    <row r="241" spans="1:17" ht="60.75" x14ac:dyDescent="0.25">
      <c r="A241" s="500"/>
      <c r="B241" s="500"/>
      <c r="C241" s="153" t="s">
        <v>32</v>
      </c>
      <c r="D241" s="35">
        <v>4</v>
      </c>
      <c r="E241" s="35" t="s">
        <v>18</v>
      </c>
      <c r="F241" s="35">
        <v>4</v>
      </c>
      <c r="G241" s="35" t="s">
        <v>909</v>
      </c>
      <c r="H241" s="35" t="s">
        <v>918</v>
      </c>
      <c r="I241" s="35" t="s">
        <v>919</v>
      </c>
      <c r="J241" s="35">
        <v>47500</v>
      </c>
      <c r="K241" s="35">
        <v>772500</v>
      </c>
      <c r="L241" s="35" t="s">
        <v>18</v>
      </c>
      <c r="M241" s="35" t="s">
        <v>18</v>
      </c>
      <c r="N241" s="35" t="s">
        <v>18</v>
      </c>
      <c r="O241" s="35" t="s">
        <v>18</v>
      </c>
      <c r="P241" s="35">
        <v>4</v>
      </c>
      <c r="Q241" s="35" t="s">
        <v>18</v>
      </c>
    </row>
    <row r="242" spans="1:17" ht="60.75" x14ac:dyDescent="0.25">
      <c r="A242" s="500"/>
      <c r="B242" s="500"/>
      <c r="C242" s="153" t="s">
        <v>201</v>
      </c>
      <c r="D242" s="35">
        <v>1</v>
      </c>
      <c r="E242" s="35" t="s">
        <v>18</v>
      </c>
      <c r="F242" s="35">
        <v>1</v>
      </c>
      <c r="G242" s="35" t="s">
        <v>201</v>
      </c>
      <c r="H242" s="35" t="s">
        <v>924</v>
      </c>
      <c r="I242" s="35" t="s">
        <v>925</v>
      </c>
      <c r="J242" s="35">
        <v>60000</v>
      </c>
      <c r="K242" s="35">
        <v>440000</v>
      </c>
      <c r="L242" s="35" t="s">
        <v>18</v>
      </c>
      <c r="M242" s="35" t="s">
        <v>18</v>
      </c>
      <c r="N242" s="35" t="s">
        <v>18</v>
      </c>
      <c r="O242" s="35" t="s">
        <v>18</v>
      </c>
      <c r="P242" s="35" t="s">
        <v>18</v>
      </c>
      <c r="Q242" s="35" t="s">
        <v>18</v>
      </c>
    </row>
    <row r="243" spans="1:17" ht="60.75" x14ac:dyDescent="0.25">
      <c r="A243" s="500">
        <v>7</v>
      </c>
      <c r="B243" s="500" t="s">
        <v>33</v>
      </c>
      <c r="C243" s="153" t="s">
        <v>33</v>
      </c>
      <c r="D243" s="35">
        <v>29</v>
      </c>
      <c r="E243" s="35" t="s">
        <v>18</v>
      </c>
      <c r="F243" s="35">
        <v>29</v>
      </c>
      <c r="G243" s="35" t="s">
        <v>127</v>
      </c>
      <c r="H243" s="35" t="s">
        <v>869</v>
      </c>
      <c r="I243" s="35" t="s">
        <v>870</v>
      </c>
      <c r="J243" s="35">
        <v>4079000</v>
      </c>
      <c r="K243" s="35">
        <v>29191000</v>
      </c>
      <c r="L243" s="35" t="s">
        <v>18</v>
      </c>
      <c r="M243" s="35" t="s">
        <v>18</v>
      </c>
      <c r="N243" s="35" t="s">
        <v>18</v>
      </c>
      <c r="O243" s="35" t="s">
        <v>18</v>
      </c>
      <c r="P243" s="35" t="s">
        <v>18</v>
      </c>
      <c r="Q243" s="35" t="s">
        <v>18</v>
      </c>
    </row>
    <row r="244" spans="1:17" ht="40.5" x14ac:dyDescent="0.25">
      <c r="A244" s="500"/>
      <c r="B244" s="500"/>
      <c r="C244" s="153" t="s">
        <v>34</v>
      </c>
      <c r="D244" s="35">
        <v>3</v>
      </c>
      <c r="E244" s="35" t="s">
        <v>18</v>
      </c>
      <c r="F244" s="35">
        <v>3</v>
      </c>
      <c r="G244" s="35" t="s">
        <v>172</v>
      </c>
      <c r="H244" s="35" t="s">
        <v>337</v>
      </c>
      <c r="I244" s="35" t="s">
        <v>871</v>
      </c>
      <c r="J244" s="35">
        <v>655000</v>
      </c>
      <c r="K244" s="35">
        <v>845000</v>
      </c>
      <c r="L244" s="35" t="s">
        <v>18</v>
      </c>
      <c r="M244" s="35" t="s">
        <v>18</v>
      </c>
      <c r="N244" s="35" t="s">
        <v>18</v>
      </c>
      <c r="O244" s="35" t="s">
        <v>18</v>
      </c>
      <c r="P244" s="35" t="s">
        <v>18</v>
      </c>
      <c r="Q244" s="35" t="s">
        <v>18</v>
      </c>
    </row>
    <row r="245" spans="1:17" x14ac:dyDescent="0.25">
      <c r="A245" s="500"/>
      <c r="B245" s="500"/>
      <c r="C245" s="92" t="s">
        <v>250</v>
      </c>
      <c r="D245" s="35">
        <v>1</v>
      </c>
      <c r="E245" s="35" t="s">
        <v>18</v>
      </c>
      <c r="F245" s="35">
        <v>1</v>
      </c>
      <c r="G245" s="35" t="s">
        <v>250</v>
      </c>
      <c r="H245" s="35" t="s">
        <v>337</v>
      </c>
      <c r="I245" s="35" t="s">
        <v>878</v>
      </c>
      <c r="J245" s="35" t="s">
        <v>18</v>
      </c>
      <c r="K245" s="35" t="s">
        <v>18</v>
      </c>
      <c r="L245" s="35" t="s">
        <v>18</v>
      </c>
      <c r="M245" s="35" t="s">
        <v>18</v>
      </c>
      <c r="N245" s="35" t="s">
        <v>18</v>
      </c>
      <c r="O245" s="35" t="s">
        <v>18</v>
      </c>
      <c r="P245" s="35" t="s">
        <v>18</v>
      </c>
      <c r="Q245" s="35" t="s">
        <v>18</v>
      </c>
    </row>
    <row r="246" spans="1:17" ht="121.5" x14ac:dyDescent="0.25">
      <c r="A246" s="500"/>
      <c r="B246" s="500"/>
      <c r="C246" s="153" t="s">
        <v>36</v>
      </c>
      <c r="D246" s="35">
        <v>6</v>
      </c>
      <c r="E246" s="35" t="s">
        <v>18</v>
      </c>
      <c r="F246" s="35">
        <v>6</v>
      </c>
      <c r="G246" s="35" t="s">
        <v>173</v>
      </c>
      <c r="H246" s="35" t="s">
        <v>882</v>
      </c>
      <c r="I246" s="35" t="s">
        <v>883</v>
      </c>
      <c r="J246" s="35">
        <v>1616000</v>
      </c>
      <c r="K246" s="35">
        <v>19034000</v>
      </c>
      <c r="L246" s="35" t="s">
        <v>18</v>
      </c>
      <c r="M246" s="35">
        <v>62</v>
      </c>
      <c r="N246" s="35" t="s">
        <v>18</v>
      </c>
      <c r="O246" s="35" t="s">
        <v>18</v>
      </c>
      <c r="P246" s="35" t="s">
        <v>18</v>
      </c>
      <c r="Q246" s="35" t="s">
        <v>18</v>
      </c>
    </row>
    <row r="247" spans="1:17" x14ac:dyDescent="0.25">
      <c r="A247" s="500"/>
      <c r="B247" s="500"/>
      <c r="C247" s="153" t="s">
        <v>37</v>
      </c>
      <c r="D247" s="35">
        <v>1</v>
      </c>
      <c r="E247" s="35" t="s">
        <v>18</v>
      </c>
      <c r="F247" s="35">
        <v>1</v>
      </c>
      <c r="G247" s="35" t="s">
        <v>174</v>
      </c>
      <c r="H247" s="35" t="s">
        <v>337</v>
      </c>
      <c r="I247" s="35" t="s">
        <v>875</v>
      </c>
      <c r="J247" s="35">
        <v>10000</v>
      </c>
      <c r="K247" s="35">
        <v>490000</v>
      </c>
      <c r="L247" s="35" t="s">
        <v>18</v>
      </c>
      <c r="M247" s="35" t="s">
        <v>18</v>
      </c>
      <c r="N247" s="35" t="s">
        <v>18</v>
      </c>
      <c r="O247" s="35" t="s">
        <v>18</v>
      </c>
      <c r="P247" s="35" t="s">
        <v>18</v>
      </c>
      <c r="Q247" s="35" t="s">
        <v>18</v>
      </c>
    </row>
    <row r="248" spans="1:17" ht="40.5" x14ac:dyDescent="0.25">
      <c r="A248" s="500"/>
      <c r="B248" s="500"/>
      <c r="C248" s="153" t="s">
        <v>141</v>
      </c>
      <c r="D248" s="35">
        <v>2</v>
      </c>
      <c r="E248" s="35" t="s">
        <v>18</v>
      </c>
      <c r="F248" s="35">
        <v>2</v>
      </c>
      <c r="G248" s="35" t="s">
        <v>141</v>
      </c>
      <c r="H248" s="35" t="s">
        <v>337</v>
      </c>
      <c r="I248" s="35" t="s">
        <v>888</v>
      </c>
      <c r="J248" s="35">
        <v>13000</v>
      </c>
      <c r="K248" s="35">
        <v>6487000</v>
      </c>
      <c r="L248" s="35" t="s">
        <v>18</v>
      </c>
      <c r="M248" s="35" t="s">
        <v>18</v>
      </c>
      <c r="N248" s="35" t="s">
        <v>18</v>
      </c>
      <c r="O248" s="35" t="s">
        <v>18</v>
      </c>
      <c r="P248" s="35" t="s">
        <v>18</v>
      </c>
      <c r="Q248" s="35" t="s">
        <v>18</v>
      </c>
    </row>
    <row r="249" spans="1:17" ht="40.5" x14ac:dyDescent="0.25">
      <c r="A249" s="500"/>
      <c r="B249" s="126"/>
      <c r="C249" s="153" t="s">
        <v>305</v>
      </c>
      <c r="D249" s="35">
        <v>1</v>
      </c>
      <c r="E249" s="35" t="s">
        <v>18</v>
      </c>
      <c r="F249" s="35">
        <v>1</v>
      </c>
      <c r="G249" s="35" t="s">
        <v>885</v>
      </c>
      <c r="H249" s="35" t="s">
        <v>886</v>
      </c>
      <c r="I249" s="35" t="s">
        <v>904</v>
      </c>
      <c r="J249" s="35">
        <v>1000</v>
      </c>
      <c r="K249" s="35">
        <v>999000</v>
      </c>
      <c r="L249" s="35" t="s">
        <v>18</v>
      </c>
      <c r="M249" s="35" t="s">
        <v>18</v>
      </c>
      <c r="N249" s="35" t="s">
        <v>18</v>
      </c>
      <c r="O249" s="35" t="s">
        <v>18</v>
      </c>
      <c r="P249" s="35" t="s">
        <v>18</v>
      </c>
      <c r="Q249" s="35" t="s">
        <v>18</v>
      </c>
    </row>
    <row r="250" spans="1:17" x14ac:dyDescent="0.25">
      <c r="A250" s="500">
        <v>8</v>
      </c>
      <c r="B250" s="500" t="s">
        <v>38</v>
      </c>
      <c r="C250" s="153" t="s">
        <v>38</v>
      </c>
      <c r="D250" s="35" t="s">
        <v>18</v>
      </c>
      <c r="E250" s="35" t="s">
        <v>18</v>
      </c>
      <c r="F250" s="35" t="s">
        <v>18</v>
      </c>
      <c r="G250" s="35" t="s">
        <v>18</v>
      </c>
      <c r="H250" s="35" t="s">
        <v>18</v>
      </c>
      <c r="I250" s="35" t="s">
        <v>18</v>
      </c>
      <c r="J250" s="35" t="s">
        <v>18</v>
      </c>
      <c r="K250" s="35" t="s">
        <v>18</v>
      </c>
      <c r="L250" s="35" t="s">
        <v>18</v>
      </c>
      <c r="M250" s="35" t="s">
        <v>18</v>
      </c>
      <c r="N250" s="35" t="s">
        <v>18</v>
      </c>
      <c r="O250" s="35" t="s">
        <v>18</v>
      </c>
      <c r="P250" s="35" t="s">
        <v>18</v>
      </c>
      <c r="Q250" s="35" t="s">
        <v>18</v>
      </c>
    </row>
    <row r="251" spans="1:17" ht="60.75" x14ac:dyDescent="0.25">
      <c r="A251" s="500"/>
      <c r="B251" s="500"/>
      <c r="C251" s="153" t="s">
        <v>39</v>
      </c>
      <c r="D251" s="35">
        <v>2</v>
      </c>
      <c r="E251" s="35" t="s">
        <v>18</v>
      </c>
      <c r="F251" s="35">
        <v>2</v>
      </c>
      <c r="G251" s="35" t="s">
        <v>39</v>
      </c>
      <c r="H251" s="35" t="s">
        <v>886</v>
      </c>
      <c r="I251" s="35" t="s">
        <v>933</v>
      </c>
      <c r="J251" s="35">
        <v>210000</v>
      </c>
      <c r="K251" s="35">
        <v>300000</v>
      </c>
      <c r="L251" s="35" t="s">
        <v>18</v>
      </c>
      <c r="M251" s="35" t="s">
        <v>18</v>
      </c>
      <c r="N251" s="35" t="s">
        <v>18</v>
      </c>
      <c r="O251" s="35" t="s">
        <v>18</v>
      </c>
      <c r="P251" s="35" t="s">
        <v>18</v>
      </c>
      <c r="Q251" s="35" t="s">
        <v>18</v>
      </c>
    </row>
    <row r="252" spans="1:17" ht="40.5" x14ac:dyDescent="0.25">
      <c r="A252" s="500">
        <v>9</v>
      </c>
      <c r="B252" s="500" t="s">
        <v>88</v>
      </c>
      <c r="C252" s="153" t="s">
        <v>88</v>
      </c>
      <c r="D252" s="35">
        <v>1</v>
      </c>
      <c r="E252" s="35" t="s">
        <v>18</v>
      </c>
      <c r="F252" s="35">
        <v>1</v>
      </c>
      <c r="G252" s="35" t="s">
        <v>257</v>
      </c>
      <c r="H252" s="35" t="s">
        <v>886</v>
      </c>
      <c r="I252" s="35" t="s">
        <v>948</v>
      </c>
      <c r="J252" s="35" t="s">
        <v>18</v>
      </c>
      <c r="K252" s="35" t="s">
        <v>18</v>
      </c>
      <c r="L252" s="35" t="s">
        <v>18</v>
      </c>
      <c r="M252" s="35" t="s">
        <v>18</v>
      </c>
      <c r="N252" s="35" t="s">
        <v>18</v>
      </c>
      <c r="O252" s="35" t="s">
        <v>18</v>
      </c>
      <c r="P252" s="35" t="s">
        <v>18</v>
      </c>
      <c r="Q252" s="35" t="s">
        <v>18</v>
      </c>
    </row>
    <row r="253" spans="1:17" x14ac:dyDescent="0.25">
      <c r="A253" s="500"/>
      <c r="B253" s="500"/>
      <c r="C253" s="153" t="s">
        <v>41</v>
      </c>
      <c r="D253" s="35" t="s">
        <v>18</v>
      </c>
      <c r="E253" s="35" t="s">
        <v>18</v>
      </c>
      <c r="F253" s="35" t="s">
        <v>18</v>
      </c>
      <c r="G253" s="35" t="s">
        <v>18</v>
      </c>
      <c r="H253" s="35" t="s">
        <v>18</v>
      </c>
      <c r="I253" s="35" t="s">
        <v>18</v>
      </c>
      <c r="J253" s="35" t="s">
        <v>18</v>
      </c>
      <c r="K253" s="35" t="s">
        <v>18</v>
      </c>
      <c r="L253" s="35" t="s">
        <v>18</v>
      </c>
      <c r="M253" s="35" t="s">
        <v>18</v>
      </c>
      <c r="N253" s="35" t="s">
        <v>18</v>
      </c>
      <c r="O253" s="35" t="s">
        <v>18</v>
      </c>
      <c r="P253" s="35" t="s">
        <v>18</v>
      </c>
      <c r="Q253" s="35" t="s">
        <v>18</v>
      </c>
    </row>
    <row r="254" spans="1:17" x14ac:dyDescent="0.25">
      <c r="A254" s="500"/>
      <c r="B254" s="500"/>
      <c r="C254" s="153" t="s">
        <v>42</v>
      </c>
      <c r="D254" s="35" t="s">
        <v>18</v>
      </c>
      <c r="E254" s="35" t="s">
        <v>18</v>
      </c>
      <c r="F254" s="35" t="s">
        <v>18</v>
      </c>
      <c r="G254" s="35" t="s">
        <v>18</v>
      </c>
      <c r="H254" s="35" t="s">
        <v>18</v>
      </c>
      <c r="I254" s="35" t="s">
        <v>18</v>
      </c>
      <c r="J254" s="35" t="s">
        <v>18</v>
      </c>
      <c r="K254" s="35" t="s">
        <v>18</v>
      </c>
      <c r="L254" s="35" t="s">
        <v>18</v>
      </c>
      <c r="M254" s="35" t="s">
        <v>18</v>
      </c>
      <c r="N254" s="35" t="s">
        <v>18</v>
      </c>
      <c r="O254" s="35" t="s">
        <v>18</v>
      </c>
      <c r="P254" s="35" t="s">
        <v>18</v>
      </c>
      <c r="Q254" s="35" t="s">
        <v>18</v>
      </c>
    </row>
    <row r="255" spans="1:17" ht="40.5" x14ac:dyDescent="0.25">
      <c r="A255" s="500">
        <v>10</v>
      </c>
      <c r="B255" s="500" t="s">
        <v>43</v>
      </c>
      <c r="C255" s="153" t="s">
        <v>89</v>
      </c>
      <c r="D255" s="35">
        <v>1</v>
      </c>
      <c r="E255" s="35" t="s">
        <v>18</v>
      </c>
      <c r="F255" s="35">
        <v>1</v>
      </c>
      <c r="G255" s="35" t="s">
        <v>89</v>
      </c>
      <c r="H255" s="35" t="s">
        <v>886</v>
      </c>
      <c r="I255" s="35" t="s">
        <v>903</v>
      </c>
      <c r="J255" s="35">
        <v>4000</v>
      </c>
      <c r="K255" s="35">
        <v>3000000</v>
      </c>
      <c r="L255" s="35" t="s">
        <v>18</v>
      </c>
      <c r="M255" s="35" t="s">
        <v>18</v>
      </c>
      <c r="N255" s="35" t="s">
        <v>18</v>
      </c>
      <c r="O255" s="35" t="s">
        <v>18</v>
      </c>
      <c r="P255" s="35" t="s">
        <v>18</v>
      </c>
      <c r="Q255" s="35" t="s">
        <v>18</v>
      </c>
    </row>
    <row r="256" spans="1:17" x14ac:dyDescent="0.25">
      <c r="A256" s="500"/>
      <c r="B256" s="500"/>
      <c r="C256" s="153" t="s">
        <v>44</v>
      </c>
      <c r="D256" s="35">
        <v>1</v>
      </c>
      <c r="E256" s="35" t="s">
        <v>18</v>
      </c>
      <c r="F256" s="35">
        <v>1</v>
      </c>
      <c r="G256" s="35" t="s">
        <v>176</v>
      </c>
      <c r="H256" s="35" t="s">
        <v>337</v>
      </c>
      <c r="I256" s="35" t="s">
        <v>345</v>
      </c>
      <c r="J256" s="35">
        <v>100000</v>
      </c>
      <c r="K256" s="35">
        <v>2000000</v>
      </c>
      <c r="L256" s="35" t="s">
        <v>18</v>
      </c>
      <c r="M256" s="35" t="s">
        <v>18</v>
      </c>
      <c r="N256" s="35" t="s">
        <v>18</v>
      </c>
      <c r="O256" s="35" t="s">
        <v>18</v>
      </c>
      <c r="P256" s="35">
        <v>1</v>
      </c>
      <c r="Q256" s="35" t="s">
        <v>18</v>
      </c>
    </row>
    <row r="257" spans="1:17" x14ac:dyDescent="0.25">
      <c r="A257" s="500"/>
      <c r="B257" s="500"/>
      <c r="C257" s="153" t="s">
        <v>45</v>
      </c>
      <c r="D257" s="35" t="s">
        <v>18</v>
      </c>
      <c r="E257" s="35" t="s">
        <v>18</v>
      </c>
      <c r="F257" s="35" t="s">
        <v>18</v>
      </c>
      <c r="G257" s="35" t="s">
        <v>18</v>
      </c>
      <c r="H257" s="35" t="s">
        <v>18</v>
      </c>
      <c r="I257" s="35" t="s">
        <v>18</v>
      </c>
      <c r="J257" s="35" t="s">
        <v>18</v>
      </c>
      <c r="K257" s="35" t="s">
        <v>18</v>
      </c>
      <c r="L257" s="35" t="s">
        <v>18</v>
      </c>
      <c r="M257" s="35" t="s">
        <v>18</v>
      </c>
      <c r="N257" s="35" t="s">
        <v>18</v>
      </c>
      <c r="O257" s="35" t="s">
        <v>18</v>
      </c>
      <c r="P257" s="35" t="s">
        <v>18</v>
      </c>
      <c r="Q257" s="35" t="s">
        <v>18</v>
      </c>
    </row>
    <row r="258" spans="1:17" x14ac:dyDescent="0.25">
      <c r="A258" s="500">
        <v>11</v>
      </c>
      <c r="B258" s="500" t="s">
        <v>46</v>
      </c>
      <c r="C258" s="153" t="s">
        <v>47</v>
      </c>
      <c r="D258" s="35">
        <v>1</v>
      </c>
      <c r="E258" s="35" t="s">
        <v>18</v>
      </c>
      <c r="F258" s="35">
        <v>1</v>
      </c>
      <c r="G258" s="35" t="s">
        <v>46</v>
      </c>
      <c r="H258" s="35" t="s">
        <v>337</v>
      </c>
      <c r="I258" s="35" t="s">
        <v>981</v>
      </c>
      <c r="J258" s="35">
        <v>850000</v>
      </c>
      <c r="K258" s="35">
        <v>1650000</v>
      </c>
      <c r="L258" s="35" t="s">
        <v>18</v>
      </c>
      <c r="M258" s="35" t="s">
        <v>18</v>
      </c>
      <c r="N258" s="35" t="s">
        <v>18</v>
      </c>
      <c r="O258" s="35" t="s">
        <v>18</v>
      </c>
      <c r="P258" s="35">
        <v>1</v>
      </c>
      <c r="Q258" s="35" t="s">
        <v>18</v>
      </c>
    </row>
    <row r="259" spans="1:17" x14ac:dyDescent="0.25">
      <c r="A259" s="500"/>
      <c r="B259" s="500"/>
      <c r="C259" s="153" t="s">
        <v>48</v>
      </c>
      <c r="D259" s="35" t="s">
        <v>18</v>
      </c>
      <c r="E259" s="35" t="s">
        <v>18</v>
      </c>
      <c r="F259" s="35" t="s">
        <v>18</v>
      </c>
      <c r="G259" s="35" t="s">
        <v>18</v>
      </c>
      <c r="H259" s="35" t="s">
        <v>18</v>
      </c>
      <c r="I259" s="35" t="s">
        <v>18</v>
      </c>
      <c r="J259" s="35" t="s">
        <v>18</v>
      </c>
      <c r="K259" s="35" t="s">
        <v>18</v>
      </c>
      <c r="L259" s="35" t="s">
        <v>18</v>
      </c>
      <c r="M259" s="35" t="s">
        <v>18</v>
      </c>
      <c r="N259" s="35" t="s">
        <v>18</v>
      </c>
      <c r="O259" s="35" t="s">
        <v>18</v>
      </c>
      <c r="P259" s="35" t="s">
        <v>18</v>
      </c>
      <c r="Q259" s="35" t="s">
        <v>18</v>
      </c>
    </row>
    <row r="260" spans="1:17" x14ac:dyDescent="0.25">
      <c r="A260" s="500"/>
      <c r="B260" s="500"/>
      <c r="C260" s="153" t="s">
        <v>314</v>
      </c>
      <c r="D260" s="35">
        <v>1</v>
      </c>
      <c r="E260" s="35" t="s">
        <v>18</v>
      </c>
      <c r="F260" s="35">
        <v>1</v>
      </c>
      <c r="G260" s="35" t="s">
        <v>142</v>
      </c>
      <c r="H260" s="35" t="s">
        <v>982</v>
      </c>
      <c r="I260" s="35" t="s">
        <v>948</v>
      </c>
      <c r="J260" s="35" t="s">
        <v>18</v>
      </c>
      <c r="K260" s="35" t="s">
        <v>18</v>
      </c>
      <c r="L260" s="35" t="s">
        <v>18</v>
      </c>
      <c r="M260" s="35" t="s">
        <v>18</v>
      </c>
      <c r="N260" s="35" t="s">
        <v>18</v>
      </c>
      <c r="O260" s="35" t="s">
        <v>18</v>
      </c>
      <c r="P260" s="35" t="s">
        <v>18</v>
      </c>
      <c r="Q260" s="35" t="s">
        <v>18</v>
      </c>
    </row>
    <row r="261" spans="1:17" ht="81" x14ac:dyDescent="0.25">
      <c r="A261" s="500">
        <v>12</v>
      </c>
      <c r="B261" s="500" t="s">
        <v>49</v>
      </c>
      <c r="C261" s="153" t="s">
        <v>360</v>
      </c>
      <c r="D261" s="35">
        <v>3</v>
      </c>
      <c r="E261" s="35" t="s">
        <v>18</v>
      </c>
      <c r="F261" s="35">
        <v>3</v>
      </c>
      <c r="G261" s="35" t="s">
        <v>360</v>
      </c>
      <c r="H261" s="35" t="s">
        <v>993</v>
      </c>
      <c r="I261" s="35" t="s">
        <v>994</v>
      </c>
      <c r="J261" s="35" t="s">
        <v>18</v>
      </c>
      <c r="K261" s="35" t="s">
        <v>18</v>
      </c>
      <c r="L261" s="35" t="s">
        <v>18</v>
      </c>
      <c r="M261" s="35" t="s">
        <v>18</v>
      </c>
      <c r="N261" s="35" t="s">
        <v>18</v>
      </c>
      <c r="O261" s="35" t="s">
        <v>18</v>
      </c>
      <c r="P261" s="35" t="s">
        <v>18</v>
      </c>
      <c r="Q261" s="35" t="s">
        <v>18</v>
      </c>
    </row>
    <row r="262" spans="1:17" x14ac:dyDescent="0.25">
      <c r="A262" s="500"/>
      <c r="B262" s="500"/>
      <c r="C262" s="153" t="s">
        <v>50</v>
      </c>
      <c r="D262" s="35">
        <v>1</v>
      </c>
      <c r="E262" s="35" t="s">
        <v>18</v>
      </c>
      <c r="F262" s="35">
        <v>1</v>
      </c>
      <c r="G262" s="35" t="s">
        <v>175</v>
      </c>
      <c r="H262" s="35" t="s">
        <v>338</v>
      </c>
      <c r="I262" s="35" t="s">
        <v>991</v>
      </c>
      <c r="J262" s="35">
        <v>50000</v>
      </c>
      <c r="K262" s="35">
        <v>300000</v>
      </c>
      <c r="L262" s="35" t="s">
        <v>18</v>
      </c>
      <c r="M262" s="35" t="s">
        <v>18</v>
      </c>
      <c r="N262" s="35" t="s">
        <v>18</v>
      </c>
      <c r="O262" s="35" t="s">
        <v>18</v>
      </c>
      <c r="P262" s="35" t="s">
        <v>18</v>
      </c>
      <c r="Q262" s="35" t="s">
        <v>18</v>
      </c>
    </row>
    <row r="263" spans="1:17" ht="162" x14ac:dyDescent="0.25">
      <c r="A263" s="500"/>
      <c r="B263" s="500"/>
      <c r="C263" s="153" t="s">
        <v>51</v>
      </c>
      <c r="D263" s="35">
        <v>7</v>
      </c>
      <c r="E263" s="35" t="s">
        <v>18</v>
      </c>
      <c r="F263" s="35">
        <v>7</v>
      </c>
      <c r="G263" s="35" t="s">
        <v>184</v>
      </c>
      <c r="H263" s="35" t="s">
        <v>987</v>
      </c>
      <c r="I263" s="35" t="s">
        <v>988</v>
      </c>
      <c r="J263" s="35">
        <v>160000</v>
      </c>
      <c r="K263" s="35">
        <v>2890000</v>
      </c>
      <c r="L263" s="35" t="s">
        <v>18</v>
      </c>
      <c r="M263" s="35" t="s">
        <v>18</v>
      </c>
      <c r="N263" s="35" t="s">
        <v>18</v>
      </c>
      <c r="O263" s="35" t="s">
        <v>18</v>
      </c>
      <c r="P263" s="35" t="s">
        <v>18</v>
      </c>
      <c r="Q263" s="35" t="s">
        <v>18</v>
      </c>
    </row>
    <row r="264" spans="1:17" ht="81" x14ac:dyDescent="0.25">
      <c r="A264" s="500">
        <v>13</v>
      </c>
      <c r="B264" s="500" t="s">
        <v>52</v>
      </c>
      <c r="C264" s="153" t="s">
        <v>53</v>
      </c>
      <c r="D264" s="35">
        <v>5</v>
      </c>
      <c r="E264" s="35">
        <v>1</v>
      </c>
      <c r="F264" s="35">
        <v>4</v>
      </c>
      <c r="G264" s="35" t="s">
        <v>177</v>
      </c>
      <c r="H264" s="35" t="s">
        <v>1031</v>
      </c>
      <c r="I264" s="35" t="s">
        <v>1032</v>
      </c>
      <c r="J264" s="35">
        <v>280000</v>
      </c>
      <c r="K264" s="35">
        <v>670000</v>
      </c>
      <c r="L264" s="35" t="s">
        <v>18</v>
      </c>
      <c r="M264" s="35" t="s">
        <v>18</v>
      </c>
      <c r="N264" s="35" t="s">
        <v>18</v>
      </c>
      <c r="O264" s="35" t="s">
        <v>18</v>
      </c>
      <c r="P264" s="35" t="s">
        <v>18</v>
      </c>
      <c r="Q264" s="35" t="s">
        <v>18</v>
      </c>
    </row>
    <row r="265" spans="1:17" x14ac:dyDescent="0.25">
      <c r="A265" s="500"/>
      <c r="B265" s="500"/>
      <c r="C265" s="153" t="s">
        <v>54</v>
      </c>
      <c r="D265" s="35" t="s">
        <v>18</v>
      </c>
      <c r="E265" s="35" t="s">
        <v>18</v>
      </c>
      <c r="F265" s="35" t="s">
        <v>18</v>
      </c>
      <c r="G265" s="35" t="s">
        <v>18</v>
      </c>
      <c r="H265" s="35" t="s">
        <v>18</v>
      </c>
      <c r="I265" s="35" t="s">
        <v>18</v>
      </c>
      <c r="J265" s="35" t="s">
        <v>18</v>
      </c>
      <c r="K265" s="35" t="s">
        <v>18</v>
      </c>
      <c r="L265" s="35" t="s">
        <v>18</v>
      </c>
      <c r="M265" s="35" t="s">
        <v>18</v>
      </c>
      <c r="N265" s="35" t="s">
        <v>18</v>
      </c>
      <c r="O265" s="35" t="s">
        <v>18</v>
      </c>
      <c r="P265" s="35" t="s">
        <v>18</v>
      </c>
      <c r="Q265" s="35" t="s">
        <v>18</v>
      </c>
    </row>
    <row r="266" spans="1:17" ht="60.75" x14ac:dyDescent="0.25">
      <c r="A266" s="500"/>
      <c r="B266" s="500"/>
      <c r="C266" s="153" t="s">
        <v>55</v>
      </c>
      <c r="D266" s="35">
        <v>5</v>
      </c>
      <c r="E266" s="35" t="s">
        <v>18</v>
      </c>
      <c r="F266" s="35">
        <v>5</v>
      </c>
      <c r="G266" s="35" t="s">
        <v>179</v>
      </c>
      <c r="H266" s="35" t="s">
        <v>1035</v>
      </c>
      <c r="I266" s="35" t="s">
        <v>1036</v>
      </c>
      <c r="J266" s="35">
        <v>915000</v>
      </c>
      <c r="K266" s="35">
        <v>3295000</v>
      </c>
      <c r="L266" s="35" t="s">
        <v>18</v>
      </c>
      <c r="M266" s="35" t="s">
        <v>18</v>
      </c>
      <c r="N266" s="35" t="s">
        <v>18</v>
      </c>
      <c r="O266" s="35" t="s">
        <v>18</v>
      </c>
      <c r="P266" s="35" t="s">
        <v>18</v>
      </c>
      <c r="Q266" s="35" t="s">
        <v>18</v>
      </c>
    </row>
    <row r="267" spans="1:17" ht="40.5" x14ac:dyDescent="0.25">
      <c r="A267" s="500"/>
      <c r="B267" s="500"/>
      <c r="C267" s="153" t="s">
        <v>56</v>
      </c>
      <c r="D267" s="35">
        <v>2</v>
      </c>
      <c r="E267" s="35" t="s">
        <v>18</v>
      </c>
      <c r="F267" s="35">
        <v>2</v>
      </c>
      <c r="G267" s="35" t="s">
        <v>188</v>
      </c>
      <c r="H267" s="35" t="s">
        <v>1040</v>
      </c>
      <c r="I267" s="35" t="s">
        <v>1041</v>
      </c>
      <c r="J267" s="35" t="s">
        <v>18</v>
      </c>
      <c r="K267" s="35" t="s">
        <v>18</v>
      </c>
      <c r="L267" s="35" t="s">
        <v>18</v>
      </c>
      <c r="M267" s="35" t="s">
        <v>18</v>
      </c>
      <c r="N267" s="35" t="s">
        <v>18</v>
      </c>
      <c r="O267" s="35" t="s">
        <v>18</v>
      </c>
      <c r="P267" s="35" t="s">
        <v>18</v>
      </c>
      <c r="Q267" s="35" t="s">
        <v>18</v>
      </c>
    </row>
    <row r="268" spans="1:17" x14ac:dyDescent="0.25">
      <c r="A268" s="500"/>
      <c r="B268" s="500"/>
      <c r="C268" s="153" t="s">
        <v>57</v>
      </c>
      <c r="D268" s="35">
        <v>3</v>
      </c>
      <c r="E268" s="35" t="s">
        <v>18</v>
      </c>
      <c r="F268" s="35">
        <v>3</v>
      </c>
      <c r="G268" s="35" t="s">
        <v>178</v>
      </c>
      <c r="H268" s="35" t="s">
        <v>337</v>
      </c>
      <c r="I268" s="35" t="s">
        <v>1039</v>
      </c>
      <c r="J268" s="35">
        <v>657500</v>
      </c>
      <c r="K268" s="35">
        <v>642500</v>
      </c>
      <c r="L268" s="35" t="s">
        <v>18</v>
      </c>
      <c r="M268" s="35" t="s">
        <v>18</v>
      </c>
      <c r="N268" s="35" t="s">
        <v>18</v>
      </c>
      <c r="O268" s="35" t="s">
        <v>18</v>
      </c>
      <c r="P268" s="35" t="s">
        <v>18</v>
      </c>
      <c r="Q268" s="35" t="s">
        <v>18</v>
      </c>
    </row>
    <row r="269" spans="1:17" ht="40.5" x14ac:dyDescent="0.25">
      <c r="A269" s="500"/>
      <c r="B269" s="500"/>
      <c r="C269" s="153" t="s">
        <v>58</v>
      </c>
      <c r="D269" s="35">
        <v>3</v>
      </c>
      <c r="E269" s="35" t="s">
        <v>18</v>
      </c>
      <c r="F269" s="35">
        <v>3</v>
      </c>
      <c r="G269" s="35" t="s">
        <v>58</v>
      </c>
      <c r="H269" s="35" t="s">
        <v>337</v>
      </c>
      <c r="I269" s="35" t="s">
        <v>1038</v>
      </c>
      <c r="J269" s="35">
        <v>510000</v>
      </c>
      <c r="K269" s="35">
        <v>3990000</v>
      </c>
      <c r="L269" s="35" t="s">
        <v>18</v>
      </c>
      <c r="M269" s="35" t="s">
        <v>18</v>
      </c>
      <c r="N269" s="35" t="s">
        <v>18</v>
      </c>
      <c r="O269" s="35" t="s">
        <v>18</v>
      </c>
      <c r="P269" s="35" t="s">
        <v>18</v>
      </c>
      <c r="Q269" s="35" t="s">
        <v>18</v>
      </c>
    </row>
    <row r="270" spans="1:17" ht="81" x14ac:dyDescent="0.25">
      <c r="A270" s="500"/>
      <c r="B270" s="500"/>
      <c r="C270" s="153" t="s">
        <v>336</v>
      </c>
      <c r="D270" s="35">
        <v>3</v>
      </c>
      <c r="E270" s="35" t="s">
        <v>18</v>
      </c>
      <c r="F270" s="35">
        <v>3</v>
      </c>
      <c r="G270" s="35" t="s">
        <v>336</v>
      </c>
      <c r="H270" s="35" t="s">
        <v>1033</v>
      </c>
      <c r="I270" s="35" t="s">
        <v>1034</v>
      </c>
      <c r="J270" s="35">
        <v>625000</v>
      </c>
      <c r="K270" s="35">
        <v>175000</v>
      </c>
      <c r="L270" s="35" t="s">
        <v>18</v>
      </c>
      <c r="M270" s="35" t="s">
        <v>18</v>
      </c>
      <c r="N270" s="35" t="s">
        <v>18</v>
      </c>
      <c r="O270" s="35" t="s">
        <v>18</v>
      </c>
      <c r="P270" s="35" t="s">
        <v>18</v>
      </c>
      <c r="Q270" s="35" t="s">
        <v>18</v>
      </c>
    </row>
    <row r="271" spans="1:17" x14ac:dyDescent="0.25">
      <c r="A271" s="500"/>
      <c r="B271" s="500"/>
      <c r="C271" s="153" t="s">
        <v>59</v>
      </c>
      <c r="D271" s="35">
        <v>2</v>
      </c>
      <c r="E271" s="35" t="s">
        <v>18</v>
      </c>
      <c r="F271" s="35">
        <v>2</v>
      </c>
      <c r="G271" s="35" t="s">
        <v>187</v>
      </c>
      <c r="H271" s="35" t="s">
        <v>337</v>
      </c>
      <c r="I271" s="35" t="s">
        <v>1037</v>
      </c>
      <c r="J271" s="35">
        <v>51000</v>
      </c>
      <c r="K271" s="35">
        <v>154000</v>
      </c>
      <c r="L271" s="35" t="s">
        <v>18</v>
      </c>
      <c r="M271" s="35" t="s">
        <v>18</v>
      </c>
      <c r="N271" s="35" t="s">
        <v>18</v>
      </c>
      <c r="O271" s="35" t="s">
        <v>18</v>
      </c>
      <c r="P271" s="35" t="s">
        <v>18</v>
      </c>
      <c r="Q271" s="35" t="s">
        <v>18</v>
      </c>
    </row>
    <row r="272" spans="1:17" x14ac:dyDescent="0.25">
      <c r="A272" s="126"/>
      <c r="B272" s="126"/>
      <c r="C272" s="153" t="s">
        <v>60</v>
      </c>
      <c r="D272" s="35">
        <f>SUM(D226:D271)</f>
        <v>120</v>
      </c>
      <c r="E272" s="35">
        <f t="shared" ref="E272:Q272" si="5">SUM(E226:E271)</f>
        <v>1</v>
      </c>
      <c r="F272" s="35">
        <f t="shared" si="5"/>
        <v>119</v>
      </c>
      <c r="G272" s="35">
        <f t="shared" si="5"/>
        <v>0</v>
      </c>
      <c r="H272" s="35">
        <f t="shared" si="5"/>
        <v>0</v>
      </c>
      <c r="I272" s="35">
        <f t="shared" si="5"/>
        <v>0</v>
      </c>
      <c r="J272" s="35">
        <f t="shared" si="5"/>
        <v>15049500</v>
      </c>
      <c r="K272" s="35">
        <f t="shared" si="5"/>
        <v>121124500</v>
      </c>
      <c r="L272" s="35">
        <f t="shared" si="5"/>
        <v>0</v>
      </c>
      <c r="M272" s="35">
        <f t="shared" si="5"/>
        <v>63</v>
      </c>
      <c r="N272" s="35">
        <f t="shared" si="5"/>
        <v>1</v>
      </c>
      <c r="O272" s="35">
        <f t="shared" si="5"/>
        <v>0</v>
      </c>
      <c r="P272" s="35">
        <f t="shared" si="5"/>
        <v>76</v>
      </c>
      <c r="Q272" s="35">
        <f t="shared" si="5"/>
        <v>0</v>
      </c>
    </row>
  </sheetData>
  <mergeCells count="199">
    <mergeCell ref="A48:A50"/>
    <mergeCell ref="B48:B50"/>
    <mergeCell ref="A51:A58"/>
    <mergeCell ref="B51:B58"/>
    <mergeCell ref="A30:A36"/>
    <mergeCell ref="B30:B36"/>
    <mergeCell ref="A37:A38"/>
    <mergeCell ref="B37:B38"/>
    <mergeCell ref="A39:A41"/>
    <mergeCell ref="B39:B41"/>
    <mergeCell ref="A42:A44"/>
    <mergeCell ref="B42:B44"/>
    <mergeCell ref="A45:A47"/>
    <mergeCell ref="B45:B47"/>
    <mergeCell ref="A12:A13"/>
    <mergeCell ref="B12:B13"/>
    <mergeCell ref="A15:A18"/>
    <mergeCell ref="B15:B18"/>
    <mergeCell ref="A19:A21"/>
    <mergeCell ref="B19:B21"/>
    <mergeCell ref="A22:A24"/>
    <mergeCell ref="B22:B24"/>
    <mergeCell ref="A25:A29"/>
    <mergeCell ref="B25:B29"/>
    <mergeCell ref="A9:Q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M10"/>
    <mergeCell ref="N10:O10"/>
    <mergeCell ref="P10:Q10"/>
    <mergeCell ref="A264:A271"/>
    <mergeCell ref="B264:B271"/>
    <mergeCell ref="A243:A249"/>
    <mergeCell ref="B243:B248"/>
    <mergeCell ref="A250:A251"/>
    <mergeCell ref="B250:B251"/>
    <mergeCell ref="A252:A254"/>
    <mergeCell ref="B252:B254"/>
    <mergeCell ref="A255:A257"/>
    <mergeCell ref="B255:B257"/>
    <mergeCell ref="A258:A260"/>
    <mergeCell ref="B258:B260"/>
    <mergeCell ref="A197:A198"/>
    <mergeCell ref="B197:B198"/>
    <mergeCell ref="A199:A201"/>
    <mergeCell ref="B199:B201"/>
    <mergeCell ref="A202:A204"/>
    <mergeCell ref="B202:B204"/>
    <mergeCell ref="A238:A242"/>
    <mergeCell ref="B238:B242"/>
    <mergeCell ref="A261:A263"/>
    <mergeCell ref="B261:B263"/>
    <mergeCell ref="A226:A227"/>
    <mergeCell ref="B226:B227"/>
    <mergeCell ref="A229:A232"/>
    <mergeCell ref="B229:B232"/>
    <mergeCell ref="A233:A234"/>
    <mergeCell ref="B233:B234"/>
    <mergeCell ref="A235:A237"/>
    <mergeCell ref="B235:B237"/>
    <mergeCell ref="A205:A207"/>
    <mergeCell ref="B205:B207"/>
    <mergeCell ref="B180:B181"/>
    <mergeCell ref="A223:Q223"/>
    <mergeCell ref="A224:A225"/>
    <mergeCell ref="B224:B225"/>
    <mergeCell ref="C224:C225"/>
    <mergeCell ref="D224:D225"/>
    <mergeCell ref="E224:E225"/>
    <mergeCell ref="F224:F225"/>
    <mergeCell ref="G224:G225"/>
    <mergeCell ref="H224:H225"/>
    <mergeCell ref="I224:I225"/>
    <mergeCell ref="J224:J225"/>
    <mergeCell ref="K224:K225"/>
    <mergeCell ref="L224:M224"/>
    <mergeCell ref="N224:O224"/>
    <mergeCell ref="P224:Q224"/>
    <mergeCell ref="A185:A189"/>
    <mergeCell ref="B185:B189"/>
    <mergeCell ref="A208:A210"/>
    <mergeCell ref="B208:B210"/>
    <mergeCell ref="A211:A218"/>
    <mergeCell ref="B211:B218"/>
    <mergeCell ref="A190:A196"/>
    <mergeCell ref="B190:B195"/>
    <mergeCell ref="I171:I172"/>
    <mergeCell ref="A117:Q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J119"/>
    <mergeCell ref="K118:K119"/>
    <mergeCell ref="L118:M118"/>
    <mergeCell ref="N118:O118"/>
    <mergeCell ref="P118:Q118"/>
    <mergeCell ref="K171:K172"/>
    <mergeCell ref="B120:B121"/>
    <mergeCell ref="A129:A131"/>
    <mergeCell ref="A173:A174"/>
    <mergeCell ref="B173:B174"/>
    <mergeCell ref="L171:M171"/>
    <mergeCell ref="N171:O171"/>
    <mergeCell ref="P171:Q171"/>
    <mergeCell ref="A182:A184"/>
    <mergeCell ref="B123:B126"/>
    <mergeCell ref="A127:A128"/>
    <mergeCell ref="B127:B128"/>
    <mergeCell ref="B182:B184"/>
    <mergeCell ref="A176:A179"/>
    <mergeCell ref="B176:B179"/>
    <mergeCell ref="A180:A181"/>
    <mergeCell ref="A170:Q170"/>
    <mergeCell ref="A171:A172"/>
    <mergeCell ref="B171:B172"/>
    <mergeCell ref="C171:C172"/>
    <mergeCell ref="D171:D172"/>
    <mergeCell ref="E171:E172"/>
    <mergeCell ref="F171:F172"/>
    <mergeCell ref="G171:G172"/>
    <mergeCell ref="H171:H172"/>
    <mergeCell ref="A123:A126"/>
    <mergeCell ref="J171:J172"/>
    <mergeCell ref="A1:M1"/>
    <mergeCell ref="H2:I2"/>
    <mergeCell ref="J2:K2"/>
    <mergeCell ref="L2:M2"/>
    <mergeCell ref="A152:A154"/>
    <mergeCell ref="B152:B154"/>
    <mergeCell ref="A155:A157"/>
    <mergeCell ref="B155:B157"/>
    <mergeCell ref="A158:A165"/>
    <mergeCell ref="B158:B165"/>
    <mergeCell ref="A144:A145"/>
    <mergeCell ref="B144:B145"/>
    <mergeCell ref="A146:A148"/>
    <mergeCell ref="B146:B148"/>
    <mergeCell ref="A149:A151"/>
    <mergeCell ref="B149:B151"/>
    <mergeCell ref="B129:B131"/>
    <mergeCell ref="A132:A136"/>
    <mergeCell ref="B132:B136"/>
    <mergeCell ref="A137:A143"/>
    <mergeCell ref="B137:B142"/>
    <mergeCell ref="A120:A121"/>
    <mergeCell ref="A63:Q63"/>
    <mergeCell ref="A64:A65"/>
    <mergeCell ref="K64:K65"/>
    <mergeCell ref="L64:M64"/>
    <mergeCell ref="N64:O64"/>
    <mergeCell ref="P64:Q64"/>
    <mergeCell ref="A66:A67"/>
    <mergeCell ref="B66:B67"/>
    <mergeCell ref="A69:A72"/>
    <mergeCell ref="B69:B72"/>
    <mergeCell ref="A73:A75"/>
    <mergeCell ref="B73:B75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A96:A98"/>
    <mergeCell ref="B96:B98"/>
    <mergeCell ref="A99:A101"/>
    <mergeCell ref="B99:B101"/>
    <mergeCell ref="A102:A104"/>
    <mergeCell ref="B102:B104"/>
    <mergeCell ref="A105:A112"/>
    <mergeCell ref="B105:B112"/>
    <mergeCell ref="A76:A78"/>
    <mergeCell ref="B76:B78"/>
    <mergeCell ref="A79:A83"/>
    <mergeCell ref="B79:B83"/>
    <mergeCell ref="A84:A90"/>
    <mergeCell ref="A91:A92"/>
    <mergeCell ref="B91:B92"/>
    <mergeCell ref="A93:A95"/>
    <mergeCell ref="B93:B95"/>
    <mergeCell ref="B84:B90"/>
  </mergeCells>
  <pageMargins left="0.19685039370078741" right="0.15748031496062992" top="0.39370078740157483" bottom="0.23622047244094491" header="0.31496062992125984" footer="0.31496062992125984"/>
  <pageSetup paperSize="9" scale="75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16"/>
  <sheetViews>
    <sheetView topLeftCell="A35" zoomScale="85" zoomScaleNormal="85" workbookViewId="0">
      <selection activeCell="H38" sqref="H38"/>
    </sheetView>
  </sheetViews>
  <sheetFormatPr defaultRowHeight="18.75" x14ac:dyDescent="0.3"/>
  <cols>
    <col min="1" max="1" width="4.42578125" style="8" customWidth="1"/>
    <col min="2" max="2" width="12.140625" customWidth="1"/>
    <col min="3" max="3" width="14.28515625" hidden="1" customWidth="1"/>
    <col min="4" max="4" width="7.140625" style="187" customWidth="1"/>
    <col min="5" max="5" width="7.42578125" style="187" customWidth="1"/>
    <col min="6" max="6" width="6.28515625" style="187" customWidth="1"/>
    <col min="7" max="7" width="7.140625" style="187" customWidth="1"/>
    <col min="8" max="8" width="77.28515625" style="25" bestFit="1" customWidth="1"/>
    <col min="9" max="14" width="6.85546875" customWidth="1"/>
    <col min="16" max="16" width="5.28515625" customWidth="1"/>
    <col min="17" max="17" width="3.7109375" customWidth="1"/>
    <col min="18" max="18" width="4.7109375" customWidth="1"/>
    <col min="19" max="19" width="5.7109375" customWidth="1"/>
    <col min="20" max="20" width="45.85546875" customWidth="1"/>
    <col min="21" max="21" width="6.85546875" bestFit="1" customWidth="1"/>
    <col min="22" max="22" width="6.140625" bestFit="1" customWidth="1"/>
    <col min="23" max="23" width="6.85546875" bestFit="1" customWidth="1"/>
    <col min="24" max="24" width="2.7109375" bestFit="1" customWidth="1"/>
    <col min="25" max="25" width="6.140625" bestFit="1" customWidth="1"/>
    <col min="26" max="26" width="4.140625" bestFit="1" customWidth="1"/>
  </cols>
  <sheetData>
    <row r="1" spans="1:14" s="6" customFormat="1" ht="20.25" x14ac:dyDescent="0.3">
      <c r="A1" s="143"/>
      <c r="B1" s="154"/>
      <c r="C1" s="154"/>
      <c r="D1" s="186"/>
      <c r="E1" s="186"/>
      <c r="F1" s="186"/>
      <c r="G1" s="186"/>
      <c r="H1" s="184"/>
      <c r="I1" s="154"/>
      <c r="J1" s="154"/>
      <c r="K1" s="154"/>
      <c r="L1" s="154"/>
      <c r="M1" s="154"/>
      <c r="N1" s="154"/>
    </row>
    <row r="2" spans="1:14" s="61" customFormat="1" ht="23.25" customHeight="1" x14ac:dyDescent="0.25">
      <c r="A2" s="505" t="s">
        <v>1391</v>
      </c>
      <c r="B2" s="506"/>
      <c r="C2" s="506"/>
      <c r="D2" s="506"/>
      <c r="E2" s="506"/>
      <c r="F2" s="506"/>
      <c r="G2" s="506"/>
      <c r="H2" s="506"/>
      <c r="I2" s="506"/>
      <c r="J2" s="506"/>
      <c r="K2" s="506"/>
      <c r="L2" s="506"/>
      <c r="M2" s="506"/>
      <c r="N2" s="506"/>
    </row>
    <row r="3" spans="1:14" s="6" customFormat="1" ht="21" customHeight="1" x14ac:dyDescent="0.25">
      <c r="A3" s="526" t="s">
        <v>189</v>
      </c>
      <c r="B3" s="527" t="s">
        <v>1</v>
      </c>
      <c r="C3" s="527" t="s">
        <v>2</v>
      </c>
      <c r="D3" s="527" t="s">
        <v>3</v>
      </c>
      <c r="E3" s="528" t="s">
        <v>61</v>
      </c>
      <c r="F3" s="528"/>
      <c r="G3" s="528"/>
      <c r="H3" s="529" t="s">
        <v>62</v>
      </c>
      <c r="I3" s="527" t="s">
        <v>11</v>
      </c>
      <c r="J3" s="527"/>
      <c r="K3" s="527" t="s">
        <v>13</v>
      </c>
      <c r="L3" s="527"/>
      <c r="M3" s="527" t="s">
        <v>12</v>
      </c>
      <c r="N3" s="527"/>
    </row>
    <row r="4" spans="1:14" s="6" customFormat="1" ht="40.5" x14ac:dyDescent="0.25">
      <c r="A4" s="526"/>
      <c r="B4" s="527"/>
      <c r="C4" s="527"/>
      <c r="D4" s="527"/>
      <c r="E4" s="40" t="s">
        <v>63</v>
      </c>
      <c r="F4" s="40" t="s">
        <v>64</v>
      </c>
      <c r="G4" s="40" t="s">
        <v>65</v>
      </c>
      <c r="H4" s="529"/>
      <c r="I4" s="40" t="s">
        <v>14</v>
      </c>
      <c r="J4" s="40" t="s">
        <v>15</v>
      </c>
      <c r="K4" s="40" t="s">
        <v>14</v>
      </c>
      <c r="L4" s="40" t="s">
        <v>15</v>
      </c>
      <c r="M4" s="40" t="s">
        <v>14</v>
      </c>
      <c r="N4" s="40" t="s">
        <v>15</v>
      </c>
    </row>
    <row r="5" spans="1:14" s="6" customFormat="1" ht="20.25" x14ac:dyDescent="0.25">
      <c r="A5" s="34"/>
      <c r="B5" s="40" t="s">
        <v>1264</v>
      </c>
      <c r="C5" s="40"/>
      <c r="D5" s="35">
        <v>27</v>
      </c>
      <c r="E5" s="35">
        <v>0</v>
      </c>
      <c r="F5" s="35">
        <v>9</v>
      </c>
      <c r="G5" s="35">
        <v>18</v>
      </c>
      <c r="H5" s="35">
        <v>0</v>
      </c>
      <c r="I5" s="35">
        <v>16</v>
      </c>
      <c r="J5" s="35">
        <v>0</v>
      </c>
      <c r="K5" s="35">
        <v>32</v>
      </c>
      <c r="L5" s="35">
        <v>1</v>
      </c>
      <c r="M5" s="35">
        <v>41</v>
      </c>
      <c r="N5" s="35">
        <v>6</v>
      </c>
    </row>
    <row r="6" spans="1:14" s="6" customFormat="1" ht="20.25" x14ac:dyDescent="0.25">
      <c r="A6" s="34"/>
      <c r="B6" s="40" t="s">
        <v>1265</v>
      </c>
      <c r="C6" s="40"/>
      <c r="D6" s="35">
        <v>19</v>
      </c>
      <c r="E6" s="35">
        <v>0</v>
      </c>
      <c r="F6" s="35">
        <v>2</v>
      </c>
      <c r="G6" s="35">
        <v>17</v>
      </c>
      <c r="H6" s="35">
        <v>0</v>
      </c>
      <c r="I6" s="35">
        <v>3</v>
      </c>
      <c r="J6" s="35">
        <v>0</v>
      </c>
      <c r="K6" s="35">
        <v>10</v>
      </c>
      <c r="L6" s="35">
        <v>3</v>
      </c>
      <c r="M6" s="35">
        <v>22</v>
      </c>
      <c r="N6" s="35">
        <v>5</v>
      </c>
    </row>
    <row r="7" spans="1:14" s="6" customFormat="1" ht="20.25" x14ac:dyDescent="0.25">
      <c r="A7" s="34"/>
      <c r="B7" s="40" t="s">
        <v>1390</v>
      </c>
      <c r="C7" s="40"/>
      <c r="D7" s="35">
        <v>19</v>
      </c>
      <c r="E7" s="35">
        <v>0</v>
      </c>
      <c r="F7" s="35">
        <v>2</v>
      </c>
      <c r="G7" s="35">
        <v>17</v>
      </c>
      <c r="H7" s="35">
        <v>0</v>
      </c>
      <c r="I7" s="35">
        <v>3</v>
      </c>
      <c r="J7" s="35">
        <v>0</v>
      </c>
      <c r="K7" s="35">
        <v>10</v>
      </c>
      <c r="L7" s="35">
        <v>3</v>
      </c>
      <c r="M7" s="35">
        <v>22</v>
      </c>
      <c r="N7" s="35">
        <v>5</v>
      </c>
    </row>
    <row r="8" spans="1:14" s="6" customFormat="1" ht="20.25" x14ac:dyDescent="0.25">
      <c r="A8" s="34"/>
      <c r="B8" s="40" t="s">
        <v>102</v>
      </c>
      <c r="C8" s="40"/>
      <c r="D8" s="35">
        <f>SUM(D5:D7)</f>
        <v>65</v>
      </c>
      <c r="E8" s="35">
        <f t="shared" ref="E8:N8" si="0">SUM(E5:E7)</f>
        <v>0</v>
      </c>
      <c r="F8" s="35">
        <f t="shared" si="0"/>
        <v>13</v>
      </c>
      <c r="G8" s="35">
        <f t="shared" si="0"/>
        <v>52</v>
      </c>
      <c r="H8" s="35">
        <f t="shared" si="0"/>
        <v>0</v>
      </c>
      <c r="I8" s="35">
        <f t="shared" si="0"/>
        <v>22</v>
      </c>
      <c r="J8" s="35">
        <f t="shared" si="0"/>
        <v>0</v>
      </c>
      <c r="K8" s="35">
        <f t="shared" si="0"/>
        <v>52</v>
      </c>
      <c r="L8" s="35">
        <f t="shared" si="0"/>
        <v>7</v>
      </c>
      <c r="M8" s="35">
        <f t="shared" si="0"/>
        <v>85</v>
      </c>
      <c r="N8" s="35">
        <f t="shared" si="0"/>
        <v>16</v>
      </c>
    </row>
    <row r="9" spans="1:14" s="6" customFormat="1" ht="20.25" x14ac:dyDescent="0.25">
      <c r="A9" s="63"/>
      <c r="B9" s="96"/>
      <c r="C9" s="96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</row>
    <row r="10" spans="1:14" s="61" customFormat="1" ht="23.25" customHeight="1" x14ac:dyDescent="0.25">
      <c r="A10" s="505" t="s">
        <v>1650</v>
      </c>
      <c r="B10" s="506"/>
      <c r="C10" s="506"/>
      <c r="D10" s="506"/>
      <c r="E10" s="506"/>
      <c r="F10" s="506"/>
      <c r="G10" s="506"/>
      <c r="H10" s="506"/>
      <c r="I10" s="506"/>
      <c r="J10" s="506"/>
      <c r="K10" s="506"/>
      <c r="L10" s="506"/>
      <c r="M10" s="506"/>
      <c r="N10" s="506"/>
    </row>
    <row r="11" spans="1:14" ht="21" customHeight="1" x14ac:dyDescent="0.25">
      <c r="A11" s="507" t="s">
        <v>189</v>
      </c>
      <c r="B11" s="509" t="s">
        <v>1</v>
      </c>
      <c r="C11" s="509" t="s">
        <v>2</v>
      </c>
      <c r="D11" s="509" t="s">
        <v>3</v>
      </c>
      <c r="E11" s="475" t="s">
        <v>61</v>
      </c>
      <c r="F11" s="476"/>
      <c r="G11" s="477"/>
      <c r="H11" s="511" t="s">
        <v>62</v>
      </c>
      <c r="I11" s="513" t="s">
        <v>11</v>
      </c>
      <c r="J11" s="514"/>
      <c r="K11" s="513" t="s">
        <v>13</v>
      </c>
      <c r="L11" s="514"/>
      <c r="M11" s="513" t="s">
        <v>12</v>
      </c>
      <c r="N11" s="514"/>
    </row>
    <row r="12" spans="1:14" ht="40.5" x14ac:dyDescent="0.25">
      <c r="A12" s="508"/>
      <c r="B12" s="510"/>
      <c r="C12" s="510"/>
      <c r="D12" s="510"/>
      <c r="E12" s="1" t="s">
        <v>63</v>
      </c>
      <c r="F12" s="1" t="s">
        <v>64</v>
      </c>
      <c r="G12" s="1" t="s">
        <v>65</v>
      </c>
      <c r="H12" s="512"/>
      <c r="I12" s="1" t="s">
        <v>14</v>
      </c>
      <c r="J12" s="1" t="s">
        <v>15</v>
      </c>
      <c r="K12" s="1" t="s">
        <v>14</v>
      </c>
      <c r="L12" s="1" t="s">
        <v>15</v>
      </c>
      <c r="M12" s="1" t="s">
        <v>14</v>
      </c>
      <c r="N12" s="1" t="s">
        <v>15</v>
      </c>
    </row>
    <row r="13" spans="1:14" ht="20.25" x14ac:dyDescent="0.25">
      <c r="A13" s="32">
        <v>1</v>
      </c>
      <c r="B13" s="1" t="s">
        <v>123</v>
      </c>
      <c r="C13" s="1" t="s">
        <v>19</v>
      </c>
      <c r="D13" s="13"/>
      <c r="E13" s="13"/>
      <c r="F13" s="13"/>
      <c r="G13" s="13"/>
      <c r="H13" s="281"/>
      <c r="I13" s="13"/>
      <c r="J13" s="13"/>
      <c r="K13" s="13"/>
      <c r="L13" s="13"/>
      <c r="M13" s="13"/>
      <c r="N13" s="13"/>
    </row>
    <row r="14" spans="1:14" ht="20.25" x14ac:dyDescent="0.25">
      <c r="A14" s="32">
        <v>2</v>
      </c>
      <c r="B14" s="1" t="s">
        <v>20</v>
      </c>
      <c r="C14" s="1" t="s">
        <v>20</v>
      </c>
      <c r="D14" s="13"/>
      <c r="E14" s="13"/>
      <c r="F14" s="13"/>
      <c r="G14" s="13"/>
      <c r="H14" s="281"/>
      <c r="I14" s="13"/>
      <c r="J14" s="13"/>
      <c r="K14" s="13"/>
      <c r="L14" s="13"/>
      <c r="M14" s="13"/>
      <c r="N14" s="13"/>
    </row>
    <row r="15" spans="1:14" ht="40.5" x14ac:dyDescent="0.25">
      <c r="A15" s="32">
        <v>3</v>
      </c>
      <c r="B15" s="1" t="s">
        <v>21</v>
      </c>
      <c r="C15" s="1" t="s">
        <v>21</v>
      </c>
      <c r="D15" s="13"/>
      <c r="E15" s="13"/>
      <c r="F15" s="13"/>
      <c r="G15" s="13"/>
      <c r="H15" s="281"/>
      <c r="I15" s="13"/>
      <c r="J15" s="13"/>
      <c r="K15" s="13"/>
      <c r="L15" s="13"/>
      <c r="M15" s="13"/>
      <c r="N15" s="13"/>
    </row>
    <row r="16" spans="1:14" ht="20.25" x14ac:dyDescent="0.25">
      <c r="A16" s="32">
        <v>4</v>
      </c>
      <c r="B16" s="1" t="s">
        <v>23</v>
      </c>
      <c r="C16" s="1" t="s">
        <v>23</v>
      </c>
      <c r="D16" s="13"/>
      <c r="E16" s="13"/>
      <c r="F16" s="13"/>
      <c r="G16" s="13"/>
      <c r="H16" s="281"/>
      <c r="I16" s="13"/>
      <c r="J16" s="13"/>
      <c r="K16" s="13"/>
      <c r="L16" s="13"/>
      <c r="M16" s="13"/>
      <c r="N16" s="13"/>
    </row>
    <row r="17" spans="1:20" ht="40.5" x14ac:dyDescent="0.25">
      <c r="A17" s="32">
        <v>5</v>
      </c>
      <c r="B17" s="1" t="s">
        <v>25</v>
      </c>
      <c r="C17" s="1" t="s">
        <v>26</v>
      </c>
      <c r="D17" s="13"/>
      <c r="E17" s="13"/>
      <c r="F17" s="13"/>
      <c r="G17" s="13"/>
      <c r="H17" s="281"/>
      <c r="I17" s="13"/>
      <c r="J17" s="13"/>
      <c r="K17" s="13"/>
      <c r="L17" s="13"/>
      <c r="M17" s="13"/>
      <c r="N17" s="13"/>
    </row>
    <row r="18" spans="1:20" ht="20.25" x14ac:dyDescent="0.25">
      <c r="A18" s="32">
        <v>6</v>
      </c>
      <c r="B18" s="1" t="s">
        <v>28</v>
      </c>
      <c r="C18" s="1" t="s">
        <v>31</v>
      </c>
      <c r="D18" s="13"/>
      <c r="E18" s="13"/>
      <c r="F18" s="13"/>
      <c r="G18" s="13"/>
      <c r="H18" s="281"/>
      <c r="I18" s="13"/>
      <c r="J18" s="13"/>
      <c r="K18" s="13"/>
      <c r="L18" s="13"/>
      <c r="M18" s="13"/>
      <c r="N18" s="13"/>
    </row>
    <row r="19" spans="1:20" ht="20.25" x14ac:dyDescent="0.25">
      <c r="A19" s="32">
        <v>7</v>
      </c>
      <c r="B19" s="1" t="s">
        <v>33</v>
      </c>
      <c r="C19" s="1" t="s">
        <v>33</v>
      </c>
      <c r="D19" s="13"/>
      <c r="E19" s="13"/>
      <c r="F19" s="13"/>
      <c r="G19" s="13"/>
      <c r="H19" s="281"/>
      <c r="I19" s="13"/>
      <c r="J19" s="13"/>
      <c r="K19" s="13"/>
      <c r="L19" s="13"/>
      <c r="M19" s="13"/>
      <c r="N19" s="13"/>
    </row>
    <row r="20" spans="1:20" ht="37.5" customHeight="1" x14ac:dyDescent="0.25">
      <c r="A20" s="32"/>
      <c r="B20" s="1" t="s">
        <v>127</v>
      </c>
      <c r="C20" s="1"/>
      <c r="D20" s="13"/>
      <c r="E20" s="13"/>
      <c r="F20" s="13"/>
      <c r="G20" s="13"/>
      <c r="H20" s="281"/>
      <c r="I20" s="13"/>
      <c r="J20" s="13"/>
      <c r="K20" s="13"/>
      <c r="L20" s="13"/>
      <c r="M20" s="13"/>
      <c r="N20" s="13"/>
    </row>
    <row r="21" spans="1:20" ht="20.25" x14ac:dyDescent="0.25">
      <c r="A21" s="32"/>
      <c r="B21" s="1" t="s">
        <v>127</v>
      </c>
      <c r="C21" s="1"/>
      <c r="D21" s="13"/>
      <c r="E21" s="13"/>
      <c r="F21" s="13"/>
      <c r="G21" s="13"/>
      <c r="H21" s="281"/>
      <c r="I21" s="13"/>
      <c r="J21" s="13"/>
      <c r="K21" s="13"/>
      <c r="L21" s="13"/>
      <c r="M21" s="13"/>
      <c r="N21" s="13"/>
    </row>
    <row r="22" spans="1:20" ht="20.25" x14ac:dyDescent="0.25">
      <c r="A22" s="32">
        <v>8</v>
      </c>
      <c r="B22" s="1" t="s">
        <v>38</v>
      </c>
      <c r="C22" s="1" t="s">
        <v>38</v>
      </c>
      <c r="D22" s="13"/>
      <c r="E22" s="13"/>
      <c r="F22" s="13"/>
      <c r="G22" s="13"/>
      <c r="H22" s="281"/>
      <c r="I22" s="13"/>
      <c r="J22" s="13"/>
      <c r="K22" s="13"/>
      <c r="L22" s="13"/>
      <c r="M22" s="13"/>
      <c r="N22" s="13"/>
    </row>
    <row r="23" spans="1:20" ht="20.25" x14ac:dyDescent="0.25">
      <c r="A23" s="32">
        <v>9</v>
      </c>
      <c r="B23" s="1" t="s">
        <v>88</v>
      </c>
      <c r="C23" s="1" t="s">
        <v>40</v>
      </c>
      <c r="D23" s="13"/>
      <c r="E23" s="13"/>
      <c r="F23" s="13"/>
      <c r="G23" s="13"/>
      <c r="H23" s="281"/>
      <c r="I23" s="13"/>
      <c r="J23" s="13"/>
      <c r="K23" s="13"/>
      <c r="L23" s="13"/>
      <c r="M23" s="13"/>
      <c r="N23" s="13"/>
    </row>
    <row r="24" spans="1:20" ht="20.25" x14ac:dyDescent="0.25">
      <c r="A24" s="32">
        <v>10</v>
      </c>
      <c r="B24" s="1" t="s">
        <v>43</v>
      </c>
      <c r="C24" s="1" t="s">
        <v>44</v>
      </c>
      <c r="D24" s="13"/>
      <c r="E24" s="13"/>
      <c r="F24" s="13"/>
      <c r="G24" s="13"/>
      <c r="H24" s="422"/>
      <c r="I24" s="13"/>
      <c r="J24" s="13"/>
      <c r="K24" s="13"/>
      <c r="L24" s="13"/>
      <c r="M24" s="13"/>
      <c r="N24" s="13"/>
    </row>
    <row r="25" spans="1:20" ht="20.25" x14ac:dyDescent="0.25">
      <c r="A25" s="32">
        <v>11</v>
      </c>
      <c r="B25" s="1" t="s">
        <v>46</v>
      </c>
      <c r="C25" s="1" t="s">
        <v>47</v>
      </c>
      <c r="D25" s="13"/>
      <c r="E25" s="13"/>
      <c r="F25" s="13"/>
      <c r="G25" s="13"/>
      <c r="H25" s="281"/>
      <c r="I25" s="13"/>
      <c r="J25" s="13"/>
      <c r="K25" s="13"/>
      <c r="L25" s="13"/>
      <c r="M25" s="13"/>
      <c r="N25" s="13"/>
    </row>
    <row r="26" spans="1:20" ht="24.75" customHeight="1" x14ac:dyDescent="0.25">
      <c r="A26" s="32">
        <v>12</v>
      </c>
      <c r="B26" s="1" t="s">
        <v>49</v>
      </c>
      <c r="C26" s="1" t="s">
        <v>51</v>
      </c>
      <c r="D26" s="13"/>
      <c r="E26" s="13"/>
      <c r="F26" s="13"/>
      <c r="G26" s="13"/>
      <c r="H26" s="281"/>
      <c r="I26" s="13"/>
      <c r="J26" s="13"/>
      <c r="K26" s="13"/>
      <c r="L26" s="13"/>
      <c r="M26" s="13"/>
      <c r="N26" s="13"/>
    </row>
    <row r="27" spans="1:20" ht="26.25" customHeight="1" x14ac:dyDescent="0.25">
      <c r="A27" s="32">
        <v>13</v>
      </c>
      <c r="B27" s="1" t="s">
        <v>52</v>
      </c>
      <c r="C27" s="1" t="s">
        <v>53</v>
      </c>
      <c r="D27" s="13"/>
      <c r="E27" s="13"/>
      <c r="F27" s="13"/>
      <c r="G27" s="13"/>
      <c r="H27" s="281"/>
      <c r="I27" s="13"/>
      <c r="J27" s="13"/>
      <c r="K27" s="13"/>
      <c r="L27" s="13"/>
      <c r="M27" s="13"/>
      <c r="N27" s="13"/>
    </row>
    <row r="28" spans="1:20" ht="40.5" x14ac:dyDescent="0.25">
      <c r="A28" s="420"/>
      <c r="B28" s="1" t="s">
        <v>52</v>
      </c>
      <c r="C28" s="16"/>
      <c r="D28" s="13"/>
      <c r="E28" s="13"/>
      <c r="F28" s="13"/>
      <c r="G28" s="13"/>
      <c r="H28" s="281"/>
      <c r="I28" s="13"/>
      <c r="J28" s="13"/>
      <c r="K28" s="13"/>
      <c r="L28" s="13"/>
      <c r="M28" s="13"/>
      <c r="N28" s="13"/>
    </row>
    <row r="29" spans="1:20" ht="20.25" x14ac:dyDescent="0.25">
      <c r="B29" s="1" t="s">
        <v>102</v>
      </c>
      <c r="D29" s="13">
        <f>SUM(D13:D27)</f>
        <v>0</v>
      </c>
      <c r="E29" s="13">
        <f t="shared" ref="E29:N29" si="1">SUM(E13:E27)</f>
        <v>0</v>
      </c>
      <c r="F29" s="13">
        <f t="shared" si="1"/>
        <v>0</v>
      </c>
      <c r="G29" s="13">
        <f t="shared" si="1"/>
        <v>0</v>
      </c>
      <c r="H29" s="13">
        <f t="shared" si="1"/>
        <v>0</v>
      </c>
      <c r="I29" s="13">
        <f t="shared" si="1"/>
        <v>0</v>
      </c>
      <c r="J29" s="13">
        <f t="shared" si="1"/>
        <v>0</v>
      </c>
      <c r="K29" s="13">
        <f t="shared" si="1"/>
        <v>0</v>
      </c>
      <c r="L29" s="13">
        <f t="shared" si="1"/>
        <v>0</v>
      </c>
      <c r="M29" s="13">
        <f t="shared" si="1"/>
        <v>0</v>
      </c>
      <c r="N29" s="13">
        <f t="shared" si="1"/>
        <v>0</v>
      </c>
      <c r="T29">
        <v>8281</v>
      </c>
    </row>
    <row r="30" spans="1:20" ht="20.25" x14ac:dyDescent="0.3">
      <c r="B30" s="16"/>
      <c r="D30" s="17"/>
      <c r="E30" s="17"/>
      <c r="F30" s="17"/>
      <c r="G30" s="17"/>
      <c r="H30" s="421"/>
      <c r="I30" s="420"/>
      <c r="J30" s="420"/>
      <c r="K30" s="420"/>
      <c r="L30" s="420"/>
      <c r="M30" s="420"/>
      <c r="N30" s="420"/>
      <c r="T30">
        <v>67</v>
      </c>
    </row>
    <row r="31" spans="1:20" x14ac:dyDescent="0.3">
      <c r="T31">
        <v>67</v>
      </c>
    </row>
    <row r="32" spans="1:20" s="6" customFormat="1" ht="20.25" x14ac:dyDescent="0.25">
      <c r="A32" s="63"/>
      <c r="B32" s="96"/>
      <c r="C32" s="96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</row>
    <row r="33" spans="1:14" s="6" customFormat="1" ht="20.25" x14ac:dyDescent="0.25">
      <c r="A33" s="63"/>
      <c r="B33" s="96"/>
      <c r="C33" s="96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</row>
    <row r="34" spans="1:14" s="6" customFormat="1" ht="20.25" x14ac:dyDescent="0.25">
      <c r="A34" s="63"/>
      <c r="B34" s="96"/>
      <c r="C34" s="96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</row>
    <row r="35" spans="1:14" s="61" customFormat="1" ht="23.25" customHeight="1" x14ac:dyDescent="0.25">
      <c r="A35" s="505" t="s">
        <v>1477</v>
      </c>
      <c r="B35" s="506"/>
      <c r="C35" s="506"/>
      <c r="D35" s="506"/>
      <c r="E35" s="506"/>
      <c r="F35" s="506"/>
      <c r="G35" s="506"/>
      <c r="H35" s="506"/>
      <c r="I35" s="506"/>
      <c r="J35" s="506"/>
      <c r="K35" s="506"/>
      <c r="L35" s="506"/>
      <c r="M35" s="506"/>
      <c r="N35" s="506"/>
    </row>
    <row r="36" spans="1:14" ht="21" customHeight="1" x14ac:dyDescent="0.25">
      <c r="A36" s="507" t="s">
        <v>189</v>
      </c>
      <c r="B36" s="509" t="s">
        <v>1</v>
      </c>
      <c r="C36" s="509" t="s">
        <v>2</v>
      </c>
      <c r="D36" s="509" t="s">
        <v>3</v>
      </c>
      <c r="E36" s="475" t="s">
        <v>61</v>
      </c>
      <c r="F36" s="476"/>
      <c r="G36" s="477"/>
      <c r="H36" s="511" t="s">
        <v>62</v>
      </c>
      <c r="I36" s="513" t="s">
        <v>11</v>
      </c>
      <c r="J36" s="514"/>
      <c r="K36" s="513" t="s">
        <v>13</v>
      </c>
      <c r="L36" s="514"/>
      <c r="M36" s="513" t="s">
        <v>12</v>
      </c>
      <c r="N36" s="514"/>
    </row>
    <row r="37" spans="1:14" ht="40.5" x14ac:dyDescent="0.25">
      <c r="A37" s="508"/>
      <c r="B37" s="510"/>
      <c r="C37" s="510"/>
      <c r="D37" s="510"/>
      <c r="E37" s="1" t="s">
        <v>63</v>
      </c>
      <c r="F37" s="1" t="s">
        <v>64</v>
      </c>
      <c r="G37" s="1" t="s">
        <v>65</v>
      </c>
      <c r="H37" s="512"/>
      <c r="I37" s="1" t="s">
        <v>14</v>
      </c>
      <c r="J37" s="1" t="s">
        <v>15</v>
      </c>
      <c r="K37" s="1" t="s">
        <v>14</v>
      </c>
      <c r="L37" s="1" t="s">
        <v>15</v>
      </c>
      <c r="M37" s="1" t="s">
        <v>14</v>
      </c>
      <c r="N37" s="1" t="s">
        <v>15</v>
      </c>
    </row>
    <row r="38" spans="1:14" ht="94.5" x14ac:dyDescent="0.25">
      <c r="A38" s="32">
        <v>1</v>
      </c>
      <c r="B38" s="460" t="s">
        <v>123</v>
      </c>
      <c r="C38" s="460" t="s">
        <v>19</v>
      </c>
      <c r="D38" s="461">
        <v>11</v>
      </c>
      <c r="E38" s="461"/>
      <c r="F38" s="461"/>
      <c r="G38" s="461">
        <v>11</v>
      </c>
      <c r="H38" s="462" t="s">
        <v>1666</v>
      </c>
      <c r="I38" s="461">
        <v>1</v>
      </c>
      <c r="J38" s="461"/>
      <c r="K38" s="461">
        <v>1</v>
      </c>
      <c r="L38" s="461"/>
      <c r="M38" s="461">
        <v>126</v>
      </c>
      <c r="N38" s="461">
        <v>1</v>
      </c>
    </row>
    <row r="39" spans="1:14" ht="20.25" x14ac:dyDescent="0.25">
      <c r="A39" s="32">
        <v>2</v>
      </c>
      <c r="B39" s="1" t="s">
        <v>20</v>
      </c>
      <c r="C39" s="1" t="s">
        <v>20</v>
      </c>
      <c r="D39" s="13"/>
      <c r="E39" s="13"/>
      <c r="F39" s="13"/>
      <c r="G39" s="13"/>
      <c r="H39" s="281"/>
      <c r="I39" s="13"/>
      <c r="J39" s="13"/>
      <c r="K39" s="13"/>
      <c r="L39" s="13"/>
      <c r="M39" s="13"/>
      <c r="N39" s="13"/>
    </row>
    <row r="40" spans="1:14" ht="94.5" x14ac:dyDescent="0.25">
      <c r="A40" s="32">
        <v>3</v>
      </c>
      <c r="B40" s="1" t="s">
        <v>21</v>
      </c>
      <c r="C40" s="1" t="s">
        <v>21</v>
      </c>
      <c r="D40" s="13">
        <v>4</v>
      </c>
      <c r="E40" s="13"/>
      <c r="F40" s="13">
        <v>2</v>
      </c>
      <c r="G40" s="13">
        <v>2</v>
      </c>
      <c r="H40" s="281" t="s">
        <v>1619</v>
      </c>
      <c r="I40" s="13"/>
      <c r="J40" s="13"/>
      <c r="K40" s="13">
        <v>1</v>
      </c>
      <c r="L40" s="13"/>
      <c r="M40" s="13">
        <v>1</v>
      </c>
      <c r="N40" s="13">
        <v>1</v>
      </c>
    </row>
    <row r="41" spans="1:14" ht="126" x14ac:dyDescent="0.25">
      <c r="A41" s="32">
        <v>4</v>
      </c>
      <c r="B41" s="1" t="s">
        <v>23</v>
      </c>
      <c r="C41" s="1" t="s">
        <v>23</v>
      </c>
      <c r="D41" s="13">
        <v>4</v>
      </c>
      <c r="E41" s="13"/>
      <c r="F41" s="13">
        <v>3</v>
      </c>
      <c r="G41" s="13">
        <v>1</v>
      </c>
      <c r="H41" s="281" t="s">
        <v>1618</v>
      </c>
      <c r="I41" s="13"/>
      <c r="J41" s="13"/>
      <c r="K41" s="13"/>
      <c r="L41" s="13"/>
      <c r="M41" s="13"/>
      <c r="N41" s="13">
        <v>1</v>
      </c>
    </row>
    <row r="42" spans="1:14" ht="40.5" x14ac:dyDescent="0.25">
      <c r="A42" s="32">
        <v>5</v>
      </c>
      <c r="B42" s="1" t="s">
        <v>25</v>
      </c>
      <c r="C42" s="1" t="s">
        <v>26</v>
      </c>
      <c r="D42" s="13"/>
      <c r="E42" s="13"/>
      <c r="F42" s="13"/>
      <c r="G42" s="13"/>
      <c r="H42" s="281"/>
      <c r="I42" s="13"/>
      <c r="J42" s="13"/>
      <c r="K42" s="13"/>
      <c r="L42" s="13"/>
      <c r="M42" s="13"/>
      <c r="N42" s="13"/>
    </row>
    <row r="43" spans="1:14" ht="20.25" x14ac:dyDescent="0.25">
      <c r="A43" s="32">
        <v>6</v>
      </c>
      <c r="B43" s="1" t="s">
        <v>28</v>
      </c>
      <c r="C43" s="1" t="s">
        <v>31</v>
      </c>
      <c r="D43" s="13"/>
      <c r="E43" s="13"/>
      <c r="F43" s="13"/>
      <c r="G43" s="13"/>
      <c r="H43" s="281"/>
      <c r="I43" s="13"/>
      <c r="J43" s="13"/>
      <c r="K43" s="13"/>
      <c r="L43" s="13"/>
      <c r="M43" s="13"/>
      <c r="N43" s="13"/>
    </row>
    <row r="44" spans="1:14" ht="267.75" x14ac:dyDescent="0.25">
      <c r="A44" s="32">
        <v>7</v>
      </c>
      <c r="B44" s="1" t="s">
        <v>33</v>
      </c>
      <c r="C44" s="1" t="s">
        <v>33</v>
      </c>
      <c r="D44" s="13">
        <v>11</v>
      </c>
      <c r="E44" s="13"/>
      <c r="F44" s="13"/>
      <c r="G44" s="13">
        <v>11</v>
      </c>
      <c r="H44" s="281" t="s">
        <v>1577</v>
      </c>
      <c r="I44" s="13"/>
      <c r="J44" s="13"/>
      <c r="K44" s="13"/>
      <c r="L44" s="13"/>
      <c r="M44" s="13"/>
      <c r="N44" s="13"/>
    </row>
    <row r="45" spans="1:14" ht="312.75" customHeight="1" x14ac:dyDescent="0.25">
      <c r="A45" s="32"/>
      <c r="B45" s="1" t="s">
        <v>127</v>
      </c>
      <c r="C45" s="1"/>
      <c r="D45" s="13"/>
      <c r="E45" s="13"/>
      <c r="F45" s="13"/>
      <c r="G45" s="13"/>
      <c r="H45" s="281" t="s">
        <v>1644</v>
      </c>
      <c r="I45" s="13"/>
      <c r="J45" s="13"/>
      <c r="K45" s="13"/>
      <c r="L45" s="13"/>
      <c r="M45" s="13"/>
      <c r="N45" s="13"/>
    </row>
    <row r="46" spans="1:14" ht="252" x14ac:dyDescent="0.25">
      <c r="A46" s="32"/>
      <c r="B46" s="1" t="s">
        <v>127</v>
      </c>
      <c r="C46" s="1"/>
      <c r="D46" s="13"/>
      <c r="E46" s="13"/>
      <c r="F46" s="13"/>
      <c r="G46" s="13"/>
      <c r="H46" s="281" t="s">
        <v>1579</v>
      </c>
      <c r="I46" s="13"/>
      <c r="J46" s="13"/>
      <c r="K46" s="13"/>
      <c r="L46" s="13"/>
      <c r="M46" s="13"/>
      <c r="N46" s="13"/>
    </row>
    <row r="47" spans="1:14" ht="78.75" x14ac:dyDescent="0.25">
      <c r="A47" s="32">
        <v>8</v>
      </c>
      <c r="B47" s="1" t="s">
        <v>38</v>
      </c>
      <c r="C47" s="1" t="s">
        <v>38</v>
      </c>
      <c r="D47" s="13">
        <v>3</v>
      </c>
      <c r="E47" s="13"/>
      <c r="F47" s="13"/>
      <c r="G47" s="13">
        <v>3</v>
      </c>
      <c r="H47" s="281" t="s">
        <v>1582</v>
      </c>
      <c r="I47" s="13"/>
      <c r="J47" s="13"/>
      <c r="K47" s="13"/>
      <c r="L47" s="13"/>
      <c r="M47" s="13"/>
      <c r="N47" s="13"/>
    </row>
    <row r="48" spans="1:14" ht="141.75" x14ac:dyDescent="0.25">
      <c r="A48" s="32">
        <v>9</v>
      </c>
      <c r="B48" s="1" t="s">
        <v>88</v>
      </c>
      <c r="C48" s="1" t="s">
        <v>40</v>
      </c>
      <c r="D48" s="13">
        <v>7</v>
      </c>
      <c r="E48" s="13"/>
      <c r="F48" s="13">
        <v>2</v>
      </c>
      <c r="G48" s="13">
        <v>5</v>
      </c>
      <c r="H48" s="281" t="s">
        <v>1538</v>
      </c>
      <c r="I48" s="13"/>
      <c r="J48" s="13"/>
      <c r="K48" s="13"/>
      <c r="L48" s="13"/>
      <c r="M48" s="13">
        <v>1</v>
      </c>
      <c r="N48" s="13">
        <v>4</v>
      </c>
    </row>
    <row r="49" spans="1:20" ht="63" x14ac:dyDescent="0.25">
      <c r="A49" s="32">
        <v>10</v>
      </c>
      <c r="B49" s="1" t="s">
        <v>43</v>
      </c>
      <c r="C49" s="1" t="s">
        <v>44</v>
      </c>
      <c r="D49" s="13">
        <v>2</v>
      </c>
      <c r="E49" s="13">
        <v>1</v>
      </c>
      <c r="F49" s="13"/>
      <c r="G49" s="13">
        <v>1</v>
      </c>
      <c r="H49" s="422" t="s">
        <v>1595</v>
      </c>
      <c r="I49" s="13">
        <v>1</v>
      </c>
      <c r="J49" s="13"/>
      <c r="K49" s="13"/>
      <c r="L49" s="13"/>
      <c r="M49" s="13"/>
      <c r="N49" s="13"/>
    </row>
    <row r="50" spans="1:20" ht="126" x14ac:dyDescent="0.25">
      <c r="A50" s="32">
        <v>11</v>
      </c>
      <c r="B50" s="1" t="s">
        <v>46</v>
      </c>
      <c r="C50" s="1" t="s">
        <v>47</v>
      </c>
      <c r="D50" s="13">
        <v>2</v>
      </c>
      <c r="E50" s="13"/>
      <c r="F50" s="13">
        <v>1</v>
      </c>
      <c r="G50" s="13">
        <v>1</v>
      </c>
      <c r="H50" s="281" t="s">
        <v>1499</v>
      </c>
      <c r="I50" s="13">
        <v>1</v>
      </c>
      <c r="J50" s="13"/>
      <c r="K50" s="13"/>
      <c r="L50" s="13"/>
      <c r="M50" s="13"/>
      <c r="N50" s="13">
        <v>1</v>
      </c>
    </row>
    <row r="51" spans="1:20" ht="363" customHeight="1" x14ac:dyDescent="0.25">
      <c r="A51" s="32">
        <v>12</v>
      </c>
      <c r="B51" s="1" t="s">
        <v>49</v>
      </c>
      <c r="C51" s="1" t="s">
        <v>51</v>
      </c>
      <c r="D51" s="13">
        <v>8</v>
      </c>
      <c r="E51" s="13"/>
      <c r="F51" s="13">
        <v>1</v>
      </c>
      <c r="G51" s="13">
        <v>7</v>
      </c>
      <c r="H51" s="281" t="s">
        <v>1628</v>
      </c>
      <c r="I51" s="13"/>
      <c r="J51" s="13"/>
      <c r="K51" s="13"/>
      <c r="L51" s="13"/>
      <c r="M51" s="13"/>
      <c r="N51" s="13"/>
    </row>
    <row r="52" spans="1:20" ht="220.5" x14ac:dyDescent="0.25">
      <c r="A52" s="32">
        <v>13</v>
      </c>
      <c r="B52" s="1" t="s">
        <v>52</v>
      </c>
      <c r="C52" s="1" t="s">
        <v>53</v>
      </c>
      <c r="D52" s="13">
        <v>12</v>
      </c>
      <c r="E52" s="13"/>
      <c r="F52" s="13">
        <v>5</v>
      </c>
      <c r="G52" s="13">
        <v>7</v>
      </c>
      <c r="H52" s="281" t="s">
        <v>1531</v>
      </c>
      <c r="I52" s="13"/>
      <c r="J52" s="13"/>
      <c r="K52" s="13"/>
      <c r="L52" s="13"/>
      <c r="M52" s="13"/>
      <c r="N52" s="13"/>
    </row>
    <row r="53" spans="1:20" ht="204.75" x14ac:dyDescent="0.25">
      <c r="A53" s="420"/>
      <c r="B53" s="1" t="s">
        <v>52</v>
      </c>
      <c r="C53" s="16"/>
      <c r="D53" s="13"/>
      <c r="E53" s="13"/>
      <c r="F53" s="13"/>
      <c r="G53" s="13"/>
      <c r="H53" s="281" t="s">
        <v>1578</v>
      </c>
      <c r="I53" s="13"/>
      <c r="J53" s="13"/>
      <c r="K53" s="13"/>
      <c r="L53" s="13"/>
      <c r="M53" s="13"/>
      <c r="N53" s="13"/>
    </row>
    <row r="54" spans="1:20" ht="20.25" x14ac:dyDescent="0.25">
      <c r="B54" s="1" t="s">
        <v>102</v>
      </c>
      <c r="D54" s="13">
        <f>SUM(D38:D52)</f>
        <v>64</v>
      </c>
      <c r="E54" s="13">
        <f t="shared" ref="E54:N54" si="2">SUM(E38:E52)</f>
        <v>1</v>
      </c>
      <c r="F54" s="13">
        <f t="shared" si="2"/>
        <v>14</v>
      </c>
      <c r="G54" s="13">
        <f t="shared" si="2"/>
        <v>49</v>
      </c>
      <c r="H54" s="13">
        <f t="shared" si="2"/>
        <v>0</v>
      </c>
      <c r="I54" s="13">
        <f t="shared" si="2"/>
        <v>3</v>
      </c>
      <c r="J54" s="13">
        <f t="shared" si="2"/>
        <v>0</v>
      </c>
      <c r="K54" s="13">
        <f t="shared" si="2"/>
        <v>2</v>
      </c>
      <c r="L54" s="13">
        <f t="shared" si="2"/>
        <v>0</v>
      </c>
      <c r="M54" s="13">
        <f t="shared" si="2"/>
        <v>128</v>
      </c>
      <c r="N54" s="13">
        <f t="shared" si="2"/>
        <v>8</v>
      </c>
      <c r="T54">
        <v>8281</v>
      </c>
    </row>
    <row r="55" spans="1:20" ht="20.25" x14ac:dyDescent="0.3">
      <c r="B55" s="16"/>
      <c r="D55" s="17"/>
      <c r="E55" s="17"/>
      <c r="F55" s="17"/>
      <c r="G55" s="17"/>
      <c r="H55" s="421"/>
      <c r="I55" s="420"/>
      <c r="J55" s="420"/>
      <c r="K55" s="420"/>
      <c r="L55" s="420"/>
      <c r="M55" s="420"/>
      <c r="N55" s="420"/>
      <c r="T55">
        <v>67</v>
      </c>
    </row>
    <row r="56" spans="1:20" x14ac:dyDescent="0.3">
      <c r="T56">
        <v>67</v>
      </c>
    </row>
    <row r="57" spans="1:20" s="6" customFormat="1" ht="20.25" x14ac:dyDescent="0.25">
      <c r="A57" s="63"/>
      <c r="B57" s="96"/>
      <c r="C57" s="96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</row>
    <row r="58" spans="1:20" s="6" customFormat="1" ht="20.25" x14ac:dyDescent="0.25">
      <c r="A58" s="63"/>
      <c r="B58" s="96"/>
      <c r="C58" s="96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</row>
    <row r="59" spans="1:20" s="6" customFormat="1" ht="20.25" x14ac:dyDescent="0.3">
      <c r="A59" s="143"/>
      <c r="B59" s="154"/>
      <c r="C59" s="154"/>
      <c r="D59" s="186"/>
      <c r="E59" s="186"/>
      <c r="F59" s="186"/>
      <c r="G59" s="186"/>
      <c r="H59" s="184"/>
      <c r="I59" s="154"/>
      <c r="J59" s="154"/>
      <c r="K59" s="154"/>
      <c r="L59" s="154"/>
      <c r="M59" s="154"/>
      <c r="N59" s="154"/>
    </row>
    <row r="60" spans="1:20" s="61" customFormat="1" ht="23.25" customHeight="1" x14ac:dyDescent="0.25">
      <c r="A60" s="505" t="s">
        <v>1228</v>
      </c>
      <c r="B60" s="506"/>
      <c r="C60" s="506"/>
      <c r="D60" s="506"/>
      <c r="E60" s="506"/>
      <c r="F60" s="506"/>
      <c r="G60" s="506"/>
      <c r="H60" s="506"/>
      <c r="I60" s="506"/>
      <c r="J60" s="506"/>
      <c r="K60" s="506"/>
      <c r="L60" s="506"/>
      <c r="M60" s="506"/>
      <c r="N60" s="506"/>
    </row>
    <row r="61" spans="1:20" s="6" customFormat="1" ht="21" customHeight="1" x14ac:dyDescent="0.25">
      <c r="A61" s="515" t="s">
        <v>189</v>
      </c>
      <c r="B61" s="517" t="s">
        <v>1</v>
      </c>
      <c r="C61" s="517" t="s">
        <v>2</v>
      </c>
      <c r="D61" s="517" t="s">
        <v>3</v>
      </c>
      <c r="E61" s="519" t="s">
        <v>61</v>
      </c>
      <c r="F61" s="520"/>
      <c r="G61" s="521"/>
      <c r="H61" s="522" t="s">
        <v>62</v>
      </c>
      <c r="I61" s="524" t="s">
        <v>11</v>
      </c>
      <c r="J61" s="525"/>
      <c r="K61" s="524" t="s">
        <v>13</v>
      </c>
      <c r="L61" s="525"/>
      <c r="M61" s="524" t="s">
        <v>12</v>
      </c>
      <c r="N61" s="525"/>
    </row>
    <row r="62" spans="1:20" s="6" customFormat="1" ht="40.5" x14ac:dyDescent="0.25">
      <c r="A62" s="516"/>
      <c r="B62" s="518"/>
      <c r="C62" s="518"/>
      <c r="D62" s="518"/>
      <c r="E62" s="40" t="s">
        <v>63</v>
      </c>
      <c r="F62" s="40" t="s">
        <v>64</v>
      </c>
      <c r="G62" s="40" t="s">
        <v>65</v>
      </c>
      <c r="H62" s="523"/>
      <c r="I62" s="40" t="s">
        <v>14</v>
      </c>
      <c r="J62" s="40" t="s">
        <v>15</v>
      </c>
      <c r="K62" s="40" t="s">
        <v>14</v>
      </c>
      <c r="L62" s="40" t="s">
        <v>15</v>
      </c>
      <c r="M62" s="40" t="s">
        <v>14</v>
      </c>
      <c r="N62" s="40" t="s">
        <v>15</v>
      </c>
    </row>
    <row r="63" spans="1:20" s="6" customFormat="1" ht="40.5" x14ac:dyDescent="0.25">
      <c r="A63" s="34">
        <v>1</v>
      </c>
      <c r="B63" s="40" t="s">
        <v>123</v>
      </c>
      <c r="C63" s="40" t="s">
        <v>19</v>
      </c>
      <c r="D63" s="35">
        <v>1</v>
      </c>
      <c r="E63" s="35"/>
      <c r="F63" s="35"/>
      <c r="G63" s="35">
        <v>1</v>
      </c>
      <c r="H63" s="92" t="s">
        <v>1335</v>
      </c>
      <c r="I63" s="35">
        <v>8</v>
      </c>
      <c r="J63" s="35">
        <v>1</v>
      </c>
      <c r="K63" s="35">
        <v>46</v>
      </c>
      <c r="L63" s="35"/>
      <c r="M63" s="35">
        <v>46</v>
      </c>
      <c r="N63" s="35"/>
    </row>
    <row r="64" spans="1:20" s="6" customFormat="1" ht="40.5" x14ac:dyDescent="0.25">
      <c r="A64" s="34">
        <v>2</v>
      </c>
      <c r="B64" s="40" t="s">
        <v>20</v>
      </c>
      <c r="C64" s="40" t="s">
        <v>20</v>
      </c>
      <c r="D64" s="35">
        <v>1</v>
      </c>
      <c r="E64" s="35"/>
      <c r="F64" s="35">
        <v>1</v>
      </c>
      <c r="G64" s="35"/>
      <c r="H64" s="92" t="s">
        <v>1273</v>
      </c>
      <c r="I64" s="35">
        <v>2</v>
      </c>
      <c r="J64" s="35"/>
      <c r="K64" s="35">
        <v>1</v>
      </c>
      <c r="L64" s="35"/>
      <c r="M64" s="35">
        <v>1</v>
      </c>
      <c r="N64" s="35"/>
    </row>
    <row r="65" spans="1:20" s="6" customFormat="1" ht="40.5" x14ac:dyDescent="0.25">
      <c r="A65" s="34">
        <v>3</v>
      </c>
      <c r="B65" s="40" t="s">
        <v>21</v>
      </c>
      <c r="C65" s="40" t="s">
        <v>21</v>
      </c>
      <c r="D65" s="35">
        <v>1</v>
      </c>
      <c r="E65" s="35"/>
      <c r="F65" s="35"/>
      <c r="G65" s="35">
        <v>1</v>
      </c>
      <c r="H65" s="92" t="s">
        <v>1308</v>
      </c>
      <c r="I65" s="35"/>
      <c r="J65" s="35"/>
      <c r="K65" s="35">
        <v>4</v>
      </c>
      <c r="L65" s="35"/>
      <c r="M65" s="35">
        <v>4</v>
      </c>
      <c r="N65" s="35"/>
    </row>
    <row r="66" spans="1:20" s="6" customFormat="1" ht="101.25" x14ac:dyDescent="0.25">
      <c r="A66" s="34">
        <v>4</v>
      </c>
      <c r="B66" s="40" t="s">
        <v>23</v>
      </c>
      <c r="C66" s="40" t="s">
        <v>23</v>
      </c>
      <c r="D66" s="35">
        <v>3</v>
      </c>
      <c r="E66" s="35"/>
      <c r="F66" s="35"/>
      <c r="G66" s="35">
        <v>3</v>
      </c>
      <c r="H66" s="92" t="s">
        <v>1302</v>
      </c>
      <c r="I66" s="35"/>
      <c r="J66" s="35">
        <v>1</v>
      </c>
      <c r="K66" s="35"/>
      <c r="L66" s="35"/>
      <c r="M66" s="35"/>
      <c r="N66" s="35">
        <v>2</v>
      </c>
    </row>
    <row r="67" spans="1:20" s="6" customFormat="1" ht="121.5" x14ac:dyDescent="0.25">
      <c r="A67" s="34">
        <v>5</v>
      </c>
      <c r="B67" s="40" t="s">
        <v>25</v>
      </c>
      <c r="C67" s="40" t="s">
        <v>26</v>
      </c>
      <c r="D67" s="35">
        <v>4</v>
      </c>
      <c r="E67" s="35"/>
      <c r="F67" s="35">
        <v>4</v>
      </c>
      <c r="G67" s="35"/>
      <c r="H67" s="92" t="s">
        <v>1346</v>
      </c>
      <c r="I67" s="35">
        <v>4</v>
      </c>
      <c r="J67" s="35"/>
      <c r="K67" s="35">
        <v>2</v>
      </c>
      <c r="L67" s="35"/>
      <c r="M67" s="35"/>
      <c r="N67" s="35"/>
    </row>
    <row r="68" spans="1:20" s="6" customFormat="1" ht="40.5" x14ac:dyDescent="0.25">
      <c r="A68" s="34">
        <v>6</v>
      </c>
      <c r="B68" s="40" t="s">
        <v>28</v>
      </c>
      <c r="C68" s="40" t="s">
        <v>31</v>
      </c>
      <c r="D68" s="35">
        <v>1</v>
      </c>
      <c r="E68" s="35"/>
      <c r="F68" s="35">
        <v>1</v>
      </c>
      <c r="G68" s="35"/>
      <c r="H68" s="92" t="s">
        <v>1384</v>
      </c>
      <c r="I68" s="35"/>
      <c r="J68" s="35"/>
      <c r="K68" s="35"/>
      <c r="L68" s="35"/>
      <c r="M68" s="35"/>
      <c r="N68" s="35"/>
    </row>
    <row r="69" spans="1:20" s="6" customFormat="1" ht="141.75" x14ac:dyDescent="0.25">
      <c r="A69" s="34">
        <v>7</v>
      </c>
      <c r="B69" s="40" t="s">
        <v>33</v>
      </c>
      <c r="C69" s="40" t="s">
        <v>33</v>
      </c>
      <c r="D69" s="35">
        <v>5</v>
      </c>
      <c r="E69" s="35"/>
      <c r="F69" s="35">
        <v>1</v>
      </c>
      <c r="G69" s="35">
        <v>4</v>
      </c>
      <c r="H69" s="92" t="s">
        <v>1260</v>
      </c>
      <c r="I69" s="35">
        <v>2</v>
      </c>
      <c r="J69" s="35"/>
      <c r="K69" s="35">
        <v>1</v>
      </c>
      <c r="L69" s="35"/>
      <c r="M69" s="35">
        <v>3</v>
      </c>
      <c r="N69" s="35">
        <v>8</v>
      </c>
    </row>
    <row r="70" spans="1:20" s="6" customFormat="1" ht="344.25" x14ac:dyDescent="0.25">
      <c r="A70" s="34">
        <v>8</v>
      </c>
      <c r="B70" s="40" t="s">
        <v>38</v>
      </c>
      <c r="C70" s="40" t="s">
        <v>38</v>
      </c>
      <c r="D70" s="35">
        <v>5</v>
      </c>
      <c r="E70" s="35"/>
      <c r="F70" s="35">
        <v>1</v>
      </c>
      <c r="G70" s="35">
        <v>4</v>
      </c>
      <c r="H70" s="92" t="s">
        <v>1271</v>
      </c>
      <c r="I70" s="35"/>
      <c r="J70" s="35"/>
      <c r="K70" s="35">
        <v>4</v>
      </c>
      <c r="L70" s="35"/>
      <c r="M70" s="35">
        <v>4</v>
      </c>
      <c r="N70" s="35"/>
    </row>
    <row r="71" spans="1:20" s="6" customFormat="1" ht="101.25" x14ac:dyDescent="0.25">
      <c r="A71" s="34">
        <v>9</v>
      </c>
      <c r="B71" s="40" t="s">
        <v>88</v>
      </c>
      <c r="C71" s="40" t="s">
        <v>40</v>
      </c>
      <c r="D71" s="35">
        <v>4</v>
      </c>
      <c r="E71" s="35"/>
      <c r="F71" s="35"/>
      <c r="G71" s="35">
        <v>4</v>
      </c>
      <c r="H71" s="92" t="s">
        <v>1329</v>
      </c>
      <c r="I71" s="35"/>
      <c r="J71" s="35"/>
      <c r="K71" s="35"/>
      <c r="L71" s="35">
        <v>1</v>
      </c>
      <c r="M71" s="35">
        <v>8</v>
      </c>
      <c r="N71" s="35">
        <v>11</v>
      </c>
    </row>
    <row r="72" spans="1:20" s="6" customFormat="1" ht="303.75" x14ac:dyDescent="0.25">
      <c r="A72" s="34">
        <v>10</v>
      </c>
      <c r="B72" s="40" t="s">
        <v>43</v>
      </c>
      <c r="C72" s="40" t="s">
        <v>44</v>
      </c>
      <c r="D72" s="35">
        <v>3</v>
      </c>
      <c r="E72" s="35"/>
      <c r="F72" s="35">
        <v>1</v>
      </c>
      <c r="G72" s="35">
        <v>2</v>
      </c>
      <c r="H72" s="35" t="s">
        <v>1297</v>
      </c>
      <c r="I72" s="35"/>
      <c r="J72" s="35"/>
      <c r="K72" s="35"/>
      <c r="L72" s="35"/>
      <c r="M72" s="35"/>
      <c r="N72" s="35">
        <v>1</v>
      </c>
    </row>
    <row r="73" spans="1:20" s="6" customFormat="1" ht="20.25" x14ac:dyDescent="0.25">
      <c r="A73" s="34">
        <v>11</v>
      </c>
      <c r="B73" s="40" t="s">
        <v>46</v>
      </c>
      <c r="C73" s="40" t="s">
        <v>47</v>
      </c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</row>
    <row r="74" spans="1:20" s="6" customFormat="1" ht="74.25" customHeight="1" x14ac:dyDescent="0.25">
      <c r="A74" s="34">
        <v>12</v>
      </c>
      <c r="B74" s="40" t="s">
        <v>49</v>
      </c>
      <c r="C74" s="40" t="s">
        <v>51</v>
      </c>
      <c r="D74" s="35">
        <v>1</v>
      </c>
      <c r="E74" s="35"/>
      <c r="F74" s="35"/>
      <c r="G74" s="35">
        <v>1</v>
      </c>
      <c r="H74" s="280" t="s">
        <v>1359</v>
      </c>
      <c r="I74" s="35"/>
      <c r="J74" s="35"/>
      <c r="K74" s="35"/>
      <c r="L74" s="35"/>
      <c r="M74" s="35"/>
      <c r="N74" s="35"/>
    </row>
    <row r="75" spans="1:20" s="6" customFormat="1" ht="182.25" x14ac:dyDescent="0.25">
      <c r="A75" s="34">
        <v>13</v>
      </c>
      <c r="B75" s="40" t="s">
        <v>52</v>
      </c>
      <c r="C75" s="40" t="s">
        <v>53</v>
      </c>
      <c r="D75" s="35">
        <v>2</v>
      </c>
      <c r="E75" s="35"/>
      <c r="F75" s="35"/>
      <c r="G75" s="35">
        <v>2</v>
      </c>
      <c r="H75" s="92" t="s">
        <v>1288</v>
      </c>
      <c r="I75" s="35"/>
      <c r="J75" s="35">
        <v>1</v>
      </c>
      <c r="K75" s="35"/>
      <c r="L75" s="35"/>
      <c r="M75" s="35">
        <v>1</v>
      </c>
      <c r="N75" s="35"/>
    </row>
    <row r="76" spans="1:20" ht="20.25" x14ac:dyDescent="0.25">
      <c r="B76" s="40" t="s">
        <v>102</v>
      </c>
      <c r="D76" s="35">
        <f>SUM(D63:D75)</f>
        <v>31</v>
      </c>
      <c r="E76" s="35">
        <f t="shared" ref="E76:N76" si="3">SUM(E63:E75)</f>
        <v>0</v>
      </c>
      <c r="F76" s="35">
        <f t="shared" si="3"/>
        <v>9</v>
      </c>
      <c r="G76" s="35">
        <f t="shared" si="3"/>
        <v>22</v>
      </c>
      <c r="H76" s="35">
        <f t="shared" si="3"/>
        <v>0</v>
      </c>
      <c r="I76" s="35">
        <f t="shared" si="3"/>
        <v>16</v>
      </c>
      <c r="J76" s="35">
        <f t="shared" si="3"/>
        <v>3</v>
      </c>
      <c r="K76" s="35">
        <f t="shared" si="3"/>
        <v>58</v>
      </c>
      <c r="L76" s="35">
        <f t="shared" si="3"/>
        <v>1</v>
      </c>
      <c r="M76" s="35">
        <f t="shared" si="3"/>
        <v>67</v>
      </c>
      <c r="N76" s="35">
        <f t="shared" si="3"/>
        <v>22</v>
      </c>
      <c r="T76">
        <v>8281</v>
      </c>
    </row>
    <row r="77" spans="1:20" ht="20.25" x14ac:dyDescent="0.3">
      <c r="B77" s="96"/>
      <c r="D77" s="23"/>
      <c r="E77" s="23"/>
      <c r="F77" s="23"/>
      <c r="G77" s="23"/>
      <c r="H77" s="185"/>
      <c r="I77" s="63"/>
      <c r="J77" s="63"/>
      <c r="K77" s="63"/>
      <c r="L77" s="63"/>
      <c r="M77" s="63"/>
      <c r="N77" s="63"/>
      <c r="T77">
        <v>67</v>
      </c>
    </row>
    <row r="78" spans="1:20" x14ac:dyDescent="0.3">
      <c r="T78">
        <v>67</v>
      </c>
    </row>
    <row r="79" spans="1:20" s="6" customFormat="1" ht="20.25" x14ac:dyDescent="0.3">
      <c r="A79" s="143"/>
      <c r="B79" s="154"/>
      <c r="C79" s="154"/>
      <c r="D79" s="186"/>
      <c r="E79" s="186"/>
      <c r="F79" s="186"/>
      <c r="G79" s="186"/>
      <c r="H79" s="184"/>
      <c r="I79" s="154"/>
      <c r="J79" s="154"/>
      <c r="K79" s="154"/>
      <c r="L79" s="154"/>
      <c r="M79" s="154"/>
      <c r="N79" s="154"/>
    </row>
    <row r="80" spans="1:20" s="61" customFormat="1" ht="23.25" customHeight="1" x14ac:dyDescent="0.25">
      <c r="A80" s="505" t="s">
        <v>1068</v>
      </c>
      <c r="B80" s="506"/>
      <c r="C80" s="506"/>
      <c r="D80" s="506"/>
      <c r="E80" s="506"/>
      <c r="F80" s="506"/>
      <c r="G80" s="506"/>
      <c r="H80" s="506"/>
      <c r="I80" s="506"/>
      <c r="J80" s="506"/>
      <c r="K80" s="506"/>
      <c r="L80" s="506"/>
      <c r="M80" s="506"/>
      <c r="N80" s="506"/>
    </row>
    <row r="81" spans="1:14" s="6" customFormat="1" ht="21" customHeight="1" x14ac:dyDescent="0.25">
      <c r="A81" s="515" t="s">
        <v>189</v>
      </c>
      <c r="B81" s="517" t="s">
        <v>1</v>
      </c>
      <c r="C81" s="517" t="s">
        <v>2</v>
      </c>
      <c r="D81" s="517" t="s">
        <v>3</v>
      </c>
      <c r="E81" s="519" t="s">
        <v>61</v>
      </c>
      <c r="F81" s="520"/>
      <c r="G81" s="521"/>
      <c r="H81" s="522" t="s">
        <v>62</v>
      </c>
      <c r="I81" s="524" t="s">
        <v>11</v>
      </c>
      <c r="J81" s="525"/>
      <c r="K81" s="524" t="s">
        <v>13</v>
      </c>
      <c r="L81" s="525"/>
      <c r="M81" s="524" t="s">
        <v>12</v>
      </c>
      <c r="N81" s="525"/>
    </row>
    <row r="82" spans="1:14" s="6" customFormat="1" ht="40.5" x14ac:dyDescent="0.25">
      <c r="A82" s="516"/>
      <c r="B82" s="518"/>
      <c r="C82" s="518"/>
      <c r="D82" s="518"/>
      <c r="E82" s="40" t="s">
        <v>63</v>
      </c>
      <c r="F82" s="40" t="s">
        <v>64</v>
      </c>
      <c r="G82" s="40" t="s">
        <v>65</v>
      </c>
      <c r="H82" s="523"/>
      <c r="I82" s="40" t="s">
        <v>14</v>
      </c>
      <c r="J82" s="40" t="s">
        <v>15</v>
      </c>
      <c r="K82" s="40" t="s">
        <v>14</v>
      </c>
      <c r="L82" s="40" t="s">
        <v>15</v>
      </c>
      <c r="M82" s="40" t="s">
        <v>14</v>
      </c>
      <c r="N82" s="40" t="s">
        <v>15</v>
      </c>
    </row>
    <row r="83" spans="1:14" s="6" customFormat="1" ht="141.75" x14ac:dyDescent="0.25">
      <c r="A83" s="34">
        <v>1</v>
      </c>
      <c r="B83" s="40" t="s">
        <v>123</v>
      </c>
      <c r="C83" s="40" t="s">
        <v>19</v>
      </c>
      <c r="D83" s="35">
        <v>5</v>
      </c>
      <c r="E83" s="35"/>
      <c r="F83" s="35"/>
      <c r="G83" s="35">
        <v>5</v>
      </c>
      <c r="H83" s="35" t="s">
        <v>1178</v>
      </c>
      <c r="I83" s="35">
        <v>1</v>
      </c>
      <c r="J83" s="35" t="s">
        <v>18</v>
      </c>
      <c r="K83" s="35">
        <v>2</v>
      </c>
      <c r="L83" s="35">
        <v>2</v>
      </c>
      <c r="M83" s="35">
        <v>7</v>
      </c>
      <c r="N83" s="35">
        <v>2</v>
      </c>
    </row>
    <row r="84" spans="1:14" s="6" customFormat="1" ht="20.25" x14ac:dyDescent="0.25">
      <c r="A84" s="34">
        <v>2</v>
      </c>
      <c r="B84" s="40" t="s">
        <v>20</v>
      </c>
      <c r="C84" s="40" t="s">
        <v>20</v>
      </c>
      <c r="D84" s="35"/>
      <c r="E84" s="35"/>
      <c r="F84" s="35"/>
      <c r="G84" s="35"/>
      <c r="H84" s="35"/>
      <c r="I84" s="35" t="s">
        <v>18</v>
      </c>
      <c r="J84" s="35" t="s">
        <v>18</v>
      </c>
      <c r="K84" s="35" t="s">
        <v>18</v>
      </c>
      <c r="L84" s="35" t="s">
        <v>18</v>
      </c>
      <c r="M84" s="35" t="s">
        <v>18</v>
      </c>
      <c r="N84" s="35" t="s">
        <v>18</v>
      </c>
    </row>
    <row r="85" spans="1:14" s="6" customFormat="1" ht="40.5" x14ac:dyDescent="0.25">
      <c r="A85" s="34">
        <v>3</v>
      </c>
      <c r="B85" s="40" t="s">
        <v>21</v>
      </c>
      <c r="C85" s="40" t="s">
        <v>21</v>
      </c>
      <c r="D85" s="35">
        <v>1</v>
      </c>
      <c r="E85" s="35"/>
      <c r="F85" s="35">
        <v>1</v>
      </c>
      <c r="G85" s="35"/>
      <c r="H85" s="35" t="s">
        <v>1188</v>
      </c>
      <c r="I85" s="35" t="s">
        <v>18</v>
      </c>
      <c r="J85" s="35" t="s">
        <v>18</v>
      </c>
      <c r="K85" s="35" t="s">
        <v>18</v>
      </c>
      <c r="L85" s="35" t="s">
        <v>18</v>
      </c>
      <c r="M85" s="35" t="s">
        <v>18</v>
      </c>
      <c r="N85" s="35" t="s">
        <v>18</v>
      </c>
    </row>
    <row r="86" spans="1:14" s="6" customFormat="1" ht="20.25" x14ac:dyDescent="0.25">
      <c r="A86" s="34">
        <v>4</v>
      </c>
      <c r="B86" s="40" t="s">
        <v>23</v>
      </c>
      <c r="C86" s="40" t="s">
        <v>23</v>
      </c>
      <c r="D86" s="35"/>
      <c r="E86" s="35"/>
      <c r="F86" s="35"/>
      <c r="G86" s="35"/>
      <c r="H86" s="35"/>
      <c r="I86" s="35" t="s">
        <v>18</v>
      </c>
      <c r="J86" s="35" t="s">
        <v>18</v>
      </c>
      <c r="K86" s="35" t="s">
        <v>18</v>
      </c>
      <c r="L86" s="35" t="s">
        <v>18</v>
      </c>
      <c r="M86" s="35" t="s">
        <v>18</v>
      </c>
      <c r="N86" s="35" t="s">
        <v>18</v>
      </c>
    </row>
    <row r="87" spans="1:14" s="6" customFormat="1" ht="40.5" x14ac:dyDescent="0.25">
      <c r="A87" s="34">
        <v>5</v>
      </c>
      <c r="B87" s="40" t="s">
        <v>25</v>
      </c>
      <c r="C87" s="40" t="s">
        <v>26</v>
      </c>
      <c r="D87" s="35"/>
      <c r="E87" s="35"/>
      <c r="F87" s="35"/>
      <c r="G87" s="35"/>
      <c r="H87" s="35"/>
      <c r="I87" s="35" t="s">
        <v>18</v>
      </c>
      <c r="J87" s="35" t="s">
        <v>18</v>
      </c>
      <c r="K87" s="35" t="s">
        <v>18</v>
      </c>
      <c r="L87" s="35" t="s">
        <v>18</v>
      </c>
      <c r="M87" s="35" t="s">
        <v>18</v>
      </c>
      <c r="N87" s="35" t="s">
        <v>18</v>
      </c>
    </row>
    <row r="88" spans="1:14" s="6" customFormat="1" ht="182.25" x14ac:dyDescent="0.25">
      <c r="A88" s="34">
        <v>6</v>
      </c>
      <c r="B88" s="40" t="s">
        <v>28</v>
      </c>
      <c r="C88" s="40" t="s">
        <v>31</v>
      </c>
      <c r="D88" s="35">
        <v>2</v>
      </c>
      <c r="E88" s="35"/>
      <c r="F88" s="35"/>
      <c r="G88" s="35">
        <v>2</v>
      </c>
      <c r="H88" s="35" t="s">
        <v>1098</v>
      </c>
      <c r="I88" s="35" t="s">
        <v>18</v>
      </c>
      <c r="J88" s="35" t="s">
        <v>18</v>
      </c>
      <c r="K88" s="35">
        <v>2</v>
      </c>
      <c r="L88" s="35" t="s">
        <v>18</v>
      </c>
      <c r="M88" s="35">
        <v>2</v>
      </c>
      <c r="N88" s="35" t="s">
        <v>18</v>
      </c>
    </row>
    <row r="89" spans="1:14" s="6" customFormat="1" ht="40.5" x14ac:dyDescent="0.25">
      <c r="A89" s="34">
        <v>7</v>
      </c>
      <c r="B89" s="40" t="s">
        <v>33</v>
      </c>
      <c r="C89" s="40" t="s">
        <v>33</v>
      </c>
      <c r="D89" s="35">
        <v>2</v>
      </c>
      <c r="E89" s="35"/>
      <c r="F89" s="35"/>
      <c r="G89" s="35">
        <v>2</v>
      </c>
      <c r="H89" s="35" t="s">
        <v>1172</v>
      </c>
      <c r="I89" s="35" t="s">
        <v>18</v>
      </c>
      <c r="J89" s="35" t="s">
        <v>18</v>
      </c>
      <c r="K89" s="35">
        <v>2</v>
      </c>
      <c r="L89" s="35" t="s">
        <v>18</v>
      </c>
      <c r="M89" s="35">
        <v>2</v>
      </c>
      <c r="N89" s="35" t="s">
        <v>18</v>
      </c>
    </row>
    <row r="90" spans="1:14" s="6" customFormat="1" ht="60.75" x14ac:dyDescent="0.25">
      <c r="A90" s="34">
        <v>8</v>
      </c>
      <c r="B90" s="40" t="s">
        <v>38</v>
      </c>
      <c r="C90" s="40" t="s">
        <v>38</v>
      </c>
      <c r="D90" s="35">
        <v>2</v>
      </c>
      <c r="E90" s="35"/>
      <c r="F90" s="35"/>
      <c r="G90" s="35">
        <v>2</v>
      </c>
      <c r="H90" s="35" t="s">
        <v>1194</v>
      </c>
      <c r="I90" s="35" t="s">
        <v>18</v>
      </c>
      <c r="J90" s="35" t="s">
        <v>18</v>
      </c>
      <c r="K90" s="35" t="s">
        <v>18</v>
      </c>
      <c r="L90" s="35" t="s">
        <v>18</v>
      </c>
      <c r="M90" s="35">
        <v>1</v>
      </c>
      <c r="N90" s="35" t="s">
        <v>18</v>
      </c>
    </row>
    <row r="91" spans="1:14" s="6" customFormat="1" ht="60.75" x14ac:dyDescent="0.25">
      <c r="A91" s="34">
        <v>9</v>
      </c>
      <c r="B91" s="40" t="s">
        <v>88</v>
      </c>
      <c r="C91" s="40" t="s">
        <v>40</v>
      </c>
      <c r="D91" s="35">
        <v>1</v>
      </c>
      <c r="E91" s="35"/>
      <c r="F91" s="35"/>
      <c r="G91" s="35">
        <v>1</v>
      </c>
      <c r="H91" s="35" t="s">
        <v>1159</v>
      </c>
      <c r="I91" s="35" t="s">
        <v>18</v>
      </c>
      <c r="J91" s="35" t="s">
        <v>18</v>
      </c>
      <c r="K91" s="35">
        <v>1</v>
      </c>
      <c r="L91" s="35" t="s">
        <v>18</v>
      </c>
      <c r="M91" s="35">
        <v>1</v>
      </c>
      <c r="N91" s="35" t="s">
        <v>18</v>
      </c>
    </row>
    <row r="92" spans="1:14" s="6" customFormat="1" ht="101.25" x14ac:dyDescent="0.25">
      <c r="A92" s="34">
        <v>10</v>
      </c>
      <c r="B92" s="40" t="s">
        <v>43</v>
      </c>
      <c r="C92" s="40" t="s">
        <v>44</v>
      </c>
      <c r="D92" s="35">
        <v>4</v>
      </c>
      <c r="E92" s="35"/>
      <c r="F92" s="35">
        <v>1</v>
      </c>
      <c r="G92" s="35">
        <v>3</v>
      </c>
      <c r="H92" s="35" t="s">
        <v>1206</v>
      </c>
      <c r="I92" s="35">
        <v>2</v>
      </c>
      <c r="J92" s="35" t="s">
        <v>18</v>
      </c>
      <c r="K92" s="35" t="s">
        <v>18</v>
      </c>
      <c r="L92" s="35" t="s">
        <v>18</v>
      </c>
      <c r="M92" s="35">
        <v>2</v>
      </c>
      <c r="N92" s="35">
        <v>1</v>
      </c>
    </row>
    <row r="93" spans="1:14" s="6" customFormat="1" ht="81" x14ac:dyDescent="0.25">
      <c r="A93" s="34">
        <v>11</v>
      </c>
      <c r="B93" s="40" t="s">
        <v>46</v>
      </c>
      <c r="C93" s="40" t="s">
        <v>47</v>
      </c>
      <c r="D93" s="35">
        <v>1</v>
      </c>
      <c r="E93" s="35"/>
      <c r="F93" s="35"/>
      <c r="G93" s="35">
        <v>1</v>
      </c>
      <c r="H93" s="35" t="s">
        <v>1223</v>
      </c>
      <c r="I93" s="35" t="s">
        <v>18</v>
      </c>
      <c r="J93" s="35" t="s">
        <v>18</v>
      </c>
      <c r="K93" s="35" t="s">
        <v>18</v>
      </c>
      <c r="L93" s="35" t="s">
        <v>18</v>
      </c>
      <c r="M93" s="35" t="s">
        <v>18</v>
      </c>
      <c r="N93" s="35">
        <v>1</v>
      </c>
    </row>
    <row r="94" spans="1:14" s="6" customFormat="1" ht="132.75" x14ac:dyDescent="0.25">
      <c r="A94" s="34">
        <v>12</v>
      </c>
      <c r="B94" s="40" t="s">
        <v>49</v>
      </c>
      <c r="C94" s="40" t="s">
        <v>51</v>
      </c>
      <c r="D94" s="35"/>
      <c r="E94" s="35"/>
      <c r="F94" s="35"/>
      <c r="G94" s="35"/>
      <c r="H94" s="280" t="s">
        <v>1115</v>
      </c>
      <c r="I94" s="35" t="s">
        <v>18</v>
      </c>
      <c r="J94" s="35" t="s">
        <v>18</v>
      </c>
      <c r="K94" s="35">
        <v>3</v>
      </c>
      <c r="L94" s="35">
        <v>1</v>
      </c>
      <c r="M94" s="35">
        <v>7</v>
      </c>
      <c r="N94" s="35">
        <v>1</v>
      </c>
    </row>
    <row r="95" spans="1:14" s="6" customFormat="1" ht="62.25" x14ac:dyDescent="0.25">
      <c r="A95" s="34">
        <v>13</v>
      </c>
      <c r="B95" s="40" t="s">
        <v>52</v>
      </c>
      <c r="C95" s="40" t="s">
        <v>53</v>
      </c>
      <c r="D95" s="35">
        <v>1</v>
      </c>
      <c r="E95" s="35"/>
      <c r="F95" s="35"/>
      <c r="G95" s="35">
        <v>1</v>
      </c>
      <c r="H95" s="35" t="s">
        <v>1143</v>
      </c>
      <c r="I95" s="35" t="s">
        <v>18</v>
      </c>
      <c r="J95" s="35" t="s">
        <v>18</v>
      </c>
      <c r="K95" s="35" t="s">
        <v>18</v>
      </c>
      <c r="L95" s="35" t="s">
        <v>18</v>
      </c>
      <c r="M95" s="35" t="s">
        <v>18</v>
      </c>
      <c r="N95" s="35" t="s">
        <v>18</v>
      </c>
    </row>
    <row r="96" spans="1:14" ht="20.25" x14ac:dyDescent="0.25">
      <c r="B96" s="40" t="s">
        <v>102</v>
      </c>
      <c r="D96" s="35">
        <f>SUM(D83:D95)</f>
        <v>19</v>
      </c>
      <c r="E96" s="35">
        <f t="shared" ref="E96:N96" si="4">SUM(E83:E95)</f>
        <v>0</v>
      </c>
      <c r="F96" s="35">
        <f t="shared" si="4"/>
        <v>2</v>
      </c>
      <c r="G96" s="35">
        <f t="shared" si="4"/>
        <v>17</v>
      </c>
      <c r="H96" s="35">
        <f t="shared" si="4"/>
        <v>0</v>
      </c>
      <c r="I96" s="35">
        <f t="shared" si="4"/>
        <v>3</v>
      </c>
      <c r="J96" s="35">
        <f t="shared" si="4"/>
        <v>0</v>
      </c>
      <c r="K96" s="35">
        <f t="shared" si="4"/>
        <v>10</v>
      </c>
      <c r="L96" s="35">
        <f t="shared" si="4"/>
        <v>3</v>
      </c>
      <c r="M96" s="35">
        <f t="shared" si="4"/>
        <v>22</v>
      </c>
      <c r="N96" s="35">
        <f t="shared" si="4"/>
        <v>5</v>
      </c>
    </row>
    <row r="97" spans="1:14" ht="20.25" x14ac:dyDescent="0.3">
      <c r="B97" s="96"/>
      <c r="D97" s="23"/>
      <c r="E97" s="23"/>
      <c r="F97" s="23"/>
      <c r="G97" s="23"/>
      <c r="H97" s="185"/>
      <c r="I97" s="63"/>
      <c r="J97" s="63"/>
      <c r="K97" s="63"/>
      <c r="L97" s="63"/>
      <c r="M97" s="63"/>
      <c r="N97" s="63"/>
    </row>
    <row r="99" spans="1:14" s="6" customFormat="1" ht="20.25" x14ac:dyDescent="0.3">
      <c r="A99" s="143"/>
      <c r="B99" s="154"/>
      <c r="C99" s="154"/>
      <c r="D99" s="186"/>
      <c r="E99" s="186"/>
      <c r="F99" s="186"/>
      <c r="G99" s="186"/>
      <c r="H99" s="184"/>
      <c r="I99" s="154"/>
      <c r="J99" s="154"/>
      <c r="K99" s="154"/>
      <c r="L99" s="154"/>
      <c r="M99" s="154"/>
      <c r="N99" s="154"/>
    </row>
    <row r="100" spans="1:14" s="61" customFormat="1" ht="23.25" customHeight="1" x14ac:dyDescent="0.25">
      <c r="A100" s="505" t="s">
        <v>775</v>
      </c>
      <c r="B100" s="506"/>
      <c r="C100" s="506"/>
      <c r="D100" s="506"/>
      <c r="E100" s="506"/>
      <c r="F100" s="506"/>
      <c r="G100" s="506"/>
      <c r="H100" s="506"/>
      <c r="I100" s="506"/>
      <c r="J100" s="506"/>
      <c r="K100" s="506"/>
      <c r="L100" s="506"/>
      <c r="M100" s="506"/>
      <c r="N100" s="506"/>
    </row>
    <row r="101" spans="1:14" s="6" customFormat="1" ht="21" customHeight="1" x14ac:dyDescent="0.25">
      <c r="A101" s="515" t="s">
        <v>189</v>
      </c>
      <c r="B101" s="517" t="s">
        <v>1</v>
      </c>
      <c r="C101" s="517" t="s">
        <v>2</v>
      </c>
      <c r="D101" s="517" t="s">
        <v>3</v>
      </c>
      <c r="E101" s="519" t="s">
        <v>61</v>
      </c>
      <c r="F101" s="520"/>
      <c r="G101" s="521"/>
      <c r="H101" s="522" t="s">
        <v>62</v>
      </c>
      <c r="I101" s="524" t="s">
        <v>11</v>
      </c>
      <c r="J101" s="525"/>
      <c r="K101" s="524" t="s">
        <v>13</v>
      </c>
      <c r="L101" s="525"/>
      <c r="M101" s="524" t="s">
        <v>12</v>
      </c>
      <c r="N101" s="525"/>
    </row>
    <row r="102" spans="1:14" s="6" customFormat="1" ht="40.5" x14ac:dyDescent="0.25">
      <c r="A102" s="516"/>
      <c r="B102" s="518"/>
      <c r="C102" s="518"/>
      <c r="D102" s="518"/>
      <c r="E102" s="40" t="s">
        <v>63</v>
      </c>
      <c r="F102" s="40" t="s">
        <v>64</v>
      </c>
      <c r="G102" s="40" t="s">
        <v>65</v>
      </c>
      <c r="H102" s="523"/>
      <c r="I102" s="40" t="s">
        <v>14</v>
      </c>
      <c r="J102" s="40" t="s">
        <v>15</v>
      </c>
      <c r="K102" s="40" t="s">
        <v>14</v>
      </c>
      <c r="L102" s="40" t="s">
        <v>15</v>
      </c>
      <c r="M102" s="40" t="s">
        <v>14</v>
      </c>
      <c r="N102" s="40" t="s">
        <v>15</v>
      </c>
    </row>
    <row r="103" spans="1:14" s="6" customFormat="1" ht="20.25" x14ac:dyDescent="0.25">
      <c r="A103" s="34">
        <v>1</v>
      </c>
      <c r="B103" s="40" t="s">
        <v>123</v>
      </c>
      <c r="C103" s="40" t="s">
        <v>19</v>
      </c>
      <c r="D103" s="35">
        <v>1</v>
      </c>
      <c r="E103" s="35" t="s">
        <v>18</v>
      </c>
      <c r="F103" s="35" t="s">
        <v>18</v>
      </c>
      <c r="G103" s="35">
        <v>1</v>
      </c>
      <c r="H103" s="35" t="s">
        <v>961</v>
      </c>
      <c r="I103" s="35" t="s">
        <v>18</v>
      </c>
      <c r="J103" s="35" t="s">
        <v>18</v>
      </c>
      <c r="K103" s="35" t="s">
        <v>18</v>
      </c>
      <c r="L103" s="35">
        <v>1</v>
      </c>
      <c r="M103" s="35" t="s">
        <v>18</v>
      </c>
      <c r="N103" s="35">
        <v>1</v>
      </c>
    </row>
    <row r="104" spans="1:14" s="6" customFormat="1" ht="60.75" x14ac:dyDescent="0.25">
      <c r="A104" s="34">
        <v>2</v>
      </c>
      <c r="B104" s="40" t="s">
        <v>20</v>
      </c>
      <c r="C104" s="40" t="s">
        <v>20</v>
      </c>
      <c r="D104" s="35">
        <v>2</v>
      </c>
      <c r="E104" s="35" t="s">
        <v>18</v>
      </c>
      <c r="F104" s="35">
        <v>1</v>
      </c>
      <c r="G104" s="35">
        <v>1</v>
      </c>
      <c r="H104" s="35" t="s">
        <v>965</v>
      </c>
      <c r="I104" s="35">
        <v>1</v>
      </c>
      <c r="J104" s="35" t="s">
        <v>18</v>
      </c>
      <c r="K104" s="35">
        <v>3</v>
      </c>
      <c r="L104" s="35" t="s">
        <v>18</v>
      </c>
      <c r="M104" s="35">
        <v>3</v>
      </c>
      <c r="N104" s="35" t="s">
        <v>18</v>
      </c>
    </row>
    <row r="105" spans="1:14" s="6" customFormat="1" ht="162" x14ac:dyDescent="0.25">
      <c r="A105" s="34">
        <v>3</v>
      </c>
      <c r="B105" s="40" t="s">
        <v>21</v>
      </c>
      <c r="C105" s="40" t="s">
        <v>21</v>
      </c>
      <c r="D105" s="35">
        <v>4</v>
      </c>
      <c r="E105" s="35" t="s">
        <v>18</v>
      </c>
      <c r="F105" s="35">
        <v>1</v>
      </c>
      <c r="G105" s="35">
        <v>3</v>
      </c>
      <c r="H105" s="35" t="s">
        <v>1043</v>
      </c>
      <c r="I105" s="35">
        <v>5</v>
      </c>
      <c r="J105" s="35" t="s">
        <v>18</v>
      </c>
      <c r="K105" s="35">
        <v>23</v>
      </c>
      <c r="L105" s="35" t="s">
        <v>18</v>
      </c>
      <c r="M105" s="35">
        <v>23</v>
      </c>
      <c r="N105" s="35" t="s">
        <v>18</v>
      </c>
    </row>
    <row r="106" spans="1:14" s="6" customFormat="1" ht="20.25" x14ac:dyDescent="0.25">
      <c r="A106" s="34">
        <v>4</v>
      </c>
      <c r="B106" s="40" t="s">
        <v>23</v>
      </c>
      <c r="C106" s="40" t="s">
        <v>23</v>
      </c>
      <c r="D106" s="35" t="s">
        <v>18</v>
      </c>
      <c r="E106" s="35" t="s">
        <v>18</v>
      </c>
      <c r="F106" s="35" t="s">
        <v>18</v>
      </c>
      <c r="G106" s="35" t="s">
        <v>18</v>
      </c>
      <c r="H106" s="35" t="s">
        <v>18</v>
      </c>
      <c r="I106" s="35" t="s">
        <v>18</v>
      </c>
      <c r="J106" s="35" t="s">
        <v>18</v>
      </c>
      <c r="K106" s="35" t="s">
        <v>18</v>
      </c>
      <c r="L106" s="35" t="s">
        <v>18</v>
      </c>
      <c r="M106" s="35" t="s">
        <v>18</v>
      </c>
      <c r="N106" s="35" t="s">
        <v>18</v>
      </c>
    </row>
    <row r="107" spans="1:14" s="6" customFormat="1" ht="40.5" x14ac:dyDescent="0.25">
      <c r="A107" s="34">
        <v>5</v>
      </c>
      <c r="B107" s="40" t="s">
        <v>25</v>
      </c>
      <c r="C107" s="40" t="s">
        <v>26</v>
      </c>
      <c r="D107" s="35">
        <v>1</v>
      </c>
      <c r="E107" s="35" t="s">
        <v>18</v>
      </c>
      <c r="F107" s="35">
        <v>1</v>
      </c>
      <c r="G107" s="35" t="s">
        <v>18</v>
      </c>
      <c r="H107" s="35" t="s">
        <v>813</v>
      </c>
      <c r="I107" s="35" t="s">
        <v>18</v>
      </c>
      <c r="J107" s="35" t="s">
        <v>18</v>
      </c>
      <c r="K107" s="35" t="s">
        <v>18</v>
      </c>
      <c r="L107" s="35" t="s">
        <v>18</v>
      </c>
      <c r="M107" s="35" t="s">
        <v>18</v>
      </c>
      <c r="N107" s="35">
        <v>1</v>
      </c>
    </row>
    <row r="108" spans="1:14" s="6" customFormat="1" ht="60.75" x14ac:dyDescent="0.25">
      <c r="A108" s="34">
        <v>6</v>
      </c>
      <c r="B108" s="40" t="s">
        <v>28</v>
      </c>
      <c r="C108" s="40" t="s">
        <v>31</v>
      </c>
      <c r="D108" s="35">
        <v>1</v>
      </c>
      <c r="E108" s="35" t="s">
        <v>18</v>
      </c>
      <c r="F108" s="35" t="s">
        <v>18</v>
      </c>
      <c r="G108" s="35">
        <v>1</v>
      </c>
      <c r="H108" s="35" t="s">
        <v>926</v>
      </c>
      <c r="I108" s="35">
        <v>1</v>
      </c>
      <c r="J108" s="35" t="s">
        <v>18</v>
      </c>
      <c r="K108" s="35" t="s">
        <v>18</v>
      </c>
      <c r="L108" s="35" t="s">
        <v>18</v>
      </c>
      <c r="M108" s="35" t="s">
        <v>18</v>
      </c>
      <c r="N108" s="35" t="s">
        <v>18</v>
      </c>
    </row>
    <row r="109" spans="1:14" s="6" customFormat="1" ht="182.25" x14ac:dyDescent="0.25">
      <c r="A109" s="34">
        <v>7</v>
      </c>
      <c r="B109" s="40" t="s">
        <v>33</v>
      </c>
      <c r="C109" s="40" t="s">
        <v>33</v>
      </c>
      <c r="D109" s="35">
        <v>6</v>
      </c>
      <c r="E109" s="35" t="s">
        <v>18</v>
      </c>
      <c r="F109" s="35" t="s">
        <v>18</v>
      </c>
      <c r="G109" s="35">
        <v>6</v>
      </c>
      <c r="H109" s="35" t="s">
        <v>872</v>
      </c>
      <c r="I109" s="35" t="s">
        <v>18</v>
      </c>
      <c r="J109" s="35" t="s">
        <v>18</v>
      </c>
      <c r="K109" s="35">
        <v>2</v>
      </c>
      <c r="L109" s="35" t="s">
        <v>18</v>
      </c>
      <c r="M109" s="35">
        <v>6</v>
      </c>
      <c r="N109" s="35">
        <v>2</v>
      </c>
    </row>
    <row r="110" spans="1:14" s="6" customFormat="1" ht="20.25" x14ac:dyDescent="0.25">
      <c r="A110" s="34">
        <v>8</v>
      </c>
      <c r="B110" s="40" t="s">
        <v>38</v>
      </c>
      <c r="C110" s="40" t="s">
        <v>38</v>
      </c>
      <c r="D110" s="35">
        <v>1</v>
      </c>
      <c r="E110" s="35" t="s">
        <v>18</v>
      </c>
      <c r="F110" s="35" t="s">
        <v>18</v>
      </c>
      <c r="G110" s="35">
        <v>1</v>
      </c>
      <c r="H110" s="35" t="s">
        <v>943</v>
      </c>
      <c r="I110" s="35" t="s">
        <v>18</v>
      </c>
      <c r="J110" s="35" t="s">
        <v>18</v>
      </c>
      <c r="K110" s="35" t="s">
        <v>18</v>
      </c>
      <c r="L110" s="35" t="s">
        <v>18</v>
      </c>
      <c r="M110" s="35" t="s">
        <v>18</v>
      </c>
      <c r="N110" s="35">
        <v>1</v>
      </c>
    </row>
    <row r="111" spans="1:14" s="6" customFormat="1" ht="243" x14ac:dyDescent="0.25">
      <c r="A111" s="34">
        <v>9</v>
      </c>
      <c r="B111" s="40" t="s">
        <v>88</v>
      </c>
      <c r="C111" s="40" t="s">
        <v>40</v>
      </c>
      <c r="D111" s="35">
        <v>3</v>
      </c>
      <c r="E111" s="35" t="s">
        <v>18</v>
      </c>
      <c r="F111" s="35">
        <v>1</v>
      </c>
      <c r="G111" s="35">
        <v>2</v>
      </c>
      <c r="H111" s="35" t="s">
        <v>949</v>
      </c>
      <c r="I111" s="35">
        <v>4</v>
      </c>
      <c r="J111" s="35" t="s">
        <v>18</v>
      </c>
      <c r="K111" s="35" t="s">
        <v>18</v>
      </c>
      <c r="L111" s="35" t="s">
        <v>18</v>
      </c>
      <c r="M111" s="35">
        <v>1</v>
      </c>
      <c r="N111" s="35">
        <v>1</v>
      </c>
    </row>
    <row r="112" spans="1:14" s="6" customFormat="1" ht="60.75" x14ac:dyDescent="0.25">
      <c r="A112" s="34">
        <v>10</v>
      </c>
      <c r="B112" s="40" t="s">
        <v>43</v>
      </c>
      <c r="C112" s="40" t="s">
        <v>44</v>
      </c>
      <c r="D112" s="35">
        <v>3</v>
      </c>
      <c r="E112" s="35" t="s">
        <v>18</v>
      </c>
      <c r="F112" s="35">
        <v>2</v>
      </c>
      <c r="G112" s="35">
        <v>1</v>
      </c>
      <c r="H112" s="35" t="s">
        <v>905</v>
      </c>
      <c r="I112" s="35">
        <v>1</v>
      </c>
      <c r="J112" s="35" t="s">
        <v>18</v>
      </c>
      <c r="K112" s="35" t="s">
        <v>18</v>
      </c>
      <c r="L112" s="35" t="s">
        <v>18</v>
      </c>
      <c r="M112" s="35">
        <v>4</v>
      </c>
      <c r="N112" s="35" t="s">
        <v>18</v>
      </c>
    </row>
    <row r="113" spans="1:14" s="6" customFormat="1" ht="20.25" x14ac:dyDescent="0.25">
      <c r="A113" s="34">
        <v>11</v>
      </c>
      <c r="B113" s="40" t="s">
        <v>46</v>
      </c>
      <c r="C113" s="40" t="s">
        <v>47</v>
      </c>
      <c r="D113" s="35" t="s">
        <v>18</v>
      </c>
      <c r="E113" s="35" t="s">
        <v>18</v>
      </c>
      <c r="F113" s="35" t="s">
        <v>18</v>
      </c>
      <c r="G113" s="35" t="s">
        <v>18</v>
      </c>
      <c r="H113" s="35" t="s">
        <v>18</v>
      </c>
      <c r="I113" s="35" t="s">
        <v>18</v>
      </c>
      <c r="J113" s="35" t="s">
        <v>18</v>
      </c>
      <c r="K113" s="35" t="s">
        <v>18</v>
      </c>
      <c r="L113" s="35" t="s">
        <v>18</v>
      </c>
      <c r="M113" s="35" t="s">
        <v>18</v>
      </c>
      <c r="N113" s="35" t="s">
        <v>18</v>
      </c>
    </row>
    <row r="114" spans="1:14" s="6" customFormat="1" ht="283.5" x14ac:dyDescent="0.25">
      <c r="A114" s="34">
        <v>12</v>
      </c>
      <c r="B114" s="40" t="s">
        <v>49</v>
      </c>
      <c r="C114" s="40" t="s">
        <v>51</v>
      </c>
      <c r="D114" s="35">
        <v>5</v>
      </c>
      <c r="E114" s="35" t="s">
        <v>18</v>
      </c>
      <c r="F114" s="35">
        <v>3</v>
      </c>
      <c r="G114" s="35">
        <v>2</v>
      </c>
      <c r="H114" s="35" t="s">
        <v>995</v>
      </c>
      <c r="I114" s="35">
        <v>4</v>
      </c>
      <c r="J114" s="92" t="s">
        <v>18</v>
      </c>
      <c r="K114" s="35">
        <v>4</v>
      </c>
      <c r="L114" s="35" t="s">
        <v>18</v>
      </c>
      <c r="M114" s="35">
        <v>4</v>
      </c>
      <c r="N114" s="35" t="s">
        <v>18</v>
      </c>
    </row>
    <row r="115" spans="1:14" s="6" customFormat="1" ht="162" x14ac:dyDescent="0.25">
      <c r="A115" s="34">
        <v>13</v>
      </c>
      <c r="B115" s="40" t="s">
        <v>52</v>
      </c>
      <c r="C115" s="40" t="s">
        <v>53</v>
      </c>
      <c r="D115" s="35" t="s">
        <v>18</v>
      </c>
      <c r="E115" s="35" t="s">
        <v>18</v>
      </c>
      <c r="F115" s="35" t="s">
        <v>18</v>
      </c>
      <c r="G115" s="35" t="s">
        <v>18</v>
      </c>
      <c r="H115" s="35" t="s">
        <v>1042</v>
      </c>
      <c r="I115" s="35" t="s">
        <v>18</v>
      </c>
      <c r="J115" s="35" t="s">
        <v>18</v>
      </c>
      <c r="K115" s="35" t="s">
        <v>18</v>
      </c>
      <c r="L115" s="35" t="s">
        <v>18</v>
      </c>
      <c r="M115" s="35" t="s">
        <v>18</v>
      </c>
      <c r="N115" s="35" t="s">
        <v>18</v>
      </c>
    </row>
    <row r="116" spans="1:14" ht="20.25" x14ac:dyDescent="0.25">
      <c r="B116" s="40" t="s">
        <v>102</v>
      </c>
      <c r="D116" s="35">
        <f>SUM(D103:D115)</f>
        <v>27</v>
      </c>
      <c r="E116" s="35">
        <f t="shared" ref="E116:N116" si="5">SUM(E103:E115)</f>
        <v>0</v>
      </c>
      <c r="F116" s="35">
        <f t="shared" si="5"/>
        <v>9</v>
      </c>
      <c r="G116" s="35">
        <f t="shared" si="5"/>
        <v>18</v>
      </c>
      <c r="H116" s="35">
        <f t="shared" si="5"/>
        <v>0</v>
      </c>
      <c r="I116" s="35">
        <f t="shared" si="5"/>
        <v>16</v>
      </c>
      <c r="J116" s="35">
        <f t="shared" si="5"/>
        <v>0</v>
      </c>
      <c r="K116" s="35">
        <f t="shared" si="5"/>
        <v>32</v>
      </c>
      <c r="L116" s="35">
        <f t="shared" si="5"/>
        <v>1</v>
      </c>
      <c r="M116" s="35">
        <f t="shared" si="5"/>
        <v>41</v>
      </c>
      <c r="N116" s="35">
        <f t="shared" si="5"/>
        <v>6</v>
      </c>
    </row>
  </sheetData>
  <mergeCells count="60">
    <mergeCell ref="A10:N10"/>
    <mergeCell ref="A11:A12"/>
    <mergeCell ref="B11:B12"/>
    <mergeCell ref="C11:C12"/>
    <mergeCell ref="D11:D12"/>
    <mergeCell ref="E11:G11"/>
    <mergeCell ref="H11:H12"/>
    <mergeCell ref="I11:J11"/>
    <mergeCell ref="K11:L11"/>
    <mergeCell ref="M11:N11"/>
    <mergeCell ref="A2:N2"/>
    <mergeCell ref="A3:A4"/>
    <mergeCell ref="B3:B4"/>
    <mergeCell ref="C3:C4"/>
    <mergeCell ref="D3:D4"/>
    <mergeCell ref="E3:G3"/>
    <mergeCell ref="H3:H4"/>
    <mergeCell ref="I3:J3"/>
    <mergeCell ref="K3:L3"/>
    <mergeCell ref="M3:N3"/>
    <mergeCell ref="A100:N100"/>
    <mergeCell ref="A101:A102"/>
    <mergeCell ref="B101:B102"/>
    <mergeCell ref="C101:C102"/>
    <mergeCell ref="D101:D102"/>
    <mergeCell ref="E101:G101"/>
    <mergeCell ref="H101:H102"/>
    <mergeCell ref="I101:J101"/>
    <mergeCell ref="K101:L101"/>
    <mergeCell ref="M101:N101"/>
    <mergeCell ref="K81:L81"/>
    <mergeCell ref="M81:N81"/>
    <mergeCell ref="A81:A82"/>
    <mergeCell ref="B81:B82"/>
    <mergeCell ref="A80:N80"/>
    <mergeCell ref="C81:C82"/>
    <mergeCell ref="D81:D82"/>
    <mergeCell ref="E81:G81"/>
    <mergeCell ref="H81:H82"/>
    <mergeCell ref="I81:J81"/>
    <mergeCell ref="A60:N60"/>
    <mergeCell ref="A61:A62"/>
    <mergeCell ref="B61:B62"/>
    <mergeCell ref="C61:C62"/>
    <mergeCell ref="D61:D62"/>
    <mergeCell ref="E61:G61"/>
    <mergeCell ref="H61:H62"/>
    <mergeCell ref="I61:J61"/>
    <mergeCell ref="K61:L61"/>
    <mergeCell ref="M61:N61"/>
    <mergeCell ref="A35:N35"/>
    <mergeCell ref="A36:A37"/>
    <mergeCell ref="B36:B37"/>
    <mergeCell ref="C36:C37"/>
    <mergeCell ref="D36:D37"/>
    <mergeCell ref="E36:G36"/>
    <mergeCell ref="H36:H37"/>
    <mergeCell ref="I36:J36"/>
    <mergeCell ref="K36:L36"/>
    <mergeCell ref="M36:N36"/>
  </mergeCells>
  <pageMargins left="0.27559055118110237" right="0.23622047244094491" top="0.31496062992125984" bottom="0.15748031496062992" header="0.31496062992125984" footer="0.23622047244094491"/>
  <pageSetup paperSize="9" scale="85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9"/>
  <sheetViews>
    <sheetView workbookViewId="0">
      <selection activeCell="F4" sqref="F4"/>
    </sheetView>
  </sheetViews>
  <sheetFormatPr defaultColWidth="9.140625" defaultRowHeight="15" x14ac:dyDescent="0.25"/>
  <cols>
    <col min="1" max="1" width="6.7109375" style="2" customWidth="1"/>
    <col min="2" max="2" width="17.140625" style="2" customWidth="1"/>
    <col min="3" max="3" width="17.42578125" style="2" customWidth="1"/>
    <col min="4" max="4" width="16.140625" style="2" customWidth="1"/>
    <col min="5" max="5" width="15.42578125" style="2" bestFit="1" customWidth="1"/>
    <col min="6" max="9" width="17.42578125" style="2" customWidth="1"/>
    <col min="10" max="16384" width="9.140625" style="2"/>
  </cols>
  <sheetData>
    <row r="1" spans="1:9" ht="19.5" customHeight="1" x14ac:dyDescent="0.25"/>
    <row r="2" spans="1:9" s="60" customFormat="1" ht="44.25" customHeight="1" x14ac:dyDescent="0.25">
      <c r="A2" s="530" t="s">
        <v>1651</v>
      </c>
      <c r="B2" s="531"/>
      <c r="C2" s="531"/>
      <c r="D2" s="531"/>
      <c r="E2" s="531"/>
      <c r="F2" s="531"/>
      <c r="G2" s="531"/>
      <c r="H2" s="531"/>
      <c r="I2" s="532"/>
    </row>
    <row r="3" spans="1:9" s="4" customFormat="1" ht="53.25" customHeight="1" x14ac:dyDescent="0.25">
      <c r="A3" s="35" t="s">
        <v>189</v>
      </c>
      <c r="B3" s="35" t="s">
        <v>1</v>
      </c>
      <c r="C3" s="35" t="s">
        <v>67</v>
      </c>
      <c r="D3" s="35" t="s">
        <v>68</v>
      </c>
      <c r="E3" s="35" t="s">
        <v>69</v>
      </c>
      <c r="F3" s="35" t="s">
        <v>70</v>
      </c>
      <c r="G3" s="35" t="s">
        <v>71</v>
      </c>
      <c r="H3" s="35" t="s">
        <v>72</v>
      </c>
      <c r="I3" s="35" t="s">
        <v>192</v>
      </c>
    </row>
    <row r="4" spans="1:9" s="4" customFormat="1" ht="20.25" x14ac:dyDescent="0.25">
      <c r="A4" s="34">
        <v>1</v>
      </c>
      <c r="B4" s="458" t="s">
        <v>66</v>
      </c>
      <c r="C4" s="459" t="s">
        <v>18</v>
      </c>
      <c r="D4" s="459" t="s">
        <v>18</v>
      </c>
      <c r="E4" s="459" t="s">
        <v>18</v>
      </c>
      <c r="F4" s="459" t="s">
        <v>18</v>
      </c>
      <c r="G4" s="459" t="s">
        <v>18</v>
      </c>
      <c r="H4" s="459" t="s">
        <v>18</v>
      </c>
      <c r="I4" s="459" t="s">
        <v>18</v>
      </c>
    </row>
    <row r="5" spans="1:9" s="4" customFormat="1" ht="19.5" customHeight="1" x14ac:dyDescent="0.25">
      <c r="A5" s="34">
        <v>2</v>
      </c>
      <c r="B5" s="40" t="s">
        <v>20</v>
      </c>
      <c r="C5" s="35" t="s">
        <v>18</v>
      </c>
      <c r="D5" s="35" t="s">
        <v>18</v>
      </c>
      <c r="E5" s="35" t="s">
        <v>18</v>
      </c>
      <c r="F5" s="35" t="s">
        <v>18</v>
      </c>
      <c r="G5" s="35" t="s">
        <v>18</v>
      </c>
      <c r="H5" s="35" t="s">
        <v>18</v>
      </c>
      <c r="I5" s="35" t="s">
        <v>18</v>
      </c>
    </row>
    <row r="6" spans="1:9" s="4" customFormat="1" ht="20.25" x14ac:dyDescent="0.25">
      <c r="A6" s="34">
        <v>3</v>
      </c>
      <c r="B6" s="40" t="s">
        <v>21</v>
      </c>
      <c r="C6" s="35" t="s">
        <v>18</v>
      </c>
      <c r="D6" s="35" t="s">
        <v>18</v>
      </c>
      <c r="E6" s="35" t="s">
        <v>18</v>
      </c>
      <c r="F6" s="35" t="s">
        <v>18</v>
      </c>
      <c r="G6" s="35" t="s">
        <v>18</v>
      </c>
      <c r="H6" s="35" t="s">
        <v>18</v>
      </c>
      <c r="I6" s="35" t="s">
        <v>18</v>
      </c>
    </row>
    <row r="7" spans="1:9" s="4" customFormat="1" ht="19.5" customHeight="1" x14ac:dyDescent="0.25">
      <c r="A7" s="34">
        <v>4</v>
      </c>
      <c r="B7" s="40" t="s">
        <v>23</v>
      </c>
      <c r="C7" s="35" t="s">
        <v>18</v>
      </c>
      <c r="D7" s="35" t="s">
        <v>18</v>
      </c>
      <c r="E7" s="35" t="s">
        <v>18</v>
      </c>
      <c r="F7" s="35" t="s">
        <v>18</v>
      </c>
      <c r="G7" s="35" t="s">
        <v>18</v>
      </c>
      <c r="H7" s="35" t="s">
        <v>18</v>
      </c>
      <c r="I7" s="35" t="s">
        <v>18</v>
      </c>
    </row>
    <row r="8" spans="1:9" s="4" customFormat="1" ht="20.25" x14ac:dyDescent="0.25">
      <c r="A8" s="34">
        <v>5</v>
      </c>
      <c r="B8" s="40" t="s">
        <v>25</v>
      </c>
      <c r="C8" s="35" t="s">
        <v>18</v>
      </c>
      <c r="D8" s="35" t="s">
        <v>18</v>
      </c>
      <c r="E8" s="35" t="s">
        <v>18</v>
      </c>
      <c r="F8" s="35" t="s">
        <v>18</v>
      </c>
      <c r="G8" s="35" t="s">
        <v>18</v>
      </c>
      <c r="H8" s="35" t="s">
        <v>18</v>
      </c>
      <c r="I8" s="35" t="s">
        <v>18</v>
      </c>
    </row>
    <row r="9" spans="1:9" s="4" customFormat="1" ht="20.25" x14ac:dyDescent="0.25">
      <c r="A9" s="34">
        <v>6</v>
      </c>
      <c r="B9" s="40" t="s">
        <v>28</v>
      </c>
      <c r="C9" s="35" t="s">
        <v>18</v>
      </c>
      <c r="D9" s="35" t="s">
        <v>18</v>
      </c>
      <c r="E9" s="35" t="s">
        <v>18</v>
      </c>
      <c r="F9" s="35" t="s">
        <v>18</v>
      </c>
      <c r="G9" s="35" t="s">
        <v>18</v>
      </c>
      <c r="H9" s="35" t="s">
        <v>18</v>
      </c>
      <c r="I9" s="35" t="s">
        <v>18</v>
      </c>
    </row>
    <row r="10" spans="1:9" s="4" customFormat="1" ht="20.25" x14ac:dyDescent="0.25">
      <c r="A10" s="34">
        <v>7</v>
      </c>
      <c r="B10" s="40" t="s">
        <v>33</v>
      </c>
      <c r="C10" s="35" t="s">
        <v>18</v>
      </c>
      <c r="D10" s="35" t="s">
        <v>18</v>
      </c>
      <c r="E10" s="35" t="s">
        <v>18</v>
      </c>
      <c r="F10" s="35" t="s">
        <v>18</v>
      </c>
      <c r="G10" s="35" t="s">
        <v>18</v>
      </c>
      <c r="H10" s="35" t="s">
        <v>18</v>
      </c>
      <c r="I10" s="35" t="s">
        <v>18</v>
      </c>
    </row>
    <row r="11" spans="1:9" s="4" customFormat="1" ht="19.5" customHeight="1" x14ac:dyDescent="0.25">
      <c r="A11" s="34">
        <v>8</v>
      </c>
      <c r="B11" s="40" t="s">
        <v>38</v>
      </c>
      <c r="C11" s="35" t="s">
        <v>18</v>
      </c>
      <c r="D11" s="35" t="s">
        <v>18</v>
      </c>
      <c r="E11" s="35" t="s">
        <v>18</v>
      </c>
      <c r="F11" s="35" t="s">
        <v>18</v>
      </c>
      <c r="G11" s="35" t="s">
        <v>18</v>
      </c>
      <c r="H11" s="35" t="s">
        <v>18</v>
      </c>
      <c r="I11" s="35" t="s">
        <v>18</v>
      </c>
    </row>
    <row r="12" spans="1:9" s="4" customFormat="1" ht="19.5" customHeight="1" x14ac:dyDescent="0.25">
      <c r="A12" s="34">
        <v>9</v>
      </c>
      <c r="B12" s="40" t="s">
        <v>88</v>
      </c>
      <c r="C12" s="35" t="s">
        <v>18</v>
      </c>
      <c r="D12" s="35" t="s">
        <v>18</v>
      </c>
      <c r="E12" s="35" t="s">
        <v>18</v>
      </c>
      <c r="F12" s="35" t="s">
        <v>18</v>
      </c>
      <c r="G12" s="35" t="s">
        <v>18</v>
      </c>
      <c r="H12" s="35" t="s">
        <v>18</v>
      </c>
      <c r="I12" s="35" t="s">
        <v>18</v>
      </c>
    </row>
    <row r="13" spans="1:9" s="4" customFormat="1" ht="19.5" customHeight="1" x14ac:dyDescent="0.25">
      <c r="A13" s="34">
        <v>10</v>
      </c>
      <c r="B13" s="40" t="s">
        <v>43</v>
      </c>
      <c r="C13" s="35" t="s">
        <v>18</v>
      </c>
      <c r="D13" s="35" t="s">
        <v>18</v>
      </c>
      <c r="E13" s="35" t="s">
        <v>18</v>
      </c>
      <c r="F13" s="35" t="s">
        <v>18</v>
      </c>
      <c r="G13" s="35" t="s">
        <v>18</v>
      </c>
      <c r="H13" s="35" t="s">
        <v>18</v>
      </c>
      <c r="I13" s="35" t="s">
        <v>18</v>
      </c>
    </row>
    <row r="14" spans="1:9" s="4" customFormat="1" ht="20.25" x14ac:dyDescent="0.25">
      <c r="A14" s="34">
        <v>11</v>
      </c>
      <c r="B14" s="40" t="s">
        <v>46</v>
      </c>
      <c r="C14" s="35" t="s">
        <v>18</v>
      </c>
      <c r="D14" s="35" t="s">
        <v>18</v>
      </c>
      <c r="E14" s="35" t="s">
        <v>18</v>
      </c>
      <c r="F14" s="35" t="s">
        <v>18</v>
      </c>
      <c r="G14" s="35" t="s">
        <v>18</v>
      </c>
      <c r="H14" s="35" t="s">
        <v>18</v>
      </c>
      <c r="I14" s="35" t="s">
        <v>18</v>
      </c>
    </row>
    <row r="15" spans="1:9" s="4" customFormat="1" ht="20.25" x14ac:dyDescent="0.25">
      <c r="A15" s="34">
        <v>12</v>
      </c>
      <c r="B15" s="40" t="s">
        <v>49</v>
      </c>
      <c r="C15" s="35" t="s">
        <v>18</v>
      </c>
      <c r="D15" s="35" t="s">
        <v>18</v>
      </c>
      <c r="E15" s="35" t="s">
        <v>18</v>
      </c>
      <c r="F15" s="35" t="s">
        <v>18</v>
      </c>
      <c r="G15" s="35" t="s">
        <v>18</v>
      </c>
      <c r="H15" s="35" t="s">
        <v>18</v>
      </c>
      <c r="I15" s="35" t="s">
        <v>18</v>
      </c>
    </row>
    <row r="16" spans="1:9" ht="20.25" x14ac:dyDescent="0.25">
      <c r="A16" s="34">
        <v>13</v>
      </c>
      <c r="B16" s="40" t="s">
        <v>468</v>
      </c>
      <c r="C16" s="35" t="s">
        <v>18</v>
      </c>
      <c r="D16" s="35" t="s">
        <v>18</v>
      </c>
      <c r="E16" s="35" t="s">
        <v>18</v>
      </c>
      <c r="F16" s="35" t="s">
        <v>18</v>
      </c>
      <c r="G16" s="35" t="s">
        <v>18</v>
      </c>
      <c r="H16" s="35" t="s">
        <v>18</v>
      </c>
      <c r="I16" s="35" t="s">
        <v>18</v>
      </c>
    </row>
    <row r="18" spans="1:9" ht="19.5" customHeight="1" x14ac:dyDescent="0.25"/>
    <row r="19" spans="1:9" ht="19.5" customHeight="1" x14ac:dyDescent="0.25"/>
    <row r="20" spans="1:9" s="60" customFormat="1" ht="44.25" customHeight="1" x14ac:dyDescent="0.25">
      <c r="A20" s="530" t="s">
        <v>1478</v>
      </c>
      <c r="B20" s="531"/>
      <c r="C20" s="531"/>
      <c r="D20" s="531"/>
      <c r="E20" s="531"/>
      <c r="F20" s="531"/>
      <c r="G20" s="531"/>
      <c r="H20" s="531"/>
      <c r="I20" s="532"/>
    </row>
    <row r="21" spans="1:9" s="4" customFormat="1" ht="53.25" customHeight="1" x14ac:dyDescent="0.25">
      <c r="A21" s="35" t="s">
        <v>189</v>
      </c>
      <c r="B21" s="35" t="s">
        <v>1</v>
      </c>
      <c r="C21" s="35" t="s">
        <v>67</v>
      </c>
      <c r="D21" s="35" t="s">
        <v>68</v>
      </c>
      <c r="E21" s="35" t="s">
        <v>69</v>
      </c>
      <c r="F21" s="35" t="s">
        <v>70</v>
      </c>
      <c r="G21" s="35" t="s">
        <v>71</v>
      </c>
      <c r="H21" s="35" t="s">
        <v>72</v>
      </c>
      <c r="I21" s="35" t="s">
        <v>192</v>
      </c>
    </row>
    <row r="22" spans="1:9" s="4" customFormat="1" ht="20.25" x14ac:dyDescent="0.25">
      <c r="A22" s="34">
        <v>1</v>
      </c>
      <c r="B22" s="40" t="s">
        <v>66</v>
      </c>
      <c r="C22" s="35" t="s">
        <v>18</v>
      </c>
      <c r="D22" s="35" t="s">
        <v>18</v>
      </c>
      <c r="E22" s="35" t="s">
        <v>18</v>
      </c>
      <c r="F22" s="35" t="s">
        <v>18</v>
      </c>
      <c r="G22" s="35" t="s">
        <v>18</v>
      </c>
      <c r="H22" s="35" t="s">
        <v>18</v>
      </c>
      <c r="I22" s="35" t="s">
        <v>18</v>
      </c>
    </row>
    <row r="23" spans="1:9" s="4" customFormat="1" ht="19.5" customHeight="1" x14ac:dyDescent="0.25">
      <c r="A23" s="34">
        <v>2</v>
      </c>
      <c r="B23" s="40" t="s">
        <v>20</v>
      </c>
      <c r="C23" s="35" t="s">
        <v>18</v>
      </c>
      <c r="D23" s="35" t="s">
        <v>18</v>
      </c>
      <c r="E23" s="35" t="s">
        <v>18</v>
      </c>
      <c r="F23" s="35" t="s">
        <v>18</v>
      </c>
      <c r="G23" s="35" t="s">
        <v>18</v>
      </c>
      <c r="H23" s="35" t="s">
        <v>18</v>
      </c>
      <c r="I23" s="35" t="s">
        <v>18</v>
      </c>
    </row>
    <row r="24" spans="1:9" s="4" customFormat="1" ht="20.25" x14ac:dyDescent="0.25">
      <c r="A24" s="34">
        <v>3</v>
      </c>
      <c r="B24" s="40" t="s">
        <v>21</v>
      </c>
      <c r="C24" s="35" t="s">
        <v>18</v>
      </c>
      <c r="D24" s="35" t="s">
        <v>18</v>
      </c>
      <c r="E24" s="35" t="s">
        <v>18</v>
      </c>
      <c r="F24" s="35" t="s">
        <v>18</v>
      </c>
      <c r="G24" s="35" t="s">
        <v>18</v>
      </c>
      <c r="H24" s="35" t="s">
        <v>18</v>
      </c>
      <c r="I24" s="35" t="s">
        <v>18</v>
      </c>
    </row>
    <row r="25" spans="1:9" s="4" customFormat="1" ht="19.5" customHeight="1" x14ac:dyDescent="0.25">
      <c r="A25" s="34">
        <v>4</v>
      </c>
      <c r="B25" s="40" t="s">
        <v>23</v>
      </c>
      <c r="C25" s="35" t="s">
        <v>18</v>
      </c>
      <c r="D25" s="35" t="s">
        <v>18</v>
      </c>
      <c r="E25" s="35" t="s">
        <v>18</v>
      </c>
      <c r="F25" s="35" t="s">
        <v>18</v>
      </c>
      <c r="G25" s="35" t="s">
        <v>18</v>
      </c>
      <c r="H25" s="35" t="s">
        <v>18</v>
      </c>
      <c r="I25" s="35" t="s">
        <v>18</v>
      </c>
    </row>
    <row r="26" spans="1:9" s="4" customFormat="1" ht="20.25" x14ac:dyDescent="0.25">
      <c r="A26" s="34">
        <v>5</v>
      </c>
      <c r="B26" s="40" t="s">
        <v>25</v>
      </c>
      <c r="C26" s="35" t="s">
        <v>18</v>
      </c>
      <c r="D26" s="35" t="s">
        <v>18</v>
      </c>
      <c r="E26" s="35" t="s">
        <v>18</v>
      </c>
      <c r="F26" s="35" t="s">
        <v>18</v>
      </c>
      <c r="G26" s="35" t="s">
        <v>18</v>
      </c>
      <c r="H26" s="35" t="s">
        <v>18</v>
      </c>
      <c r="I26" s="35" t="s">
        <v>18</v>
      </c>
    </row>
    <row r="27" spans="1:9" s="4" customFormat="1" ht="20.25" x14ac:dyDescent="0.25">
      <c r="A27" s="34">
        <v>6</v>
      </c>
      <c r="B27" s="40" t="s">
        <v>28</v>
      </c>
      <c r="C27" s="35" t="s">
        <v>18</v>
      </c>
      <c r="D27" s="35" t="s">
        <v>18</v>
      </c>
      <c r="E27" s="35" t="s">
        <v>18</v>
      </c>
      <c r="F27" s="35" t="s">
        <v>18</v>
      </c>
      <c r="G27" s="35" t="s">
        <v>18</v>
      </c>
      <c r="H27" s="35" t="s">
        <v>18</v>
      </c>
      <c r="I27" s="35" t="s">
        <v>18</v>
      </c>
    </row>
    <row r="28" spans="1:9" s="4" customFormat="1" ht="20.25" x14ac:dyDescent="0.25">
      <c r="A28" s="34">
        <v>7</v>
      </c>
      <c r="B28" s="40" t="s">
        <v>33</v>
      </c>
      <c r="C28" s="35" t="s">
        <v>18</v>
      </c>
      <c r="D28" s="35" t="s">
        <v>18</v>
      </c>
      <c r="E28" s="35" t="s">
        <v>18</v>
      </c>
      <c r="F28" s="35" t="s">
        <v>18</v>
      </c>
      <c r="G28" s="35" t="s">
        <v>18</v>
      </c>
      <c r="H28" s="35" t="s">
        <v>18</v>
      </c>
      <c r="I28" s="35" t="s">
        <v>18</v>
      </c>
    </row>
    <row r="29" spans="1:9" s="4" customFormat="1" ht="19.5" customHeight="1" x14ac:dyDescent="0.25">
      <c r="A29" s="34">
        <v>8</v>
      </c>
      <c r="B29" s="40" t="s">
        <v>38</v>
      </c>
      <c r="C29" s="35" t="s">
        <v>18</v>
      </c>
      <c r="D29" s="35" t="s">
        <v>18</v>
      </c>
      <c r="E29" s="35" t="s">
        <v>18</v>
      </c>
      <c r="F29" s="35" t="s">
        <v>18</v>
      </c>
      <c r="G29" s="35" t="s">
        <v>18</v>
      </c>
      <c r="H29" s="35" t="s">
        <v>18</v>
      </c>
      <c r="I29" s="35" t="s">
        <v>18</v>
      </c>
    </row>
    <row r="30" spans="1:9" s="4" customFormat="1" ht="19.5" customHeight="1" x14ac:dyDescent="0.25">
      <c r="A30" s="34">
        <v>9</v>
      </c>
      <c r="B30" s="40" t="s">
        <v>88</v>
      </c>
      <c r="C30" s="35" t="s">
        <v>18</v>
      </c>
      <c r="D30" s="35" t="s">
        <v>18</v>
      </c>
      <c r="E30" s="35" t="s">
        <v>18</v>
      </c>
      <c r="F30" s="35" t="s">
        <v>18</v>
      </c>
      <c r="G30" s="35" t="s">
        <v>18</v>
      </c>
      <c r="H30" s="35" t="s">
        <v>18</v>
      </c>
      <c r="I30" s="35" t="s">
        <v>18</v>
      </c>
    </row>
    <row r="31" spans="1:9" s="4" customFormat="1" ht="19.5" customHeight="1" thickBot="1" x14ac:dyDescent="0.3">
      <c r="A31" s="34">
        <v>10</v>
      </c>
      <c r="B31" s="40" t="s">
        <v>43</v>
      </c>
      <c r="C31" s="35" t="s">
        <v>18</v>
      </c>
      <c r="D31" s="35" t="s">
        <v>18</v>
      </c>
      <c r="E31" s="35" t="s">
        <v>18</v>
      </c>
      <c r="F31" s="35" t="s">
        <v>18</v>
      </c>
      <c r="G31" s="35" t="s">
        <v>18</v>
      </c>
      <c r="H31" s="35" t="s">
        <v>18</v>
      </c>
      <c r="I31" s="35" t="s">
        <v>18</v>
      </c>
    </row>
    <row r="32" spans="1:9" s="4" customFormat="1" ht="44.25" thickBot="1" x14ac:dyDescent="0.3">
      <c r="A32" s="34">
        <v>11</v>
      </c>
      <c r="B32" s="40" t="s">
        <v>46</v>
      </c>
      <c r="C32" s="382" t="s">
        <v>1492</v>
      </c>
      <c r="D32" s="383" t="s">
        <v>1493</v>
      </c>
      <c r="E32" s="383" t="s">
        <v>1494</v>
      </c>
      <c r="F32" s="384">
        <v>45777</v>
      </c>
      <c r="G32" s="35" t="s">
        <v>18</v>
      </c>
      <c r="H32" s="35" t="s">
        <v>18</v>
      </c>
      <c r="I32" s="35" t="s">
        <v>18</v>
      </c>
    </row>
    <row r="33" spans="1:9" s="4" customFormat="1" ht="20.25" x14ac:dyDescent="0.25">
      <c r="A33" s="34">
        <v>12</v>
      </c>
      <c r="B33" s="40" t="s">
        <v>49</v>
      </c>
      <c r="C33" s="35" t="s">
        <v>18</v>
      </c>
      <c r="D33" s="35" t="s">
        <v>18</v>
      </c>
      <c r="E33" s="35" t="s">
        <v>18</v>
      </c>
      <c r="F33" s="35" t="s">
        <v>18</v>
      </c>
      <c r="G33" s="35" t="s">
        <v>18</v>
      </c>
      <c r="H33" s="35" t="s">
        <v>18</v>
      </c>
      <c r="I33" s="35" t="s">
        <v>18</v>
      </c>
    </row>
    <row r="34" spans="1:9" ht="20.25" x14ac:dyDescent="0.25">
      <c r="A34" s="34">
        <v>13</v>
      </c>
      <c r="B34" s="40" t="s">
        <v>468</v>
      </c>
      <c r="C34" s="35" t="s">
        <v>18</v>
      </c>
      <c r="D34" s="35" t="s">
        <v>18</v>
      </c>
      <c r="E34" s="35" t="s">
        <v>18</v>
      </c>
      <c r="F34" s="35" t="s">
        <v>18</v>
      </c>
      <c r="G34" s="35" t="s">
        <v>18</v>
      </c>
      <c r="H34" s="35" t="s">
        <v>18</v>
      </c>
      <c r="I34" s="35" t="s">
        <v>18</v>
      </c>
    </row>
    <row r="36" spans="1:9" ht="19.5" customHeight="1" x14ac:dyDescent="0.25"/>
    <row r="37" spans="1:9" ht="19.5" customHeight="1" x14ac:dyDescent="0.25"/>
    <row r="38" spans="1:9" s="60" customFormat="1" ht="44.25" customHeight="1" x14ac:dyDescent="0.25">
      <c r="A38" s="530" t="s">
        <v>1229</v>
      </c>
      <c r="B38" s="531"/>
      <c r="C38" s="531"/>
      <c r="D38" s="531"/>
      <c r="E38" s="531"/>
      <c r="F38" s="531"/>
      <c r="G38" s="531"/>
      <c r="H38" s="531"/>
      <c r="I38" s="532"/>
    </row>
    <row r="39" spans="1:9" s="4" customFormat="1" ht="53.25" customHeight="1" x14ac:dyDescent="0.25">
      <c r="A39" s="35" t="s">
        <v>189</v>
      </c>
      <c r="B39" s="35" t="s">
        <v>1</v>
      </c>
      <c r="C39" s="35" t="s">
        <v>67</v>
      </c>
      <c r="D39" s="35" t="s">
        <v>68</v>
      </c>
      <c r="E39" s="35" t="s">
        <v>69</v>
      </c>
      <c r="F39" s="35" t="s">
        <v>70</v>
      </c>
      <c r="G39" s="35" t="s">
        <v>71</v>
      </c>
      <c r="H39" s="35" t="s">
        <v>72</v>
      </c>
      <c r="I39" s="35" t="s">
        <v>192</v>
      </c>
    </row>
    <row r="40" spans="1:9" s="4" customFormat="1" ht="20.25" x14ac:dyDescent="0.25">
      <c r="A40" s="34">
        <v>1</v>
      </c>
      <c r="B40" s="40" t="s">
        <v>66</v>
      </c>
      <c r="C40" s="35" t="s">
        <v>18</v>
      </c>
      <c r="D40" s="35" t="s">
        <v>18</v>
      </c>
      <c r="E40" s="35" t="s">
        <v>18</v>
      </c>
      <c r="F40" s="35" t="s">
        <v>18</v>
      </c>
      <c r="G40" s="35" t="s">
        <v>18</v>
      </c>
      <c r="H40" s="35" t="s">
        <v>18</v>
      </c>
      <c r="I40" s="35" t="s">
        <v>18</v>
      </c>
    </row>
    <row r="41" spans="1:9" s="4" customFormat="1" ht="19.5" customHeight="1" x14ac:dyDescent="0.25">
      <c r="A41" s="34">
        <v>2</v>
      </c>
      <c r="B41" s="40" t="s">
        <v>20</v>
      </c>
      <c r="C41" s="35" t="s">
        <v>18</v>
      </c>
      <c r="D41" s="35" t="s">
        <v>18</v>
      </c>
      <c r="E41" s="35" t="s">
        <v>18</v>
      </c>
      <c r="F41" s="35" t="s">
        <v>18</v>
      </c>
      <c r="G41" s="35" t="s">
        <v>18</v>
      </c>
      <c r="H41" s="35" t="s">
        <v>18</v>
      </c>
      <c r="I41" s="35" t="s">
        <v>18</v>
      </c>
    </row>
    <row r="42" spans="1:9" s="4" customFormat="1" ht="20.25" x14ac:dyDescent="0.25">
      <c r="A42" s="34">
        <v>3</v>
      </c>
      <c r="B42" s="40" t="s">
        <v>21</v>
      </c>
      <c r="C42" s="35" t="s">
        <v>18</v>
      </c>
      <c r="D42" s="35" t="s">
        <v>18</v>
      </c>
      <c r="E42" s="35" t="s">
        <v>18</v>
      </c>
      <c r="F42" s="35" t="s">
        <v>18</v>
      </c>
      <c r="G42" s="35" t="s">
        <v>18</v>
      </c>
      <c r="H42" s="35" t="s">
        <v>18</v>
      </c>
      <c r="I42" s="35" t="s">
        <v>18</v>
      </c>
    </row>
    <row r="43" spans="1:9" s="4" customFormat="1" ht="19.5" customHeight="1" x14ac:dyDescent="0.25">
      <c r="A43" s="34">
        <v>4</v>
      </c>
      <c r="B43" s="40" t="s">
        <v>23</v>
      </c>
      <c r="C43" s="35" t="s">
        <v>18</v>
      </c>
      <c r="D43" s="35" t="s">
        <v>18</v>
      </c>
      <c r="E43" s="35" t="s">
        <v>18</v>
      </c>
      <c r="F43" s="35" t="s">
        <v>18</v>
      </c>
      <c r="G43" s="35" t="s">
        <v>18</v>
      </c>
      <c r="H43" s="35" t="s">
        <v>18</v>
      </c>
      <c r="I43" s="35" t="s">
        <v>18</v>
      </c>
    </row>
    <row r="44" spans="1:9" s="4" customFormat="1" ht="20.25" x14ac:dyDescent="0.25">
      <c r="A44" s="34">
        <v>5</v>
      </c>
      <c r="B44" s="40" t="s">
        <v>25</v>
      </c>
      <c r="C44" s="35" t="s">
        <v>18</v>
      </c>
      <c r="D44" s="35" t="s">
        <v>18</v>
      </c>
      <c r="E44" s="35" t="s">
        <v>18</v>
      </c>
      <c r="F44" s="35" t="s">
        <v>18</v>
      </c>
      <c r="G44" s="35" t="s">
        <v>18</v>
      </c>
      <c r="H44" s="35" t="s">
        <v>18</v>
      </c>
      <c r="I44" s="35" t="s">
        <v>18</v>
      </c>
    </row>
    <row r="45" spans="1:9" s="4" customFormat="1" ht="20.25" x14ac:dyDescent="0.25">
      <c r="A45" s="34">
        <v>6</v>
      </c>
      <c r="B45" s="40" t="s">
        <v>28</v>
      </c>
      <c r="C45" s="35" t="s">
        <v>18</v>
      </c>
      <c r="D45" s="35" t="s">
        <v>18</v>
      </c>
      <c r="E45" s="35" t="s">
        <v>18</v>
      </c>
      <c r="F45" s="35" t="s">
        <v>18</v>
      </c>
      <c r="G45" s="35" t="s">
        <v>18</v>
      </c>
      <c r="H45" s="35" t="s">
        <v>18</v>
      </c>
      <c r="I45" s="35" t="s">
        <v>18</v>
      </c>
    </row>
    <row r="46" spans="1:9" s="4" customFormat="1" ht="40.5" x14ac:dyDescent="0.25">
      <c r="A46" s="34">
        <v>7</v>
      </c>
      <c r="B46" s="40" t="s">
        <v>33</v>
      </c>
      <c r="C46" s="35" t="s">
        <v>1245</v>
      </c>
      <c r="D46" s="35" t="s">
        <v>1246</v>
      </c>
      <c r="E46" s="35" t="s">
        <v>1247</v>
      </c>
      <c r="F46" s="128">
        <v>45747</v>
      </c>
      <c r="G46" s="35" t="s">
        <v>18</v>
      </c>
      <c r="H46" s="35" t="s">
        <v>18</v>
      </c>
      <c r="I46" s="35" t="s">
        <v>18</v>
      </c>
    </row>
    <row r="47" spans="1:9" s="4" customFormat="1" ht="19.5" customHeight="1" x14ac:dyDescent="0.25">
      <c r="A47" s="34">
        <v>8</v>
      </c>
      <c r="B47" s="40" t="s">
        <v>38</v>
      </c>
      <c r="C47" s="35" t="s">
        <v>18</v>
      </c>
      <c r="D47" s="35" t="s">
        <v>18</v>
      </c>
      <c r="E47" s="35" t="s">
        <v>18</v>
      </c>
      <c r="F47" s="35" t="s">
        <v>18</v>
      </c>
      <c r="G47" s="35" t="s">
        <v>18</v>
      </c>
      <c r="H47" s="35" t="s">
        <v>18</v>
      </c>
      <c r="I47" s="35" t="s">
        <v>18</v>
      </c>
    </row>
    <row r="48" spans="1:9" s="4" customFormat="1" ht="19.5" customHeight="1" x14ac:dyDescent="0.25">
      <c r="A48" s="34">
        <v>9</v>
      </c>
      <c r="B48" s="40" t="s">
        <v>88</v>
      </c>
      <c r="C48" s="35" t="s">
        <v>18</v>
      </c>
      <c r="D48" s="35" t="s">
        <v>18</v>
      </c>
      <c r="E48" s="35" t="s">
        <v>18</v>
      </c>
      <c r="F48" s="35" t="s">
        <v>18</v>
      </c>
      <c r="G48" s="35" t="s">
        <v>18</v>
      </c>
      <c r="H48" s="35" t="s">
        <v>18</v>
      </c>
      <c r="I48" s="35" t="s">
        <v>18</v>
      </c>
    </row>
    <row r="49" spans="1:9" s="4" customFormat="1" ht="19.5" customHeight="1" x14ac:dyDescent="0.25">
      <c r="A49" s="34">
        <v>10</v>
      </c>
      <c r="B49" s="40" t="s">
        <v>43</v>
      </c>
      <c r="C49" s="35" t="s">
        <v>18</v>
      </c>
      <c r="D49" s="35" t="s">
        <v>18</v>
      </c>
      <c r="E49" s="35" t="s">
        <v>18</v>
      </c>
      <c r="F49" s="35" t="s">
        <v>18</v>
      </c>
      <c r="G49" s="35" t="s">
        <v>18</v>
      </c>
      <c r="H49" s="35" t="s">
        <v>18</v>
      </c>
      <c r="I49" s="35" t="s">
        <v>18</v>
      </c>
    </row>
    <row r="50" spans="1:9" s="4" customFormat="1" ht="20.25" x14ac:dyDescent="0.25">
      <c r="A50" s="34">
        <v>11</v>
      </c>
      <c r="B50" s="40" t="s">
        <v>46</v>
      </c>
      <c r="C50" s="35" t="s">
        <v>18</v>
      </c>
      <c r="D50" s="35" t="s">
        <v>18</v>
      </c>
      <c r="E50" s="35" t="s">
        <v>18</v>
      </c>
      <c r="F50" s="35" t="s">
        <v>18</v>
      </c>
      <c r="G50" s="35" t="s">
        <v>18</v>
      </c>
      <c r="H50" s="35" t="s">
        <v>18</v>
      </c>
      <c r="I50" s="35" t="s">
        <v>18</v>
      </c>
    </row>
    <row r="51" spans="1:9" s="4" customFormat="1" ht="20.25" x14ac:dyDescent="0.25">
      <c r="A51" s="34">
        <v>12</v>
      </c>
      <c r="B51" s="40" t="s">
        <v>49</v>
      </c>
      <c r="C51" s="35" t="s">
        <v>18</v>
      </c>
      <c r="D51" s="35" t="s">
        <v>18</v>
      </c>
      <c r="E51" s="35" t="s">
        <v>18</v>
      </c>
      <c r="F51" s="35" t="s">
        <v>18</v>
      </c>
      <c r="G51" s="35" t="s">
        <v>18</v>
      </c>
      <c r="H51" s="35" t="s">
        <v>18</v>
      </c>
      <c r="I51" s="35" t="s">
        <v>18</v>
      </c>
    </row>
    <row r="52" spans="1:9" ht="20.25" x14ac:dyDescent="0.25">
      <c r="A52" s="34">
        <v>13</v>
      </c>
      <c r="B52" s="40" t="s">
        <v>468</v>
      </c>
      <c r="C52" s="35" t="s">
        <v>18</v>
      </c>
      <c r="D52" s="35" t="s">
        <v>18</v>
      </c>
      <c r="E52" s="35" t="s">
        <v>18</v>
      </c>
      <c r="F52" s="35" t="s">
        <v>18</v>
      </c>
      <c r="G52" s="35" t="s">
        <v>18</v>
      </c>
      <c r="H52" s="35" t="s">
        <v>18</v>
      </c>
      <c r="I52" s="35" t="s">
        <v>18</v>
      </c>
    </row>
    <row r="53" spans="1:9" ht="20.25" x14ac:dyDescent="0.25">
      <c r="A53" s="248"/>
      <c r="B53" s="248"/>
      <c r="C53" s="247"/>
      <c r="D53" s="249"/>
      <c r="E53" s="249"/>
      <c r="F53" s="128"/>
      <c r="G53" s="248"/>
      <c r="H53" s="248"/>
      <c r="I53" s="248"/>
    </row>
    <row r="55" spans="1:9" ht="19.5" customHeight="1" x14ac:dyDescent="0.25"/>
    <row r="56" spans="1:9" s="60" customFormat="1" ht="44.25" customHeight="1" x14ac:dyDescent="0.25">
      <c r="A56" s="530" t="s">
        <v>1069</v>
      </c>
      <c r="B56" s="531"/>
      <c r="C56" s="531"/>
      <c r="D56" s="531"/>
      <c r="E56" s="531"/>
      <c r="F56" s="531"/>
      <c r="G56" s="531"/>
      <c r="H56" s="531"/>
      <c r="I56" s="532"/>
    </row>
    <row r="57" spans="1:9" s="4" customFormat="1" ht="53.25" customHeight="1" x14ac:dyDescent="0.25">
      <c r="A57" s="35" t="s">
        <v>189</v>
      </c>
      <c r="B57" s="35" t="s">
        <v>1</v>
      </c>
      <c r="C57" s="35" t="s">
        <v>67</v>
      </c>
      <c r="D57" s="35" t="s">
        <v>68</v>
      </c>
      <c r="E57" s="35" t="s">
        <v>69</v>
      </c>
      <c r="F57" s="35" t="s">
        <v>70</v>
      </c>
      <c r="G57" s="35" t="s">
        <v>71</v>
      </c>
      <c r="H57" s="35" t="s">
        <v>72</v>
      </c>
      <c r="I57" s="35" t="s">
        <v>192</v>
      </c>
    </row>
    <row r="58" spans="1:9" s="4" customFormat="1" ht="20.25" x14ac:dyDescent="0.25">
      <c r="A58" s="34">
        <v>1</v>
      </c>
      <c r="B58" s="40" t="s">
        <v>66</v>
      </c>
      <c r="C58" s="35" t="s">
        <v>18</v>
      </c>
      <c r="D58" s="35" t="s">
        <v>18</v>
      </c>
      <c r="E58" s="35" t="s">
        <v>18</v>
      </c>
      <c r="F58" s="35" t="s">
        <v>18</v>
      </c>
      <c r="G58" s="35" t="s">
        <v>18</v>
      </c>
      <c r="H58" s="35" t="s">
        <v>18</v>
      </c>
      <c r="I58" s="35" t="s">
        <v>18</v>
      </c>
    </row>
    <row r="59" spans="1:9" s="4" customFormat="1" ht="19.5" customHeight="1" x14ac:dyDescent="0.25">
      <c r="A59" s="34">
        <v>2</v>
      </c>
      <c r="B59" s="40" t="s">
        <v>20</v>
      </c>
      <c r="C59" s="35" t="s">
        <v>18</v>
      </c>
      <c r="D59" s="35" t="s">
        <v>18</v>
      </c>
      <c r="E59" s="35" t="s">
        <v>18</v>
      </c>
      <c r="F59" s="35" t="s">
        <v>18</v>
      </c>
      <c r="G59" s="35" t="s">
        <v>18</v>
      </c>
      <c r="H59" s="35" t="s">
        <v>18</v>
      </c>
      <c r="I59" s="35" t="s">
        <v>18</v>
      </c>
    </row>
    <row r="60" spans="1:9" s="4" customFormat="1" ht="20.25" x14ac:dyDescent="0.25">
      <c r="A60" s="34">
        <v>3</v>
      </c>
      <c r="B60" s="40" t="s">
        <v>21</v>
      </c>
      <c r="C60" s="35" t="s">
        <v>18</v>
      </c>
      <c r="D60" s="35" t="s">
        <v>18</v>
      </c>
      <c r="E60" s="35" t="s">
        <v>18</v>
      </c>
      <c r="F60" s="35" t="s">
        <v>18</v>
      </c>
      <c r="G60" s="35" t="s">
        <v>18</v>
      </c>
      <c r="H60" s="35" t="s">
        <v>18</v>
      </c>
      <c r="I60" s="35" t="s">
        <v>18</v>
      </c>
    </row>
    <row r="61" spans="1:9" s="4" customFormat="1" ht="19.5" customHeight="1" x14ac:dyDescent="0.25">
      <c r="A61" s="34">
        <v>4</v>
      </c>
      <c r="B61" s="40" t="s">
        <v>23</v>
      </c>
      <c r="C61" s="35" t="s">
        <v>18</v>
      </c>
      <c r="D61" s="35" t="s">
        <v>18</v>
      </c>
      <c r="E61" s="35" t="s">
        <v>18</v>
      </c>
      <c r="F61" s="35" t="s">
        <v>18</v>
      </c>
      <c r="G61" s="35" t="s">
        <v>18</v>
      </c>
      <c r="H61" s="35" t="s">
        <v>18</v>
      </c>
      <c r="I61" s="35" t="s">
        <v>18</v>
      </c>
    </row>
    <row r="62" spans="1:9" s="4" customFormat="1" ht="20.25" x14ac:dyDescent="0.25">
      <c r="A62" s="34">
        <v>5</v>
      </c>
      <c r="B62" s="40" t="s">
        <v>25</v>
      </c>
      <c r="C62" s="35" t="s">
        <v>18</v>
      </c>
      <c r="D62" s="35" t="s">
        <v>18</v>
      </c>
      <c r="E62" s="35" t="s">
        <v>18</v>
      </c>
      <c r="F62" s="35" t="s">
        <v>18</v>
      </c>
      <c r="G62" s="35" t="s">
        <v>18</v>
      </c>
      <c r="H62" s="35" t="s">
        <v>18</v>
      </c>
      <c r="I62" s="35" t="s">
        <v>18</v>
      </c>
    </row>
    <row r="63" spans="1:9" s="4" customFormat="1" ht="20.25" x14ac:dyDescent="0.25">
      <c r="A63" s="34">
        <v>6</v>
      </c>
      <c r="B63" s="40" t="s">
        <v>28</v>
      </c>
      <c r="C63" s="35" t="s">
        <v>18</v>
      </c>
      <c r="D63" s="35" t="s">
        <v>18</v>
      </c>
      <c r="E63" s="35" t="s">
        <v>18</v>
      </c>
      <c r="F63" s="35" t="s">
        <v>18</v>
      </c>
      <c r="G63" s="35" t="s">
        <v>18</v>
      </c>
      <c r="H63" s="35" t="s">
        <v>18</v>
      </c>
      <c r="I63" s="35" t="s">
        <v>18</v>
      </c>
    </row>
    <row r="64" spans="1:9" s="4" customFormat="1" ht="20.25" x14ac:dyDescent="0.25">
      <c r="A64" s="34">
        <v>7</v>
      </c>
      <c r="B64" s="40" t="s">
        <v>33</v>
      </c>
      <c r="C64" s="35" t="s">
        <v>18</v>
      </c>
      <c r="D64" s="35" t="s">
        <v>18</v>
      </c>
      <c r="E64" s="35" t="s">
        <v>18</v>
      </c>
      <c r="F64" s="35" t="s">
        <v>18</v>
      </c>
      <c r="G64" s="35" t="s">
        <v>18</v>
      </c>
      <c r="H64" s="35" t="s">
        <v>18</v>
      </c>
      <c r="I64" s="35" t="s">
        <v>18</v>
      </c>
    </row>
    <row r="65" spans="1:9" s="4" customFormat="1" ht="19.5" customHeight="1" x14ac:dyDescent="0.25">
      <c r="A65" s="34">
        <v>8</v>
      </c>
      <c r="B65" s="40" t="s">
        <v>38</v>
      </c>
      <c r="C65" s="35" t="s">
        <v>18</v>
      </c>
      <c r="D65" s="35" t="s">
        <v>18</v>
      </c>
      <c r="E65" s="35" t="s">
        <v>18</v>
      </c>
      <c r="F65" s="35" t="s">
        <v>18</v>
      </c>
      <c r="G65" s="35" t="s">
        <v>18</v>
      </c>
      <c r="H65" s="35" t="s">
        <v>18</v>
      </c>
      <c r="I65" s="35" t="s">
        <v>18</v>
      </c>
    </row>
    <row r="66" spans="1:9" s="4" customFormat="1" ht="19.5" customHeight="1" x14ac:dyDescent="0.25">
      <c r="A66" s="34">
        <v>9</v>
      </c>
      <c r="B66" s="40" t="s">
        <v>88</v>
      </c>
      <c r="C66" s="35" t="s">
        <v>18</v>
      </c>
      <c r="D66" s="35" t="s">
        <v>18</v>
      </c>
      <c r="E66" s="35" t="s">
        <v>18</v>
      </c>
      <c r="F66" s="35" t="s">
        <v>18</v>
      </c>
      <c r="G66" s="35" t="s">
        <v>18</v>
      </c>
      <c r="H66" s="35" t="s">
        <v>18</v>
      </c>
      <c r="I66" s="35" t="s">
        <v>18</v>
      </c>
    </row>
    <row r="67" spans="1:9" s="4" customFormat="1" ht="19.5" customHeight="1" x14ac:dyDescent="0.25">
      <c r="A67" s="34">
        <v>10</v>
      </c>
      <c r="B67" s="40" t="s">
        <v>43</v>
      </c>
      <c r="C67" s="35" t="s">
        <v>18</v>
      </c>
      <c r="D67" s="35" t="s">
        <v>18</v>
      </c>
      <c r="E67" s="35" t="s">
        <v>18</v>
      </c>
      <c r="F67" s="35" t="s">
        <v>18</v>
      </c>
      <c r="G67" s="35" t="s">
        <v>18</v>
      </c>
      <c r="H67" s="35" t="s">
        <v>18</v>
      </c>
      <c r="I67" s="35" t="s">
        <v>18</v>
      </c>
    </row>
    <row r="68" spans="1:9" s="4" customFormat="1" ht="20.25" x14ac:dyDescent="0.25">
      <c r="A68" s="34">
        <v>11</v>
      </c>
      <c r="B68" s="40" t="s">
        <v>46</v>
      </c>
      <c r="C68" s="35" t="s">
        <v>18</v>
      </c>
      <c r="D68" s="35" t="s">
        <v>18</v>
      </c>
      <c r="E68" s="35" t="s">
        <v>18</v>
      </c>
      <c r="F68" s="35" t="s">
        <v>18</v>
      </c>
      <c r="G68" s="35" t="s">
        <v>18</v>
      </c>
      <c r="H68" s="35" t="s">
        <v>18</v>
      </c>
      <c r="I68" s="35" t="s">
        <v>18</v>
      </c>
    </row>
    <row r="69" spans="1:9" s="4" customFormat="1" ht="21" thickBot="1" x14ac:dyDescent="0.3">
      <c r="A69" s="34">
        <v>12</v>
      </c>
      <c r="B69" s="40" t="s">
        <v>49</v>
      </c>
      <c r="C69" s="35" t="s">
        <v>18</v>
      </c>
      <c r="D69" s="35" t="s">
        <v>18</v>
      </c>
      <c r="E69" s="35" t="s">
        <v>18</v>
      </c>
      <c r="F69" s="35" t="s">
        <v>18</v>
      </c>
      <c r="G69" s="35" t="s">
        <v>18</v>
      </c>
      <c r="H69" s="35" t="s">
        <v>18</v>
      </c>
      <c r="I69" s="35" t="s">
        <v>18</v>
      </c>
    </row>
    <row r="70" spans="1:9" ht="35.25" thickBot="1" x14ac:dyDescent="0.3">
      <c r="A70" s="34">
        <v>13</v>
      </c>
      <c r="B70" s="40" t="s">
        <v>468</v>
      </c>
      <c r="C70" s="282" t="s">
        <v>1117</v>
      </c>
      <c r="D70" s="283" t="s">
        <v>1118</v>
      </c>
      <c r="E70" s="283" t="s">
        <v>1119</v>
      </c>
      <c r="F70" s="284">
        <v>45716</v>
      </c>
      <c r="G70" s="35" t="s">
        <v>18</v>
      </c>
      <c r="H70" s="35" t="s">
        <v>18</v>
      </c>
      <c r="I70" s="35" t="s">
        <v>18</v>
      </c>
    </row>
    <row r="71" spans="1:9" ht="20.25" x14ac:dyDescent="0.25">
      <c r="A71" s="248"/>
      <c r="B71" s="248"/>
      <c r="C71" s="247"/>
      <c r="D71" s="249"/>
      <c r="E71" s="249"/>
      <c r="F71" s="128"/>
      <c r="G71" s="248"/>
      <c r="H71" s="248"/>
      <c r="I71" s="248"/>
    </row>
    <row r="73" spans="1:9" ht="19.5" customHeight="1" x14ac:dyDescent="0.25"/>
    <row r="74" spans="1:9" s="60" customFormat="1" ht="44.25" customHeight="1" x14ac:dyDescent="0.25">
      <c r="A74" s="530" t="s">
        <v>776</v>
      </c>
      <c r="B74" s="531"/>
      <c r="C74" s="531"/>
      <c r="D74" s="531"/>
      <c r="E74" s="531"/>
      <c r="F74" s="531"/>
      <c r="G74" s="531"/>
      <c r="H74" s="531"/>
      <c r="I74" s="532"/>
    </row>
    <row r="75" spans="1:9" s="4" customFormat="1" ht="53.25" customHeight="1" x14ac:dyDescent="0.25">
      <c r="A75" s="35" t="s">
        <v>189</v>
      </c>
      <c r="B75" s="35" t="s">
        <v>1</v>
      </c>
      <c r="C75" s="35" t="s">
        <v>67</v>
      </c>
      <c r="D75" s="35" t="s">
        <v>68</v>
      </c>
      <c r="E75" s="35" t="s">
        <v>69</v>
      </c>
      <c r="F75" s="35" t="s">
        <v>70</v>
      </c>
      <c r="G75" s="35" t="s">
        <v>71</v>
      </c>
      <c r="H75" s="35" t="s">
        <v>72</v>
      </c>
      <c r="I75" s="35" t="s">
        <v>192</v>
      </c>
    </row>
    <row r="76" spans="1:9" s="4" customFormat="1" ht="20.25" x14ac:dyDescent="0.25">
      <c r="A76" s="34">
        <v>1</v>
      </c>
      <c r="B76" s="40" t="s">
        <v>66</v>
      </c>
      <c r="C76" s="35" t="s">
        <v>18</v>
      </c>
      <c r="D76" s="35" t="s">
        <v>18</v>
      </c>
      <c r="E76" s="35" t="s">
        <v>18</v>
      </c>
      <c r="F76" s="35" t="s">
        <v>18</v>
      </c>
      <c r="G76" s="35" t="s">
        <v>18</v>
      </c>
      <c r="H76" s="35" t="s">
        <v>18</v>
      </c>
      <c r="I76" s="35" t="s">
        <v>18</v>
      </c>
    </row>
    <row r="77" spans="1:9" s="4" customFormat="1" ht="19.5" customHeight="1" x14ac:dyDescent="0.25">
      <c r="A77" s="34">
        <v>2</v>
      </c>
      <c r="B77" s="40" t="s">
        <v>20</v>
      </c>
      <c r="C77" s="35" t="s">
        <v>18</v>
      </c>
      <c r="D77" s="35" t="s">
        <v>18</v>
      </c>
      <c r="E77" s="35" t="s">
        <v>18</v>
      </c>
      <c r="F77" s="35" t="s">
        <v>18</v>
      </c>
      <c r="G77" s="35" t="s">
        <v>18</v>
      </c>
      <c r="H77" s="35" t="s">
        <v>18</v>
      </c>
      <c r="I77" s="35" t="s">
        <v>18</v>
      </c>
    </row>
    <row r="78" spans="1:9" s="4" customFormat="1" ht="20.25" x14ac:dyDescent="0.25">
      <c r="A78" s="34">
        <v>3</v>
      </c>
      <c r="B78" s="40" t="s">
        <v>21</v>
      </c>
      <c r="C78" s="35" t="s">
        <v>18</v>
      </c>
      <c r="D78" s="35" t="s">
        <v>18</v>
      </c>
      <c r="E78" s="35" t="s">
        <v>18</v>
      </c>
      <c r="F78" s="35" t="s">
        <v>18</v>
      </c>
      <c r="G78" s="35" t="s">
        <v>18</v>
      </c>
      <c r="H78" s="35" t="s">
        <v>18</v>
      </c>
      <c r="I78" s="35" t="s">
        <v>18</v>
      </c>
    </row>
    <row r="79" spans="1:9" s="4" customFormat="1" ht="19.5" customHeight="1" x14ac:dyDescent="0.25">
      <c r="A79" s="34">
        <v>4</v>
      </c>
      <c r="B79" s="40" t="s">
        <v>23</v>
      </c>
      <c r="C79" s="35" t="s">
        <v>18</v>
      </c>
      <c r="D79" s="35" t="s">
        <v>18</v>
      </c>
      <c r="E79" s="35" t="s">
        <v>18</v>
      </c>
      <c r="F79" s="35" t="s">
        <v>18</v>
      </c>
      <c r="G79" s="35" t="s">
        <v>18</v>
      </c>
      <c r="H79" s="35" t="s">
        <v>18</v>
      </c>
      <c r="I79" s="35" t="s">
        <v>18</v>
      </c>
    </row>
    <row r="80" spans="1:9" s="4" customFormat="1" ht="20.25" x14ac:dyDescent="0.25">
      <c r="A80" s="34">
        <v>5</v>
      </c>
      <c r="B80" s="40" t="s">
        <v>25</v>
      </c>
      <c r="C80" s="35" t="s">
        <v>18</v>
      </c>
      <c r="D80" s="35" t="s">
        <v>18</v>
      </c>
      <c r="E80" s="35" t="s">
        <v>18</v>
      </c>
      <c r="F80" s="35" t="s">
        <v>18</v>
      </c>
      <c r="G80" s="35" t="s">
        <v>18</v>
      </c>
      <c r="H80" s="35" t="s">
        <v>18</v>
      </c>
      <c r="I80" s="35" t="s">
        <v>18</v>
      </c>
    </row>
    <row r="81" spans="1:9" s="4" customFormat="1" ht="20.25" x14ac:dyDescent="0.25">
      <c r="A81" s="34">
        <v>6</v>
      </c>
      <c r="B81" s="40" t="s">
        <v>28</v>
      </c>
      <c r="C81" s="35" t="s">
        <v>18</v>
      </c>
      <c r="D81" s="35" t="s">
        <v>18</v>
      </c>
      <c r="E81" s="35" t="s">
        <v>18</v>
      </c>
      <c r="F81" s="35" t="s">
        <v>18</v>
      </c>
      <c r="G81" s="35" t="s">
        <v>18</v>
      </c>
      <c r="H81" s="35" t="s">
        <v>18</v>
      </c>
      <c r="I81" s="35" t="s">
        <v>18</v>
      </c>
    </row>
    <row r="82" spans="1:9" s="4" customFormat="1" ht="20.25" x14ac:dyDescent="0.25">
      <c r="A82" s="34">
        <v>7</v>
      </c>
      <c r="B82" s="40" t="s">
        <v>33</v>
      </c>
      <c r="C82" s="35" t="s">
        <v>868</v>
      </c>
      <c r="D82" s="35" t="s">
        <v>1044</v>
      </c>
      <c r="E82" s="35" t="s">
        <v>18</v>
      </c>
      <c r="F82" s="128">
        <v>45688</v>
      </c>
      <c r="G82" s="35" t="s">
        <v>18</v>
      </c>
      <c r="H82" s="35" t="s">
        <v>18</v>
      </c>
      <c r="I82" s="35" t="s">
        <v>18</v>
      </c>
    </row>
    <row r="83" spans="1:9" s="4" customFormat="1" ht="19.5" customHeight="1" x14ac:dyDescent="0.25">
      <c r="A83" s="34">
        <v>8</v>
      </c>
      <c r="B83" s="40" t="s">
        <v>38</v>
      </c>
      <c r="C83" s="35" t="s">
        <v>18</v>
      </c>
      <c r="D83" s="35" t="s">
        <v>18</v>
      </c>
      <c r="E83" s="35" t="s">
        <v>18</v>
      </c>
      <c r="F83" s="35" t="s">
        <v>18</v>
      </c>
      <c r="G83" s="35" t="s">
        <v>18</v>
      </c>
      <c r="H83" s="35" t="s">
        <v>18</v>
      </c>
      <c r="I83" s="35" t="s">
        <v>18</v>
      </c>
    </row>
    <row r="84" spans="1:9" s="4" customFormat="1" ht="19.5" customHeight="1" x14ac:dyDescent="0.25">
      <c r="A84" s="34">
        <v>9</v>
      </c>
      <c r="B84" s="40" t="s">
        <v>88</v>
      </c>
      <c r="C84" s="35" t="s">
        <v>18</v>
      </c>
      <c r="D84" s="35" t="s">
        <v>18</v>
      </c>
      <c r="E84" s="35" t="s">
        <v>18</v>
      </c>
      <c r="F84" s="35" t="s">
        <v>18</v>
      </c>
      <c r="G84" s="35" t="s">
        <v>18</v>
      </c>
      <c r="H84" s="35" t="s">
        <v>18</v>
      </c>
      <c r="I84" s="35" t="s">
        <v>18</v>
      </c>
    </row>
    <row r="85" spans="1:9" s="4" customFormat="1" ht="19.5" customHeight="1" x14ac:dyDescent="0.25">
      <c r="A85" s="34">
        <v>10</v>
      </c>
      <c r="B85" s="40" t="s">
        <v>43</v>
      </c>
      <c r="C85" s="35" t="s">
        <v>18</v>
      </c>
      <c r="D85" s="35" t="s">
        <v>18</v>
      </c>
      <c r="E85" s="35" t="s">
        <v>18</v>
      </c>
      <c r="F85" s="35" t="s">
        <v>18</v>
      </c>
      <c r="G85" s="35" t="s">
        <v>18</v>
      </c>
      <c r="H85" s="35" t="s">
        <v>18</v>
      </c>
      <c r="I85" s="35" t="s">
        <v>18</v>
      </c>
    </row>
    <row r="86" spans="1:9" s="4" customFormat="1" ht="20.25" x14ac:dyDescent="0.25">
      <c r="A86" s="34">
        <v>11</v>
      </c>
      <c r="B86" s="40" t="s">
        <v>46</v>
      </c>
      <c r="C86" s="35" t="s">
        <v>18</v>
      </c>
      <c r="D86" s="35" t="s">
        <v>18</v>
      </c>
      <c r="E86" s="35" t="s">
        <v>18</v>
      </c>
      <c r="F86" s="35" t="s">
        <v>18</v>
      </c>
      <c r="G86" s="35" t="s">
        <v>18</v>
      </c>
      <c r="H86" s="35" t="s">
        <v>18</v>
      </c>
      <c r="I86" s="35" t="s">
        <v>18</v>
      </c>
    </row>
    <row r="87" spans="1:9" s="4" customFormat="1" ht="20.25" x14ac:dyDescent="0.25">
      <c r="A87" s="34">
        <v>12</v>
      </c>
      <c r="B87" s="40" t="s">
        <v>49</v>
      </c>
      <c r="C87" s="35" t="s">
        <v>18</v>
      </c>
      <c r="D87" s="35" t="s">
        <v>18</v>
      </c>
      <c r="E87" s="35" t="s">
        <v>18</v>
      </c>
      <c r="F87" s="35" t="s">
        <v>18</v>
      </c>
      <c r="G87" s="35" t="s">
        <v>18</v>
      </c>
      <c r="H87" s="35" t="s">
        <v>18</v>
      </c>
      <c r="I87" s="35" t="s">
        <v>18</v>
      </c>
    </row>
    <row r="88" spans="1:9" ht="30" x14ac:dyDescent="0.25">
      <c r="A88" s="34">
        <v>13</v>
      </c>
      <c r="B88" s="40" t="s">
        <v>468</v>
      </c>
      <c r="C88" s="247" t="s">
        <v>1014</v>
      </c>
      <c r="D88" s="247" t="s">
        <v>1015</v>
      </c>
      <c r="E88" s="247" t="s">
        <v>1017</v>
      </c>
      <c r="F88" s="128">
        <v>45688</v>
      </c>
      <c r="G88" s="35" t="s">
        <v>18</v>
      </c>
      <c r="H88" s="35" t="s">
        <v>18</v>
      </c>
      <c r="I88" s="35" t="s">
        <v>18</v>
      </c>
    </row>
    <row r="89" spans="1:9" ht="30" x14ac:dyDescent="0.25">
      <c r="A89" s="248"/>
      <c r="B89" s="248"/>
      <c r="C89" s="247" t="s">
        <v>1014</v>
      </c>
      <c r="D89" s="249" t="s">
        <v>1016</v>
      </c>
      <c r="E89" s="249" t="s">
        <v>1018</v>
      </c>
      <c r="F89" s="128">
        <v>45688</v>
      </c>
      <c r="G89" s="248"/>
      <c r="H89" s="248"/>
      <c r="I89" s="248"/>
    </row>
  </sheetData>
  <mergeCells count="5">
    <mergeCell ref="A56:I56"/>
    <mergeCell ref="A74:I74"/>
    <mergeCell ref="A38:I38"/>
    <mergeCell ref="A20:I20"/>
    <mergeCell ref="A2:I2"/>
  </mergeCells>
  <pageMargins left="0.70866141732283472" right="0.37" top="0.39" bottom="0.38" header="0.31496062992125984" footer="0.31496062992125984"/>
  <pageSetup paperSize="9" scale="9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60"/>
  <sheetViews>
    <sheetView topLeftCell="A5" workbookViewId="0">
      <selection activeCell="C14" sqref="C14"/>
    </sheetView>
  </sheetViews>
  <sheetFormatPr defaultColWidth="9.140625" defaultRowHeight="15" x14ac:dyDescent="0.25"/>
  <cols>
    <col min="1" max="1" width="6.28515625" style="7" customWidth="1"/>
    <col min="2" max="2" width="10.140625" style="2" customWidth="1"/>
    <col min="3" max="3" width="16.5703125" style="20" customWidth="1"/>
    <col min="4" max="4" width="7.5703125" style="3" customWidth="1"/>
    <col min="5" max="5" width="9.140625" style="3"/>
    <col min="6" max="6" width="9.140625" style="3" customWidth="1"/>
    <col min="7" max="7" width="16.85546875" style="3" customWidth="1"/>
    <col min="8" max="8" width="17.42578125" style="3" customWidth="1"/>
    <col min="9" max="9" width="18.42578125" style="3" customWidth="1"/>
    <col min="10" max="15" width="6.5703125" style="3" customWidth="1"/>
    <col min="16" max="16" width="15.42578125" style="2" customWidth="1"/>
    <col min="17" max="17" width="10.140625" style="2" customWidth="1"/>
    <col min="18" max="18" width="12.140625" style="2" customWidth="1"/>
    <col min="19" max="19" width="12" style="2" customWidth="1"/>
    <col min="20" max="20" width="10.42578125" style="2" customWidth="1"/>
    <col min="21" max="21" width="5.28515625" style="2" customWidth="1"/>
    <col min="22" max="22" width="6.7109375" style="2" customWidth="1"/>
    <col min="23" max="23" width="6.28515625" style="2" customWidth="1"/>
    <col min="24" max="24" width="5.140625" style="2" customWidth="1"/>
    <col min="25" max="25" width="4.28515625" style="2" customWidth="1"/>
    <col min="26" max="26" width="3.7109375" style="2" bestFit="1" customWidth="1"/>
    <col min="27" max="16384" width="9.140625" style="2"/>
  </cols>
  <sheetData>
    <row r="1" spans="1:15" s="60" customFormat="1" ht="18.75" x14ac:dyDescent="0.25">
      <c r="A1" s="538" t="s">
        <v>1393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</row>
    <row r="2" spans="1:15" ht="18.75" x14ac:dyDescent="0.25">
      <c r="A2" s="503"/>
      <c r="B2" s="539"/>
      <c r="C2" s="503" t="s">
        <v>2</v>
      </c>
      <c r="D2" s="500" t="s">
        <v>3</v>
      </c>
      <c r="E2" s="500" t="s">
        <v>4</v>
      </c>
      <c r="F2" s="500" t="s">
        <v>5</v>
      </c>
      <c r="G2" s="500" t="s">
        <v>73</v>
      </c>
      <c r="H2" s="500" t="s">
        <v>9</v>
      </c>
      <c r="I2" s="500" t="s">
        <v>10</v>
      </c>
      <c r="J2" s="500" t="s">
        <v>11</v>
      </c>
      <c r="K2" s="500"/>
      <c r="L2" s="500" t="s">
        <v>12</v>
      </c>
      <c r="M2" s="500"/>
      <c r="N2" s="500" t="s">
        <v>13</v>
      </c>
      <c r="O2" s="500"/>
    </row>
    <row r="3" spans="1:15" ht="18.75" x14ac:dyDescent="0.25">
      <c r="A3" s="503"/>
      <c r="B3" s="539"/>
      <c r="C3" s="503"/>
      <c r="D3" s="500"/>
      <c r="E3" s="500"/>
      <c r="F3" s="500"/>
      <c r="G3" s="500"/>
      <c r="H3" s="500"/>
      <c r="I3" s="500"/>
      <c r="J3" s="126" t="s">
        <v>14</v>
      </c>
      <c r="K3" s="126" t="s">
        <v>15</v>
      </c>
      <c r="L3" s="126" t="s">
        <v>14</v>
      </c>
      <c r="M3" s="126" t="s">
        <v>15</v>
      </c>
      <c r="N3" s="126" t="s">
        <v>14</v>
      </c>
      <c r="O3" s="126" t="s">
        <v>15</v>
      </c>
    </row>
    <row r="4" spans="1:15" ht="18.75" x14ac:dyDescent="0.25">
      <c r="A4" s="152"/>
      <c r="B4" s="216"/>
      <c r="C4" s="153" t="s">
        <v>1264</v>
      </c>
      <c r="D4" s="126">
        <v>24</v>
      </c>
      <c r="E4" s="126">
        <v>0</v>
      </c>
      <c r="F4" s="126">
        <v>24</v>
      </c>
      <c r="G4" s="126">
        <v>0</v>
      </c>
      <c r="H4" s="126">
        <v>253000</v>
      </c>
      <c r="I4" s="126">
        <v>4093000</v>
      </c>
      <c r="J4" s="126">
        <v>0</v>
      </c>
      <c r="K4" s="126">
        <v>0</v>
      </c>
      <c r="L4" s="126">
        <v>0</v>
      </c>
      <c r="M4" s="126">
        <v>0</v>
      </c>
      <c r="N4" s="126">
        <v>0</v>
      </c>
      <c r="O4" s="126">
        <v>0</v>
      </c>
    </row>
    <row r="5" spans="1:15" ht="18.75" x14ac:dyDescent="0.25">
      <c r="A5" s="152"/>
      <c r="B5" s="216"/>
      <c r="C5" s="153" t="s">
        <v>1265</v>
      </c>
      <c r="D5" s="126">
        <v>72</v>
      </c>
      <c r="E5" s="126">
        <v>0</v>
      </c>
      <c r="F5" s="126">
        <v>72</v>
      </c>
      <c r="G5" s="126">
        <v>0</v>
      </c>
      <c r="H5" s="126">
        <v>1827000</v>
      </c>
      <c r="I5" s="126">
        <v>21516000</v>
      </c>
      <c r="J5" s="126">
        <v>0</v>
      </c>
      <c r="K5" s="126">
        <v>0</v>
      </c>
      <c r="L5" s="126">
        <v>0</v>
      </c>
      <c r="M5" s="126">
        <v>0</v>
      </c>
      <c r="N5" s="126">
        <v>0</v>
      </c>
      <c r="O5" s="126">
        <v>0</v>
      </c>
    </row>
    <row r="6" spans="1:15" ht="18.75" x14ac:dyDescent="0.25">
      <c r="A6" s="152"/>
      <c r="B6" s="216"/>
      <c r="C6" s="153" t="s">
        <v>1390</v>
      </c>
      <c r="D6" s="126">
        <v>49</v>
      </c>
      <c r="E6" s="126">
        <v>0</v>
      </c>
      <c r="F6" s="126">
        <v>49</v>
      </c>
      <c r="G6" s="126">
        <v>0</v>
      </c>
      <c r="H6" s="126">
        <v>562000</v>
      </c>
      <c r="I6" s="126">
        <v>24306100</v>
      </c>
      <c r="J6" s="126">
        <v>0</v>
      </c>
      <c r="K6" s="126">
        <v>0</v>
      </c>
      <c r="L6" s="126">
        <v>0</v>
      </c>
      <c r="M6" s="126">
        <v>0</v>
      </c>
      <c r="N6" s="126">
        <v>0</v>
      </c>
      <c r="O6" s="126">
        <v>0</v>
      </c>
    </row>
    <row r="7" spans="1:15" ht="18.75" x14ac:dyDescent="0.25">
      <c r="A7" s="152"/>
      <c r="B7" s="216"/>
      <c r="C7" s="153" t="s">
        <v>1392</v>
      </c>
      <c r="D7" s="126">
        <f>SUM(D4:D6)</f>
        <v>145</v>
      </c>
      <c r="E7" s="126">
        <f t="shared" ref="E7:O7" si="0">SUM(E4:E6)</f>
        <v>0</v>
      </c>
      <c r="F7" s="126">
        <f t="shared" si="0"/>
        <v>145</v>
      </c>
      <c r="G7" s="126">
        <f t="shared" si="0"/>
        <v>0</v>
      </c>
      <c r="H7" s="126">
        <f t="shared" si="0"/>
        <v>2642000</v>
      </c>
      <c r="I7" s="126">
        <f t="shared" si="0"/>
        <v>49915100</v>
      </c>
      <c r="J7" s="126">
        <f t="shared" si="0"/>
        <v>0</v>
      </c>
      <c r="K7" s="126">
        <f t="shared" si="0"/>
        <v>0</v>
      </c>
      <c r="L7" s="126">
        <f t="shared" si="0"/>
        <v>0</v>
      </c>
      <c r="M7" s="126">
        <f t="shared" si="0"/>
        <v>0</v>
      </c>
      <c r="N7" s="126">
        <f t="shared" si="0"/>
        <v>0</v>
      </c>
      <c r="O7" s="126">
        <f t="shared" si="0"/>
        <v>0</v>
      </c>
    </row>
    <row r="8" spans="1:15" ht="18.75" x14ac:dyDescent="0.3">
      <c r="A8" s="44"/>
      <c r="C8" s="150"/>
      <c r="D8" s="312"/>
      <c r="E8" s="312"/>
      <c r="F8" s="312"/>
      <c r="G8" s="312"/>
      <c r="H8" s="312"/>
      <c r="I8" s="312"/>
      <c r="J8" s="151"/>
      <c r="K8" s="151"/>
      <c r="L8" s="151"/>
      <c r="M8" s="151"/>
      <c r="N8" s="151"/>
      <c r="O8" s="151"/>
    </row>
    <row r="9" spans="1:15" s="60" customFormat="1" ht="18.75" customHeight="1" x14ac:dyDescent="0.25">
      <c r="A9" s="534" t="s">
        <v>1652</v>
      </c>
      <c r="B9" s="535"/>
      <c r="C9" s="535"/>
      <c r="D9" s="535"/>
      <c r="E9" s="535"/>
      <c r="F9" s="535"/>
      <c r="G9" s="535"/>
      <c r="H9" s="535"/>
      <c r="I9" s="535"/>
      <c r="J9" s="535"/>
      <c r="K9" s="535"/>
      <c r="L9" s="535"/>
      <c r="M9" s="535"/>
      <c r="N9" s="535"/>
      <c r="O9" s="536"/>
    </row>
    <row r="10" spans="1:15" ht="18.75" x14ac:dyDescent="0.25">
      <c r="A10" s="479" t="s">
        <v>0</v>
      </c>
      <c r="B10" s="533" t="s">
        <v>1</v>
      </c>
      <c r="C10" s="479" t="s">
        <v>2</v>
      </c>
      <c r="D10" s="478" t="s">
        <v>3</v>
      </c>
      <c r="E10" s="478" t="s">
        <v>4</v>
      </c>
      <c r="F10" s="478" t="s">
        <v>5</v>
      </c>
      <c r="G10" s="478" t="s">
        <v>73</v>
      </c>
      <c r="H10" s="478" t="s">
        <v>9</v>
      </c>
      <c r="I10" s="478" t="s">
        <v>10</v>
      </c>
      <c r="J10" s="478" t="s">
        <v>11</v>
      </c>
      <c r="K10" s="478"/>
      <c r="L10" s="478" t="s">
        <v>12</v>
      </c>
      <c r="M10" s="478"/>
      <c r="N10" s="478" t="s">
        <v>13</v>
      </c>
      <c r="O10" s="478"/>
    </row>
    <row r="11" spans="1:15" ht="18.75" x14ac:dyDescent="0.25">
      <c r="A11" s="479"/>
      <c r="B11" s="533"/>
      <c r="C11" s="479"/>
      <c r="D11" s="478"/>
      <c r="E11" s="478"/>
      <c r="F11" s="478"/>
      <c r="G11" s="478"/>
      <c r="H11" s="478"/>
      <c r="I11" s="478"/>
      <c r="J11" s="233" t="s">
        <v>14</v>
      </c>
      <c r="K11" s="233" t="s">
        <v>15</v>
      </c>
      <c r="L11" s="233" t="s">
        <v>14</v>
      </c>
      <c r="M11" s="233" t="s">
        <v>15</v>
      </c>
      <c r="N11" s="233" t="s">
        <v>14</v>
      </c>
      <c r="O11" s="233" t="s">
        <v>15</v>
      </c>
    </row>
    <row r="12" spans="1:15" ht="18.75" x14ac:dyDescent="0.3">
      <c r="A12" s="235">
        <v>1</v>
      </c>
      <c r="B12" s="533" t="s">
        <v>16</v>
      </c>
      <c r="C12" s="416" t="s">
        <v>17</v>
      </c>
      <c r="D12" s="233">
        <v>1</v>
      </c>
      <c r="E12" s="233" t="s">
        <v>18</v>
      </c>
      <c r="F12" s="233">
        <v>1</v>
      </c>
      <c r="G12" s="233" t="s">
        <v>18</v>
      </c>
      <c r="H12" s="233" t="s">
        <v>18</v>
      </c>
      <c r="I12" s="233">
        <v>500000</v>
      </c>
      <c r="J12" s="233" t="s">
        <v>18</v>
      </c>
      <c r="K12" s="233" t="s">
        <v>18</v>
      </c>
      <c r="L12" s="233" t="s">
        <v>18</v>
      </c>
      <c r="M12" s="233" t="s">
        <v>18</v>
      </c>
      <c r="N12" s="233" t="s">
        <v>18</v>
      </c>
      <c r="O12" s="233" t="s">
        <v>18</v>
      </c>
    </row>
    <row r="13" spans="1:15" ht="18.75" x14ac:dyDescent="0.3">
      <c r="A13" s="235">
        <v>2</v>
      </c>
      <c r="B13" s="533"/>
      <c r="C13" s="416" t="s">
        <v>19</v>
      </c>
      <c r="D13" s="233" t="s">
        <v>18</v>
      </c>
      <c r="E13" s="233" t="s">
        <v>18</v>
      </c>
      <c r="F13" s="233" t="s">
        <v>18</v>
      </c>
      <c r="G13" s="233" t="s">
        <v>18</v>
      </c>
      <c r="H13" s="233" t="s">
        <v>18</v>
      </c>
      <c r="I13" s="233" t="s">
        <v>18</v>
      </c>
      <c r="J13" s="233" t="s">
        <v>18</v>
      </c>
      <c r="K13" s="233" t="s">
        <v>18</v>
      </c>
      <c r="L13" s="233" t="s">
        <v>18</v>
      </c>
      <c r="M13" s="233" t="s">
        <v>18</v>
      </c>
      <c r="N13" s="233" t="s">
        <v>18</v>
      </c>
      <c r="O13" s="233" t="s">
        <v>18</v>
      </c>
    </row>
    <row r="14" spans="1:15" ht="20.25" customHeight="1" x14ac:dyDescent="0.3">
      <c r="A14" s="235">
        <v>3</v>
      </c>
      <c r="B14" s="195" t="s">
        <v>20</v>
      </c>
      <c r="C14" s="416" t="s">
        <v>20</v>
      </c>
      <c r="D14" s="233" t="s">
        <v>18</v>
      </c>
      <c r="E14" s="233" t="s">
        <v>18</v>
      </c>
      <c r="F14" s="233" t="s">
        <v>18</v>
      </c>
      <c r="G14" s="233" t="s">
        <v>18</v>
      </c>
      <c r="H14" s="233" t="s">
        <v>18</v>
      </c>
      <c r="I14" s="233" t="s">
        <v>18</v>
      </c>
      <c r="J14" s="233" t="s">
        <v>18</v>
      </c>
      <c r="K14" s="233" t="s">
        <v>18</v>
      </c>
      <c r="L14" s="233" t="s">
        <v>18</v>
      </c>
      <c r="M14" s="233" t="s">
        <v>18</v>
      </c>
      <c r="N14" s="233" t="s">
        <v>18</v>
      </c>
      <c r="O14" s="233" t="s">
        <v>18</v>
      </c>
    </row>
    <row r="15" spans="1:15" ht="18.75" x14ac:dyDescent="0.3">
      <c r="A15" s="235">
        <v>4</v>
      </c>
      <c r="B15" s="479" t="s">
        <v>21</v>
      </c>
      <c r="C15" s="416" t="s">
        <v>21</v>
      </c>
      <c r="D15" s="233" t="s">
        <v>18</v>
      </c>
      <c r="E15" s="233" t="s">
        <v>18</v>
      </c>
      <c r="F15" s="233" t="s">
        <v>18</v>
      </c>
      <c r="G15" s="233" t="s">
        <v>18</v>
      </c>
      <c r="H15" s="233" t="s">
        <v>18</v>
      </c>
      <c r="I15" s="233" t="s">
        <v>18</v>
      </c>
      <c r="J15" s="233" t="s">
        <v>18</v>
      </c>
      <c r="K15" s="233" t="s">
        <v>18</v>
      </c>
      <c r="L15" s="233" t="s">
        <v>18</v>
      </c>
      <c r="M15" s="233" t="s">
        <v>18</v>
      </c>
      <c r="N15" s="233" t="s">
        <v>18</v>
      </c>
      <c r="O15" s="233" t="s">
        <v>18</v>
      </c>
    </row>
    <row r="16" spans="1:15" ht="18.75" x14ac:dyDescent="0.3">
      <c r="A16" s="235">
        <v>5</v>
      </c>
      <c r="B16" s="479"/>
      <c r="C16" s="416" t="s">
        <v>22</v>
      </c>
      <c r="D16" s="233" t="s">
        <v>18</v>
      </c>
      <c r="E16" s="233" t="s">
        <v>18</v>
      </c>
      <c r="F16" s="233" t="s">
        <v>18</v>
      </c>
      <c r="G16" s="233" t="s">
        <v>18</v>
      </c>
      <c r="H16" s="233" t="s">
        <v>18</v>
      </c>
      <c r="I16" s="233" t="s">
        <v>18</v>
      </c>
      <c r="J16" s="233" t="s">
        <v>18</v>
      </c>
      <c r="K16" s="233" t="s">
        <v>18</v>
      </c>
      <c r="L16" s="233" t="s">
        <v>18</v>
      </c>
      <c r="M16" s="233" t="s">
        <v>18</v>
      </c>
      <c r="N16" s="233" t="s">
        <v>18</v>
      </c>
      <c r="O16" s="233" t="s">
        <v>18</v>
      </c>
    </row>
    <row r="17" spans="1:16" ht="18.75" x14ac:dyDescent="0.25">
      <c r="A17" s="235">
        <v>6</v>
      </c>
      <c r="B17" s="479"/>
      <c r="C17" s="234" t="s">
        <v>143</v>
      </c>
      <c r="D17" s="233" t="s">
        <v>18</v>
      </c>
      <c r="E17" s="233" t="s">
        <v>18</v>
      </c>
      <c r="F17" s="233" t="s">
        <v>18</v>
      </c>
      <c r="G17" s="233" t="s">
        <v>18</v>
      </c>
      <c r="H17" s="233" t="s">
        <v>18</v>
      </c>
      <c r="I17" s="233" t="s">
        <v>18</v>
      </c>
      <c r="J17" s="233" t="s">
        <v>18</v>
      </c>
      <c r="K17" s="233" t="s">
        <v>18</v>
      </c>
      <c r="L17" s="233" t="s">
        <v>18</v>
      </c>
      <c r="M17" s="233" t="s">
        <v>18</v>
      </c>
      <c r="N17" s="233" t="s">
        <v>18</v>
      </c>
      <c r="O17" s="233" t="s">
        <v>18</v>
      </c>
    </row>
    <row r="18" spans="1:16" ht="18.75" customHeight="1" x14ac:dyDescent="0.25">
      <c r="A18" s="235">
        <v>7</v>
      </c>
      <c r="B18" s="479"/>
      <c r="C18" s="234" t="s">
        <v>144</v>
      </c>
      <c r="D18" s="233" t="s">
        <v>18</v>
      </c>
      <c r="E18" s="233" t="s">
        <v>18</v>
      </c>
      <c r="F18" s="233" t="s">
        <v>18</v>
      </c>
      <c r="G18" s="233" t="s">
        <v>18</v>
      </c>
      <c r="H18" s="233" t="s">
        <v>18</v>
      </c>
      <c r="I18" s="233" t="s">
        <v>18</v>
      </c>
      <c r="J18" s="233" t="s">
        <v>18</v>
      </c>
      <c r="K18" s="233" t="s">
        <v>18</v>
      </c>
      <c r="L18" s="233" t="s">
        <v>18</v>
      </c>
      <c r="M18" s="233" t="s">
        <v>18</v>
      </c>
      <c r="N18" s="233" t="s">
        <v>18</v>
      </c>
      <c r="O18" s="233" t="s">
        <v>18</v>
      </c>
    </row>
    <row r="19" spans="1:16" ht="18.75" x14ac:dyDescent="0.3">
      <c r="A19" s="235">
        <v>8</v>
      </c>
      <c r="B19" s="479" t="s">
        <v>23</v>
      </c>
      <c r="C19" s="416" t="s">
        <v>23</v>
      </c>
      <c r="D19" s="233" t="s">
        <v>18</v>
      </c>
      <c r="E19" s="233" t="s">
        <v>18</v>
      </c>
      <c r="F19" s="233" t="s">
        <v>18</v>
      </c>
      <c r="G19" s="233" t="s">
        <v>18</v>
      </c>
      <c r="H19" s="233" t="s">
        <v>18</v>
      </c>
      <c r="I19" s="233" t="s">
        <v>18</v>
      </c>
      <c r="J19" s="233" t="s">
        <v>18</v>
      </c>
      <c r="K19" s="233" t="s">
        <v>18</v>
      </c>
      <c r="L19" s="233" t="s">
        <v>18</v>
      </c>
      <c r="M19" s="233" t="s">
        <v>18</v>
      </c>
      <c r="N19" s="233" t="s">
        <v>18</v>
      </c>
      <c r="O19" s="233" t="s">
        <v>18</v>
      </c>
    </row>
    <row r="20" spans="1:16" ht="18.75" x14ac:dyDescent="0.3">
      <c r="A20" s="235">
        <v>9</v>
      </c>
      <c r="B20" s="479"/>
      <c r="C20" s="416" t="s">
        <v>140</v>
      </c>
      <c r="D20" s="233" t="s">
        <v>18</v>
      </c>
      <c r="E20" s="233" t="s">
        <v>18</v>
      </c>
      <c r="F20" s="233" t="s">
        <v>18</v>
      </c>
      <c r="G20" s="233" t="s">
        <v>18</v>
      </c>
      <c r="H20" s="233" t="s">
        <v>18</v>
      </c>
      <c r="I20" s="233" t="s">
        <v>18</v>
      </c>
      <c r="J20" s="233" t="s">
        <v>18</v>
      </c>
      <c r="K20" s="233" t="s">
        <v>18</v>
      </c>
      <c r="L20" s="233" t="s">
        <v>18</v>
      </c>
      <c r="M20" s="233" t="s">
        <v>18</v>
      </c>
      <c r="N20" s="233" t="s">
        <v>18</v>
      </c>
      <c r="O20" s="233" t="s">
        <v>18</v>
      </c>
    </row>
    <row r="21" spans="1:16" ht="18.75" x14ac:dyDescent="0.3">
      <c r="A21" s="235">
        <v>9</v>
      </c>
      <c r="B21" s="479"/>
      <c r="C21" s="416" t="s">
        <v>821</v>
      </c>
      <c r="D21" s="233" t="s">
        <v>18</v>
      </c>
      <c r="E21" s="233" t="s">
        <v>18</v>
      </c>
      <c r="F21" s="233" t="s">
        <v>18</v>
      </c>
      <c r="G21" s="233" t="s">
        <v>18</v>
      </c>
      <c r="H21" s="233" t="s">
        <v>18</v>
      </c>
      <c r="I21" s="233" t="s">
        <v>18</v>
      </c>
      <c r="J21" s="233" t="s">
        <v>18</v>
      </c>
      <c r="K21" s="233" t="s">
        <v>18</v>
      </c>
      <c r="L21" s="233" t="s">
        <v>18</v>
      </c>
      <c r="M21" s="233" t="s">
        <v>18</v>
      </c>
      <c r="N21" s="233" t="s">
        <v>18</v>
      </c>
      <c r="O21" s="233" t="s">
        <v>18</v>
      </c>
    </row>
    <row r="22" spans="1:16" ht="18.75" x14ac:dyDescent="0.3">
      <c r="A22" s="235">
        <v>10</v>
      </c>
      <c r="B22" s="479" t="s">
        <v>25</v>
      </c>
      <c r="C22" s="416" t="s">
        <v>26</v>
      </c>
      <c r="D22" s="233" t="s">
        <v>18</v>
      </c>
      <c r="E22" s="233" t="s">
        <v>18</v>
      </c>
      <c r="F22" s="233" t="s">
        <v>18</v>
      </c>
      <c r="G22" s="233" t="s">
        <v>18</v>
      </c>
      <c r="H22" s="233" t="s">
        <v>18</v>
      </c>
      <c r="I22" s="233" t="s">
        <v>18</v>
      </c>
      <c r="J22" s="233" t="s">
        <v>18</v>
      </c>
      <c r="K22" s="233" t="s">
        <v>18</v>
      </c>
      <c r="L22" s="233" t="s">
        <v>18</v>
      </c>
      <c r="M22" s="233" t="s">
        <v>18</v>
      </c>
      <c r="N22" s="233" t="s">
        <v>18</v>
      </c>
      <c r="O22" s="233" t="s">
        <v>18</v>
      </c>
    </row>
    <row r="23" spans="1:16" ht="20.25" x14ac:dyDescent="0.3">
      <c r="A23" s="235">
        <v>11</v>
      </c>
      <c r="B23" s="479"/>
      <c r="C23" s="416" t="s">
        <v>27</v>
      </c>
      <c r="D23" s="233" t="s">
        <v>18</v>
      </c>
      <c r="E23" s="233" t="s">
        <v>18</v>
      </c>
      <c r="F23" s="233" t="s">
        <v>18</v>
      </c>
      <c r="G23" s="233" t="s">
        <v>18</v>
      </c>
      <c r="H23" s="233" t="s">
        <v>18</v>
      </c>
      <c r="I23" s="233" t="s">
        <v>18</v>
      </c>
      <c r="J23" s="233" t="s">
        <v>18</v>
      </c>
      <c r="K23" s="233" t="s">
        <v>18</v>
      </c>
      <c r="L23" s="233" t="s">
        <v>18</v>
      </c>
      <c r="M23" s="233" t="s">
        <v>18</v>
      </c>
      <c r="N23" s="233" t="s">
        <v>18</v>
      </c>
      <c r="O23" s="233" t="s">
        <v>18</v>
      </c>
      <c r="P23" s="419"/>
    </row>
    <row r="24" spans="1:16" ht="18.75" x14ac:dyDescent="0.3">
      <c r="A24" s="235">
        <v>12</v>
      </c>
      <c r="B24" s="479"/>
      <c r="C24" s="416" t="s">
        <v>145</v>
      </c>
      <c r="D24" s="233" t="s">
        <v>18</v>
      </c>
      <c r="E24" s="233" t="s">
        <v>18</v>
      </c>
      <c r="F24" s="233" t="s">
        <v>18</v>
      </c>
      <c r="G24" s="233" t="s">
        <v>18</v>
      </c>
      <c r="H24" s="233" t="s">
        <v>18</v>
      </c>
      <c r="I24" s="233" t="s">
        <v>18</v>
      </c>
      <c r="J24" s="233" t="s">
        <v>18</v>
      </c>
      <c r="K24" s="233" t="s">
        <v>18</v>
      </c>
      <c r="L24" s="233" t="s">
        <v>18</v>
      </c>
      <c r="M24" s="233" t="s">
        <v>18</v>
      </c>
      <c r="N24" s="233" t="s">
        <v>18</v>
      </c>
      <c r="O24" s="233" t="s">
        <v>18</v>
      </c>
    </row>
    <row r="25" spans="1:16" ht="18.75" x14ac:dyDescent="0.3">
      <c r="A25" s="235">
        <v>13</v>
      </c>
      <c r="B25" s="479" t="s">
        <v>28</v>
      </c>
      <c r="C25" s="416" t="s">
        <v>29</v>
      </c>
      <c r="D25" s="233" t="s">
        <v>18</v>
      </c>
      <c r="E25" s="233" t="s">
        <v>18</v>
      </c>
      <c r="F25" s="233" t="s">
        <v>18</v>
      </c>
      <c r="G25" s="233" t="s">
        <v>18</v>
      </c>
      <c r="H25" s="233" t="s">
        <v>18</v>
      </c>
      <c r="I25" s="233" t="s">
        <v>18</v>
      </c>
      <c r="J25" s="233" t="s">
        <v>18</v>
      </c>
      <c r="K25" s="233" t="s">
        <v>18</v>
      </c>
      <c r="L25" s="233" t="s">
        <v>18</v>
      </c>
      <c r="M25" s="233" t="s">
        <v>18</v>
      </c>
      <c r="N25" s="233" t="s">
        <v>18</v>
      </c>
      <c r="O25" s="233" t="s">
        <v>18</v>
      </c>
    </row>
    <row r="26" spans="1:16" ht="18.75" x14ac:dyDescent="0.3">
      <c r="A26" s="235">
        <v>14</v>
      </c>
      <c r="B26" s="479"/>
      <c r="C26" s="416" t="s">
        <v>30</v>
      </c>
      <c r="D26" s="233" t="s">
        <v>18</v>
      </c>
      <c r="E26" s="233" t="s">
        <v>18</v>
      </c>
      <c r="F26" s="233" t="s">
        <v>18</v>
      </c>
      <c r="G26" s="233" t="s">
        <v>18</v>
      </c>
      <c r="H26" s="233" t="s">
        <v>18</v>
      </c>
      <c r="I26" s="233" t="s">
        <v>18</v>
      </c>
      <c r="J26" s="233" t="s">
        <v>18</v>
      </c>
      <c r="K26" s="233" t="s">
        <v>18</v>
      </c>
      <c r="L26" s="233" t="s">
        <v>18</v>
      </c>
      <c r="M26" s="233" t="s">
        <v>18</v>
      </c>
      <c r="N26" s="233" t="s">
        <v>18</v>
      </c>
      <c r="O26" s="233" t="s">
        <v>18</v>
      </c>
    </row>
    <row r="27" spans="1:16" ht="18.75" x14ac:dyDescent="0.3">
      <c r="A27" s="235">
        <v>15</v>
      </c>
      <c r="B27" s="479"/>
      <c r="C27" s="416" t="s">
        <v>31</v>
      </c>
      <c r="D27" s="233" t="s">
        <v>18</v>
      </c>
      <c r="E27" s="233" t="s">
        <v>18</v>
      </c>
      <c r="F27" s="233" t="s">
        <v>18</v>
      </c>
      <c r="G27" s="233" t="s">
        <v>18</v>
      </c>
      <c r="H27" s="233" t="s">
        <v>18</v>
      </c>
      <c r="I27" s="233" t="s">
        <v>18</v>
      </c>
      <c r="J27" s="233" t="s">
        <v>18</v>
      </c>
      <c r="K27" s="233" t="s">
        <v>18</v>
      </c>
      <c r="L27" s="233" t="s">
        <v>18</v>
      </c>
      <c r="M27" s="233" t="s">
        <v>18</v>
      </c>
      <c r="N27" s="233" t="s">
        <v>18</v>
      </c>
      <c r="O27" s="233" t="s">
        <v>18</v>
      </c>
    </row>
    <row r="28" spans="1:16" ht="18.75" x14ac:dyDescent="0.3">
      <c r="A28" s="235">
        <v>16</v>
      </c>
      <c r="B28" s="479"/>
      <c r="C28" s="416" t="s">
        <v>32</v>
      </c>
      <c r="D28" s="233" t="s">
        <v>18</v>
      </c>
      <c r="E28" s="233" t="s">
        <v>18</v>
      </c>
      <c r="F28" s="233" t="s">
        <v>18</v>
      </c>
      <c r="G28" s="233" t="s">
        <v>18</v>
      </c>
      <c r="H28" s="233" t="s">
        <v>18</v>
      </c>
      <c r="I28" s="233" t="s">
        <v>18</v>
      </c>
      <c r="J28" s="233" t="s">
        <v>18</v>
      </c>
      <c r="K28" s="233" t="s">
        <v>18</v>
      </c>
      <c r="L28" s="233" t="s">
        <v>18</v>
      </c>
      <c r="M28" s="233" t="s">
        <v>18</v>
      </c>
      <c r="N28" s="233" t="s">
        <v>18</v>
      </c>
      <c r="O28" s="233" t="s">
        <v>18</v>
      </c>
    </row>
    <row r="29" spans="1:16" ht="18.75" x14ac:dyDescent="0.3">
      <c r="A29" s="235">
        <v>16</v>
      </c>
      <c r="B29" s="479"/>
      <c r="C29" s="416" t="s">
        <v>201</v>
      </c>
      <c r="D29" s="233" t="s">
        <v>18</v>
      </c>
      <c r="E29" s="233" t="s">
        <v>18</v>
      </c>
      <c r="F29" s="233" t="s">
        <v>18</v>
      </c>
      <c r="G29" s="233" t="s">
        <v>18</v>
      </c>
      <c r="H29" s="233" t="s">
        <v>18</v>
      </c>
      <c r="I29" s="233" t="s">
        <v>18</v>
      </c>
      <c r="J29" s="233" t="s">
        <v>18</v>
      </c>
      <c r="K29" s="233" t="s">
        <v>18</v>
      </c>
      <c r="L29" s="233" t="s">
        <v>18</v>
      </c>
      <c r="M29" s="233" t="s">
        <v>18</v>
      </c>
      <c r="N29" s="233" t="s">
        <v>18</v>
      </c>
      <c r="O29" s="233" t="s">
        <v>18</v>
      </c>
    </row>
    <row r="30" spans="1:16" ht="18.75" x14ac:dyDescent="0.3">
      <c r="A30" s="235">
        <v>17</v>
      </c>
      <c r="B30" s="479" t="s">
        <v>33</v>
      </c>
      <c r="C30" s="416" t="s">
        <v>33</v>
      </c>
      <c r="D30" s="233" t="s">
        <v>18</v>
      </c>
      <c r="E30" s="233" t="s">
        <v>18</v>
      </c>
      <c r="F30" s="233" t="s">
        <v>18</v>
      </c>
      <c r="G30" s="233" t="s">
        <v>18</v>
      </c>
      <c r="H30" s="233" t="s">
        <v>18</v>
      </c>
      <c r="I30" s="233" t="s">
        <v>18</v>
      </c>
      <c r="J30" s="233" t="s">
        <v>18</v>
      </c>
      <c r="K30" s="233" t="s">
        <v>18</v>
      </c>
      <c r="L30" s="233" t="s">
        <v>18</v>
      </c>
      <c r="M30" s="233" t="s">
        <v>18</v>
      </c>
      <c r="N30" s="233" t="s">
        <v>18</v>
      </c>
      <c r="O30" s="233" t="s">
        <v>18</v>
      </c>
    </row>
    <row r="31" spans="1:16" ht="18.75" x14ac:dyDescent="0.3">
      <c r="A31" s="235">
        <v>18</v>
      </c>
      <c r="B31" s="479"/>
      <c r="C31" s="416" t="s">
        <v>34</v>
      </c>
      <c r="D31" s="233" t="s">
        <v>18</v>
      </c>
      <c r="E31" s="233" t="s">
        <v>18</v>
      </c>
      <c r="F31" s="233" t="s">
        <v>18</v>
      </c>
      <c r="G31" s="233" t="s">
        <v>18</v>
      </c>
      <c r="H31" s="233" t="s">
        <v>18</v>
      </c>
      <c r="I31" s="233" t="s">
        <v>18</v>
      </c>
      <c r="J31" s="233" t="s">
        <v>18</v>
      </c>
      <c r="K31" s="233" t="s">
        <v>18</v>
      </c>
      <c r="L31" s="233" t="s">
        <v>18</v>
      </c>
      <c r="M31" s="233" t="s">
        <v>18</v>
      </c>
      <c r="N31" s="233" t="s">
        <v>18</v>
      </c>
      <c r="O31" s="233" t="s">
        <v>18</v>
      </c>
    </row>
    <row r="32" spans="1:16" ht="18.75" x14ac:dyDescent="0.3">
      <c r="A32" s="235">
        <v>19</v>
      </c>
      <c r="B32" s="479"/>
      <c r="C32" s="416" t="s">
        <v>35</v>
      </c>
      <c r="D32" s="233" t="s">
        <v>18</v>
      </c>
      <c r="E32" s="233" t="s">
        <v>18</v>
      </c>
      <c r="F32" s="233" t="s">
        <v>18</v>
      </c>
      <c r="G32" s="233" t="s">
        <v>18</v>
      </c>
      <c r="H32" s="233" t="s">
        <v>18</v>
      </c>
      <c r="I32" s="233" t="s">
        <v>18</v>
      </c>
      <c r="J32" s="233" t="s">
        <v>18</v>
      </c>
      <c r="K32" s="233" t="s">
        <v>18</v>
      </c>
      <c r="L32" s="233" t="s">
        <v>18</v>
      </c>
      <c r="M32" s="233" t="s">
        <v>18</v>
      </c>
      <c r="N32" s="233" t="s">
        <v>18</v>
      </c>
      <c r="O32" s="233" t="s">
        <v>18</v>
      </c>
    </row>
    <row r="33" spans="1:15" ht="18.75" x14ac:dyDescent="0.3">
      <c r="A33" s="235">
        <v>20</v>
      </c>
      <c r="B33" s="479"/>
      <c r="C33" s="416" t="s">
        <v>36</v>
      </c>
      <c r="D33" s="233" t="s">
        <v>18</v>
      </c>
      <c r="E33" s="233" t="s">
        <v>18</v>
      </c>
      <c r="F33" s="233" t="s">
        <v>18</v>
      </c>
      <c r="G33" s="233" t="s">
        <v>18</v>
      </c>
      <c r="H33" s="233" t="s">
        <v>18</v>
      </c>
      <c r="I33" s="233" t="s">
        <v>18</v>
      </c>
      <c r="J33" s="233" t="s">
        <v>18</v>
      </c>
      <c r="K33" s="233" t="s">
        <v>18</v>
      </c>
      <c r="L33" s="233" t="s">
        <v>18</v>
      </c>
      <c r="M33" s="233" t="s">
        <v>18</v>
      </c>
      <c r="N33" s="233" t="s">
        <v>18</v>
      </c>
      <c r="O33" s="233" t="s">
        <v>18</v>
      </c>
    </row>
    <row r="34" spans="1:15" ht="18.75" x14ac:dyDescent="0.3">
      <c r="A34" s="235">
        <v>21</v>
      </c>
      <c r="B34" s="479"/>
      <c r="C34" s="416" t="s">
        <v>37</v>
      </c>
      <c r="D34" s="233" t="s">
        <v>18</v>
      </c>
      <c r="E34" s="233" t="s">
        <v>18</v>
      </c>
      <c r="F34" s="233" t="s">
        <v>18</v>
      </c>
      <c r="G34" s="233" t="s">
        <v>18</v>
      </c>
      <c r="H34" s="233" t="s">
        <v>18</v>
      </c>
      <c r="I34" s="233" t="s">
        <v>18</v>
      </c>
      <c r="J34" s="233" t="s">
        <v>18</v>
      </c>
      <c r="K34" s="233" t="s">
        <v>18</v>
      </c>
      <c r="L34" s="233" t="s">
        <v>18</v>
      </c>
      <c r="M34" s="233" t="s">
        <v>18</v>
      </c>
      <c r="N34" s="233" t="s">
        <v>18</v>
      </c>
      <c r="O34" s="233" t="s">
        <v>18</v>
      </c>
    </row>
    <row r="35" spans="1:15" ht="18.75" x14ac:dyDescent="0.3">
      <c r="A35" s="235">
        <v>22</v>
      </c>
      <c r="B35" s="479"/>
      <c r="C35" s="416" t="s">
        <v>141</v>
      </c>
      <c r="D35" s="233" t="s">
        <v>18</v>
      </c>
      <c r="E35" s="233" t="s">
        <v>18</v>
      </c>
      <c r="F35" s="233" t="s">
        <v>18</v>
      </c>
      <c r="G35" s="233" t="s">
        <v>18</v>
      </c>
      <c r="H35" s="233" t="s">
        <v>18</v>
      </c>
      <c r="I35" s="233" t="s">
        <v>18</v>
      </c>
      <c r="J35" s="233" t="s">
        <v>18</v>
      </c>
      <c r="K35" s="233" t="s">
        <v>18</v>
      </c>
      <c r="L35" s="233" t="s">
        <v>18</v>
      </c>
      <c r="M35" s="233" t="s">
        <v>18</v>
      </c>
      <c r="N35" s="233" t="s">
        <v>18</v>
      </c>
      <c r="O35" s="233" t="s">
        <v>18</v>
      </c>
    </row>
    <row r="36" spans="1:15" ht="21.75" customHeight="1" x14ac:dyDescent="0.25">
      <c r="A36" s="233"/>
      <c r="B36" s="234"/>
      <c r="C36" s="234" t="s">
        <v>308</v>
      </c>
      <c r="D36" s="233" t="s">
        <v>18</v>
      </c>
      <c r="E36" s="233" t="s">
        <v>18</v>
      </c>
      <c r="F36" s="233" t="s">
        <v>18</v>
      </c>
      <c r="G36" s="233" t="s">
        <v>18</v>
      </c>
      <c r="H36" s="233" t="s">
        <v>18</v>
      </c>
      <c r="I36" s="233" t="s">
        <v>18</v>
      </c>
      <c r="J36" s="233" t="s">
        <v>18</v>
      </c>
      <c r="K36" s="233" t="s">
        <v>18</v>
      </c>
      <c r="L36" s="233" t="s">
        <v>18</v>
      </c>
      <c r="M36" s="233" t="s">
        <v>18</v>
      </c>
      <c r="N36" s="233" t="s">
        <v>18</v>
      </c>
      <c r="O36" s="233" t="s">
        <v>18</v>
      </c>
    </row>
    <row r="37" spans="1:15" ht="18.75" x14ac:dyDescent="0.3">
      <c r="A37" s="235">
        <v>23</v>
      </c>
      <c r="B37" s="479" t="s">
        <v>38</v>
      </c>
      <c r="C37" s="416" t="s">
        <v>38</v>
      </c>
      <c r="D37" s="233" t="s">
        <v>18</v>
      </c>
      <c r="E37" s="233" t="s">
        <v>18</v>
      </c>
      <c r="F37" s="233" t="s">
        <v>18</v>
      </c>
      <c r="G37" s="233" t="s">
        <v>18</v>
      </c>
      <c r="H37" s="233" t="s">
        <v>18</v>
      </c>
      <c r="I37" s="233" t="s">
        <v>18</v>
      </c>
      <c r="J37" s="233" t="s">
        <v>18</v>
      </c>
      <c r="K37" s="233" t="s">
        <v>18</v>
      </c>
      <c r="L37" s="233" t="s">
        <v>18</v>
      </c>
      <c r="M37" s="233" t="s">
        <v>18</v>
      </c>
      <c r="N37" s="233" t="s">
        <v>18</v>
      </c>
      <c r="O37" s="233" t="s">
        <v>18</v>
      </c>
    </row>
    <row r="38" spans="1:15" ht="18.75" x14ac:dyDescent="0.3">
      <c r="A38" s="235">
        <v>24</v>
      </c>
      <c r="B38" s="479"/>
      <c r="C38" s="416" t="s">
        <v>39</v>
      </c>
      <c r="D38" s="233" t="s">
        <v>18</v>
      </c>
      <c r="E38" s="233" t="s">
        <v>18</v>
      </c>
      <c r="F38" s="233" t="s">
        <v>18</v>
      </c>
      <c r="G38" s="233" t="s">
        <v>18</v>
      </c>
      <c r="H38" s="233" t="s">
        <v>18</v>
      </c>
      <c r="I38" s="233" t="s">
        <v>18</v>
      </c>
      <c r="J38" s="233" t="s">
        <v>18</v>
      </c>
      <c r="K38" s="233" t="s">
        <v>18</v>
      </c>
      <c r="L38" s="233" t="s">
        <v>18</v>
      </c>
      <c r="M38" s="233" t="s">
        <v>18</v>
      </c>
      <c r="N38" s="233" t="s">
        <v>18</v>
      </c>
      <c r="O38" s="233" t="s">
        <v>18</v>
      </c>
    </row>
    <row r="39" spans="1:15" ht="18.75" x14ac:dyDescent="0.3">
      <c r="A39" s="235">
        <v>25</v>
      </c>
      <c r="B39" s="479" t="s">
        <v>88</v>
      </c>
      <c r="C39" s="416" t="s">
        <v>88</v>
      </c>
      <c r="D39" s="233" t="s">
        <v>18</v>
      </c>
      <c r="E39" s="233" t="s">
        <v>18</v>
      </c>
      <c r="F39" s="233" t="s">
        <v>18</v>
      </c>
      <c r="G39" s="233" t="s">
        <v>18</v>
      </c>
      <c r="H39" s="233" t="s">
        <v>18</v>
      </c>
      <c r="I39" s="233" t="s">
        <v>18</v>
      </c>
      <c r="J39" s="233" t="s">
        <v>18</v>
      </c>
      <c r="K39" s="233" t="s">
        <v>18</v>
      </c>
      <c r="L39" s="233" t="s">
        <v>18</v>
      </c>
      <c r="M39" s="233" t="s">
        <v>18</v>
      </c>
      <c r="N39" s="233" t="s">
        <v>18</v>
      </c>
      <c r="O39" s="233" t="s">
        <v>18</v>
      </c>
    </row>
    <row r="40" spans="1:15" ht="18.75" x14ac:dyDescent="0.3">
      <c r="A40" s="235">
        <v>26</v>
      </c>
      <c r="B40" s="479"/>
      <c r="C40" s="416" t="s">
        <v>41</v>
      </c>
      <c r="D40" s="233" t="s">
        <v>18</v>
      </c>
      <c r="E40" s="233" t="s">
        <v>18</v>
      </c>
      <c r="F40" s="233" t="s">
        <v>18</v>
      </c>
      <c r="G40" s="233" t="s">
        <v>18</v>
      </c>
      <c r="H40" s="233" t="s">
        <v>18</v>
      </c>
      <c r="I40" s="233" t="s">
        <v>18</v>
      </c>
      <c r="J40" s="233" t="s">
        <v>18</v>
      </c>
      <c r="K40" s="233" t="s">
        <v>18</v>
      </c>
      <c r="L40" s="233" t="s">
        <v>18</v>
      </c>
      <c r="M40" s="233" t="s">
        <v>18</v>
      </c>
      <c r="N40" s="233" t="s">
        <v>18</v>
      </c>
      <c r="O40" s="233" t="s">
        <v>18</v>
      </c>
    </row>
    <row r="41" spans="1:15" ht="18.75" x14ac:dyDescent="0.3">
      <c r="A41" s="235">
        <v>27</v>
      </c>
      <c r="B41" s="479"/>
      <c r="C41" s="416" t="s">
        <v>42</v>
      </c>
      <c r="D41" s="233" t="s">
        <v>18</v>
      </c>
      <c r="E41" s="233" t="s">
        <v>18</v>
      </c>
      <c r="F41" s="233" t="s">
        <v>18</v>
      </c>
      <c r="G41" s="233" t="s">
        <v>18</v>
      </c>
      <c r="H41" s="233" t="s">
        <v>18</v>
      </c>
      <c r="I41" s="233" t="s">
        <v>18</v>
      </c>
      <c r="J41" s="233" t="s">
        <v>18</v>
      </c>
      <c r="K41" s="233" t="s">
        <v>18</v>
      </c>
      <c r="L41" s="233" t="s">
        <v>18</v>
      </c>
      <c r="M41" s="233" t="s">
        <v>18</v>
      </c>
      <c r="N41" s="233" t="s">
        <v>18</v>
      </c>
      <c r="O41" s="233" t="s">
        <v>18</v>
      </c>
    </row>
    <row r="42" spans="1:15" ht="18.75" x14ac:dyDescent="0.3">
      <c r="A42" s="235">
        <v>28</v>
      </c>
      <c r="B42" s="479" t="s">
        <v>43</v>
      </c>
      <c r="C42" s="416" t="s">
        <v>89</v>
      </c>
      <c r="D42" s="233" t="s">
        <v>18</v>
      </c>
      <c r="E42" s="233" t="s">
        <v>18</v>
      </c>
      <c r="F42" s="233" t="s">
        <v>18</v>
      </c>
      <c r="G42" s="233" t="s">
        <v>18</v>
      </c>
      <c r="H42" s="233" t="s">
        <v>18</v>
      </c>
      <c r="I42" s="233" t="s">
        <v>18</v>
      </c>
      <c r="J42" s="233" t="s">
        <v>18</v>
      </c>
      <c r="K42" s="233" t="s">
        <v>18</v>
      </c>
      <c r="L42" s="233" t="s">
        <v>18</v>
      </c>
      <c r="M42" s="233" t="s">
        <v>18</v>
      </c>
      <c r="N42" s="233" t="s">
        <v>18</v>
      </c>
      <c r="O42" s="233" t="s">
        <v>18</v>
      </c>
    </row>
    <row r="43" spans="1:15" ht="18.75" x14ac:dyDescent="0.3">
      <c r="A43" s="235"/>
      <c r="B43" s="479"/>
      <c r="C43" s="416" t="s">
        <v>44</v>
      </c>
      <c r="D43" s="233" t="s">
        <v>18</v>
      </c>
      <c r="E43" s="233" t="s">
        <v>18</v>
      </c>
      <c r="F43" s="233" t="s">
        <v>18</v>
      </c>
      <c r="G43" s="233" t="s">
        <v>18</v>
      </c>
      <c r="H43" s="233" t="s">
        <v>18</v>
      </c>
      <c r="I43" s="233" t="s">
        <v>18</v>
      </c>
      <c r="J43" s="233" t="s">
        <v>18</v>
      </c>
      <c r="K43" s="233" t="s">
        <v>18</v>
      </c>
      <c r="L43" s="233" t="s">
        <v>18</v>
      </c>
      <c r="M43" s="233" t="s">
        <v>18</v>
      </c>
      <c r="N43" s="233" t="s">
        <v>18</v>
      </c>
      <c r="O43" s="233" t="s">
        <v>18</v>
      </c>
    </row>
    <row r="44" spans="1:15" ht="18.75" x14ac:dyDescent="0.3">
      <c r="A44" s="235">
        <v>29</v>
      </c>
      <c r="B44" s="479"/>
      <c r="C44" s="416" t="s">
        <v>45</v>
      </c>
      <c r="D44" s="233" t="s">
        <v>18</v>
      </c>
      <c r="E44" s="233" t="s">
        <v>18</v>
      </c>
      <c r="F44" s="233" t="s">
        <v>18</v>
      </c>
      <c r="G44" s="233" t="s">
        <v>18</v>
      </c>
      <c r="H44" s="233" t="s">
        <v>18</v>
      </c>
      <c r="I44" s="233" t="s">
        <v>18</v>
      </c>
      <c r="J44" s="233" t="s">
        <v>18</v>
      </c>
      <c r="K44" s="233" t="s">
        <v>18</v>
      </c>
      <c r="L44" s="233" t="s">
        <v>18</v>
      </c>
      <c r="M44" s="233" t="s">
        <v>18</v>
      </c>
      <c r="N44" s="233" t="s">
        <v>18</v>
      </c>
      <c r="O44" s="233" t="s">
        <v>18</v>
      </c>
    </row>
    <row r="45" spans="1:15" ht="18.75" x14ac:dyDescent="0.3">
      <c r="A45" s="235">
        <v>30</v>
      </c>
      <c r="B45" s="479" t="s">
        <v>46</v>
      </c>
      <c r="C45" s="416" t="s">
        <v>47</v>
      </c>
      <c r="D45" s="233" t="s">
        <v>18</v>
      </c>
      <c r="E45" s="233" t="s">
        <v>18</v>
      </c>
      <c r="F45" s="233" t="s">
        <v>18</v>
      </c>
      <c r="G45" s="233" t="s">
        <v>18</v>
      </c>
      <c r="H45" s="233" t="s">
        <v>18</v>
      </c>
      <c r="I45" s="233" t="s">
        <v>18</v>
      </c>
      <c r="J45" s="233" t="s">
        <v>18</v>
      </c>
      <c r="K45" s="233" t="s">
        <v>18</v>
      </c>
      <c r="L45" s="233" t="s">
        <v>18</v>
      </c>
      <c r="M45" s="233" t="s">
        <v>18</v>
      </c>
      <c r="N45" s="233" t="s">
        <v>18</v>
      </c>
      <c r="O45" s="233" t="s">
        <v>18</v>
      </c>
    </row>
    <row r="46" spans="1:15" ht="18.75" x14ac:dyDescent="0.3">
      <c r="A46" s="235">
        <v>31</v>
      </c>
      <c r="B46" s="479"/>
      <c r="C46" s="416" t="s">
        <v>142</v>
      </c>
      <c r="D46" s="233" t="s">
        <v>18</v>
      </c>
      <c r="E46" s="233" t="s">
        <v>18</v>
      </c>
      <c r="F46" s="233" t="s">
        <v>18</v>
      </c>
      <c r="G46" s="233" t="s">
        <v>18</v>
      </c>
      <c r="H46" s="233" t="s">
        <v>18</v>
      </c>
      <c r="I46" s="233" t="s">
        <v>18</v>
      </c>
      <c r="J46" s="233" t="s">
        <v>18</v>
      </c>
      <c r="K46" s="233" t="s">
        <v>18</v>
      </c>
      <c r="L46" s="233" t="s">
        <v>18</v>
      </c>
      <c r="M46" s="233" t="s">
        <v>18</v>
      </c>
      <c r="N46" s="233" t="s">
        <v>18</v>
      </c>
      <c r="O46" s="233" t="s">
        <v>18</v>
      </c>
    </row>
    <row r="47" spans="1:15" ht="18.75" x14ac:dyDescent="0.3">
      <c r="A47" s="235">
        <v>32</v>
      </c>
      <c r="B47" s="479"/>
      <c r="C47" s="416" t="s">
        <v>75</v>
      </c>
      <c r="D47" s="233" t="s">
        <v>18</v>
      </c>
      <c r="E47" s="233" t="s">
        <v>18</v>
      </c>
      <c r="F47" s="233" t="s">
        <v>18</v>
      </c>
      <c r="G47" s="233" t="s">
        <v>18</v>
      </c>
      <c r="H47" s="233" t="s">
        <v>18</v>
      </c>
      <c r="I47" s="233" t="s">
        <v>18</v>
      </c>
      <c r="J47" s="233" t="s">
        <v>18</v>
      </c>
      <c r="K47" s="233" t="s">
        <v>18</v>
      </c>
      <c r="L47" s="233" t="s">
        <v>18</v>
      </c>
      <c r="M47" s="233" t="s">
        <v>18</v>
      </c>
      <c r="N47" s="233" t="s">
        <v>18</v>
      </c>
      <c r="O47" s="233" t="s">
        <v>18</v>
      </c>
    </row>
    <row r="48" spans="1:15" ht="18.75" x14ac:dyDescent="0.3">
      <c r="A48" s="235">
        <v>33</v>
      </c>
      <c r="B48" s="479" t="s">
        <v>49</v>
      </c>
      <c r="C48" s="416" t="s">
        <v>360</v>
      </c>
      <c r="D48" s="233" t="s">
        <v>18</v>
      </c>
      <c r="E48" s="233" t="s">
        <v>18</v>
      </c>
      <c r="F48" s="233" t="s">
        <v>18</v>
      </c>
      <c r="G48" s="233" t="s">
        <v>18</v>
      </c>
      <c r="H48" s="233" t="s">
        <v>18</v>
      </c>
      <c r="I48" s="233" t="s">
        <v>18</v>
      </c>
      <c r="J48" s="233" t="s">
        <v>18</v>
      </c>
      <c r="K48" s="233" t="s">
        <v>18</v>
      </c>
      <c r="L48" s="233" t="s">
        <v>18</v>
      </c>
      <c r="M48" s="233" t="s">
        <v>18</v>
      </c>
      <c r="N48" s="233" t="s">
        <v>18</v>
      </c>
      <c r="O48" s="233" t="s">
        <v>18</v>
      </c>
    </row>
    <row r="49" spans="1:15" ht="18.75" x14ac:dyDescent="0.3">
      <c r="A49" s="235">
        <v>34</v>
      </c>
      <c r="B49" s="479"/>
      <c r="C49" s="416" t="s">
        <v>50</v>
      </c>
      <c r="D49" s="233" t="s">
        <v>18</v>
      </c>
      <c r="E49" s="233" t="s">
        <v>18</v>
      </c>
      <c r="F49" s="233" t="s">
        <v>18</v>
      </c>
      <c r="G49" s="233" t="s">
        <v>18</v>
      </c>
      <c r="H49" s="233" t="s">
        <v>18</v>
      </c>
      <c r="I49" s="233" t="s">
        <v>18</v>
      </c>
      <c r="J49" s="233" t="s">
        <v>18</v>
      </c>
      <c r="K49" s="233" t="s">
        <v>18</v>
      </c>
      <c r="L49" s="233" t="s">
        <v>18</v>
      </c>
      <c r="M49" s="233" t="s">
        <v>18</v>
      </c>
      <c r="N49" s="233" t="s">
        <v>18</v>
      </c>
      <c r="O49" s="233" t="s">
        <v>18</v>
      </c>
    </row>
    <row r="50" spans="1:15" ht="18.75" x14ac:dyDescent="0.3">
      <c r="A50" s="235">
        <v>35</v>
      </c>
      <c r="B50" s="479"/>
      <c r="C50" s="416" t="s">
        <v>51</v>
      </c>
      <c r="D50" s="233" t="s">
        <v>18</v>
      </c>
      <c r="E50" s="233" t="s">
        <v>18</v>
      </c>
      <c r="F50" s="233" t="s">
        <v>18</v>
      </c>
      <c r="G50" s="233" t="s">
        <v>18</v>
      </c>
      <c r="H50" s="233" t="s">
        <v>18</v>
      </c>
      <c r="I50" s="233" t="s">
        <v>18</v>
      </c>
      <c r="J50" s="233" t="s">
        <v>18</v>
      </c>
      <c r="K50" s="233" t="s">
        <v>18</v>
      </c>
      <c r="L50" s="233" t="s">
        <v>18</v>
      </c>
      <c r="M50" s="233" t="s">
        <v>18</v>
      </c>
      <c r="N50" s="233" t="s">
        <v>18</v>
      </c>
      <c r="O50" s="233" t="s">
        <v>18</v>
      </c>
    </row>
    <row r="51" spans="1:15" ht="18.75" x14ac:dyDescent="0.3">
      <c r="A51" s="235">
        <v>36</v>
      </c>
      <c r="B51" s="479" t="s">
        <v>52</v>
      </c>
      <c r="C51" s="416" t="s">
        <v>53</v>
      </c>
      <c r="D51" s="233" t="s">
        <v>18</v>
      </c>
      <c r="E51" s="233" t="s">
        <v>18</v>
      </c>
      <c r="F51" s="233" t="s">
        <v>18</v>
      </c>
      <c r="G51" s="233" t="s">
        <v>18</v>
      </c>
      <c r="H51" s="233" t="s">
        <v>18</v>
      </c>
      <c r="I51" s="233" t="s">
        <v>18</v>
      </c>
      <c r="J51" s="233" t="s">
        <v>18</v>
      </c>
      <c r="K51" s="233" t="s">
        <v>18</v>
      </c>
      <c r="L51" s="233" t="s">
        <v>18</v>
      </c>
      <c r="M51" s="233" t="s">
        <v>18</v>
      </c>
      <c r="N51" s="233" t="s">
        <v>18</v>
      </c>
      <c r="O51" s="233" t="s">
        <v>18</v>
      </c>
    </row>
    <row r="52" spans="1:15" ht="18.75" x14ac:dyDescent="0.3">
      <c r="A52" s="235">
        <v>37</v>
      </c>
      <c r="B52" s="479"/>
      <c r="C52" s="416" t="s">
        <v>54</v>
      </c>
      <c r="D52" s="233" t="s">
        <v>18</v>
      </c>
      <c r="E52" s="233" t="s">
        <v>18</v>
      </c>
      <c r="F52" s="233" t="s">
        <v>18</v>
      </c>
      <c r="G52" s="233" t="s">
        <v>18</v>
      </c>
      <c r="H52" s="233" t="s">
        <v>18</v>
      </c>
      <c r="I52" s="233" t="s">
        <v>18</v>
      </c>
      <c r="J52" s="233" t="s">
        <v>18</v>
      </c>
      <c r="K52" s="233" t="s">
        <v>18</v>
      </c>
      <c r="L52" s="233" t="s">
        <v>18</v>
      </c>
      <c r="M52" s="233" t="s">
        <v>18</v>
      </c>
      <c r="N52" s="233" t="s">
        <v>18</v>
      </c>
      <c r="O52" s="233" t="s">
        <v>18</v>
      </c>
    </row>
    <row r="53" spans="1:15" ht="18.75" x14ac:dyDescent="0.3">
      <c r="A53" s="235">
        <v>38</v>
      </c>
      <c r="B53" s="479"/>
      <c r="C53" s="416" t="s">
        <v>55</v>
      </c>
      <c r="D53" s="233" t="s">
        <v>18</v>
      </c>
      <c r="E53" s="233" t="s">
        <v>18</v>
      </c>
      <c r="F53" s="233" t="s">
        <v>18</v>
      </c>
      <c r="G53" s="233" t="s">
        <v>18</v>
      </c>
      <c r="H53" s="233" t="s">
        <v>18</v>
      </c>
      <c r="I53" s="233" t="s">
        <v>18</v>
      </c>
      <c r="J53" s="233" t="s">
        <v>18</v>
      </c>
      <c r="K53" s="233" t="s">
        <v>18</v>
      </c>
      <c r="L53" s="233" t="s">
        <v>18</v>
      </c>
      <c r="M53" s="233" t="s">
        <v>18</v>
      </c>
      <c r="N53" s="233" t="s">
        <v>18</v>
      </c>
      <c r="O53" s="233" t="s">
        <v>18</v>
      </c>
    </row>
    <row r="54" spans="1:15" ht="18.75" x14ac:dyDescent="0.3">
      <c r="A54" s="235">
        <v>39</v>
      </c>
      <c r="B54" s="479"/>
      <c r="C54" s="416" t="s">
        <v>56</v>
      </c>
      <c r="D54" s="233" t="s">
        <v>18</v>
      </c>
      <c r="E54" s="233" t="s">
        <v>18</v>
      </c>
      <c r="F54" s="233" t="s">
        <v>18</v>
      </c>
      <c r="G54" s="233" t="s">
        <v>18</v>
      </c>
      <c r="H54" s="233" t="s">
        <v>18</v>
      </c>
      <c r="I54" s="233" t="s">
        <v>18</v>
      </c>
      <c r="J54" s="233" t="s">
        <v>18</v>
      </c>
      <c r="K54" s="233" t="s">
        <v>18</v>
      </c>
      <c r="L54" s="233" t="s">
        <v>18</v>
      </c>
      <c r="M54" s="233" t="s">
        <v>18</v>
      </c>
      <c r="N54" s="233" t="s">
        <v>18</v>
      </c>
      <c r="O54" s="233" t="s">
        <v>18</v>
      </c>
    </row>
    <row r="55" spans="1:15" ht="18.75" x14ac:dyDescent="0.3">
      <c r="A55" s="235">
        <v>40</v>
      </c>
      <c r="B55" s="479"/>
      <c r="C55" s="416" t="s">
        <v>57</v>
      </c>
      <c r="D55" s="233" t="s">
        <v>18</v>
      </c>
      <c r="E55" s="233" t="s">
        <v>18</v>
      </c>
      <c r="F55" s="233" t="s">
        <v>18</v>
      </c>
      <c r="G55" s="233" t="s">
        <v>18</v>
      </c>
      <c r="H55" s="233" t="s">
        <v>18</v>
      </c>
      <c r="I55" s="233" t="s">
        <v>18</v>
      </c>
      <c r="J55" s="233" t="s">
        <v>18</v>
      </c>
      <c r="K55" s="233" t="s">
        <v>18</v>
      </c>
      <c r="L55" s="233" t="s">
        <v>18</v>
      </c>
      <c r="M55" s="233" t="s">
        <v>18</v>
      </c>
      <c r="N55" s="233" t="s">
        <v>18</v>
      </c>
      <c r="O55" s="233" t="s">
        <v>18</v>
      </c>
    </row>
    <row r="56" spans="1:15" ht="18.75" x14ac:dyDescent="0.3">
      <c r="A56" s="235">
        <v>41</v>
      </c>
      <c r="B56" s="479"/>
      <c r="C56" s="416" t="s">
        <v>58</v>
      </c>
      <c r="D56" s="233" t="s">
        <v>18</v>
      </c>
      <c r="E56" s="233" t="s">
        <v>18</v>
      </c>
      <c r="F56" s="233" t="s">
        <v>18</v>
      </c>
      <c r="G56" s="233" t="s">
        <v>18</v>
      </c>
      <c r="H56" s="233" t="s">
        <v>18</v>
      </c>
      <c r="I56" s="233" t="s">
        <v>18</v>
      </c>
      <c r="J56" s="233" t="s">
        <v>18</v>
      </c>
      <c r="K56" s="233" t="s">
        <v>18</v>
      </c>
      <c r="L56" s="233" t="s">
        <v>18</v>
      </c>
      <c r="M56" s="233" t="s">
        <v>18</v>
      </c>
      <c r="N56" s="233" t="s">
        <v>18</v>
      </c>
      <c r="O56" s="233" t="s">
        <v>18</v>
      </c>
    </row>
    <row r="57" spans="1:15" ht="18.75" x14ac:dyDescent="0.3">
      <c r="A57" s="235"/>
      <c r="B57" s="232"/>
      <c r="C57" s="416" t="s">
        <v>60</v>
      </c>
      <c r="D57" s="233"/>
      <c r="E57" s="233"/>
      <c r="F57" s="233"/>
      <c r="G57" s="233"/>
      <c r="H57" s="233"/>
      <c r="I57" s="233"/>
      <c r="J57" s="233"/>
      <c r="K57" s="233"/>
      <c r="L57" s="233"/>
      <c r="M57" s="233"/>
      <c r="N57" s="233"/>
      <c r="O57" s="233"/>
    </row>
    <row r="58" spans="1:15" ht="18.75" x14ac:dyDescent="0.3">
      <c r="A58" s="44"/>
      <c r="C58" s="150"/>
      <c r="D58" s="312"/>
      <c r="E58" s="312"/>
      <c r="F58" s="312"/>
      <c r="G58" s="312"/>
      <c r="H58" s="312"/>
      <c r="I58" s="312"/>
      <c r="J58" s="151"/>
      <c r="K58" s="151"/>
      <c r="L58" s="151"/>
      <c r="M58" s="151"/>
      <c r="N58" s="151"/>
      <c r="O58" s="151"/>
    </row>
    <row r="59" spans="1:15" ht="18.75" x14ac:dyDescent="0.3">
      <c r="A59" s="44"/>
      <c r="C59" s="150"/>
      <c r="D59" s="312"/>
      <c r="E59" s="312"/>
      <c r="F59" s="312"/>
      <c r="G59" s="312"/>
      <c r="H59" s="312"/>
      <c r="I59" s="312"/>
      <c r="J59" s="151"/>
      <c r="K59" s="151"/>
      <c r="L59" s="151"/>
      <c r="M59" s="151"/>
      <c r="N59" s="151"/>
      <c r="O59" s="151"/>
    </row>
    <row r="60" spans="1:15" ht="18.75" x14ac:dyDescent="0.3">
      <c r="A60" s="44"/>
      <c r="C60" s="150"/>
      <c r="D60" s="312"/>
      <c r="E60" s="312"/>
      <c r="F60" s="312"/>
      <c r="G60" s="312"/>
      <c r="H60" s="312"/>
      <c r="I60" s="312"/>
      <c r="J60" s="151"/>
      <c r="K60" s="151"/>
      <c r="L60" s="151"/>
      <c r="M60" s="151"/>
      <c r="N60" s="151"/>
      <c r="O60" s="151"/>
    </row>
    <row r="61" spans="1:15" ht="18.75" x14ac:dyDescent="0.3">
      <c r="A61" s="44"/>
      <c r="C61" s="150"/>
      <c r="D61" s="312"/>
      <c r="E61" s="312"/>
      <c r="F61" s="312"/>
      <c r="G61" s="312"/>
      <c r="H61" s="312"/>
      <c r="I61" s="312"/>
      <c r="J61" s="151"/>
      <c r="K61" s="151"/>
      <c r="L61" s="151"/>
      <c r="M61" s="151"/>
      <c r="N61" s="151"/>
      <c r="O61" s="151"/>
    </row>
    <row r="62" spans="1:15" s="60" customFormat="1" ht="18.75" customHeight="1" x14ac:dyDescent="0.25">
      <c r="A62" s="534" t="s">
        <v>1479</v>
      </c>
      <c r="B62" s="535"/>
      <c r="C62" s="535"/>
      <c r="D62" s="535"/>
      <c r="E62" s="535"/>
      <c r="F62" s="535"/>
      <c r="G62" s="535"/>
      <c r="H62" s="535"/>
      <c r="I62" s="535"/>
      <c r="J62" s="535"/>
      <c r="K62" s="535"/>
      <c r="L62" s="535"/>
      <c r="M62" s="535"/>
      <c r="N62" s="535"/>
      <c r="O62" s="536"/>
    </row>
    <row r="63" spans="1:15" ht="18.75" x14ac:dyDescent="0.25">
      <c r="A63" s="479" t="s">
        <v>0</v>
      </c>
      <c r="B63" s="533" t="s">
        <v>1</v>
      </c>
      <c r="C63" s="479" t="s">
        <v>2</v>
      </c>
      <c r="D63" s="478" t="s">
        <v>3</v>
      </c>
      <c r="E63" s="478" t="s">
        <v>4</v>
      </c>
      <c r="F63" s="478" t="s">
        <v>5</v>
      </c>
      <c r="G63" s="478" t="s">
        <v>73</v>
      </c>
      <c r="H63" s="478" t="s">
        <v>9</v>
      </c>
      <c r="I63" s="478" t="s">
        <v>10</v>
      </c>
      <c r="J63" s="478" t="s">
        <v>11</v>
      </c>
      <c r="K63" s="478"/>
      <c r="L63" s="478" t="s">
        <v>12</v>
      </c>
      <c r="M63" s="478"/>
      <c r="N63" s="478" t="s">
        <v>13</v>
      </c>
      <c r="O63" s="478"/>
    </row>
    <row r="64" spans="1:15" ht="18.75" x14ac:dyDescent="0.25">
      <c r="A64" s="479"/>
      <c r="B64" s="533"/>
      <c r="C64" s="479"/>
      <c r="D64" s="478"/>
      <c r="E64" s="478"/>
      <c r="F64" s="478"/>
      <c r="G64" s="478"/>
      <c r="H64" s="478"/>
      <c r="I64" s="478"/>
      <c r="J64" s="233" t="s">
        <v>14</v>
      </c>
      <c r="K64" s="233" t="s">
        <v>15</v>
      </c>
      <c r="L64" s="233" t="s">
        <v>14</v>
      </c>
      <c r="M64" s="233" t="s">
        <v>15</v>
      </c>
      <c r="N64" s="233" t="s">
        <v>14</v>
      </c>
      <c r="O64" s="233" t="s">
        <v>15</v>
      </c>
    </row>
    <row r="65" spans="1:16" ht="18.75" x14ac:dyDescent="0.3">
      <c r="A65" s="235">
        <v>1</v>
      </c>
      <c r="B65" s="533" t="s">
        <v>16</v>
      </c>
      <c r="C65" s="416" t="s">
        <v>17</v>
      </c>
      <c r="D65" s="233">
        <v>4</v>
      </c>
      <c r="E65" s="233" t="s">
        <v>18</v>
      </c>
      <c r="F65" s="233">
        <v>4</v>
      </c>
      <c r="G65" s="233" t="s">
        <v>304</v>
      </c>
      <c r="H65" s="417">
        <v>110000</v>
      </c>
      <c r="I65" s="417">
        <v>3990000</v>
      </c>
      <c r="J65" s="418" t="s">
        <v>18</v>
      </c>
      <c r="K65" s="418" t="s">
        <v>18</v>
      </c>
      <c r="L65" s="418" t="s">
        <v>18</v>
      </c>
      <c r="M65" s="418" t="s">
        <v>18</v>
      </c>
      <c r="N65" s="418" t="s">
        <v>18</v>
      </c>
      <c r="O65" s="418" t="s">
        <v>18</v>
      </c>
    </row>
    <row r="66" spans="1:16" ht="18.75" x14ac:dyDescent="0.3">
      <c r="A66" s="235">
        <v>2</v>
      </c>
      <c r="B66" s="533"/>
      <c r="C66" s="416" t="s">
        <v>19</v>
      </c>
      <c r="D66" s="233" t="s">
        <v>18</v>
      </c>
      <c r="E66" s="233" t="s">
        <v>18</v>
      </c>
      <c r="F66" s="233" t="s">
        <v>18</v>
      </c>
      <c r="G66" s="233" t="s">
        <v>18</v>
      </c>
      <c r="H66" s="417" t="s">
        <v>317</v>
      </c>
      <c r="I66" s="417" t="s">
        <v>317</v>
      </c>
      <c r="J66" s="418" t="s">
        <v>18</v>
      </c>
      <c r="K66" s="418" t="s">
        <v>18</v>
      </c>
      <c r="L66" s="418" t="s">
        <v>18</v>
      </c>
      <c r="M66" s="418" t="s">
        <v>18</v>
      </c>
      <c r="N66" s="418" t="s">
        <v>18</v>
      </c>
      <c r="O66" s="418" t="s">
        <v>18</v>
      </c>
    </row>
    <row r="67" spans="1:16" ht="20.25" customHeight="1" x14ac:dyDescent="0.3">
      <c r="A67" s="235">
        <v>3</v>
      </c>
      <c r="B67" s="195" t="s">
        <v>20</v>
      </c>
      <c r="C67" s="416" t="s">
        <v>20</v>
      </c>
      <c r="D67" s="233">
        <v>7</v>
      </c>
      <c r="E67" s="233" t="s">
        <v>18</v>
      </c>
      <c r="F67" s="233">
        <v>7</v>
      </c>
      <c r="G67" s="233" t="s">
        <v>304</v>
      </c>
      <c r="H67" s="417">
        <v>1500</v>
      </c>
      <c r="I67" s="417">
        <v>3078500</v>
      </c>
      <c r="J67" s="418" t="s">
        <v>18</v>
      </c>
      <c r="K67" s="418" t="s">
        <v>18</v>
      </c>
      <c r="L67" s="418" t="s">
        <v>18</v>
      </c>
      <c r="M67" s="418" t="s">
        <v>18</v>
      </c>
      <c r="N67" s="418" t="s">
        <v>18</v>
      </c>
      <c r="O67" s="418" t="s">
        <v>18</v>
      </c>
    </row>
    <row r="68" spans="1:16" ht="18.75" x14ac:dyDescent="0.3">
      <c r="A68" s="235">
        <v>4</v>
      </c>
      <c r="B68" s="479" t="s">
        <v>21</v>
      </c>
      <c r="C68" s="416" t="s">
        <v>21</v>
      </c>
      <c r="D68" s="233">
        <v>2</v>
      </c>
      <c r="E68" s="233" t="s">
        <v>18</v>
      </c>
      <c r="F68" s="233">
        <v>2</v>
      </c>
      <c r="G68" s="233" t="s">
        <v>304</v>
      </c>
      <c r="H68" s="417">
        <v>500</v>
      </c>
      <c r="I68" s="417">
        <v>6000000</v>
      </c>
      <c r="J68" s="418" t="s">
        <v>18</v>
      </c>
      <c r="K68" s="418" t="s">
        <v>18</v>
      </c>
      <c r="L68" s="418" t="s">
        <v>18</v>
      </c>
      <c r="M68" s="418" t="s">
        <v>18</v>
      </c>
      <c r="N68" s="418" t="s">
        <v>18</v>
      </c>
      <c r="O68" s="418" t="s">
        <v>18</v>
      </c>
    </row>
    <row r="69" spans="1:16" ht="18.75" x14ac:dyDescent="0.3">
      <c r="A69" s="235">
        <v>5</v>
      </c>
      <c r="B69" s="479"/>
      <c r="C69" s="416" t="s">
        <v>22</v>
      </c>
      <c r="D69" s="233">
        <v>9</v>
      </c>
      <c r="E69" s="233" t="s">
        <v>18</v>
      </c>
      <c r="F69" s="233">
        <v>9</v>
      </c>
      <c r="G69" s="233" t="s">
        <v>304</v>
      </c>
      <c r="H69" s="417">
        <v>32000</v>
      </c>
      <c r="I69" s="417">
        <v>653000</v>
      </c>
      <c r="J69" s="418" t="s">
        <v>18</v>
      </c>
      <c r="K69" s="418" t="s">
        <v>18</v>
      </c>
      <c r="L69" s="418" t="s">
        <v>18</v>
      </c>
      <c r="M69" s="418" t="s">
        <v>18</v>
      </c>
      <c r="N69" s="418" t="s">
        <v>18</v>
      </c>
      <c r="O69" s="418" t="s">
        <v>18</v>
      </c>
    </row>
    <row r="70" spans="1:16" ht="18.75" x14ac:dyDescent="0.3">
      <c r="A70" s="235">
        <v>6</v>
      </c>
      <c r="B70" s="479"/>
      <c r="C70" s="234" t="s">
        <v>143</v>
      </c>
      <c r="D70" s="233">
        <v>2</v>
      </c>
      <c r="E70" s="233" t="s">
        <v>18</v>
      </c>
      <c r="F70" s="233">
        <v>2</v>
      </c>
      <c r="G70" s="233" t="s">
        <v>304</v>
      </c>
      <c r="H70" s="417">
        <v>20000</v>
      </c>
      <c r="I70" s="417">
        <v>100000</v>
      </c>
      <c r="J70" s="418" t="s">
        <v>18</v>
      </c>
      <c r="K70" s="418" t="s">
        <v>18</v>
      </c>
      <c r="L70" s="418" t="s">
        <v>18</v>
      </c>
      <c r="M70" s="418" t="s">
        <v>18</v>
      </c>
      <c r="N70" s="418" t="s">
        <v>18</v>
      </c>
      <c r="O70" s="418" t="s">
        <v>18</v>
      </c>
    </row>
    <row r="71" spans="1:16" ht="18.75" customHeight="1" x14ac:dyDescent="0.3">
      <c r="A71" s="235">
        <v>7</v>
      </c>
      <c r="B71" s="479"/>
      <c r="C71" s="234" t="s">
        <v>144</v>
      </c>
      <c r="D71" s="233" t="s">
        <v>18</v>
      </c>
      <c r="E71" s="233" t="s">
        <v>18</v>
      </c>
      <c r="F71" s="233" t="s">
        <v>18</v>
      </c>
      <c r="G71" s="233" t="s">
        <v>18</v>
      </c>
      <c r="H71" s="417" t="s">
        <v>317</v>
      </c>
      <c r="I71" s="417" t="s">
        <v>317</v>
      </c>
      <c r="J71" s="418" t="s">
        <v>18</v>
      </c>
      <c r="K71" s="418" t="s">
        <v>18</v>
      </c>
      <c r="L71" s="418" t="s">
        <v>18</v>
      </c>
      <c r="M71" s="418" t="s">
        <v>18</v>
      </c>
      <c r="N71" s="418" t="s">
        <v>18</v>
      </c>
      <c r="O71" s="418" t="s">
        <v>18</v>
      </c>
    </row>
    <row r="72" spans="1:16" ht="18.75" x14ac:dyDescent="0.3">
      <c r="A72" s="235">
        <v>8</v>
      </c>
      <c r="B72" s="479" t="s">
        <v>23</v>
      </c>
      <c r="C72" s="416" t="s">
        <v>23</v>
      </c>
      <c r="D72" s="233">
        <v>5</v>
      </c>
      <c r="E72" s="233" t="s">
        <v>18</v>
      </c>
      <c r="F72" s="233">
        <v>5</v>
      </c>
      <c r="G72" s="233" t="s">
        <v>304</v>
      </c>
      <c r="H72" s="417">
        <v>10000</v>
      </c>
      <c r="I72" s="417">
        <v>3470000</v>
      </c>
      <c r="J72" s="418" t="s">
        <v>18</v>
      </c>
      <c r="K72" s="418" t="s">
        <v>18</v>
      </c>
      <c r="L72" s="418" t="s">
        <v>18</v>
      </c>
      <c r="M72" s="418" t="s">
        <v>18</v>
      </c>
      <c r="N72" s="418" t="s">
        <v>18</v>
      </c>
      <c r="O72" s="418" t="s">
        <v>18</v>
      </c>
    </row>
    <row r="73" spans="1:16" ht="18.75" x14ac:dyDescent="0.3">
      <c r="A73" s="235">
        <v>9</v>
      </c>
      <c r="B73" s="479"/>
      <c r="C73" s="416" t="s">
        <v>140</v>
      </c>
      <c r="D73" s="233">
        <v>4</v>
      </c>
      <c r="E73" s="233" t="s">
        <v>18</v>
      </c>
      <c r="F73" s="233">
        <v>4</v>
      </c>
      <c r="G73" s="233" t="s">
        <v>304</v>
      </c>
      <c r="H73" s="417">
        <v>160000</v>
      </c>
      <c r="I73" s="417">
        <v>1090000</v>
      </c>
      <c r="J73" s="418" t="s">
        <v>18</v>
      </c>
      <c r="K73" s="418" t="s">
        <v>18</v>
      </c>
      <c r="L73" s="418" t="s">
        <v>18</v>
      </c>
      <c r="M73" s="418" t="s">
        <v>18</v>
      </c>
      <c r="N73" s="418" t="s">
        <v>18</v>
      </c>
      <c r="O73" s="418" t="s">
        <v>18</v>
      </c>
    </row>
    <row r="74" spans="1:16" ht="18.75" x14ac:dyDescent="0.3">
      <c r="A74" s="235">
        <v>9</v>
      </c>
      <c r="B74" s="479"/>
      <c r="C74" s="416" t="s">
        <v>821</v>
      </c>
      <c r="D74" s="233" t="s">
        <v>18</v>
      </c>
      <c r="E74" s="233" t="s">
        <v>18</v>
      </c>
      <c r="F74" s="233" t="s">
        <v>18</v>
      </c>
      <c r="G74" s="233" t="s">
        <v>18</v>
      </c>
      <c r="H74" s="417" t="s">
        <v>317</v>
      </c>
      <c r="I74" s="417" t="s">
        <v>317</v>
      </c>
      <c r="J74" s="418" t="s">
        <v>18</v>
      </c>
      <c r="K74" s="418" t="s">
        <v>18</v>
      </c>
      <c r="L74" s="418" t="s">
        <v>18</v>
      </c>
      <c r="M74" s="418" t="s">
        <v>18</v>
      </c>
      <c r="N74" s="418" t="s">
        <v>18</v>
      </c>
      <c r="O74" s="418" t="s">
        <v>18</v>
      </c>
    </row>
    <row r="75" spans="1:16" ht="18.75" x14ac:dyDescent="0.3">
      <c r="A75" s="235">
        <v>10</v>
      </c>
      <c r="B75" s="479" t="s">
        <v>25</v>
      </c>
      <c r="C75" s="416" t="s">
        <v>26</v>
      </c>
      <c r="D75" s="233" t="s">
        <v>18</v>
      </c>
      <c r="E75" s="233" t="s">
        <v>18</v>
      </c>
      <c r="F75" s="233" t="s">
        <v>18</v>
      </c>
      <c r="G75" s="233" t="s">
        <v>18</v>
      </c>
      <c r="H75" s="417" t="s">
        <v>317</v>
      </c>
      <c r="I75" s="417" t="s">
        <v>317</v>
      </c>
      <c r="J75" s="418" t="s">
        <v>18</v>
      </c>
      <c r="K75" s="418" t="s">
        <v>18</v>
      </c>
      <c r="L75" s="418" t="s">
        <v>18</v>
      </c>
      <c r="M75" s="418" t="s">
        <v>18</v>
      </c>
      <c r="N75" s="418" t="s">
        <v>18</v>
      </c>
      <c r="O75" s="418" t="s">
        <v>18</v>
      </c>
    </row>
    <row r="76" spans="1:16" ht="20.25" x14ac:dyDescent="0.3">
      <c r="A76" s="235">
        <v>11</v>
      </c>
      <c r="B76" s="479"/>
      <c r="C76" s="416" t="s">
        <v>27</v>
      </c>
      <c r="D76" s="233">
        <v>5</v>
      </c>
      <c r="E76" s="233" t="s">
        <v>18</v>
      </c>
      <c r="F76" s="233">
        <v>5</v>
      </c>
      <c r="G76" s="233" t="s">
        <v>304</v>
      </c>
      <c r="H76" s="417">
        <v>30000</v>
      </c>
      <c r="I76" s="417">
        <v>2970000</v>
      </c>
      <c r="J76" s="418" t="s">
        <v>18</v>
      </c>
      <c r="K76" s="418" t="s">
        <v>18</v>
      </c>
      <c r="L76" s="418" t="s">
        <v>18</v>
      </c>
      <c r="M76" s="418" t="s">
        <v>18</v>
      </c>
      <c r="N76" s="418" t="s">
        <v>18</v>
      </c>
      <c r="O76" s="418" t="s">
        <v>18</v>
      </c>
      <c r="P76" s="419"/>
    </row>
    <row r="77" spans="1:16" ht="18.75" x14ac:dyDescent="0.3">
      <c r="A77" s="235">
        <v>12</v>
      </c>
      <c r="B77" s="479"/>
      <c r="C77" s="416" t="s">
        <v>145</v>
      </c>
      <c r="D77" s="233" t="s">
        <v>18</v>
      </c>
      <c r="E77" s="233" t="s">
        <v>18</v>
      </c>
      <c r="F77" s="233" t="s">
        <v>18</v>
      </c>
      <c r="G77" s="233" t="s">
        <v>18</v>
      </c>
      <c r="H77" s="417" t="s">
        <v>317</v>
      </c>
      <c r="I77" s="417" t="s">
        <v>317</v>
      </c>
      <c r="J77" s="418" t="s">
        <v>18</v>
      </c>
      <c r="K77" s="418" t="s">
        <v>18</v>
      </c>
      <c r="L77" s="418" t="s">
        <v>18</v>
      </c>
      <c r="M77" s="418" t="s">
        <v>18</v>
      </c>
      <c r="N77" s="418" t="s">
        <v>18</v>
      </c>
      <c r="O77" s="418" t="s">
        <v>18</v>
      </c>
    </row>
    <row r="78" spans="1:16" ht="18.75" x14ac:dyDescent="0.3">
      <c r="A78" s="235">
        <v>13</v>
      </c>
      <c r="B78" s="479" t="s">
        <v>28</v>
      </c>
      <c r="C78" s="416" t="s">
        <v>29</v>
      </c>
      <c r="D78" s="233">
        <v>3</v>
      </c>
      <c r="E78" s="233" t="s">
        <v>18</v>
      </c>
      <c r="F78" s="233">
        <v>3</v>
      </c>
      <c r="G78" s="233" t="s">
        <v>304</v>
      </c>
      <c r="H78" s="417">
        <v>225000</v>
      </c>
      <c r="I78" s="417">
        <v>14775000</v>
      </c>
      <c r="J78" s="418" t="s">
        <v>18</v>
      </c>
      <c r="K78" s="418" t="s">
        <v>18</v>
      </c>
      <c r="L78" s="418" t="s">
        <v>18</v>
      </c>
      <c r="M78" s="418" t="s">
        <v>18</v>
      </c>
      <c r="N78" s="418" t="s">
        <v>18</v>
      </c>
      <c r="O78" s="418" t="s">
        <v>18</v>
      </c>
    </row>
    <row r="79" spans="1:16" ht="18.75" x14ac:dyDescent="0.3">
      <c r="A79" s="235">
        <v>14</v>
      </c>
      <c r="B79" s="479"/>
      <c r="C79" s="416" t="s">
        <v>30</v>
      </c>
      <c r="D79" s="233" t="s">
        <v>18</v>
      </c>
      <c r="E79" s="233" t="s">
        <v>18</v>
      </c>
      <c r="F79" s="233" t="s">
        <v>18</v>
      </c>
      <c r="G79" s="233" t="s">
        <v>18</v>
      </c>
      <c r="H79" s="417" t="s">
        <v>317</v>
      </c>
      <c r="I79" s="417" t="s">
        <v>317</v>
      </c>
      <c r="J79" s="418" t="s">
        <v>18</v>
      </c>
      <c r="K79" s="418" t="s">
        <v>18</v>
      </c>
      <c r="L79" s="418" t="s">
        <v>18</v>
      </c>
      <c r="M79" s="418" t="s">
        <v>18</v>
      </c>
      <c r="N79" s="418" t="s">
        <v>18</v>
      </c>
      <c r="O79" s="418" t="s">
        <v>18</v>
      </c>
    </row>
    <row r="80" spans="1:16" ht="18.75" x14ac:dyDescent="0.3">
      <c r="A80" s="235">
        <v>15</v>
      </c>
      <c r="B80" s="479"/>
      <c r="C80" s="416" t="s">
        <v>31</v>
      </c>
      <c r="D80" s="233" t="s">
        <v>18</v>
      </c>
      <c r="E80" s="233" t="s">
        <v>18</v>
      </c>
      <c r="F80" s="233" t="s">
        <v>18</v>
      </c>
      <c r="G80" s="233" t="s">
        <v>18</v>
      </c>
      <c r="H80" s="417" t="s">
        <v>317</v>
      </c>
      <c r="I80" s="417" t="s">
        <v>317</v>
      </c>
      <c r="J80" s="418" t="s">
        <v>18</v>
      </c>
      <c r="K80" s="418" t="s">
        <v>18</v>
      </c>
      <c r="L80" s="418" t="s">
        <v>18</v>
      </c>
      <c r="M80" s="418" t="s">
        <v>18</v>
      </c>
      <c r="N80" s="418" t="s">
        <v>18</v>
      </c>
      <c r="O80" s="418" t="s">
        <v>18</v>
      </c>
    </row>
    <row r="81" spans="1:15" ht="18.75" x14ac:dyDescent="0.3">
      <c r="A81" s="235">
        <v>16</v>
      </c>
      <c r="B81" s="479"/>
      <c r="C81" s="416" t="s">
        <v>32</v>
      </c>
      <c r="D81" s="233" t="s">
        <v>18</v>
      </c>
      <c r="E81" s="233" t="s">
        <v>18</v>
      </c>
      <c r="F81" s="233" t="s">
        <v>18</v>
      </c>
      <c r="G81" s="233" t="s">
        <v>18</v>
      </c>
      <c r="H81" s="417" t="s">
        <v>317</v>
      </c>
      <c r="I81" s="417" t="s">
        <v>317</v>
      </c>
      <c r="J81" s="418" t="s">
        <v>18</v>
      </c>
      <c r="K81" s="418" t="s">
        <v>18</v>
      </c>
      <c r="L81" s="418" t="s">
        <v>18</v>
      </c>
      <c r="M81" s="418" t="s">
        <v>18</v>
      </c>
      <c r="N81" s="418" t="s">
        <v>18</v>
      </c>
      <c r="O81" s="418" t="s">
        <v>18</v>
      </c>
    </row>
    <row r="82" spans="1:15" ht="18.75" x14ac:dyDescent="0.3">
      <c r="A82" s="235">
        <v>16</v>
      </c>
      <c r="B82" s="479"/>
      <c r="C82" s="416" t="s">
        <v>201</v>
      </c>
      <c r="D82" s="233">
        <v>1</v>
      </c>
      <c r="E82" s="233" t="s">
        <v>18</v>
      </c>
      <c r="F82" s="233">
        <v>1</v>
      </c>
      <c r="G82" s="233" t="s">
        <v>304</v>
      </c>
      <c r="H82" s="417">
        <v>5000</v>
      </c>
      <c r="I82" s="417">
        <v>195000</v>
      </c>
      <c r="J82" s="418" t="s">
        <v>18</v>
      </c>
      <c r="K82" s="418" t="s">
        <v>18</v>
      </c>
      <c r="L82" s="418" t="s">
        <v>18</v>
      </c>
      <c r="M82" s="418" t="s">
        <v>18</v>
      </c>
      <c r="N82" s="418" t="s">
        <v>18</v>
      </c>
      <c r="O82" s="418" t="s">
        <v>18</v>
      </c>
    </row>
    <row r="83" spans="1:15" ht="18.75" x14ac:dyDescent="0.3">
      <c r="A83" s="235">
        <v>17</v>
      </c>
      <c r="B83" s="479" t="s">
        <v>33</v>
      </c>
      <c r="C83" s="416" t="s">
        <v>33</v>
      </c>
      <c r="D83" s="233">
        <v>54</v>
      </c>
      <c r="E83" s="233" t="s">
        <v>18</v>
      </c>
      <c r="F83" s="233">
        <v>54</v>
      </c>
      <c r="G83" s="233" t="s">
        <v>304</v>
      </c>
      <c r="H83" s="417" t="s">
        <v>317</v>
      </c>
      <c r="I83" s="417" t="s">
        <v>317</v>
      </c>
      <c r="J83" s="418" t="s">
        <v>18</v>
      </c>
      <c r="K83" s="418" t="s">
        <v>18</v>
      </c>
      <c r="L83" s="418" t="s">
        <v>18</v>
      </c>
      <c r="M83" s="418" t="s">
        <v>18</v>
      </c>
      <c r="N83" s="418" t="s">
        <v>18</v>
      </c>
      <c r="O83" s="418" t="s">
        <v>18</v>
      </c>
    </row>
    <row r="84" spans="1:15" ht="18.75" x14ac:dyDescent="0.3">
      <c r="A84" s="235">
        <v>18</v>
      </c>
      <c r="B84" s="479"/>
      <c r="C84" s="416" t="s">
        <v>34</v>
      </c>
      <c r="D84" s="233" t="s">
        <v>18</v>
      </c>
      <c r="E84" s="233" t="s">
        <v>18</v>
      </c>
      <c r="F84" s="233" t="s">
        <v>18</v>
      </c>
      <c r="G84" s="233" t="s">
        <v>18</v>
      </c>
      <c r="H84" s="417" t="s">
        <v>317</v>
      </c>
      <c r="I84" s="417" t="s">
        <v>317</v>
      </c>
      <c r="J84" s="418" t="s">
        <v>18</v>
      </c>
      <c r="K84" s="418" t="s">
        <v>18</v>
      </c>
      <c r="L84" s="418" t="s">
        <v>18</v>
      </c>
      <c r="M84" s="418" t="s">
        <v>18</v>
      </c>
      <c r="N84" s="418" t="s">
        <v>18</v>
      </c>
      <c r="O84" s="418" t="s">
        <v>18</v>
      </c>
    </row>
    <row r="85" spans="1:15" ht="18.75" x14ac:dyDescent="0.3">
      <c r="A85" s="235">
        <v>19</v>
      </c>
      <c r="B85" s="479"/>
      <c r="C85" s="416" t="s">
        <v>35</v>
      </c>
      <c r="D85" s="233">
        <v>3</v>
      </c>
      <c r="E85" s="233" t="s">
        <v>18</v>
      </c>
      <c r="F85" s="233">
        <v>3</v>
      </c>
      <c r="G85" s="233" t="s">
        <v>18</v>
      </c>
      <c r="H85" s="417" t="s">
        <v>317</v>
      </c>
      <c r="I85" s="417" t="s">
        <v>317</v>
      </c>
      <c r="J85" s="418" t="s">
        <v>18</v>
      </c>
      <c r="K85" s="418" t="s">
        <v>18</v>
      </c>
      <c r="L85" s="418" t="s">
        <v>18</v>
      </c>
      <c r="M85" s="418" t="s">
        <v>18</v>
      </c>
      <c r="N85" s="418" t="s">
        <v>18</v>
      </c>
      <c r="O85" s="418" t="s">
        <v>18</v>
      </c>
    </row>
    <row r="86" spans="1:15" ht="18.75" x14ac:dyDescent="0.3">
      <c r="A86" s="235">
        <v>20</v>
      </c>
      <c r="B86" s="479"/>
      <c r="C86" s="416" t="s">
        <v>36</v>
      </c>
      <c r="D86" s="233">
        <v>4</v>
      </c>
      <c r="E86" s="233" t="s">
        <v>18</v>
      </c>
      <c r="F86" s="233">
        <v>4</v>
      </c>
      <c r="G86" s="233" t="s">
        <v>18</v>
      </c>
      <c r="H86" s="417" t="s">
        <v>317</v>
      </c>
      <c r="I86" s="417" t="s">
        <v>317</v>
      </c>
      <c r="J86" s="418" t="s">
        <v>18</v>
      </c>
      <c r="K86" s="418" t="s">
        <v>18</v>
      </c>
      <c r="L86" s="418" t="s">
        <v>18</v>
      </c>
      <c r="M86" s="418" t="s">
        <v>18</v>
      </c>
      <c r="N86" s="418" t="s">
        <v>18</v>
      </c>
      <c r="O86" s="418" t="s">
        <v>18</v>
      </c>
    </row>
    <row r="87" spans="1:15" ht="18.75" x14ac:dyDescent="0.3">
      <c r="A87" s="235">
        <v>21</v>
      </c>
      <c r="B87" s="479"/>
      <c r="C87" s="416" t="s">
        <v>37</v>
      </c>
      <c r="D87" s="233">
        <v>10</v>
      </c>
      <c r="E87" s="233" t="s">
        <v>18</v>
      </c>
      <c r="F87" s="233">
        <v>10</v>
      </c>
      <c r="G87" s="233" t="s">
        <v>174</v>
      </c>
      <c r="H87" s="417" t="s">
        <v>317</v>
      </c>
      <c r="I87" s="417" t="s">
        <v>317</v>
      </c>
      <c r="J87" s="418" t="s">
        <v>18</v>
      </c>
      <c r="K87" s="418" t="s">
        <v>18</v>
      </c>
      <c r="L87" s="418" t="s">
        <v>18</v>
      </c>
      <c r="M87" s="418" t="s">
        <v>18</v>
      </c>
      <c r="N87" s="418" t="s">
        <v>18</v>
      </c>
      <c r="O87" s="418" t="s">
        <v>18</v>
      </c>
    </row>
    <row r="88" spans="1:15" ht="18.75" x14ac:dyDescent="0.3">
      <c r="A88" s="235">
        <v>22</v>
      </c>
      <c r="B88" s="479"/>
      <c r="C88" s="416" t="s">
        <v>141</v>
      </c>
      <c r="D88" s="233">
        <v>3</v>
      </c>
      <c r="E88" s="233" t="s">
        <v>18</v>
      </c>
      <c r="F88" s="233">
        <v>3</v>
      </c>
      <c r="G88" s="233" t="s">
        <v>18</v>
      </c>
      <c r="H88" s="417" t="s">
        <v>317</v>
      </c>
      <c r="I88" s="417" t="s">
        <v>317</v>
      </c>
      <c r="J88" s="418" t="s">
        <v>18</v>
      </c>
      <c r="K88" s="418" t="s">
        <v>18</v>
      </c>
      <c r="L88" s="418" t="s">
        <v>18</v>
      </c>
      <c r="M88" s="418" t="s">
        <v>18</v>
      </c>
      <c r="N88" s="418" t="s">
        <v>18</v>
      </c>
      <c r="O88" s="418" t="s">
        <v>18</v>
      </c>
    </row>
    <row r="89" spans="1:15" ht="21.75" customHeight="1" x14ac:dyDescent="0.3">
      <c r="A89" s="233"/>
      <c r="B89" s="234"/>
      <c r="C89" s="234" t="s">
        <v>308</v>
      </c>
      <c r="D89" s="233" t="s">
        <v>18</v>
      </c>
      <c r="E89" s="233" t="s">
        <v>18</v>
      </c>
      <c r="F89" s="233" t="s">
        <v>18</v>
      </c>
      <c r="G89" s="233" t="s">
        <v>18</v>
      </c>
      <c r="H89" s="417" t="s">
        <v>317</v>
      </c>
      <c r="I89" s="417" t="s">
        <v>317</v>
      </c>
      <c r="J89" s="418" t="s">
        <v>18</v>
      </c>
      <c r="K89" s="418" t="s">
        <v>18</v>
      </c>
      <c r="L89" s="418" t="s">
        <v>18</v>
      </c>
      <c r="M89" s="418" t="s">
        <v>18</v>
      </c>
      <c r="N89" s="418" t="s">
        <v>18</v>
      </c>
      <c r="O89" s="418" t="s">
        <v>18</v>
      </c>
    </row>
    <row r="90" spans="1:15" ht="18.75" x14ac:dyDescent="0.3">
      <c r="A90" s="235">
        <v>23</v>
      </c>
      <c r="B90" s="479" t="s">
        <v>38</v>
      </c>
      <c r="C90" s="416" t="s">
        <v>38</v>
      </c>
      <c r="D90" s="233">
        <v>10</v>
      </c>
      <c r="E90" s="233" t="s">
        <v>18</v>
      </c>
      <c r="F90" s="233">
        <v>10</v>
      </c>
      <c r="G90" s="233" t="s">
        <v>304</v>
      </c>
      <c r="H90" s="417">
        <v>64000</v>
      </c>
      <c r="I90" s="417">
        <v>443100</v>
      </c>
      <c r="J90" s="418" t="s">
        <v>18</v>
      </c>
      <c r="K90" s="418" t="s">
        <v>18</v>
      </c>
      <c r="L90" s="418" t="s">
        <v>18</v>
      </c>
      <c r="M90" s="418" t="s">
        <v>18</v>
      </c>
      <c r="N90" s="418" t="s">
        <v>18</v>
      </c>
      <c r="O90" s="418" t="s">
        <v>18</v>
      </c>
    </row>
    <row r="91" spans="1:15" ht="18.75" x14ac:dyDescent="0.3">
      <c r="A91" s="235">
        <v>24</v>
      </c>
      <c r="B91" s="479"/>
      <c r="C91" s="416" t="s">
        <v>39</v>
      </c>
      <c r="D91" s="233">
        <v>1</v>
      </c>
      <c r="E91" s="233" t="s">
        <v>18</v>
      </c>
      <c r="F91" s="233">
        <v>1</v>
      </c>
      <c r="G91" s="233" t="s">
        <v>304</v>
      </c>
      <c r="H91" s="417" t="s">
        <v>317</v>
      </c>
      <c r="I91" s="417">
        <v>200000</v>
      </c>
      <c r="J91" s="418" t="s">
        <v>18</v>
      </c>
      <c r="K91" s="418" t="s">
        <v>18</v>
      </c>
      <c r="L91" s="418" t="s">
        <v>18</v>
      </c>
      <c r="M91" s="418" t="s">
        <v>18</v>
      </c>
      <c r="N91" s="418" t="s">
        <v>18</v>
      </c>
      <c r="O91" s="418" t="s">
        <v>18</v>
      </c>
    </row>
    <row r="92" spans="1:15" ht="18.75" x14ac:dyDescent="0.3">
      <c r="A92" s="235">
        <v>25</v>
      </c>
      <c r="B92" s="479" t="s">
        <v>88</v>
      </c>
      <c r="C92" s="416" t="s">
        <v>88</v>
      </c>
      <c r="D92" s="233">
        <v>3</v>
      </c>
      <c r="E92" s="233" t="s">
        <v>18</v>
      </c>
      <c r="F92" s="233">
        <v>3</v>
      </c>
      <c r="G92" s="233" t="s">
        <v>304</v>
      </c>
      <c r="H92" s="417" t="s">
        <v>317</v>
      </c>
      <c r="I92" s="417" t="s">
        <v>317</v>
      </c>
      <c r="J92" s="418" t="s">
        <v>18</v>
      </c>
      <c r="K92" s="418" t="s">
        <v>18</v>
      </c>
      <c r="L92" s="418" t="s">
        <v>18</v>
      </c>
      <c r="M92" s="418" t="s">
        <v>18</v>
      </c>
      <c r="N92" s="418" t="s">
        <v>18</v>
      </c>
      <c r="O92" s="418" t="s">
        <v>18</v>
      </c>
    </row>
    <row r="93" spans="1:15" ht="18.75" x14ac:dyDescent="0.3">
      <c r="A93" s="235">
        <v>26</v>
      </c>
      <c r="B93" s="479"/>
      <c r="C93" s="416" t="s">
        <v>41</v>
      </c>
      <c r="D93" s="233" t="s">
        <v>18</v>
      </c>
      <c r="E93" s="233" t="s">
        <v>18</v>
      </c>
      <c r="F93" s="233" t="s">
        <v>18</v>
      </c>
      <c r="G93" s="233" t="s">
        <v>18</v>
      </c>
      <c r="H93" s="417" t="s">
        <v>317</v>
      </c>
      <c r="I93" s="417" t="s">
        <v>317</v>
      </c>
      <c r="J93" s="418" t="s">
        <v>18</v>
      </c>
      <c r="K93" s="418" t="s">
        <v>18</v>
      </c>
      <c r="L93" s="418" t="s">
        <v>18</v>
      </c>
      <c r="M93" s="418" t="s">
        <v>18</v>
      </c>
      <c r="N93" s="418" t="s">
        <v>18</v>
      </c>
      <c r="O93" s="418" t="s">
        <v>18</v>
      </c>
    </row>
    <row r="94" spans="1:15" ht="18.75" x14ac:dyDescent="0.3">
      <c r="A94" s="235">
        <v>27</v>
      </c>
      <c r="B94" s="479"/>
      <c r="C94" s="416" t="s">
        <v>42</v>
      </c>
      <c r="D94" s="233">
        <v>1</v>
      </c>
      <c r="E94" s="233" t="s">
        <v>18</v>
      </c>
      <c r="F94" s="233">
        <v>1</v>
      </c>
      <c r="G94" s="233" t="s">
        <v>304</v>
      </c>
      <c r="H94" s="417" t="s">
        <v>317</v>
      </c>
      <c r="I94" s="417" t="s">
        <v>317</v>
      </c>
      <c r="J94" s="418" t="s">
        <v>18</v>
      </c>
      <c r="K94" s="418" t="s">
        <v>18</v>
      </c>
      <c r="L94" s="418" t="s">
        <v>18</v>
      </c>
      <c r="M94" s="418" t="s">
        <v>18</v>
      </c>
      <c r="N94" s="418" t="s">
        <v>18</v>
      </c>
      <c r="O94" s="418" t="s">
        <v>18</v>
      </c>
    </row>
    <row r="95" spans="1:15" ht="18.75" x14ac:dyDescent="0.3">
      <c r="A95" s="235">
        <v>28</v>
      </c>
      <c r="B95" s="479" t="s">
        <v>43</v>
      </c>
      <c r="C95" s="416" t="s">
        <v>89</v>
      </c>
      <c r="D95" s="233">
        <v>4</v>
      </c>
      <c r="E95" s="233" t="s">
        <v>18</v>
      </c>
      <c r="F95" s="233">
        <v>4</v>
      </c>
      <c r="G95" s="233" t="s">
        <v>304</v>
      </c>
      <c r="H95" s="417" t="s">
        <v>317</v>
      </c>
      <c r="I95" s="417">
        <v>200000</v>
      </c>
      <c r="J95" s="418" t="s">
        <v>18</v>
      </c>
      <c r="K95" s="418" t="s">
        <v>18</v>
      </c>
      <c r="L95" s="418" t="s">
        <v>18</v>
      </c>
      <c r="M95" s="418" t="s">
        <v>18</v>
      </c>
      <c r="N95" s="418" t="s">
        <v>18</v>
      </c>
      <c r="O95" s="418" t="s">
        <v>18</v>
      </c>
    </row>
    <row r="96" spans="1:15" ht="18.75" x14ac:dyDescent="0.3">
      <c r="A96" s="235"/>
      <c r="B96" s="479"/>
      <c r="C96" s="416" t="s">
        <v>44</v>
      </c>
      <c r="D96" s="233">
        <v>5</v>
      </c>
      <c r="E96" s="233" t="s">
        <v>18</v>
      </c>
      <c r="F96" s="233">
        <v>5</v>
      </c>
      <c r="G96" s="233" t="s">
        <v>304</v>
      </c>
      <c r="H96" s="417" t="s">
        <v>317</v>
      </c>
      <c r="I96" s="417" t="s">
        <v>317</v>
      </c>
      <c r="J96" s="418" t="s">
        <v>18</v>
      </c>
      <c r="K96" s="418" t="s">
        <v>18</v>
      </c>
      <c r="L96" s="418" t="s">
        <v>18</v>
      </c>
      <c r="M96" s="418" t="s">
        <v>18</v>
      </c>
      <c r="N96" s="418" t="s">
        <v>18</v>
      </c>
      <c r="O96" s="418" t="s">
        <v>18</v>
      </c>
    </row>
    <row r="97" spans="1:15" ht="18.75" x14ac:dyDescent="0.3">
      <c r="A97" s="235">
        <v>29</v>
      </c>
      <c r="B97" s="479"/>
      <c r="C97" s="416" t="s">
        <v>45</v>
      </c>
      <c r="D97" s="233">
        <v>3</v>
      </c>
      <c r="E97" s="233" t="s">
        <v>18</v>
      </c>
      <c r="F97" s="233">
        <v>3</v>
      </c>
      <c r="G97" s="233" t="s">
        <v>304</v>
      </c>
      <c r="H97" s="417">
        <v>30000</v>
      </c>
      <c r="I97" s="417">
        <v>170000</v>
      </c>
      <c r="J97" s="418" t="s">
        <v>18</v>
      </c>
      <c r="K97" s="418" t="s">
        <v>18</v>
      </c>
      <c r="L97" s="418" t="s">
        <v>18</v>
      </c>
      <c r="M97" s="418" t="s">
        <v>18</v>
      </c>
      <c r="N97" s="418" t="s">
        <v>18</v>
      </c>
      <c r="O97" s="418" t="s">
        <v>18</v>
      </c>
    </row>
    <row r="98" spans="1:15" ht="18.75" x14ac:dyDescent="0.3">
      <c r="A98" s="235">
        <v>30</v>
      </c>
      <c r="B98" s="479" t="s">
        <v>46</v>
      </c>
      <c r="C98" s="416" t="s">
        <v>47</v>
      </c>
      <c r="D98" s="233">
        <v>1</v>
      </c>
      <c r="E98" s="233" t="s">
        <v>18</v>
      </c>
      <c r="F98" s="233">
        <v>1</v>
      </c>
      <c r="G98" s="233" t="s">
        <v>304</v>
      </c>
      <c r="H98" s="417" t="s">
        <v>317</v>
      </c>
      <c r="I98" s="417" t="s">
        <v>317</v>
      </c>
      <c r="J98" s="418" t="s">
        <v>18</v>
      </c>
      <c r="K98" s="418" t="s">
        <v>18</v>
      </c>
      <c r="L98" s="418" t="s">
        <v>18</v>
      </c>
      <c r="M98" s="418" t="s">
        <v>18</v>
      </c>
      <c r="N98" s="418" t="s">
        <v>18</v>
      </c>
      <c r="O98" s="418" t="s">
        <v>18</v>
      </c>
    </row>
    <row r="99" spans="1:15" ht="18.75" x14ac:dyDescent="0.3">
      <c r="A99" s="235">
        <v>31</v>
      </c>
      <c r="B99" s="479"/>
      <c r="C99" s="416" t="s">
        <v>142</v>
      </c>
      <c r="D99" s="233">
        <v>1</v>
      </c>
      <c r="E99" s="233" t="s">
        <v>18</v>
      </c>
      <c r="F99" s="233">
        <v>1</v>
      </c>
      <c r="G99" s="233" t="s">
        <v>304</v>
      </c>
      <c r="H99" s="417">
        <v>50000</v>
      </c>
      <c r="I99" s="417">
        <v>450000</v>
      </c>
      <c r="J99" s="418" t="s">
        <v>18</v>
      </c>
      <c r="K99" s="418" t="s">
        <v>18</v>
      </c>
      <c r="L99" s="418" t="s">
        <v>18</v>
      </c>
      <c r="M99" s="418" t="s">
        <v>18</v>
      </c>
      <c r="N99" s="418" t="s">
        <v>18</v>
      </c>
      <c r="O99" s="418" t="s">
        <v>18</v>
      </c>
    </row>
    <row r="100" spans="1:15" ht="18.75" x14ac:dyDescent="0.3">
      <c r="A100" s="235">
        <v>32</v>
      </c>
      <c r="B100" s="479"/>
      <c r="C100" s="416" t="s">
        <v>75</v>
      </c>
      <c r="D100" s="233">
        <v>2</v>
      </c>
      <c r="E100" s="233" t="s">
        <v>18</v>
      </c>
      <c r="F100" s="233">
        <v>2</v>
      </c>
      <c r="G100" s="233" t="s">
        <v>304</v>
      </c>
      <c r="H100" s="417" t="s">
        <v>317</v>
      </c>
      <c r="I100" s="417">
        <v>2000000</v>
      </c>
      <c r="J100" s="418" t="s">
        <v>18</v>
      </c>
      <c r="K100" s="418" t="s">
        <v>18</v>
      </c>
      <c r="L100" s="418" t="s">
        <v>18</v>
      </c>
      <c r="M100" s="418" t="s">
        <v>18</v>
      </c>
      <c r="N100" s="418" t="s">
        <v>18</v>
      </c>
      <c r="O100" s="418" t="s">
        <v>18</v>
      </c>
    </row>
    <row r="101" spans="1:15" ht="18.75" x14ac:dyDescent="0.3">
      <c r="A101" s="235">
        <v>33</v>
      </c>
      <c r="B101" s="479" t="s">
        <v>49</v>
      </c>
      <c r="C101" s="416" t="s">
        <v>360</v>
      </c>
      <c r="D101" s="233">
        <v>22</v>
      </c>
      <c r="E101" s="233" t="s">
        <v>18</v>
      </c>
      <c r="F101" s="233">
        <v>22</v>
      </c>
      <c r="G101" s="233" t="s">
        <v>304</v>
      </c>
      <c r="H101" s="417">
        <v>93000</v>
      </c>
      <c r="I101" s="417">
        <v>6107000</v>
      </c>
      <c r="J101" s="418" t="s">
        <v>18</v>
      </c>
      <c r="K101" s="418" t="s">
        <v>18</v>
      </c>
      <c r="L101" s="418" t="s">
        <v>18</v>
      </c>
      <c r="M101" s="418" t="s">
        <v>18</v>
      </c>
      <c r="N101" s="418" t="s">
        <v>18</v>
      </c>
      <c r="O101" s="418" t="s">
        <v>18</v>
      </c>
    </row>
    <row r="102" spans="1:15" ht="18.75" x14ac:dyDescent="0.3">
      <c r="A102" s="235">
        <v>34</v>
      </c>
      <c r="B102" s="479"/>
      <c r="C102" s="416" t="s">
        <v>50</v>
      </c>
      <c r="D102" s="233">
        <v>8</v>
      </c>
      <c r="E102" s="233" t="s">
        <v>18</v>
      </c>
      <c r="F102" s="233">
        <v>8</v>
      </c>
      <c r="G102" s="233" t="s">
        <v>304</v>
      </c>
      <c r="H102" s="417">
        <v>0</v>
      </c>
      <c r="I102" s="417">
        <v>7000000</v>
      </c>
      <c r="J102" s="418" t="s">
        <v>18</v>
      </c>
      <c r="K102" s="418" t="s">
        <v>18</v>
      </c>
      <c r="L102" s="418" t="s">
        <v>18</v>
      </c>
      <c r="M102" s="418" t="s">
        <v>18</v>
      </c>
      <c r="N102" s="418" t="s">
        <v>18</v>
      </c>
      <c r="O102" s="418" t="s">
        <v>18</v>
      </c>
    </row>
    <row r="103" spans="1:15" ht="18.75" x14ac:dyDescent="0.3">
      <c r="A103" s="235">
        <v>35</v>
      </c>
      <c r="B103" s="479"/>
      <c r="C103" s="416" t="s">
        <v>51</v>
      </c>
      <c r="D103" s="233">
        <v>8</v>
      </c>
      <c r="E103" s="233" t="s">
        <v>18</v>
      </c>
      <c r="F103" s="233">
        <v>8</v>
      </c>
      <c r="G103" s="233" t="s">
        <v>304</v>
      </c>
      <c r="H103" s="417">
        <v>195000</v>
      </c>
      <c r="I103" s="417">
        <v>12300000</v>
      </c>
      <c r="J103" s="418" t="s">
        <v>18</v>
      </c>
      <c r="K103" s="418" t="s">
        <v>18</v>
      </c>
      <c r="L103" s="418" t="s">
        <v>18</v>
      </c>
      <c r="M103" s="418" t="s">
        <v>18</v>
      </c>
      <c r="N103" s="418" t="s">
        <v>18</v>
      </c>
      <c r="O103" s="418" t="s">
        <v>18</v>
      </c>
    </row>
    <row r="104" spans="1:15" ht="18.75" x14ac:dyDescent="0.3">
      <c r="A104" s="235">
        <v>36</v>
      </c>
      <c r="B104" s="479" t="s">
        <v>52</v>
      </c>
      <c r="C104" s="416" t="s">
        <v>53</v>
      </c>
      <c r="D104" s="233" t="s">
        <v>18</v>
      </c>
      <c r="E104" s="233" t="s">
        <v>18</v>
      </c>
      <c r="F104" s="233" t="s">
        <v>18</v>
      </c>
      <c r="G104" s="233" t="s">
        <v>18</v>
      </c>
      <c r="H104" s="417" t="s">
        <v>317</v>
      </c>
      <c r="I104" s="417" t="s">
        <v>317</v>
      </c>
      <c r="J104" s="418" t="s">
        <v>18</v>
      </c>
      <c r="K104" s="418" t="s">
        <v>18</v>
      </c>
      <c r="L104" s="418" t="s">
        <v>18</v>
      </c>
      <c r="M104" s="418" t="s">
        <v>18</v>
      </c>
      <c r="N104" s="418" t="s">
        <v>18</v>
      </c>
      <c r="O104" s="418" t="s">
        <v>18</v>
      </c>
    </row>
    <row r="105" spans="1:15" ht="18.75" x14ac:dyDescent="0.3">
      <c r="A105" s="235">
        <v>37</v>
      </c>
      <c r="B105" s="479"/>
      <c r="C105" s="416" t="s">
        <v>54</v>
      </c>
      <c r="D105" s="233" t="s">
        <v>18</v>
      </c>
      <c r="E105" s="233" t="s">
        <v>18</v>
      </c>
      <c r="F105" s="233" t="s">
        <v>18</v>
      </c>
      <c r="G105" s="233" t="s">
        <v>18</v>
      </c>
      <c r="H105" s="417" t="s">
        <v>317</v>
      </c>
      <c r="I105" s="417" t="s">
        <v>317</v>
      </c>
      <c r="J105" s="418" t="s">
        <v>18</v>
      </c>
      <c r="K105" s="418" t="s">
        <v>18</v>
      </c>
      <c r="L105" s="418" t="s">
        <v>18</v>
      </c>
      <c r="M105" s="418" t="s">
        <v>18</v>
      </c>
      <c r="N105" s="418" t="s">
        <v>18</v>
      </c>
      <c r="O105" s="418" t="s">
        <v>18</v>
      </c>
    </row>
    <row r="106" spans="1:15" ht="18.75" x14ac:dyDescent="0.3">
      <c r="A106" s="235">
        <v>38</v>
      </c>
      <c r="B106" s="479"/>
      <c r="C106" s="416" t="s">
        <v>55</v>
      </c>
      <c r="D106" s="233">
        <v>1</v>
      </c>
      <c r="E106" s="233" t="s">
        <v>18</v>
      </c>
      <c r="F106" s="233">
        <v>1</v>
      </c>
      <c r="G106" s="233" t="s">
        <v>304</v>
      </c>
      <c r="H106" s="417">
        <v>200000</v>
      </c>
      <c r="I106" s="417">
        <v>800000</v>
      </c>
      <c r="J106" s="418" t="s">
        <v>18</v>
      </c>
      <c r="K106" s="418" t="s">
        <v>18</v>
      </c>
      <c r="L106" s="418" t="s">
        <v>18</v>
      </c>
      <c r="M106" s="418" t="s">
        <v>18</v>
      </c>
      <c r="N106" s="418" t="s">
        <v>18</v>
      </c>
      <c r="O106" s="418" t="s">
        <v>18</v>
      </c>
    </row>
    <row r="107" spans="1:15" ht="18.75" x14ac:dyDescent="0.3">
      <c r="A107" s="235">
        <v>39</v>
      </c>
      <c r="B107" s="479"/>
      <c r="C107" s="416" t="s">
        <v>56</v>
      </c>
      <c r="D107" s="233" t="s">
        <v>18</v>
      </c>
      <c r="E107" s="233" t="s">
        <v>18</v>
      </c>
      <c r="F107" s="233" t="s">
        <v>18</v>
      </c>
      <c r="G107" s="233" t="s">
        <v>18</v>
      </c>
      <c r="H107" s="233" t="s">
        <v>18</v>
      </c>
      <c r="I107" s="233" t="s">
        <v>18</v>
      </c>
      <c r="J107" s="418" t="s">
        <v>18</v>
      </c>
      <c r="K107" s="418" t="s">
        <v>18</v>
      </c>
      <c r="L107" s="418" t="s">
        <v>18</v>
      </c>
      <c r="M107" s="418" t="s">
        <v>18</v>
      </c>
      <c r="N107" s="418" t="s">
        <v>18</v>
      </c>
      <c r="O107" s="418" t="s">
        <v>18</v>
      </c>
    </row>
    <row r="108" spans="1:15" ht="18.75" x14ac:dyDescent="0.3">
      <c r="A108" s="235">
        <v>40</v>
      </c>
      <c r="B108" s="479"/>
      <c r="C108" s="416" t="s">
        <v>57</v>
      </c>
      <c r="D108" s="233" t="s">
        <v>18</v>
      </c>
      <c r="E108" s="233" t="s">
        <v>18</v>
      </c>
      <c r="F108" s="233" t="s">
        <v>18</v>
      </c>
      <c r="G108" s="233" t="s">
        <v>18</v>
      </c>
      <c r="H108" s="417" t="s">
        <v>317</v>
      </c>
      <c r="I108" s="417" t="s">
        <v>317</v>
      </c>
      <c r="J108" s="418" t="s">
        <v>18</v>
      </c>
      <c r="K108" s="418" t="s">
        <v>18</v>
      </c>
      <c r="L108" s="418" t="s">
        <v>18</v>
      </c>
      <c r="M108" s="418" t="s">
        <v>18</v>
      </c>
      <c r="N108" s="418" t="s">
        <v>18</v>
      </c>
      <c r="O108" s="418" t="s">
        <v>18</v>
      </c>
    </row>
    <row r="109" spans="1:15" ht="18.75" x14ac:dyDescent="0.3">
      <c r="A109" s="235">
        <v>41</v>
      </c>
      <c r="B109" s="479"/>
      <c r="C109" s="416" t="s">
        <v>58</v>
      </c>
      <c r="D109" s="233">
        <v>1</v>
      </c>
      <c r="E109" s="233" t="s">
        <v>18</v>
      </c>
      <c r="F109" s="233">
        <v>1</v>
      </c>
      <c r="G109" s="233" t="s">
        <v>304</v>
      </c>
      <c r="H109" s="417" t="s">
        <v>317</v>
      </c>
      <c r="I109" s="417" t="s">
        <v>317</v>
      </c>
      <c r="J109" s="418" t="s">
        <v>18</v>
      </c>
      <c r="K109" s="418" t="s">
        <v>18</v>
      </c>
      <c r="L109" s="418" t="s">
        <v>18</v>
      </c>
      <c r="M109" s="418" t="s">
        <v>18</v>
      </c>
      <c r="N109" s="418" t="s">
        <v>18</v>
      </c>
      <c r="O109" s="418" t="s">
        <v>18</v>
      </c>
    </row>
    <row r="110" spans="1:15" ht="18.75" x14ac:dyDescent="0.3">
      <c r="A110" s="235"/>
      <c r="B110" s="232"/>
      <c r="C110" s="416" t="s">
        <v>60</v>
      </c>
      <c r="D110" s="233">
        <f>SUM(D65:D109)</f>
        <v>187</v>
      </c>
      <c r="E110" s="233">
        <f t="shared" ref="E110:O110" si="1">SUM(E65:E109)</f>
        <v>0</v>
      </c>
      <c r="F110" s="233">
        <f t="shared" si="1"/>
        <v>187</v>
      </c>
      <c r="G110" s="233">
        <f t="shared" si="1"/>
        <v>0</v>
      </c>
      <c r="H110" s="233">
        <f t="shared" si="1"/>
        <v>1226000</v>
      </c>
      <c r="I110" s="233">
        <f t="shared" si="1"/>
        <v>65991600</v>
      </c>
      <c r="J110" s="233">
        <f t="shared" si="1"/>
        <v>0</v>
      </c>
      <c r="K110" s="233">
        <f t="shared" si="1"/>
        <v>0</v>
      </c>
      <c r="L110" s="233">
        <f t="shared" si="1"/>
        <v>0</v>
      </c>
      <c r="M110" s="233">
        <f t="shared" si="1"/>
        <v>0</v>
      </c>
      <c r="N110" s="233">
        <f t="shared" si="1"/>
        <v>0</v>
      </c>
      <c r="O110" s="233">
        <f t="shared" si="1"/>
        <v>0</v>
      </c>
    </row>
    <row r="111" spans="1:15" ht="18.75" x14ac:dyDescent="0.3">
      <c r="A111" s="44"/>
      <c r="C111" s="150"/>
      <c r="D111" s="312"/>
      <c r="E111" s="312"/>
      <c r="F111" s="312"/>
      <c r="G111" s="312"/>
      <c r="H111" s="312"/>
      <c r="I111" s="312"/>
      <c r="J111" s="151"/>
      <c r="K111" s="151"/>
      <c r="L111" s="151"/>
      <c r="M111" s="151"/>
      <c r="N111" s="151"/>
      <c r="O111" s="151"/>
    </row>
    <row r="112" spans="1:15" ht="18.75" x14ac:dyDescent="0.3">
      <c r="A112" s="44"/>
      <c r="C112" s="150"/>
      <c r="D112" s="312"/>
      <c r="E112" s="312"/>
      <c r="F112" s="312"/>
      <c r="G112" s="312"/>
      <c r="H112" s="312"/>
      <c r="I112" s="312"/>
      <c r="J112" s="151"/>
      <c r="K112" s="151"/>
      <c r="L112" s="151"/>
      <c r="M112" s="151"/>
      <c r="N112" s="151"/>
      <c r="O112" s="151"/>
    </row>
    <row r="113" spans="1:16" ht="18.75" x14ac:dyDescent="0.3">
      <c r="A113" s="44"/>
      <c r="C113" s="150"/>
      <c r="D113" s="312"/>
      <c r="E113" s="312"/>
      <c r="F113" s="312"/>
      <c r="G113" s="312"/>
      <c r="H113" s="312"/>
      <c r="I113" s="312"/>
      <c r="J113" s="151"/>
      <c r="K113" s="151"/>
      <c r="L113" s="151"/>
      <c r="M113" s="151"/>
      <c r="N113" s="151"/>
      <c r="O113" s="151"/>
    </row>
    <row r="114" spans="1:16" ht="18.75" x14ac:dyDescent="0.3">
      <c r="A114" s="44"/>
      <c r="C114" s="150"/>
      <c r="D114" s="312"/>
      <c r="E114" s="312"/>
      <c r="F114" s="312"/>
      <c r="G114" s="312"/>
      <c r="H114" s="312"/>
      <c r="I114" s="312"/>
      <c r="J114" s="151"/>
      <c r="K114" s="151"/>
      <c r="L114" s="151"/>
      <c r="M114" s="151"/>
      <c r="N114" s="151"/>
      <c r="O114" s="151"/>
    </row>
    <row r="115" spans="1:16" s="60" customFormat="1" ht="18.75" customHeight="1" x14ac:dyDescent="0.25">
      <c r="A115" s="534" t="s">
        <v>1230</v>
      </c>
      <c r="B115" s="535"/>
      <c r="C115" s="535"/>
      <c r="D115" s="535"/>
      <c r="E115" s="535"/>
      <c r="F115" s="535"/>
      <c r="G115" s="535"/>
      <c r="H115" s="535"/>
      <c r="I115" s="535"/>
      <c r="J115" s="535"/>
      <c r="K115" s="535"/>
      <c r="L115" s="535"/>
      <c r="M115" s="535"/>
      <c r="N115" s="535"/>
      <c r="O115" s="536"/>
    </row>
    <row r="116" spans="1:16" ht="18.75" x14ac:dyDescent="0.25">
      <c r="A116" s="503" t="s">
        <v>0</v>
      </c>
      <c r="B116" s="537" t="s">
        <v>1</v>
      </c>
      <c r="C116" s="503" t="s">
        <v>2</v>
      </c>
      <c r="D116" s="500" t="s">
        <v>3</v>
      </c>
      <c r="E116" s="500" t="s">
        <v>4</v>
      </c>
      <c r="F116" s="500" t="s">
        <v>5</v>
      </c>
      <c r="G116" s="500" t="s">
        <v>73</v>
      </c>
      <c r="H116" s="500" t="s">
        <v>9</v>
      </c>
      <c r="I116" s="500" t="s">
        <v>10</v>
      </c>
      <c r="J116" s="500" t="s">
        <v>11</v>
      </c>
      <c r="K116" s="500"/>
      <c r="L116" s="500" t="s">
        <v>12</v>
      </c>
      <c r="M116" s="500"/>
      <c r="N116" s="500" t="s">
        <v>13</v>
      </c>
      <c r="O116" s="500"/>
    </row>
    <row r="117" spans="1:16" ht="18.75" x14ac:dyDescent="0.25">
      <c r="A117" s="503"/>
      <c r="B117" s="537"/>
      <c r="C117" s="503"/>
      <c r="D117" s="500"/>
      <c r="E117" s="500"/>
      <c r="F117" s="500"/>
      <c r="G117" s="500"/>
      <c r="H117" s="500"/>
      <c r="I117" s="500"/>
      <c r="J117" s="126" t="s">
        <v>14</v>
      </c>
      <c r="K117" s="126" t="s">
        <v>15</v>
      </c>
      <c r="L117" s="126" t="s">
        <v>14</v>
      </c>
      <c r="M117" s="126" t="s">
        <v>15</v>
      </c>
      <c r="N117" s="126" t="s">
        <v>14</v>
      </c>
      <c r="O117" s="126" t="s">
        <v>15</v>
      </c>
    </row>
    <row r="118" spans="1:16" ht="18.75" x14ac:dyDescent="0.3">
      <c r="A118" s="93">
        <v>1</v>
      </c>
      <c r="B118" s="537" t="s">
        <v>16</v>
      </c>
      <c r="C118" s="41" t="s">
        <v>17</v>
      </c>
      <c r="D118" s="126" t="s">
        <v>18</v>
      </c>
      <c r="E118" s="126" t="s">
        <v>18</v>
      </c>
      <c r="F118" s="126" t="s">
        <v>18</v>
      </c>
      <c r="G118" s="126" t="s">
        <v>18</v>
      </c>
      <c r="H118" s="313" t="s">
        <v>317</v>
      </c>
      <c r="I118" s="313" t="s">
        <v>317</v>
      </c>
      <c r="J118" s="21" t="s">
        <v>18</v>
      </c>
      <c r="K118" s="21" t="s">
        <v>18</v>
      </c>
      <c r="L118" s="21" t="s">
        <v>18</v>
      </c>
      <c r="M118" s="21" t="s">
        <v>18</v>
      </c>
      <c r="N118" s="21" t="s">
        <v>18</v>
      </c>
      <c r="O118" s="21" t="s">
        <v>18</v>
      </c>
    </row>
    <row r="119" spans="1:16" ht="18.75" x14ac:dyDescent="0.3">
      <c r="A119" s="93">
        <v>2</v>
      </c>
      <c r="B119" s="537"/>
      <c r="C119" s="41" t="s">
        <v>19</v>
      </c>
      <c r="D119" s="126" t="s">
        <v>18</v>
      </c>
      <c r="E119" s="126" t="s">
        <v>18</v>
      </c>
      <c r="F119" s="126" t="s">
        <v>18</v>
      </c>
      <c r="G119" s="126" t="s">
        <v>18</v>
      </c>
      <c r="H119" s="313" t="s">
        <v>317</v>
      </c>
      <c r="I119" s="313" t="s">
        <v>317</v>
      </c>
      <c r="J119" s="21" t="s">
        <v>18</v>
      </c>
      <c r="K119" s="21" t="s">
        <v>18</v>
      </c>
      <c r="L119" s="21" t="s">
        <v>18</v>
      </c>
      <c r="M119" s="21" t="s">
        <v>18</v>
      </c>
      <c r="N119" s="21" t="s">
        <v>18</v>
      </c>
      <c r="O119" s="21" t="s">
        <v>18</v>
      </c>
    </row>
    <row r="120" spans="1:16" ht="20.25" customHeight="1" x14ac:dyDescent="0.3">
      <c r="A120" s="93">
        <v>3</v>
      </c>
      <c r="B120" s="19" t="s">
        <v>20</v>
      </c>
      <c r="C120" s="41" t="s">
        <v>20</v>
      </c>
      <c r="D120" s="126">
        <v>3</v>
      </c>
      <c r="E120" s="126" t="s">
        <v>18</v>
      </c>
      <c r="F120" s="126">
        <v>3</v>
      </c>
      <c r="G120" s="126" t="s">
        <v>304</v>
      </c>
      <c r="H120" s="313" t="s">
        <v>317</v>
      </c>
      <c r="I120" s="313" t="s">
        <v>317</v>
      </c>
      <c r="J120" s="21" t="s">
        <v>18</v>
      </c>
      <c r="K120" s="21" t="s">
        <v>18</v>
      </c>
      <c r="L120" s="21" t="s">
        <v>18</v>
      </c>
      <c r="M120" s="21" t="s">
        <v>18</v>
      </c>
      <c r="N120" s="21" t="s">
        <v>18</v>
      </c>
      <c r="O120" s="21" t="s">
        <v>18</v>
      </c>
    </row>
    <row r="121" spans="1:16" ht="18.75" x14ac:dyDescent="0.3">
      <c r="A121" s="93">
        <v>4</v>
      </c>
      <c r="B121" s="503" t="s">
        <v>21</v>
      </c>
      <c r="C121" s="41" t="s">
        <v>21</v>
      </c>
      <c r="D121" s="126">
        <v>1</v>
      </c>
      <c r="E121" s="126" t="s">
        <v>18</v>
      </c>
      <c r="F121" s="126">
        <v>1</v>
      </c>
      <c r="G121" s="126" t="s">
        <v>304</v>
      </c>
      <c r="H121" s="313" t="s">
        <v>317</v>
      </c>
      <c r="I121" s="313" t="s">
        <v>317</v>
      </c>
      <c r="J121" s="21" t="s">
        <v>18</v>
      </c>
      <c r="K121" s="21" t="s">
        <v>18</v>
      </c>
      <c r="L121" s="21" t="s">
        <v>18</v>
      </c>
      <c r="M121" s="21" t="s">
        <v>18</v>
      </c>
      <c r="N121" s="21" t="s">
        <v>18</v>
      </c>
      <c r="O121" s="21" t="s">
        <v>18</v>
      </c>
    </row>
    <row r="122" spans="1:16" ht="18.75" x14ac:dyDescent="0.3">
      <c r="A122" s="93">
        <v>5</v>
      </c>
      <c r="B122" s="503"/>
      <c r="C122" s="41" t="s">
        <v>22</v>
      </c>
      <c r="D122" s="126">
        <v>2</v>
      </c>
      <c r="E122" s="126" t="s">
        <v>18</v>
      </c>
      <c r="F122" s="126">
        <v>2</v>
      </c>
      <c r="G122" s="126" t="s">
        <v>304</v>
      </c>
      <c r="H122" s="313">
        <v>1000</v>
      </c>
      <c r="I122" s="313">
        <v>148500</v>
      </c>
      <c r="J122" s="21" t="s">
        <v>18</v>
      </c>
      <c r="K122" s="21" t="s">
        <v>18</v>
      </c>
      <c r="L122" s="21" t="s">
        <v>18</v>
      </c>
      <c r="M122" s="21" t="s">
        <v>18</v>
      </c>
      <c r="N122" s="21" t="s">
        <v>18</v>
      </c>
      <c r="O122" s="21" t="s">
        <v>18</v>
      </c>
    </row>
    <row r="123" spans="1:16" ht="18.75" x14ac:dyDescent="0.3">
      <c r="A123" s="93">
        <v>6</v>
      </c>
      <c r="B123" s="503"/>
      <c r="C123" s="153" t="s">
        <v>143</v>
      </c>
      <c r="D123" s="126" t="s">
        <v>18</v>
      </c>
      <c r="E123" s="126" t="s">
        <v>18</v>
      </c>
      <c r="F123" s="126" t="s">
        <v>18</v>
      </c>
      <c r="G123" s="126" t="s">
        <v>18</v>
      </c>
      <c r="H123" s="313" t="s">
        <v>317</v>
      </c>
      <c r="I123" s="313" t="s">
        <v>317</v>
      </c>
      <c r="J123" s="21" t="s">
        <v>18</v>
      </c>
      <c r="K123" s="21" t="s">
        <v>18</v>
      </c>
      <c r="L123" s="21" t="s">
        <v>18</v>
      </c>
      <c r="M123" s="21" t="s">
        <v>18</v>
      </c>
      <c r="N123" s="21" t="s">
        <v>18</v>
      </c>
      <c r="O123" s="21" t="s">
        <v>18</v>
      </c>
    </row>
    <row r="124" spans="1:16" ht="18.75" customHeight="1" x14ac:dyDescent="0.3">
      <c r="A124" s="93">
        <v>7</v>
      </c>
      <c r="B124" s="503"/>
      <c r="C124" s="153" t="s">
        <v>144</v>
      </c>
      <c r="D124" s="126" t="s">
        <v>18</v>
      </c>
      <c r="E124" s="126" t="s">
        <v>18</v>
      </c>
      <c r="F124" s="126" t="s">
        <v>18</v>
      </c>
      <c r="G124" s="126" t="s">
        <v>18</v>
      </c>
      <c r="H124" s="313" t="s">
        <v>317</v>
      </c>
      <c r="I124" s="313" t="s">
        <v>317</v>
      </c>
      <c r="J124" s="21" t="s">
        <v>18</v>
      </c>
      <c r="K124" s="21" t="s">
        <v>18</v>
      </c>
      <c r="L124" s="21" t="s">
        <v>18</v>
      </c>
      <c r="M124" s="21" t="s">
        <v>18</v>
      </c>
      <c r="N124" s="21" t="s">
        <v>18</v>
      </c>
      <c r="O124" s="21" t="s">
        <v>18</v>
      </c>
    </row>
    <row r="125" spans="1:16" ht="18.75" x14ac:dyDescent="0.3">
      <c r="A125" s="93">
        <v>8</v>
      </c>
      <c r="B125" s="503" t="s">
        <v>23</v>
      </c>
      <c r="C125" s="41" t="s">
        <v>23</v>
      </c>
      <c r="D125" s="126" t="s">
        <v>18</v>
      </c>
      <c r="E125" s="126" t="s">
        <v>18</v>
      </c>
      <c r="F125" s="126" t="s">
        <v>18</v>
      </c>
      <c r="G125" s="126" t="s">
        <v>18</v>
      </c>
      <c r="H125" s="313" t="s">
        <v>317</v>
      </c>
      <c r="I125" s="313" t="s">
        <v>317</v>
      </c>
      <c r="J125" s="21" t="s">
        <v>18</v>
      </c>
      <c r="K125" s="21" t="s">
        <v>18</v>
      </c>
      <c r="L125" s="21" t="s">
        <v>18</v>
      </c>
      <c r="M125" s="21" t="s">
        <v>18</v>
      </c>
      <c r="N125" s="21" t="s">
        <v>18</v>
      </c>
      <c r="O125" s="21" t="s">
        <v>18</v>
      </c>
    </row>
    <row r="126" spans="1:16" ht="18.75" x14ac:dyDescent="0.3">
      <c r="A126" s="93">
        <v>9</v>
      </c>
      <c r="B126" s="503"/>
      <c r="C126" s="41" t="s">
        <v>140</v>
      </c>
      <c r="D126" s="126">
        <v>1</v>
      </c>
      <c r="E126" s="126" t="s">
        <v>18</v>
      </c>
      <c r="F126" s="126">
        <v>1</v>
      </c>
      <c r="G126" s="126" t="s">
        <v>304</v>
      </c>
      <c r="H126" s="313" t="s">
        <v>317</v>
      </c>
      <c r="I126" s="313" t="s">
        <v>317</v>
      </c>
      <c r="J126" s="21" t="s">
        <v>18</v>
      </c>
      <c r="K126" s="21" t="s">
        <v>18</v>
      </c>
      <c r="L126" s="21" t="s">
        <v>18</v>
      </c>
      <c r="M126" s="21" t="s">
        <v>18</v>
      </c>
      <c r="N126" s="21" t="s">
        <v>18</v>
      </c>
      <c r="O126" s="21" t="s">
        <v>18</v>
      </c>
    </row>
    <row r="127" spans="1:16" ht="18.75" x14ac:dyDescent="0.3">
      <c r="A127" s="93">
        <v>10</v>
      </c>
      <c r="B127" s="503" t="s">
        <v>25</v>
      </c>
      <c r="C127" s="41" t="s">
        <v>26</v>
      </c>
      <c r="D127" s="126" t="s">
        <v>18</v>
      </c>
      <c r="E127" s="126" t="s">
        <v>18</v>
      </c>
      <c r="F127" s="126" t="s">
        <v>18</v>
      </c>
      <c r="G127" s="126" t="s">
        <v>18</v>
      </c>
      <c r="H127" s="313" t="s">
        <v>317</v>
      </c>
      <c r="I127" s="313" t="s">
        <v>317</v>
      </c>
      <c r="J127" s="21" t="s">
        <v>18</v>
      </c>
      <c r="K127" s="21" t="s">
        <v>18</v>
      </c>
      <c r="L127" s="21" t="s">
        <v>18</v>
      </c>
      <c r="M127" s="21" t="s">
        <v>18</v>
      </c>
      <c r="N127" s="21" t="s">
        <v>18</v>
      </c>
      <c r="O127" s="21" t="s">
        <v>18</v>
      </c>
    </row>
    <row r="128" spans="1:16" ht="20.25" x14ac:dyDescent="0.3">
      <c r="A128" s="93">
        <v>11</v>
      </c>
      <c r="B128" s="503"/>
      <c r="C128" s="41" t="s">
        <v>27</v>
      </c>
      <c r="D128" s="126">
        <v>2</v>
      </c>
      <c r="E128" s="126" t="s">
        <v>18</v>
      </c>
      <c r="F128" s="126">
        <v>2</v>
      </c>
      <c r="G128" s="126" t="s">
        <v>304</v>
      </c>
      <c r="H128" s="313">
        <v>5000</v>
      </c>
      <c r="I128" s="313">
        <v>450000</v>
      </c>
      <c r="J128" s="21" t="s">
        <v>18</v>
      </c>
      <c r="K128" s="21" t="s">
        <v>18</v>
      </c>
      <c r="L128" s="21" t="s">
        <v>18</v>
      </c>
      <c r="M128" s="21" t="s">
        <v>18</v>
      </c>
      <c r="N128" s="21" t="s">
        <v>18</v>
      </c>
      <c r="O128" s="21" t="s">
        <v>18</v>
      </c>
      <c r="P128" s="70"/>
    </row>
    <row r="129" spans="1:15" ht="18.75" x14ac:dyDescent="0.3">
      <c r="A129" s="93">
        <v>12</v>
      </c>
      <c r="B129" s="503"/>
      <c r="C129" s="41" t="s">
        <v>145</v>
      </c>
      <c r="D129" s="126" t="s">
        <v>18</v>
      </c>
      <c r="E129" s="126" t="s">
        <v>18</v>
      </c>
      <c r="F129" s="126" t="s">
        <v>18</v>
      </c>
      <c r="G129" s="126" t="s">
        <v>18</v>
      </c>
      <c r="H129" s="313" t="s">
        <v>317</v>
      </c>
      <c r="I129" s="313" t="s">
        <v>317</v>
      </c>
      <c r="J129" s="21" t="s">
        <v>18</v>
      </c>
      <c r="K129" s="21" t="s">
        <v>18</v>
      </c>
      <c r="L129" s="21" t="s">
        <v>18</v>
      </c>
      <c r="M129" s="21" t="s">
        <v>18</v>
      </c>
      <c r="N129" s="21" t="s">
        <v>18</v>
      </c>
      <c r="O129" s="21" t="s">
        <v>18</v>
      </c>
    </row>
    <row r="130" spans="1:15" ht="37.5" x14ac:dyDescent="0.3">
      <c r="A130" s="93">
        <v>13</v>
      </c>
      <c r="B130" s="503" t="s">
        <v>28</v>
      </c>
      <c r="C130" s="41" t="s">
        <v>29</v>
      </c>
      <c r="D130" s="126">
        <v>1</v>
      </c>
      <c r="E130" s="126" t="s">
        <v>18</v>
      </c>
      <c r="F130" s="126">
        <v>1</v>
      </c>
      <c r="G130" s="126" t="s">
        <v>886</v>
      </c>
      <c r="H130" s="313">
        <v>25000</v>
      </c>
      <c r="I130" s="313">
        <v>475000</v>
      </c>
      <c r="J130" s="21" t="s">
        <v>18</v>
      </c>
      <c r="K130" s="21" t="s">
        <v>18</v>
      </c>
      <c r="L130" s="21" t="s">
        <v>18</v>
      </c>
      <c r="M130" s="21" t="s">
        <v>18</v>
      </c>
      <c r="N130" s="21" t="s">
        <v>18</v>
      </c>
      <c r="O130" s="21" t="s">
        <v>18</v>
      </c>
    </row>
    <row r="131" spans="1:15" ht="18.75" x14ac:dyDescent="0.3">
      <c r="A131" s="93">
        <v>14</v>
      </c>
      <c r="B131" s="503"/>
      <c r="C131" s="41" t="s">
        <v>30</v>
      </c>
      <c r="D131" s="126" t="s">
        <v>18</v>
      </c>
      <c r="E131" s="126" t="s">
        <v>18</v>
      </c>
      <c r="F131" s="126" t="s">
        <v>18</v>
      </c>
      <c r="G131" s="126" t="s">
        <v>18</v>
      </c>
      <c r="H131" s="313" t="s">
        <v>317</v>
      </c>
      <c r="I131" s="313" t="s">
        <v>317</v>
      </c>
      <c r="J131" s="21" t="s">
        <v>18</v>
      </c>
      <c r="K131" s="21" t="s">
        <v>18</v>
      </c>
      <c r="L131" s="21" t="s">
        <v>18</v>
      </c>
      <c r="M131" s="21" t="s">
        <v>18</v>
      </c>
      <c r="N131" s="21" t="s">
        <v>18</v>
      </c>
      <c r="O131" s="21" t="s">
        <v>18</v>
      </c>
    </row>
    <row r="132" spans="1:15" ht="18.75" x14ac:dyDescent="0.3">
      <c r="A132" s="93">
        <v>15</v>
      </c>
      <c r="B132" s="503"/>
      <c r="C132" s="41" t="s">
        <v>31</v>
      </c>
      <c r="D132" s="126" t="s">
        <v>18</v>
      </c>
      <c r="E132" s="126" t="s">
        <v>18</v>
      </c>
      <c r="F132" s="126" t="s">
        <v>18</v>
      </c>
      <c r="G132" s="126" t="s">
        <v>18</v>
      </c>
      <c r="H132" s="313" t="s">
        <v>317</v>
      </c>
      <c r="I132" s="313" t="s">
        <v>317</v>
      </c>
      <c r="J132" s="21" t="s">
        <v>18</v>
      </c>
      <c r="K132" s="21" t="s">
        <v>18</v>
      </c>
      <c r="L132" s="21" t="s">
        <v>18</v>
      </c>
      <c r="M132" s="21" t="s">
        <v>18</v>
      </c>
      <c r="N132" s="21" t="s">
        <v>18</v>
      </c>
      <c r="O132" s="21" t="s">
        <v>18</v>
      </c>
    </row>
    <row r="133" spans="1:15" ht="18.75" x14ac:dyDescent="0.3">
      <c r="A133" s="93">
        <v>16</v>
      </c>
      <c r="B133" s="503"/>
      <c r="C133" s="41" t="s">
        <v>32</v>
      </c>
      <c r="D133" s="126" t="s">
        <v>18</v>
      </c>
      <c r="E133" s="126" t="s">
        <v>18</v>
      </c>
      <c r="F133" s="126" t="s">
        <v>18</v>
      </c>
      <c r="G133" s="126" t="s">
        <v>18</v>
      </c>
      <c r="H133" s="313" t="s">
        <v>317</v>
      </c>
      <c r="I133" s="313" t="s">
        <v>317</v>
      </c>
      <c r="J133" s="21" t="s">
        <v>18</v>
      </c>
      <c r="K133" s="21" t="s">
        <v>18</v>
      </c>
      <c r="L133" s="21" t="s">
        <v>18</v>
      </c>
      <c r="M133" s="21" t="s">
        <v>18</v>
      </c>
      <c r="N133" s="21" t="s">
        <v>18</v>
      </c>
      <c r="O133" s="21" t="s">
        <v>18</v>
      </c>
    </row>
    <row r="134" spans="1:15" ht="18.75" x14ac:dyDescent="0.3">
      <c r="A134" s="93">
        <v>17</v>
      </c>
      <c r="B134" s="503" t="s">
        <v>33</v>
      </c>
      <c r="C134" s="41" t="s">
        <v>33</v>
      </c>
      <c r="D134" s="126">
        <v>11</v>
      </c>
      <c r="E134" s="126" t="s">
        <v>18</v>
      </c>
      <c r="F134" s="126">
        <v>11</v>
      </c>
      <c r="G134" s="126" t="s">
        <v>1154</v>
      </c>
      <c r="H134" s="313">
        <v>277000</v>
      </c>
      <c r="I134" s="313">
        <v>8371600</v>
      </c>
      <c r="J134" s="21" t="s">
        <v>18</v>
      </c>
      <c r="K134" s="21" t="s">
        <v>18</v>
      </c>
      <c r="L134" s="21" t="s">
        <v>18</v>
      </c>
      <c r="M134" s="21" t="s">
        <v>18</v>
      </c>
      <c r="N134" s="21" t="s">
        <v>18</v>
      </c>
      <c r="O134" s="21" t="s">
        <v>18</v>
      </c>
    </row>
    <row r="135" spans="1:15" ht="18.75" x14ac:dyDescent="0.3">
      <c r="A135" s="93">
        <v>18</v>
      </c>
      <c r="B135" s="503"/>
      <c r="C135" s="41" t="s">
        <v>34</v>
      </c>
      <c r="D135" s="126" t="s">
        <v>18</v>
      </c>
      <c r="E135" s="126" t="s">
        <v>18</v>
      </c>
      <c r="F135" s="126" t="s">
        <v>18</v>
      </c>
      <c r="G135" s="126" t="s">
        <v>18</v>
      </c>
      <c r="H135" s="313" t="s">
        <v>317</v>
      </c>
      <c r="I135" s="313" t="s">
        <v>317</v>
      </c>
      <c r="J135" s="21" t="s">
        <v>18</v>
      </c>
      <c r="K135" s="21" t="s">
        <v>18</v>
      </c>
      <c r="L135" s="21" t="s">
        <v>18</v>
      </c>
      <c r="M135" s="21" t="s">
        <v>18</v>
      </c>
      <c r="N135" s="21" t="s">
        <v>18</v>
      </c>
      <c r="O135" s="21" t="s">
        <v>18</v>
      </c>
    </row>
    <row r="136" spans="1:15" ht="18.75" x14ac:dyDescent="0.3">
      <c r="A136" s="93">
        <v>19</v>
      </c>
      <c r="B136" s="503"/>
      <c r="C136" s="41" t="s">
        <v>35</v>
      </c>
      <c r="D136" s="126" t="s">
        <v>18</v>
      </c>
      <c r="E136" s="126" t="s">
        <v>18</v>
      </c>
      <c r="F136" s="126" t="s">
        <v>18</v>
      </c>
      <c r="G136" s="126" t="s">
        <v>18</v>
      </c>
      <c r="H136" s="313" t="s">
        <v>317</v>
      </c>
      <c r="I136" s="313" t="s">
        <v>317</v>
      </c>
      <c r="J136" s="21" t="s">
        <v>18</v>
      </c>
      <c r="K136" s="21" t="s">
        <v>18</v>
      </c>
      <c r="L136" s="21" t="s">
        <v>18</v>
      </c>
      <c r="M136" s="21" t="s">
        <v>18</v>
      </c>
      <c r="N136" s="21" t="s">
        <v>18</v>
      </c>
      <c r="O136" s="21" t="s">
        <v>18</v>
      </c>
    </row>
    <row r="137" spans="1:15" ht="18.75" x14ac:dyDescent="0.3">
      <c r="A137" s="93">
        <v>20</v>
      </c>
      <c r="B137" s="503"/>
      <c r="C137" s="41" t="s">
        <v>36</v>
      </c>
      <c r="D137" s="126" t="s">
        <v>18</v>
      </c>
      <c r="E137" s="126" t="s">
        <v>18</v>
      </c>
      <c r="F137" s="126" t="s">
        <v>18</v>
      </c>
      <c r="G137" s="126" t="s">
        <v>18</v>
      </c>
      <c r="H137" s="313" t="s">
        <v>317</v>
      </c>
      <c r="I137" s="313" t="s">
        <v>317</v>
      </c>
      <c r="J137" s="21" t="s">
        <v>18</v>
      </c>
      <c r="K137" s="21" t="s">
        <v>18</v>
      </c>
      <c r="L137" s="21" t="s">
        <v>18</v>
      </c>
      <c r="M137" s="21" t="s">
        <v>18</v>
      </c>
      <c r="N137" s="21" t="s">
        <v>18</v>
      </c>
      <c r="O137" s="21" t="s">
        <v>18</v>
      </c>
    </row>
    <row r="138" spans="1:15" ht="18.75" x14ac:dyDescent="0.3">
      <c r="A138" s="93">
        <v>21</v>
      </c>
      <c r="B138" s="503"/>
      <c r="C138" s="41" t="s">
        <v>37</v>
      </c>
      <c r="D138" s="126">
        <v>1</v>
      </c>
      <c r="E138" s="126" t="s">
        <v>18</v>
      </c>
      <c r="F138" s="126">
        <v>1</v>
      </c>
      <c r="G138" s="126" t="s">
        <v>18</v>
      </c>
      <c r="H138" s="313">
        <v>50000</v>
      </c>
      <c r="I138" s="313">
        <v>48000</v>
      </c>
      <c r="J138" s="21" t="s">
        <v>18</v>
      </c>
      <c r="K138" s="21" t="s">
        <v>18</v>
      </c>
      <c r="L138" s="21" t="s">
        <v>18</v>
      </c>
      <c r="M138" s="21" t="s">
        <v>18</v>
      </c>
      <c r="N138" s="21" t="s">
        <v>18</v>
      </c>
      <c r="O138" s="21" t="s">
        <v>18</v>
      </c>
    </row>
    <row r="139" spans="1:15" ht="18.75" x14ac:dyDescent="0.3">
      <c r="A139" s="93">
        <v>22</v>
      </c>
      <c r="B139" s="503"/>
      <c r="C139" s="41" t="s">
        <v>141</v>
      </c>
      <c r="D139" s="126" t="s">
        <v>18</v>
      </c>
      <c r="E139" s="126" t="s">
        <v>18</v>
      </c>
      <c r="F139" s="126" t="s">
        <v>18</v>
      </c>
      <c r="G139" s="126" t="s">
        <v>18</v>
      </c>
      <c r="H139" s="313" t="s">
        <v>317</v>
      </c>
      <c r="I139" s="313" t="s">
        <v>317</v>
      </c>
      <c r="J139" s="21" t="s">
        <v>18</v>
      </c>
      <c r="K139" s="21" t="s">
        <v>18</v>
      </c>
      <c r="L139" s="21" t="s">
        <v>18</v>
      </c>
      <c r="M139" s="21" t="s">
        <v>18</v>
      </c>
      <c r="N139" s="21" t="s">
        <v>18</v>
      </c>
      <c r="O139" s="21" t="s">
        <v>18</v>
      </c>
    </row>
    <row r="140" spans="1:15" ht="21.75" customHeight="1" x14ac:dyDescent="0.3">
      <c r="A140" s="126"/>
      <c r="B140" s="153"/>
      <c r="C140" s="153" t="s">
        <v>308</v>
      </c>
      <c r="D140" s="126" t="s">
        <v>18</v>
      </c>
      <c r="E140" s="126" t="s">
        <v>18</v>
      </c>
      <c r="F140" s="126" t="s">
        <v>18</v>
      </c>
      <c r="G140" s="126" t="s">
        <v>18</v>
      </c>
      <c r="H140" s="313" t="s">
        <v>317</v>
      </c>
      <c r="I140" s="313" t="s">
        <v>317</v>
      </c>
      <c r="J140" s="21" t="s">
        <v>18</v>
      </c>
      <c r="K140" s="21" t="s">
        <v>18</v>
      </c>
      <c r="L140" s="21" t="s">
        <v>18</v>
      </c>
      <c r="M140" s="21" t="s">
        <v>18</v>
      </c>
      <c r="N140" s="21" t="s">
        <v>18</v>
      </c>
      <c r="O140" s="21" t="s">
        <v>18</v>
      </c>
    </row>
    <row r="141" spans="1:15" ht="18.75" x14ac:dyDescent="0.3">
      <c r="A141" s="93">
        <v>23</v>
      </c>
      <c r="B141" s="503" t="s">
        <v>38</v>
      </c>
      <c r="C141" s="41" t="s">
        <v>38</v>
      </c>
      <c r="D141" s="126">
        <v>9</v>
      </c>
      <c r="E141" s="126" t="s">
        <v>18</v>
      </c>
      <c r="F141" s="126">
        <v>9</v>
      </c>
      <c r="G141" s="126" t="s">
        <v>304</v>
      </c>
      <c r="H141" s="313">
        <v>45000</v>
      </c>
      <c r="I141" s="313">
        <v>893000</v>
      </c>
      <c r="J141" s="21" t="s">
        <v>18</v>
      </c>
      <c r="K141" s="21" t="s">
        <v>18</v>
      </c>
      <c r="L141" s="21" t="s">
        <v>18</v>
      </c>
      <c r="M141" s="21" t="s">
        <v>18</v>
      </c>
      <c r="N141" s="21" t="s">
        <v>18</v>
      </c>
      <c r="O141" s="21" t="s">
        <v>18</v>
      </c>
    </row>
    <row r="142" spans="1:15" ht="18.75" x14ac:dyDescent="0.3">
      <c r="A142" s="93">
        <v>24</v>
      </c>
      <c r="B142" s="503"/>
      <c r="C142" s="41" t="s">
        <v>39</v>
      </c>
      <c r="D142" s="126">
        <v>4</v>
      </c>
      <c r="E142" s="126" t="s">
        <v>18</v>
      </c>
      <c r="F142" s="126">
        <v>4</v>
      </c>
      <c r="G142" s="126" t="s">
        <v>304</v>
      </c>
      <c r="H142" s="313">
        <v>10000</v>
      </c>
      <c r="I142" s="313">
        <v>360000</v>
      </c>
      <c r="J142" s="21" t="s">
        <v>18</v>
      </c>
      <c r="K142" s="21" t="s">
        <v>18</v>
      </c>
      <c r="L142" s="21" t="s">
        <v>18</v>
      </c>
      <c r="M142" s="21" t="s">
        <v>18</v>
      </c>
      <c r="N142" s="21" t="s">
        <v>18</v>
      </c>
      <c r="O142" s="21" t="s">
        <v>18</v>
      </c>
    </row>
    <row r="143" spans="1:15" ht="18.75" x14ac:dyDescent="0.3">
      <c r="A143" s="93">
        <v>25</v>
      </c>
      <c r="B143" s="503" t="s">
        <v>88</v>
      </c>
      <c r="C143" s="41" t="s">
        <v>88</v>
      </c>
      <c r="D143" s="126">
        <v>1</v>
      </c>
      <c r="E143" s="126" t="s">
        <v>18</v>
      </c>
      <c r="F143" s="126">
        <v>1</v>
      </c>
      <c r="G143" s="126" t="s">
        <v>304</v>
      </c>
      <c r="H143" s="313" t="s">
        <v>317</v>
      </c>
      <c r="I143" s="313" t="s">
        <v>317</v>
      </c>
      <c r="J143" s="21" t="s">
        <v>18</v>
      </c>
      <c r="K143" s="21" t="s">
        <v>18</v>
      </c>
      <c r="L143" s="21" t="s">
        <v>18</v>
      </c>
      <c r="M143" s="21" t="s">
        <v>18</v>
      </c>
      <c r="N143" s="21" t="s">
        <v>18</v>
      </c>
      <c r="O143" s="21" t="s">
        <v>18</v>
      </c>
    </row>
    <row r="144" spans="1:15" ht="18.75" x14ac:dyDescent="0.3">
      <c r="A144" s="93">
        <v>26</v>
      </c>
      <c r="B144" s="503"/>
      <c r="C144" s="41" t="s">
        <v>41</v>
      </c>
      <c r="D144" s="126" t="s">
        <v>18</v>
      </c>
      <c r="E144" s="126" t="s">
        <v>18</v>
      </c>
      <c r="F144" s="126" t="s">
        <v>18</v>
      </c>
      <c r="G144" s="126" t="s">
        <v>18</v>
      </c>
      <c r="H144" s="313" t="s">
        <v>317</v>
      </c>
      <c r="I144" s="313" t="s">
        <v>317</v>
      </c>
      <c r="J144" s="21" t="s">
        <v>18</v>
      </c>
      <c r="K144" s="21" t="s">
        <v>18</v>
      </c>
      <c r="L144" s="21" t="s">
        <v>18</v>
      </c>
      <c r="M144" s="21" t="s">
        <v>18</v>
      </c>
      <c r="N144" s="21" t="s">
        <v>18</v>
      </c>
      <c r="O144" s="21" t="s">
        <v>18</v>
      </c>
    </row>
    <row r="145" spans="1:15" ht="18.75" x14ac:dyDescent="0.3">
      <c r="A145" s="93">
        <v>27</v>
      </c>
      <c r="B145" s="503"/>
      <c r="C145" s="41" t="s">
        <v>42</v>
      </c>
      <c r="D145" s="126">
        <v>2</v>
      </c>
      <c r="E145" s="126" t="s">
        <v>18</v>
      </c>
      <c r="F145" s="126">
        <v>2</v>
      </c>
      <c r="G145" s="126" t="s">
        <v>304</v>
      </c>
      <c r="H145" s="313">
        <v>100000</v>
      </c>
      <c r="I145" s="313">
        <v>100000</v>
      </c>
      <c r="J145" s="21" t="s">
        <v>18</v>
      </c>
      <c r="K145" s="21" t="s">
        <v>18</v>
      </c>
      <c r="L145" s="21" t="s">
        <v>18</v>
      </c>
      <c r="M145" s="21" t="s">
        <v>18</v>
      </c>
      <c r="N145" s="21" t="s">
        <v>18</v>
      </c>
      <c r="O145" s="21" t="s">
        <v>18</v>
      </c>
    </row>
    <row r="146" spans="1:15" ht="18.75" x14ac:dyDescent="0.3">
      <c r="A146" s="93">
        <v>28</v>
      </c>
      <c r="B146" s="503" t="s">
        <v>43</v>
      </c>
      <c r="C146" s="41" t="s">
        <v>89</v>
      </c>
      <c r="D146" s="126" t="s">
        <v>18</v>
      </c>
      <c r="E146" s="126" t="s">
        <v>18</v>
      </c>
      <c r="F146" s="126" t="s">
        <v>18</v>
      </c>
      <c r="G146" s="126" t="s">
        <v>18</v>
      </c>
      <c r="H146" s="313" t="s">
        <v>317</v>
      </c>
      <c r="I146" s="313" t="s">
        <v>317</v>
      </c>
      <c r="J146" s="21" t="s">
        <v>18</v>
      </c>
      <c r="K146" s="21" t="s">
        <v>18</v>
      </c>
      <c r="L146" s="21" t="s">
        <v>18</v>
      </c>
      <c r="M146" s="21" t="s">
        <v>18</v>
      </c>
      <c r="N146" s="21" t="s">
        <v>18</v>
      </c>
      <c r="O146" s="21" t="s">
        <v>18</v>
      </c>
    </row>
    <row r="147" spans="1:15" ht="18.75" x14ac:dyDescent="0.3">
      <c r="A147" s="93"/>
      <c r="B147" s="503"/>
      <c r="C147" s="41" t="s">
        <v>44</v>
      </c>
      <c r="D147" s="126" t="s">
        <v>18</v>
      </c>
      <c r="E147" s="126" t="s">
        <v>18</v>
      </c>
      <c r="F147" s="126" t="s">
        <v>18</v>
      </c>
      <c r="G147" s="126" t="s">
        <v>18</v>
      </c>
      <c r="H147" s="313" t="s">
        <v>317</v>
      </c>
      <c r="I147" s="313" t="s">
        <v>317</v>
      </c>
      <c r="J147" s="21" t="s">
        <v>18</v>
      </c>
      <c r="K147" s="21" t="s">
        <v>18</v>
      </c>
      <c r="L147" s="21" t="s">
        <v>18</v>
      </c>
      <c r="M147" s="21" t="s">
        <v>18</v>
      </c>
      <c r="N147" s="21" t="s">
        <v>18</v>
      </c>
      <c r="O147" s="21" t="s">
        <v>18</v>
      </c>
    </row>
    <row r="148" spans="1:15" ht="18.75" x14ac:dyDescent="0.3">
      <c r="A148" s="93">
        <v>29</v>
      </c>
      <c r="B148" s="503"/>
      <c r="C148" s="41" t="s">
        <v>45</v>
      </c>
      <c r="D148" s="126">
        <v>5</v>
      </c>
      <c r="E148" s="126" t="s">
        <v>18</v>
      </c>
      <c r="F148" s="126">
        <v>5</v>
      </c>
      <c r="G148" s="126" t="s">
        <v>304</v>
      </c>
      <c r="H148" s="313" t="s">
        <v>317</v>
      </c>
      <c r="I148" s="313" t="s">
        <v>317</v>
      </c>
      <c r="J148" s="21" t="s">
        <v>18</v>
      </c>
      <c r="K148" s="21" t="s">
        <v>18</v>
      </c>
      <c r="L148" s="21" t="s">
        <v>18</v>
      </c>
      <c r="M148" s="21" t="s">
        <v>18</v>
      </c>
      <c r="N148" s="21" t="s">
        <v>18</v>
      </c>
      <c r="O148" s="21" t="s">
        <v>18</v>
      </c>
    </row>
    <row r="149" spans="1:15" ht="18.75" x14ac:dyDescent="0.3">
      <c r="A149" s="93">
        <v>30</v>
      </c>
      <c r="B149" s="503" t="s">
        <v>46</v>
      </c>
      <c r="C149" s="41" t="s">
        <v>47</v>
      </c>
      <c r="D149" s="126">
        <v>1</v>
      </c>
      <c r="E149" s="126" t="s">
        <v>18</v>
      </c>
      <c r="F149" s="126">
        <v>1</v>
      </c>
      <c r="G149" s="126" t="s">
        <v>304</v>
      </c>
      <c r="H149" s="313" t="s">
        <v>317</v>
      </c>
      <c r="I149" s="313" t="s">
        <v>317</v>
      </c>
      <c r="J149" s="21" t="s">
        <v>18</v>
      </c>
      <c r="K149" s="21" t="s">
        <v>18</v>
      </c>
      <c r="L149" s="21" t="s">
        <v>18</v>
      </c>
      <c r="M149" s="21" t="s">
        <v>18</v>
      </c>
      <c r="N149" s="21" t="s">
        <v>18</v>
      </c>
      <c r="O149" s="21" t="s">
        <v>18</v>
      </c>
    </row>
    <row r="150" spans="1:15" ht="18.75" x14ac:dyDescent="0.3">
      <c r="A150" s="93">
        <v>31</v>
      </c>
      <c r="B150" s="503"/>
      <c r="C150" s="41" t="s">
        <v>142</v>
      </c>
      <c r="D150" s="126" t="s">
        <v>18</v>
      </c>
      <c r="E150" s="126" t="s">
        <v>18</v>
      </c>
      <c r="F150" s="126" t="s">
        <v>18</v>
      </c>
      <c r="G150" s="126" t="s">
        <v>18</v>
      </c>
      <c r="H150" s="313" t="s">
        <v>317</v>
      </c>
      <c r="I150" s="313" t="s">
        <v>317</v>
      </c>
      <c r="J150" s="21" t="s">
        <v>18</v>
      </c>
      <c r="K150" s="21" t="s">
        <v>18</v>
      </c>
      <c r="L150" s="21" t="s">
        <v>18</v>
      </c>
      <c r="M150" s="21" t="s">
        <v>18</v>
      </c>
      <c r="N150" s="21" t="s">
        <v>18</v>
      </c>
      <c r="O150" s="21" t="s">
        <v>18</v>
      </c>
    </row>
    <row r="151" spans="1:15" ht="18.75" x14ac:dyDescent="0.3">
      <c r="A151" s="93">
        <v>32</v>
      </c>
      <c r="B151" s="503"/>
      <c r="C151" s="41" t="s">
        <v>75</v>
      </c>
      <c r="D151" s="126" t="s">
        <v>18</v>
      </c>
      <c r="E151" s="126" t="s">
        <v>18</v>
      </c>
      <c r="F151" s="126" t="s">
        <v>18</v>
      </c>
      <c r="G151" s="126" t="s">
        <v>18</v>
      </c>
      <c r="H151" s="313" t="s">
        <v>317</v>
      </c>
      <c r="I151" s="313" t="s">
        <v>317</v>
      </c>
      <c r="J151" s="21" t="s">
        <v>18</v>
      </c>
      <c r="K151" s="21" t="s">
        <v>18</v>
      </c>
      <c r="L151" s="21" t="s">
        <v>18</v>
      </c>
      <c r="M151" s="21" t="s">
        <v>18</v>
      </c>
      <c r="N151" s="21" t="s">
        <v>18</v>
      </c>
      <c r="O151" s="21" t="s">
        <v>18</v>
      </c>
    </row>
    <row r="152" spans="1:15" ht="18.75" x14ac:dyDescent="0.3">
      <c r="A152" s="93">
        <v>33</v>
      </c>
      <c r="B152" s="503" t="s">
        <v>49</v>
      </c>
      <c r="C152" s="41" t="s">
        <v>360</v>
      </c>
      <c r="D152" s="126" t="s">
        <v>18</v>
      </c>
      <c r="E152" s="126" t="s">
        <v>18</v>
      </c>
      <c r="F152" s="126" t="s">
        <v>18</v>
      </c>
      <c r="G152" s="126" t="s">
        <v>18</v>
      </c>
      <c r="H152" s="313" t="s">
        <v>317</v>
      </c>
      <c r="I152" s="313" t="s">
        <v>317</v>
      </c>
      <c r="J152" s="21" t="s">
        <v>18</v>
      </c>
      <c r="K152" s="21" t="s">
        <v>18</v>
      </c>
      <c r="L152" s="21" t="s">
        <v>18</v>
      </c>
      <c r="M152" s="21" t="s">
        <v>18</v>
      </c>
      <c r="N152" s="21" t="s">
        <v>18</v>
      </c>
      <c r="O152" s="21" t="s">
        <v>18</v>
      </c>
    </row>
    <row r="153" spans="1:15" ht="18.75" x14ac:dyDescent="0.3">
      <c r="A153" s="93">
        <v>34</v>
      </c>
      <c r="B153" s="503"/>
      <c r="C153" s="41" t="s">
        <v>50</v>
      </c>
      <c r="D153" s="126">
        <v>1</v>
      </c>
      <c r="E153" s="126" t="s">
        <v>18</v>
      </c>
      <c r="F153" s="126">
        <v>1</v>
      </c>
      <c r="G153" s="126" t="s">
        <v>304</v>
      </c>
      <c r="H153" s="313">
        <v>40000</v>
      </c>
      <c r="I153" s="313">
        <v>5960000</v>
      </c>
      <c r="J153" s="21" t="s">
        <v>18</v>
      </c>
      <c r="K153" s="21" t="s">
        <v>18</v>
      </c>
      <c r="L153" s="21" t="s">
        <v>18</v>
      </c>
      <c r="M153" s="21" t="s">
        <v>18</v>
      </c>
      <c r="N153" s="21" t="s">
        <v>18</v>
      </c>
      <c r="O153" s="21" t="s">
        <v>18</v>
      </c>
    </row>
    <row r="154" spans="1:15" ht="18.75" x14ac:dyDescent="0.3">
      <c r="A154" s="93">
        <v>35</v>
      </c>
      <c r="B154" s="503"/>
      <c r="C154" s="41" t="s">
        <v>51</v>
      </c>
      <c r="D154" s="126">
        <v>4</v>
      </c>
      <c r="E154" s="126" t="s">
        <v>18</v>
      </c>
      <c r="F154" s="126">
        <v>4</v>
      </c>
      <c r="G154" s="126" t="s">
        <v>304</v>
      </c>
      <c r="H154" s="313">
        <v>9000</v>
      </c>
      <c r="I154" s="313">
        <v>7500000</v>
      </c>
      <c r="J154" s="21" t="s">
        <v>18</v>
      </c>
      <c r="K154" s="21" t="s">
        <v>18</v>
      </c>
      <c r="L154" s="21" t="s">
        <v>18</v>
      </c>
      <c r="M154" s="21" t="s">
        <v>18</v>
      </c>
      <c r="N154" s="21" t="s">
        <v>18</v>
      </c>
      <c r="O154" s="21" t="s">
        <v>18</v>
      </c>
    </row>
    <row r="155" spans="1:15" ht="18.75" x14ac:dyDescent="0.3">
      <c r="A155" s="93">
        <v>36</v>
      </c>
      <c r="B155" s="503" t="s">
        <v>52</v>
      </c>
      <c r="C155" s="41" t="s">
        <v>53</v>
      </c>
      <c r="D155" s="126" t="s">
        <v>18</v>
      </c>
      <c r="E155" s="126" t="s">
        <v>18</v>
      </c>
      <c r="F155" s="126" t="s">
        <v>18</v>
      </c>
      <c r="G155" s="126" t="s">
        <v>18</v>
      </c>
      <c r="H155" s="313" t="s">
        <v>317</v>
      </c>
      <c r="I155" s="313" t="s">
        <v>317</v>
      </c>
      <c r="J155" s="21" t="s">
        <v>18</v>
      </c>
      <c r="K155" s="21" t="s">
        <v>18</v>
      </c>
      <c r="L155" s="21" t="s">
        <v>18</v>
      </c>
      <c r="M155" s="21" t="s">
        <v>18</v>
      </c>
      <c r="N155" s="21" t="s">
        <v>18</v>
      </c>
      <c r="O155" s="21" t="s">
        <v>18</v>
      </c>
    </row>
    <row r="156" spans="1:15" ht="18.75" x14ac:dyDescent="0.3">
      <c r="A156" s="93">
        <v>37</v>
      </c>
      <c r="B156" s="503"/>
      <c r="C156" s="41" t="s">
        <v>54</v>
      </c>
      <c r="D156" s="126" t="s">
        <v>18</v>
      </c>
      <c r="E156" s="126" t="s">
        <v>18</v>
      </c>
      <c r="F156" s="126" t="s">
        <v>18</v>
      </c>
      <c r="G156" s="126" t="s">
        <v>18</v>
      </c>
      <c r="H156" s="313" t="s">
        <v>317</v>
      </c>
      <c r="I156" s="313" t="s">
        <v>317</v>
      </c>
      <c r="J156" s="21" t="s">
        <v>18</v>
      </c>
      <c r="K156" s="21" t="s">
        <v>18</v>
      </c>
      <c r="L156" s="21" t="s">
        <v>18</v>
      </c>
      <c r="M156" s="21" t="s">
        <v>18</v>
      </c>
      <c r="N156" s="21" t="s">
        <v>18</v>
      </c>
      <c r="O156" s="21" t="s">
        <v>18</v>
      </c>
    </row>
    <row r="157" spans="1:15" ht="18.75" x14ac:dyDescent="0.3">
      <c r="A157" s="93">
        <v>38</v>
      </c>
      <c r="B157" s="503"/>
      <c r="C157" s="41" t="s">
        <v>55</v>
      </c>
      <c r="D157" s="126" t="s">
        <v>18</v>
      </c>
      <c r="E157" s="126" t="s">
        <v>18</v>
      </c>
      <c r="F157" s="126" t="s">
        <v>18</v>
      </c>
      <c r="G157" s="126" t="s">
        <v>18</v>
      </c>
      <c r="H157" s="313" t="s">
        <v>317</v>
      </c>
      <c r="I157" s="313" t="s">
        <v>317</v>
      </c>
      <c r="J157" s="21" t="s">
        <v>18</v>
      </c>
      <c r="K157" s="21" t="s">
        <v>18</v>
      </c>
      <c r="L157" s="21" t="s">
        <v>18</v>
      </c>
      <c r="M157" s="21" t="s">
        <v>18</v>
      </c>
      <c r="N157" s="21" t="s">
        <v>18</v>
      </c>
      <c r="O157" s="21" t="s">
        <v>18</v>
      </c>
    </row>
    <row r="158" spans="1:15" ht="18.75" x14ac:dyDescent="0.3">
      <c r="A158" s="93">
        <v>39</v>
      </c>
      <c r="B158" s="503"/>
      <c r="C158" s="41" t="s">
        <v>56</v>
      </c>
      <c r="D158" s="126" t="s">
        <v>18</v>
      </c>
      <c r="E158" s="126" t="s">
        <v>18</v>
      </c>
      <c r="F158" s="126" t="s">
        <v>18</v>
      </c>
      <c r="G158" s="126" t="s">
        <v>18</v>
      </c>
      <c r="H158" s="313" t="s">
        <v>317</v>
      </c>
      <c r="I158" s="313" t="s">
        <v>317</v>
      </c>
      <c r="J158" s="21" t="s">
        <v>18</v>
      </c>
      <c r="K158" s="21" t="s">
        <v>18</v>
      </c>
      <c r="L158" s="21" t="s">
        <v>18</v>
      </c>
      <c r="M158" s="21" t="s">
        <v>18</v>
      </c>
      <c r="N158" s="21" t="s">
        <v>18</v>
      </c>
      <c r="O158" s="21" t="s">
        <v>18</v>
      </c>
    </row>
    <row r="159" spans="1:15" ht="18.75" x14ac:dyDescent="0.3">
      <c r="A159" s="93">
        <v>40</v>
      </c>
      <c r="B159" s="503"/>
      <c r="C159" s="41" t="s">
        <v>57</v>
      </c>
      <c r="D159" s="126" t="s">
        <v>18</v>
      </c>
      <c r="E159" s="126" t="s">
        <v>18</v>
      </c>
      <c r="F159" s="126" t="s">
        <v>18</v>
      </c>
      <c r="G159" s="126" t="s">
        <v>18</v>
      </c>
      <c r="H159" s="313" t="s">
        <v>317</v>
      </c>
      <c r="I159" s="313" t="s">
        <v>317</v>
      </c>
      <c r="J159" s="21" t="s">
        <v>18</v>
      </c>
      <c r="K159" s="21" t="s">
        <v>18</v>
      </c>
      <c r="L159" s="21" t="s">
        <v>18</v>
      </c>
      <c r="M159" s="21" t="s">
        <v>18</v>
      </c>
      <c r="N159" s="21" t="s">
        <v>18</v>
      </c>
      <c r="O159" s="21" t="s">
        <v>18</v>
      </c>
    </row>
    <row r="160" spans="1:15" ht="18.75" x14ac:dyDescent="0.3">
      <c r="A160" s="93">
        <v>41</v>
      </c>
      <c r="B160" s="503"/>
      <c r="C160" s="41" t="s">
        <v>58</v>
      </c>
      <c r="D160" s="126" t="s">
        <v>18</v>
      </c>
      <c r="E160" s="126" t="s">
        <v>18</v>
      </c>
      <c r="F160" s="126" t="s">
        <v>18</v>
      </c>
      <c r="G160" s="126" t="s">
        <v>18</v>
      </c>
      <c r="H160" s="313" t="s">
        <v>317</v>
      </c>
      <c r="I160" s="313" t="s">
        <v>317</v>
      </c>
      <c r="J160" s="21" t="s">
        <v>18</v>
      </c>
      <c r="K160" s="21" t="s">
        <v>18</v>
      </c>
      <c r="L160" s="21" t="s">
        <v>18</v>
      </c>
      <c r="M160" s="21" t="s">
        <v>18</v>
      </c>
      <c r="N160" s="21" t="s">
        <v>18</v>
      </c>
      <c r="O160" s="21" t="s">
        <v>18</v>
      </c>
    </row>
    <row r="161" spans="1:15" ht="18.75" x14ac:dyDescent="0.3">
      <c r="A161" s="271"/>
      <c r="B161" s="272"/>
      <c r="C161" s="273" t="s">
        <v>60</v>
      </c>
      <c r="D161" s="126">
        <f>SUM(D120:D160)</f>
        <v>49</v>
      </c>
      <c r="E161" s="126">
        <f t="shared" ref="E161:O161" si="2">SUM(E120:E160)</f>
        <v>0</v>
      </c>
      <c r="F161" s="126">
        <f t="shared" si="2"/>
        <v>49</v>
      </c>
      <c r="G161" s="126">
        <f t="shared" si="2"/>
        <v>0</v>
      </c>
      <c r="H161" s="313">
        <f t="shared" si="2"/>
        <v>562000</v>
      </c>
      <c r="I161" s="313">
        <f t="shared" si="2"/>
        <v>24306100</v>
      </c>
      <c r="J161" s="126">
        <f t="shared" si="2"/>
        <v>0</v>
      </c>
      <c r="K161" s="126">
        <f t="shared" si="2"/>
        <v>0</v>
      </c>
      <c r="L161" s="126">
        <f t="shared" si="2"/>
        <v>0</v>
      </c>
      <c r="M161" s="126">
        <f t="shared" si="2"/>
        <v>0</v>
      </c>
      <c r="N161" s="126">
        <f t="shared" si="2"/>
        <v>0</v>
      </c>
      <c r="O161" s="126">
        <f t="shared" si="2"/>
        <v>0</v>
      </c>
    </row>
    <row r="162" spans="1:15" ht="18.75" x14ac:dyDescent="0.3">
      <c r="A162" s="44"/>
      <c r="C162" s="150"/>
      <c r="D162" s="312"/>
      <c r="E162" s="312"/>
      <c r="F162" s="312"/>
      <c r="G162" s="312"/>
      <c r="H162" s="312"/>
      <c r="I162" s="312"/>
      <c r="J162" s="151"/>
      <c r="K162" s="151"/>
      <c r="L162" s="151"/>
      <c r="M162" s="151"/>
      <c r="N162" s="151"/>
      <c r="O162" s="151"/>
    </row>
    <row r="163" spans="1:15" ht="18.75" x14ac:dyDescent="0.3">
      <c r="A163" s="44"/>
      <c r="C163" s="150"/>
      <c r="D163" s="312"/>
      <c r="E163" s="312"/>
      <c r="F163" s="312"/>
      <c r="G163" s="312"/>
      <c r="H163" s="312"/>
      <c r="I163" s="312"/>
      <c r="J163" s="151"/>
      <c r="K163" s="151"/>
      <c r="L163" s="151"/>
      <c r="M163" s="151"/>
      <c r="N163" s="151"/>
      <c r="O163" s="151"/>
    </row>
    <row r="164" spans="1:15" ht="18.75" x14ac:dyDescent="0.3">
      <c r="A164" s="44"/>
      <c r="C164" s="150"/>
      <c r="D164" s="312"/>
      <c r="E164" s="312"/>
      <c r="F164" s="312"/>
      <c r="G164" s="312"/>
      <c r="H164" s="312"/>
      <c r="I164" s="312"/>
      <c r="J164" s="151"/>
      <c r="K164" s="151"/>
      <c r="L164" s="151"/>
      <c r="M164" s="151"/>
      <c r="N164" s="151"/>
      <c r="O164" s="151"/>
    </row>
    <row r="165" spans="1:15" s="60" customFormat="1" ht="18.75" x14ac:dyDescent="0.25">
      <c r="A165" s="538" t="s">
        <v>1070</v>
      </c>
      <c r="B165" s="538"/>
      <c r="C165" s="538"/>
      <c r="D165" s="538"/>
      <c r="E165" s="538"/>
      <c r="F165" s="538"/>
      <c r="G165" s="538"/>
      <c r="H165" s="538"/>
      <c r="I165" s="538"/>
      <c r="J165" s="538"/>
      <c r="K165" s="538"/>
      <c r="L165" s="538"/>
      <c r="M165" s="538"/>
      <c r="N165" s="538"/>
      <c r="O165" s="538"/>
    </row>
    <row r="166" spans="1:15" ht="18.75" x14ac:dyDescent="0.25">
      <c r="A166" s="503" t="s">
        <v>0</v>
      </c>
      <c r="B166" s="537" t="s">
        <v>1</v>
      </c>
      <c r="C166" s="503" t="s">
        <v>2</v>
      </c>
      <c r="D166" s="500" t="s">
        <v>3</v>
      </c>
      <c r="E166" s="500" t="s">
        <v>4</v>
      </c>
      <c r="F166" s="500" t="s">
        <v>5</v>
      </c>
      <c r="G166" s="500" t="s">
        <v>73</v>
      </c>
      <c r="H166" s="500" t="s">
        <v>9</v>
      </c>
      <c r="I166" s="500" t="s">
        <v>10</v>
      </c>
      <c r="J166" s="500" t="s">
        <v>11</v>
      </c>
      <c r="K166" s="500"/>
      <c r="L166" s="500" t="s">
        <v>12</v>
      </c>
      <c r="M166" s="500"/>
      <c r="N166" s="500" t="s">
        <v>13</v>
      </c>
      <c r="O166" s="500"/>
    </row>
    <row r="167" spans="1:15" ht="18.75" x14ac:dyDescent="0.25">
      <c r="A167" s="503"/>
      <c r="B167" s="537"/>
      <c r="C167" s="503"/>
      <c r="D167" s="500"/>
      <c r="E167" s="500"/>
      <c r="F167" s="500"/>
      <c r="G167" s="500"/>
      <c r="H167" s="500"/>
      <c r="I167" s="500"/>
      <c r="J167" s="126" t="s">
        <v>14</v>
      </c>
      <c r="K167" s="126" t="s">
        <v>15</v>
      </c>
      <c r="L167" s="126" t="s">
        <v>14</v>
      </c>
      <c r="M167" s="126" t="s">
        <v>15</v>
      </c>
      <c r="N167" s="126" t="s">
        <v>14</v>
      </c>
      <c r="O167" s="126" t="s">
        <v>15</v>
      </c>
    </row>
    <row r="168" spans="1:15" ht="18.75" x14ac:dyDescent="0.3">
      <c r="A168" s="93">
        <v>1</v>
      </c>
      <c r="B168" s="537" t="s">
        <v>16</v>
      </c>
      <c r="C168" s="41" t="s">
        <v>17</v>
      </c>
      <c r="D168" s="126">
        <v>3</v>
      </c>
      <c r="E168" s="126" t="s">
        <v>18</v>
      </c>
      <c r="F168" s="126">
        <v>3</v>
      </c>
      <c r="G168" s="126" t="s">
        <v>304</v>
      </c>
      <c r="H168" s="126">
        <v>400000</v>
      </c>
      <c r="I168" s="126">
        <v>1300000</v>
      </c>
      <c r="J168" s="21" t="s">
        <v>18</v>
      </c>
      <c r="K168" s="21" t="s">
        <v>18</v>
      </c>
      <c r="L168" s="21" t="s">
        <v>18</v>
      </c>
      <c r="M168" s="21" t="s">
        <v>18</v>
      </c>
      <c r="N168" s="21" t="s">
        <v>18</v>
      </c>
      <c r="O168" s="21" t="s">
        <v>18</v>
      </c>
    </row>
    <row r="169" spans="1:15" ht="18.75" x14ac:dyDescent="0.3">
      <c r="A169" s="93">
        <v>2</v>
      </c>
      <c r="B169" s="537"/>
      <c r="C169" s="41" t="s">
        <v>19</v>
      </c>
      <c r="D169" s="126" t="s">
        <v>18</v>
      </c>
      <c r="E169" s="126" t="s">
        <v>18</v>
      </c>
      <c r="F169" s="126" t="s">
        <v>18</v>
      </c>
      <c r="G169" s="126" t="s">
        <v>18</v>
      </c>
      <c r="H169" s="126" t="s">
        <v>18</v>
      </c>
      <c r="I169" s="126" t="s">
        <v>18</v>
      </c>
      <c r="J169" s="21" t="s">
        <v>18</v>
      </c>
      <c r="K169" s="21" t="s">
        <v>18</v>
      </c>
      <c r="L169" s="21" t="s">
        <v>18</v>
      </c>
      <c r="M169" s="21" t="s">
        <v>18</v>
      </c>
      <c r="N169" s="21" t="s">
        <v>18</v>
      </c>
      <c r="O169" s="21" t="s">
        <v>18</v>
      </c>
    </row>
    <row r="170" spans="1:15" ht="20.25" customHeight="1" x14ac:dyDescent="0.3">
      <c r="A170" s="93">
        <v>3</v>
      </c>
      <c r="B170" s="19" t="s">
        <v>20</v>
      </c>
      <c r="C170" s="41" t="s">
        <v>20</v>
      </c>
      <c r="D170" s="126">
        <v>2</v>
      </c>
      <c r="E170" s="126" t="s">
        <v>18</v>
      </c>
      <c r="F170" s="126">
        <v>2</v>
      </c>
      <c r="G170" s="126" t="s">
        <v>304</v>
      </c>
      <c r="H170" s="126" t="s">
        <v>1149</v>
      </c>
      <c r="I170" s="126" t="s">
        <v>1150</v>
      </c>
      <c r="J170" s="21" t="s">
        <v>18</v>
      </c>
      <c r="K170" s="21" t="s">
        <v>18</v>
      </c>
      <c r="L170" s="21" t="s">
        <v>18</v>
      </c>
      <c r="M170" s="21" t="s">
        <v>18</v>
      </c>
      <c r="N170" s="21" t="s">
        <v>18</v>
      </c>
      <c r="O170" s="21" t="s">
        <v>18</v>
      </c>
    </row>
    <row r="171" spans="1:15" ht="18.75" x14ac:dyDescent="0.3">
      <c r="A171" s="93">
        <v>4</v>
      </c>
      <c r="B171" s="503" t="s">
        <v>21</v>
      </c>
      <c r="C171" s="41" t="s">
        <v>21</v>
      </c>
      <c r="D171" s="126">
        <v>2</v>
      </c>
      <c r="E171" s="126" t="s">
        <v>18</v>
      </c>
      <c r="F171" s="126">
        <v>2</v>
      </c>
      <c r="G171" s="126" t="s">
        <v>304</v>
      </c>
      <c r="H171" s="126" t="s">
        <v>18</v>
      </c>
      <c r="I171" s="126" t="s">
        <v>18</v>
      </c>
      <c r="J171" s="21" t="s">
        <v>18</v>
      </c>
      <c r="K171" s="21" t="s">
        <v>18</v>
      </c>
      <c r="L171" s="21" t="s">
        <v>18</v>
      </c>
      <c r="M171" s="21" t="s">
        <v>18</v>
      </c>
      <c r="N171" s="21" t="s">
        <v>18</v>
      </c>
      <c r="O171" s="21" t="s">
        <v>18</v>
      </c>
    </row>
    <row r="172" spans="1:15" ht="18.75" x14ac:dyDescent="0.3">
      <c r="A172" s="93">
        <v>5</v>
      </c>
      <c r="B172" s="503"/>
      <c r="C172" s="41" t="s">
        <v>22</v>
      </c>
      <c r="D172" s="126">
        <v>1</v>
      </c>
      <c r="E172" s="126" t="s">
        <v>18</v>
      </c>
      <c r="F172" s="126">
        <v>1</v>
      </c>
      <c r="G172" s="126" t="s">
        <v>304</v>
      </c>
      <c r="H172" s="126">
        <v>1000</v>
      </c>
      <c r="I172" s="126">
        <v>199000</v>
      </c>
      <c r="J172" s="21" t="s">
        <v>18</v>
      </c>
      <c r="K172" s="21" t="s">
        <v>18</v>
      </c>
      <c r="L172" s="21" t="s">
        <v>18</v>
      </c>
      <c r="M172" s="21" t="s">
        <v>18</v>
      </c>
      <c r="N172" s="21" t="s">
        <v>18</v>
      </c>
      <c r="O172" s="21" t="s">
        <v>18</v>
      </c>
    </row>
    <row r="173" spans="1:15" ht="18.75" x14ac:dyDescent="0.3">
      <c r="A173" s="93">
        <v>6</v>
      </c>
      <c r="B173" s="503"/>
      <c r="C173" s="153" t="s">
        <v>143</v>
      </c>
      <c r="D173" s="126">
        <v>2</v>
      </c>
      <c r="E173" s="126" t="s">
        <v>18</v>
      </c>
      <c r="F173" s="126">
        <v>2</v>
      </c>
      <c r="G173" s="126" t="s">
        <v>304</v>
      </c>
      <c r="H173" s="126" t="s">
        <v>18</v>
      </c>
      <c r="I173" s="126" t="s">
        <v>18</v>
      </c>
      <c r="J173" s="21" t="s">
        <v>18</v>
      </c>
      <c r="K173" s="21" t="s">
        <v>18</v>
      </c>
      <c r="L173" s="21" t="s">
        <v>18</v>
      </c>
      <c r="M173" s="21" t="s">
        <v>18</v>
      </c>
      <c r="N173" s="21" t="s">
        <v>18</v>
      </c>
      <c r="O173" s="21" t="s">
        <v>18</v>
      </c>
    </row>
    <row r="174" spans="1:15" ht="18.75" customHeight="1" x14ac:dyDescent="0.3">
      <c r="A174" s="93">
        <v>7</v>
      </c>
      <c r="B174" s="503"/>
      <c r="C174" s="153" t="s">
        <v>144</v>
      </c>
      <c r="D174" s="126" t="s">
        <v>18</v>
      </c>
      <c r="E174" s="126" t="s">
        <v>18</v>
      </c>
      <c r="F174" s="126" t="s">
        <v>18</v>
      </c>
      <c r="G174" s="126" t="s">
        <v>18</v>
      </c>
      <c r="H174" s="126" t="s">
        <v>18</v>
      </c>
      <c r="I174" s="126" t="s">
        <v>18</v>
      </c>
      <c r="J174" s="21" t="s">
        <v>18</v>
      </c>
      <c r="K174" s="21" t="s">
        <v>18</v>
      </c>
      <c r="L174" s="21" t="s">
        <v>18</v>
      </c>
      <c r="M174" s="21" t="s">
        <v>18</v>
      </c>
      <c r="N174" s="21" t="s">
        <v>18</v>
      </c>
      <c r="O174" s="21" t="s">
        <v>18</v>
      </c>
    </row>
    <row r="175" spans="1:15" ht="18.75" x14ac:dyDescent="0.3">
      <c r="A175" s="93">
        <v>8</v>
      </c>
      <c r="B175" s="503" t="s">
        <v>23</v>
      </c>
      <c r="C175" s="41" t="s">
        <v>23</v>
      </c>
      <c r="D175" s="126">
        <v>2</v>
      </c>
      <c r="E175" s="126" t="s">
        <v>18</v>
      </c>
      <c r="F175" s="126">
        <v>2</v>
      </c>
      <c r="G175" s="126" t="s">
        <v>304</v>
      </c>
      <c r="H175" s="126">
        <v>1000</v>
      </c>
      <c r="I175" s="126">
        <v>1499000</v>
      </c>
      <c r="J175" s="21" t="s">
        <v>18</v>
      </c>
      <c r="K175" s="21" t="s">
        <v>18</v>
      </c>
      <c r="L175" s="21" t="s">
        <v>18</v>
      </c>
      <c r="M175" s="21" t="s">
        <v>18</v>
      </c>
      <c r="N175" s="21" t="s">
        <v>18</v>
      </c>
      <c r="O175" s="21" t="s">
        <v>18</v>
      </c>
    </row>
    <row r="176" spans="1:15" ht="18.75" x14ac:dyDescent="0.3">
      <c r="A176" s="93">
        <v>9</v>
      </c>
      <c r="B176" s="503"/>
      <c r="C176" s="41" t="s">
        <v>140</v>
      </c>
      <c r="D176" s="126" t="s">
        <v>18</v>
      </c>
      <c r="E176" s="126" t="s">
        <v>18</v>
      </c>
      <c r="F176" s="126" t="s">
        <v>18</v>
      </c>
      <c r="G176" s="126" t="s">
        <v>18</v>
      </c>
      <c r="H176" s="126" t="s">
        <v>18</v>
      </c>
      <c r="I176" s="126" t="s">
        <v>18</v>
      </c>
      <c r="J176" s="21" t="s">
        <v>18</v>
      </c>
      <c r="K176" s="21" t="s">
        <v>18</v>
      </c>
      <c r="L176" s="21" t="s">
        <v>18</v>
      </c>
      <c r="M176" s="21" t="s">
        <v>18</v>
      </c>
      <c r="N176" s="21" t="s">
        <v>18</v>
      </c>
      <c r="O176" s="21" t="s">
        <v>18</v>
      </c>
    </row>
    <row r="177" spans="1:16" ht="18.75" x14ac:dyDescent="0.3">
      <c r="A177" s="93">
        <v>10</v>
      </c>
      <c r="B177" s="503" t="s">
        <v>25</v>
      </c>
      <c r="C177" s="41" t="s">
        <v>26</v>
      </c>
      <c r="D177" s="126" t="s">
        <v>18</v>
      </c>
      <c r="E177" s="126" t="s">
        <v>18</v>
      </c>
      <c r="F177" s="126" t="s">
        <v>18</v>
      </c>
      <c r="G177" s="126" t="s">
        <v>18</v>
      </c>
      <c r="H177" s="126" t="s">
        <v>18</v>
      </c>
      <c r="I177" s="126" t="s">
        <v>18</v>
      </c>
      <c r="J177" s="21" t="s">
        <v>18</v>
      </c>
      <c r="K177" s="21" t="s">
        <v>18</v>
      </c>
      <c r="L177" s="21" t="s">
        <v>18</v>
      </c>
      <c r="M177" s="21" t="s">
        <v>18</v>
      </c>
      <c r="N177" s="21" t="s">
        <v>18</v>
      </c>
      <c r="O177" s="21" t="s">
        <v>18</v>
      </c>
    </row>
    <row r="178" spans="1:16" ht="20.25" x14ac:dyDescent="0.3">
      <c r="A178" s="93">
        <v>11</v>
      </c>
      <c r="B178" s="503"/>
      <c r="C178" s="41" t="s">
        <v>27</v>
      </c>
      <c r="D178" s="126">
        <v>7</v>
      </c>
      <c r="E178" s="126" t="s">
        <v>18</v>
      </c>
      <c r="F178" s="126">
        <v>7</v>
      </c>
      <c r="G178" s="126" t="s">
        <v>304</v>
      </c>
      <c r="H178" s="126">
        <v>47000</v>
      </c>
      <c r="I178" s="126">
        <v>2850000</v>
      </c>
      <c r="J178" s="21" t="s">
        <v>18</v>
      </c>
      <c r="K178" s="21" t="s">
        <v>18</v>
      </c>
      <c r="L178" s="21" t="s">
        <v>18</v>
      </c>
      <c r="M178" s="21" t="s">
        <v>18</v>
      </c>
      <c r="N178" s="21" t="s">
        <v>18</v>
      </c>
      <c r="O178" s="21" t="s">
        <v>18</v>
      </c>
      <c r="P178" s="70"/>
    </row>
    <row r="179" spans="1:16" ht="18.75" x14ac:dyDescent="0.3">
      <c r="A179" s="93">
        <v>12</v>
      </c>
      <c r="B179" s="503"/>
      <c r="C179" s="41" t="s">
        <v>145</v>
      </c>
      <c r="D179" s="126" t="s">
        <v>18</v>
      </c>
      <c r="E179" s="126" t="s">
        <v>18</v>
      </c>
      <c r="F179" s="126" t="s">
        <v>18</v>
      </c>
      <c r="G179" s="126" t="s">
        <v>18</v>
      </c>
      <c r="H179" s="126" t="s">
        <v>18</v>
      </c>
      <c r="I179" s="126" t="s">
        <v>18</v>
      </c>
      <c r="J179" s="21" t="s">
        <v>18</v>
      </c>
      <c r="K179" s="21" t="s">
        <v>18</v>
      </c>
      <c r="L179" s="21" t="s">
        <v>18</v>
      </c>
      <c r="M179" s="21" t="s">
        <v>18</v>
      </c>
      <c r="N179" s="21" t="s">
        <v>18</v>
      </c>
      <c r="O179" s="21" t="s">
        <v>18</v>
      </c>
    </row>
    <row r="180" spans="1:16" ht="18.75" x14ac:dyDescent="0.3">
      <c r="A180" s="93">
        <v>13</v>
      </c>
      <c r="B180" s="503" t="s">
        <v>28</v>
      </c>
      <c r="C180" s="41" t="s">
        <v>29</v>
      </c>
      <c r="D180" s="126">
        <v>2</v>
      </c>
      <c r="E180" s="126" t="s">
        <v>18</v>
      </c>
      <c r="F180" s="126">
        <v>2</v>
      </c>
      <c r="G180" s="126" t="s">
        <v>304</v>
      </c>
      <c r="H180" s="126" t="s">
        <v>1096</v>
      </c>
      <c r="I180" s="126" t="s">
        <v>1097</v>
      </c>
      <c r="J180" s="21" t="s">
        <v>18</v>
      </c>
      <c r="K180" s="21" t="s">
        <v>18</v>
      </c>
      <c r="L180" s="21" t="s">
        <v>18</v>
      </c>
      <c r="M180" s="21" t="s">
        <v>18</v>
      </c>
      <c r="N180" s="21" t="s">
        <v>18</v>
      </c>
      <c r="O180" s="21" t="s">
        <v>18</v>
      </c>
    </row>
    <row r="181" spans="1:16" ht="18.75" x14ac:dyDescent="0.3">
      <c r="A181" s="93">
        <v>14</v>
      </c>
      <c r="B181" s="503"/>
      <c r="C181" s="41" t="s">
        <v>30</v>
      </c>
      <c r="D181" s="126" t="s">
        <v>18</v>
      </c>
      <c r="E181" s="126" t="s">
        <v>18</v>
      </c>
      <c r="F181" s="126" t="s">
        <v>18</v>
      </c>
      <c r="G181" s="126" t="s">
        <v>18</v>
      </c>
      <c r="H181" s="126" t="s">
        <v>18</v>
      </c>
      <c r="I181" s="126" t="s">
        <v>18</v>
      </c>
      <c r="J181" s="21" t="s">
        <v>18</v>
      </c>
      <c r="K181" s="21" t="s">
        <v>18</v>
      </c>
      <c r="L181" s="21" t="s">
        <v>18</v>
      </c>
      <c r="M181" s="21" t="s">
        <v>18</v>
      </c>
      <c r="N181" s="21" t="s">
        <v>18</v>
      </c>
      <c r="O181" s="21" t="s">
        <v>18</v>
      </c>
    </row>
    <row r="182" spans="1:16" ht="18.75" x14ac:dyDescent="0.3">
      <c r="A182" s="93">
        <v>15</v>
      </c>
      <c r="B182" s="503"/>
      <c r="C182" s="41" t="s">
        <v>31</v>
      </c>
      <c r="D182" s="126" t="s">
        <v>18</v>
      </c>
      <c r="E182" s="126" t="s">
        <v>18</v>
      </c>
      <c r="F182" s="126" t="s">
        <v>18</v>
      </c>
      <c r="G182" s="126" t="s">
        <v>18</v>
      </c>
      <c r="H182" s="126" t="s">
        <v>18</v>
      </c>
      <c r="I182" s="126" t="s">
        <v>18</v>
      </c>
      <c r="J182" s="21" t="s">
        <v>18</v>
      </c>
      <c r="K182" s="21" t="s">
        <v>18</v>
      </c>
      <c r="L182" s="21" t="s">
        <v>18</v>
      </c>
      <c r="M182" s="21" t="s">
        <v>18</v>
      </c>
      <c r="N182" s="21" t="s">
        <v>18</v>
      </c>
      <c r="O182" s="21" t="s">
        <v>18</v>
      </c>
    </row>
    <row r="183" spans="1:16" ht="18.75" x14ac:dyDescent="0.3">
      <c r="A183" s="93">
        <v>16</v>
      </c>
      <c r="B183" s="503"/>
      <c r="C183" s="41" t="s">
        <v>32</v>
      </c>
      <c r="D183" s="126" t="s">
        <v>18</v>
      </c>
      <c r="E183" s="126" t="s">
        <v>18</v>
      </c>
      <c r="F183" s="126" t="s">
        <v>18</v>
      </c>
      <c r="G183" s="126" t="s">
        <v>18</v>
      </c>
      <c r="H183" s="126" t="s">
        <v>18</v>
      </c>
      <c r="I183" s="126" t="s">
        <v>18</v>
      </c>
      <c r="J183" s="21" t="s">
        <v>18</v>
      </c>
      <c r="K183" s="21" t="s">
        <v>18</v>
      </c>
      <c r="L183" s="21" t="s">
        <v>18</v>
      </c>
      <c r="M183" s="21" t="s">
        <v>18</v>
      </c>
      <c r="N183" s="21" t="s">
        <v>18</v>
      </c>
      <c r="O183" s="21" t="s">
        <v>18</v>
      </c>
    </row>
    <row r="184" spans="1:16" ht="18.75" x14ac:dyDescent="0.3">
      <c r="A184" s="93">
        <v>17</v>
      </c>
      <c r="B184" s="503" t="s">
        <v>33</v>
      </c>
      <c r="C184" s="41" t="s">
        <v>33</v>
      </c>
      <c r="D184" s="126">
        <v>3</v>
      </c>
      <c r="E184" s="126" t="s">
        <v>18</v>
      </c>
      <c r="F184" s="126">
        <v>3</v>
      </c>
      <c r="G184" s="126" t="s">
        <v>304</v>
      </c>
      <c r="H184" s="126">
        <v>1098000</v>
      </c>
      <c r="I184" s="126">
        <v>9000000</v>
      </c>
      <c r="J184" s="21" t="s">
        <v>18</v>
      </c>
      <c r="K184" s="21" t="s">
        <v>18</v>
      </c>
      <c r="L184" s="21" t="s">
        <v>18</v>
      </c>
      <c r="M184" s="21" t="s">
        <v>18</v>
      </c>
      <c r="N184" s="21" t="s">
        <v>18</v>
      </c>
      <c r="O184" s="21" t="s">
        <v>18</v>
      </c>
    </row>
    <row r="185" spans="1:16" ht="18.75" x14ac:dyDescent="0.3">
      <c r="A185" s="93">
        <v>18</v>
      </c>
      <c r="B185" s="503"/>
      <c r="C185" s="41" t="s">
        <v>34</v>
      </c>
      <c r="D185" s="126" t="s">
        <v>18</v>
      </c>
      <c r="E185" s="126" t="s">
        <v>18</v>
      </c>
      <c r="F185" s="126" t="s">
        <v>18</v>
      </c>
      <c r="G185" s="126" t="s">
        <v>18</v>
      </c>
      <c r="H185" s="126" t="s">
        <v>18</v>
      </c>
      <c r="I185" s="126" t="s">
        <v>18</v>
      </c>
      <c r="J185" s="21" t="s">
        <v>18</v>
      </c>
      <c r="K185" s="21" t="s">
        <v>18</v>
      </c>
      <c r="L185" s="21" t="s">
        <v>18</v>
      </c>
      <c r="M185" s="21" t="s">
        <v>18</v>
      </c>
      <c r="N185" s="21" t="s">
        <v>18</v>
      </c>
      <c r="O185" s="21" t="s">
        <v>18</v>
      </c>
    </row>
    <row r="186" spans="1:16" ht="18.75" x14ac:dyDescent="0.3">
      <c r="A186" s="93">
        <v>19</v>
      </c>
      <c r="B186" s="503"/>
      <c r="C186" s="41" t="s">
        <v>35</v>
      </c>
      <c r="D186" s="126">
        <v>1</v>
      </c>
      <c r="E186" s="126" t="s">
        <v>18</v>
      </c>
      <c r="F186" s="126">
        <v>1</v>
      </c>
      <c r="G186" s="126" t="s">
        <v>304</v>
      </c>
      <c r="H186" s="126" t="s">
        <v>18</v>
      </c>
      <c r="I186" s="126" t="s">
        <v>18</v>
      </c>
      <c r="J186" s="21" t="s">
        <v>18</v>
      </c>
      <c r="K186" s="21" t="s">
        <v>18</v>
      </c>
      <c r="L186" s="21" t="s">
        <v>18</v>
      </c>
      <c r="M186" s="21" t="s">
        <v>18</v>
      </c>
      <c r="N186" s="21" t="s">
        <v>18</v>
      </c>
      <c r="O186" s="21" t="s">
        <v>18</v>
      </c>
    </row>
    <row r="187" spans="1:16" ht="18.75" x14ac:dyDescent="0.3">
      <c r="A187" s="93">
        <v>20</v>
      </c>
      <c r="B187" s="503"/>
      <c r="C187" s="41" t="s">
        <v>36</v>
      </c>
      <c r="D187" s="126" t="s">
        <v>18</v>
      </c>
      <c r="E187" s="126" t="s">
        <v>18</v>
      </c>
      <c r="F187" s="126" t="s">
        <v>18</v>
      </c>
      <c r="G187" s="126" t="s">
        <v>18</v>
      </c>
      <c r="H187" s="126" t="s">
        <v>18</v>
      </c>
      <c r="I187" s="126" t="s">
        <v>18</v>
      </c>
      <c r="J187" s="21" t="s">
        <v>18</v>
      </c>
      <c r="K187" s="21" t="s">
        <v>18</v>
      </c>
      <c r="L187" s="21" t="s">
        <v>18</v>
      </c>
      <c r="M187" s="21" t="s">
        <v>18</v>
      </c>
      <c r="N187" s="21" t="s">
        <v>18</v>
      </c>
      <c r="O187" s="21" t="s">
        <v>18</v>
      </c>
    </row>
    <row r="188" spans="1:16" ht="18.75" x14ac:dyDescent="0.3">
      <c r="A188" s="93">
        <v>21</v>
      </c>
      <c r="B188" s="503"/>
      <c r="C188" s="41" t="s">
        <v>37</v>
      </c>
      <c r="D188" s="126" t="s">
        <v>18</v>
      </c>
      <c r="E188" s="126" t="s">
        <v>18</v>
      </c>
      <c r="F188" s="126" t="s">
        <v>18</v>
      </c>
      <c r="G188" s="126" t="s">
        <v>18</v>
      </c>
      <c r="H188" s="126" t="s">
        <v>18</v>
      </c>
      <c r="I188" s="126" t="s">
        <v>18</v>
      </c>
      <c r="J188" s="21" t="s">
        <v>18</v>
      </c>
      <c r="K188" s="21" t="s">
        <v>18</v>
      </c>
      <c r="L188" s="21" t="s">
        <v>18</v>
      </c>
      <c r="M188" s="21" t="s">
        <v>18</v>
      </c>
      <c r="N188" s="21" t="s">
        <v>18</v>
      </c>
      <c r="O188" s="21" t="s">
        <v>18</v>
      </c>
    </row>
    <row r="189" spans="1:16" ht="18.75" x14ac:dyDescent="0.3">
      <c r="A189" s="93">
        <v>22</v>
      </c>
      <c r="B189" s="503"/>
      <c r="C189" s="41" t="s">
        <v>141</v>
      </c>
      <c r="D189" s="126" t="s">
        <v>18</v>
      </c>
      <c r="E189" s="126" t="s">
        <v>18</v>
      </c>
      <c r="F189" s="126" t="s">
        <v>18</v>
      </c>
      <c r="G189" s="126" t="s">
        <v>18</v>
      </c>
      <c r="H189" s="126" t="s">
        <v>18</v>
      </c>
      <c r="I189" s="126" t="s">
        <v>18</v>
      </c>
      <c r="J189" s="21" t="s">
        <v>18</v>
      </c>
      <c r="K189" s="21" t="s">
        <v>18</v>
      </c>
      <c r="L189" s="21" t="s">
        <v>18</v>
      </c>
      <c r="M189" s="21" t="s">
        <v>18</v>
      </c>
      <c r="N189" s="21" t="s">
        <v>18</v>
      </c>
      <c r="O189" s="21" t="s">
        <v>18</v>
      </c>
    </row>
    <row r="190" spans="1:16" ht="21.75" customHeight="1" x14ac:dyDescent="0.3">
      <c r="A190" s="126"/>
      <c r="B190" s="153"/>
      <c r="C190" s="153" t="s">
        <v>308</v>
      </c>
      <c r="D190" s="126">
        <v>2</v>
      </c>
      <c r="E190" s="126" t="s">
        <v>18</v>
      </c>
      <c r="F190" s="126">
        <v>2</v>
      </c>
      <c r="G190" s="126" t="s">
        <v>304</v>
      </c>
      <c r="H190" s="126">
        <v>4000</v>
      </c>
      <c r="I190" s="126">
        <v>1146000</v>
      </c>
      <c r="J190" s="21" t="s">
        <v>18</v>
      </c>
      <c r="K190" s="21" t="s">
        <v>18</v>
      </c>
      <c r="L190" s="21" t="s">
        <v>18</v>
      </c>
      <c r="M190" s="21" t="s">
        <v>18</v>
      </c>
      <c r="N190" s="21" t="s">
        <v>18</v>
      </c>
      <c r="O190" s="21" t="s">
        <v>18</v>
      </c>
    </row>
    <row r="191" spans="1:16" ht="18.75" x14ac:dyDescent="0.3">
      <c r="A191" s="93">
        <v>23</v>
      </c>
      <c r="B191" s="503" t="s">
        <v>38</v>
      </c>
      <c r="C191" s="41" t="s">
        <v>38</v>
      </c>
      <c r="D191" s="126">
        <v>16</v>
      </c>
      <c r="E191" s="126" t="s">
        <v>18</v>
      </c>
      <c r="F191" s="126">
        <v>16</v>
      </c>
      <c r="G191" s="126" t="s">
        <v>304</v>
      </c>
      <c r="H191" s="126">
        <v>126000</v>
      </c>
      <c r="I191" s="126">
        <v>1474000</v>
      </c>
      <c r="J191" s="21" t="s">
        <v>18</v>
      </c>
      <c r="K191" s="21" t="s">
        <v>18</v>
      </c>
      <c r="L191" s="21" t="s">
        <v>18</v>
      </c>
      <c r="M191" s="21" t="s">
        <v>18</v>
      </c>
      <c r="N191" s="21" t="s">
        <v>18</v>
      </c>
      <c r="O191" s="21" t="s">
        <v>18</v>
      </c>
    </row>
    <row r="192" spans="1:16" ht="18.75" x14ac:dyDescent="0.3">
      <c r="A192" s="93">
        <v>24</v>
      </c>
      <c r="B192" s="503"/>
      <c r="C192" s="41" t="s">
        <v>39</v>
      </c>
      <c r="D192" s="126">
        <v>1</v>
      </c>
      <c r="E192" s="126" t="s">
        <v>18</v>
      </c>
      <c r="F192" s="126">
        <v>1</v>
      </c>
      <c r="G192" s="126" t="s">
        <v>304</v>
      </c>
      <c r="H192" s="126" t="s">
        <v>18</v>
      </c>
      <c r="I192" s="126" t="s">
        <v>18</v>
      </c>
      <c r="J192" s="21" t="s">
        <v>18</v>
      </c>
      <c r="K192" s="21" t="s">
        <v>18</v>
      </c>
      <c r="L192" s="21" t="s">
        <v>18</v>
      </c>
      <c r="M192" s="21" t="s">
        <v>18</v>
      </c>
      <c r="N192" s="21" t="s">
        <v>18</v>
      </c>
      <c r="O192" s="21" t="s">
        <v>18</v>
      </c>
    </row>
    <row r="193" spans="1:15" ht="18.75" x14ac:dyDescent="0.3">
      <c r="A193" s="93">
        <v>25</v>
      </c>
      <c r="B193" s="503" t="s">
        <v>88</v>
      </c>
      <c r="C193" s="41" t="s">
        <v>88</v>
      </c>
      <c r="D193" s="126">
        <v>3</v>
      </c>
      <c r="E193" s="126" t="s">
        <v>18</v>
      </c>
      <c r="F193" s="126">
        <v>3</v>
      </c>
      <c r="G193" s="126" t="s">
        <v>304</v>
      </c>
      <c r="H193" s="126" t="s">
        <v>18</v>
      </c>
      <c r="I193" s="126" t="s">
        <v>18</v>
      </c>
      <c r="J193" s="21" t="s">
        <v>18</v>
      </c>
      <c r="K193" s="21" t="s">
        <v>18</v>
      </c>
      <c r="L193" s="21" t="s">
        <v>18</v>
      </c>
      <c r="M193" s="21" t="s">
        <v>18</v>
      </c>
      <c r="N193" s="21" t="s">
        <v>18</v>
      </c>
      <c r="O193" s="21" t="s">
        <v>18</v>
      </c>
    </row>
    <row r="194" spans="1:15" ht="18.75" x14ac:dyDescent="0.3">
      <c r="A194" s="93">
        <v>26</v>
      </c>
      <c r="B194" s="503"/>
      <c r="C194" s="41" t="s">
        <v>41</v>
      </c>
      <c r="D194" s="126" t="s">
        <v>18</v>
      </c>
      <c r="E194" s="126" t="s">
        <v>18</v>
      </c>
      <c r="F194" s="126" t="s">
        <v>18</v>
      </c>
      <c r="G194" s="126" t="s">
        <v>18</v>
      </c>
      <c r="H194" s="126" t="s">
        <v>18</v>
      </c>
      <c r="I194" s="126" t="s">
        <v>18</v>
      </c>
      <c r="J194" s="21" t="s">
        <v>18</v>
      </c>
      <c r="K194" s="21" t="s">
        <v>18</v>
      </c>
      <c r="L194" s="21" t="s">
        <v>18</v>
      </c>
      <c r="M194" s="21" t="s">
        <v>18</v>
      </c>
      <c r="N194" s="21" t="s">
        <v>18</v>
      </c>
      <c r="O194" s="21" t="s">
        <v>18</v>
      </c>
    </row>
    <row r="195" spans="1:15" ht="18.75" x14ac:dyDescent="0.3">
      <c r="A195" s="93">
        <v>27</v>
      </c>
      <c r="B195" s="503"/>
      <c r="C195" s="41" t="s">
        <v>42</v>
      </c>
      <c r="D195" s="126">
        <v>3</v>
      </c>
      <c r="E195" s="126" t="s">
        <v>18</v>
      </c>
      <c r="F195" s="126">
        <v>3</v>
      </c>
      <c r="G195" s="126" t="s">
        <v>304</v>
      </c>
      <c r="H195" s="126" t="s">
        <v>18</v>
      </c>
      <c r="I195" s="126" t="s">
        <v>1158</v>
      </c>
      <c r="J195" s="21" t="s">
        <v>18</v>
      </c>
      <c r="K195" s="21" t="s">
        <v>18</v>
      </c>
      <c r="L195" s="21" t="s">
        <v>18</v>
      </c>
      <c r="M195" s="21" t="s">
        <v>18</v>
      </c>
      <c r="N195" s="21" t="s">
        <v>18</v>
      </c>
      <c r="O195" s="21" t="s">
        <v>18</v>
      </c>
    </row>
    <row r="196" spans="1:15" ht="18.75" x14ac:dyDescent="0.3">
      <c r="A196" s="93">
        <v>28</v>
      </c>
      <c r="B196" s="503" t="s">
        <v>43</v>
      </c>
      <c r="C196" s="41" t="s">
        <v>89</v>
      </c>
      <c r="D196" s="126">
        <v>2</v>
      </c>
      <c r="E196" s="126" t="s">
        <v>18</v>
      </c>
      <c r="F196" s="126">
        <v>2</v>
      </c>
      <c r="G196" s="126" t="s">
        <v>304</v>
      </c>
      <c r="H196" s="126">
        <v>150000</v>
      </c>
      <c r="I196" s="126">
        <v>4000000</v>
      </c>
      <c r="J196" s="21" t="s">
        <v>18</v>
      </c>
      <c r="K196" s="21" t="s">
        <v>18</v>
      </c>
      <c r="L196" s="21" t="s">
        <v>18</v>
      </c>
      <c r="M196" s="21" t="s">
        <v>18</v>
      </c>
      <c r="N196" s="21" t="s">
        <v>18</v>
      </c>
      <c r="O196" s="21" t="s">
        <v>18</v>
      </c>
    </row>
    <row r="197" spans="1:15" ht="18.75" x14ac:dyDescent="0.3">
      <c r="A197" s="93"/>
      <c r="B197" s="503"/>
      <c r="C197" s="41" t="s">
        <v>44</v>
      </c>
      <c r="D197" s="126">
        <v>3</v>
      </c>
      <c r="E197" s="126" t="s">
        <v>18</v>
      </c>
      <c r="F197" s="126">
        <v>3</v>
      </c>
      <c r="G197" s="126" t="s">
        <v>304</v>
      </c>
      <c r="H197" s="126" t="s">
        <v>18</v>
      </c>
      <c r="I197" s="126" t="s">
        <v>18</v>
      </c>
      <c r="J197" s="21" t="s">
        <v>18</v>
      </c>
      <c r="K197" s="21" t="s">
        <v>18</v>
      </c>
      <c r="L197" s="21" t="s">
        <v>18</v>
      </c>
      <c r="M197" s="21" t="s">
        <v>18</v>
      </c>
      <c r="N197" s="21" t="s">
        <v>18</v>
      </c>
      <c r="O197" s="21" t="s">
        <v>18</v>
      </c>
    </row>
    <row r="198" spans="1:15" ht="18.75" x14ac:dyDescent="0.3">
      <c r="A198" s="93">
        <v>29</v>
      </c>
      <c r="B198" s="503"/>
      <c r="C198" s="41" t="s">
        <v>45</v>
      </c>
      <c r="D198" s="126">
        <v>2</v>
      </c>
      <c r="E198" s="126" t="s">
        <v>18</v>
      </c>
      <c r="F198" s="126">
        <v>2</v>
      </c>
      <c r="G198" s="126" t="s">
        <v>304</v>
      </c>
      <c r="H198" s="126" t="s">
        <v>18</v>
      </c>
      <c r="I198" s="126" t="s">
        <v>18</v>
      </c>
      <c r="J198" s="21" t="s">
        <v>18</v>
      </c>
      <c r="K198" s="21" t="s">
        <v>18</v>
      </c>
      <c r="L198" s="21" t="s">
        <v>18</v>
      </c>
      <c r="M198" s="21" t="s">
        <v>18</v>
      </c>
      <c r="N198" s="21" t="s">
        <v>18</v>
      </c>
      <c r="O198" s="21" t="s">
        <v>18</v>
      </c>
    </row>
    <row r="199" spans="1:15" ht="18.75" x14ac:dyDescent="0.3">
      <c r="A199" s="93">
        <v>30</v>
      </c>
      <c r="B199" s="503" t="s">
        <v>46</v>
      </c>
      <c r="C199" s="41" t="s">
        <v>47</v>
      </c>
      <c r="D199" s="126">
        <v>2</v>
      </c>
      <c r="E199" s="126" t="s">
        <v>18</v>
      </c>
      <c r="F199" s="126">
        <v>2</v>
      </c>
      <c r="G199" s="126" t="s">
        <v>304</v>
      </c>
      <c r="H199" s="126" t="s">
        <v>18</v>
      </c>
      <c r="I199" s="126" t="s">
        <v>18</v>
      </c>
      <c r="J199" s="21" t="s">
        <v>18</v>
      </c>
      <c r="K199" s="21" t="s">
        <v>18</v>
      </c>
      <c r="L199" s="21" t="s">
        <v>18</v>
      </c>
      <c r="M199" s="21" t="s">
        <v>18</v>
      </c>
      <c r="N199" s="21" t="s">
        <v>18</v>
      </c>
      <c r="O199" s="21" t="s">
        <v>18</v>
      </c>
    </row>
    <row r="200" spans="1:15" ht="18.75" x14ac:dyDescent="0.3">
      <c r="A200" s="93">
        <v>31</v>
      </c>
      <c r="B200" s="503"/>
      <c r="C200" s="41" t="s">
        <v>142</v>
      </c>
      <c r="D200" s="126" t="s">
        <v>18</v>
      </c>
      <c r="E200" s="126" t="s">
        <v>18</v>
      </c>
      <c r="F200" s="126" t="s">
        <v>18</v>
      </c>
      <c r="G200" s="126" t="s">
        <v>18</v>
      </c>
      <c r="H200" s="126" t="s">
        <v>18</v>
      </c>
      <c r="I200" s="126" t="s">
        <v>18</v>
      </c>
      <c r="J200" s="21" t="s">
        <v>18</v>
      </c>
      <c r="K200" s="21" t="s">
        <v>18</v>
      </c>
      <c r="L200" s="21" t="s">
        <v>18</v>
      </c>
      <c r="M200" s="21" t="s">
        <v>18</v>
      </c>
      <c r="N200" s="21" t="s">
        <v>18</v>
      </c>
      <c r="O200" s="21" t="s">
        <v>18</v>
      </c>
    </row>
    <row r="201" spans="1:15" ht="18.75" x14ac:dyDescent="0.3">
      <c r="A201" s="93">
        <v>32</v>
      </c>
      <c r="B201" s="503"/>
      <c r="C201" s="41" t="s">
        <v>75</v>
      </c>
      <c r="D201" s="126">
        <v>1</v>
      </c>
      <c r="E201" s="126" t="s">
        <v>18</v>
      </c>
      <c r="F201" s="126">
        <v>1</v>
      </c>
      <c r="G201" s="126" t="s">
        <v>304</v>
      </c>
      <c r="H201" s="126" t="s">
        <v>18</v>
      </c>
      <c r="I201" s="126">
        <v>48000</v>
      </c>
      <c r="J201" s="21" t="s">
        <v>18</v>
      </c>
      <c r="K201" s="21" t="s">
        <v>18</v>
      </c>
      <c r="L201" s="21" t="s">
        <v>18</v>
      </c>
      <c r="M201" s="21" t="s">
        <v>18</v>
      </c>
      <c r="N201" s="21" t="s">
        <v>18</v>
      </c>
      <c r="O201" s="21" t="s">
        <v>18</v>
      </c>
    </row>
    <row r="202" spans="1:15" ht="18.75" x14ac:dyDescent="0.3">
      <c r="A202" s="93">
        <v>33</v>
      </c>
      <c r="B202" s="503" t="s">
        <v>49</v>
      </c>
      <c r="C202" s="41" t="s">
        <v>360</v>
      </c>
      <c r="D202" s="126">
        <v>8</v>
      </c>
      <c r="E202" s="126" t="s">
        <v>18</v>
      </c>
      <c r="F202" s="126">
        <v>8</v>
      </c>
      <c r="G202" s="126" t="s">
        <v>304</v>
      </c>
      <c r="H202" s="126" t="s">
        <v>18</v>
      </c>
      <c r="I202" s="126" t="s">
        <v>18</v>
      </c>
      <c r="J202" s="21" t="s">
        <v>18</v>
      </c>
      <c r="K202" s="21" t="s">
        <v>18</v>
      </c>
      <c r="L202" s="21" t="s">
        <v>18</v>
      </c>
      <c r="M202" s="21" t="s">
        <v>18</v>
      </c>
      <c r="N202" s="21" t="s">
        <v>18</v>
      </c>
      <c r="O202" s="21" t="s">
        <v>18</v>
      </c>
    </row>
    <row r="203" spans="1:15" ht="18.75" x14ac:dyDescent="0.3">
      <c r="A203" s="93">
        <v>34</v>
      </c>
      <c r="B203" s="503"/>
      <c r="C203" s="41" t="s">
        <v>50</v>
      </c>
      <c r="D203" s="126" t="s">
        <v>18</v>
      </c>
      <c r="E203" s="126" t="s">
        <v>18</v>
      </c>
      <c r="F203" s="126" t="s">
        <v>18</v>
      </c>
      <c r="G203" s="126" t="s">
        <v>18</v>
      </c>
      <c r="H203" s="126" t="s">
        <v>18</v>
      </c>
      <c r="I203" s="126" t="s">
        <v>18</v>
      </c>
      <c r="J203" s="21" t="s">
        <v>18</v>
      </c>
      <c r="K203" s="21" t="s">
        <v>18</v>
      </c>
      <c r="L203" s="21" t="s">
        <v>18</v>
      </c>
      <c r="M203" s="21" t="s">
        <v>18</v>
      </c>
      <c r="N203" s="21" t="s">
        <v>18</v>
      </c>
      <c r="O203" s="21" t="s">
        <v>18</v>
      </c>
    </row>
    <row r="204" spans="1:15" ht="18.75" x14ac:dyDescent="0.3">
      <c r="A204" s="93">
        <v>35</v>
      </c>
      <c r="B204" s="503"/>
      <c r="C204" s="41" t="s">
        <v>51</v>
      </c>
      <c r="D204" s="126">
        <v>4</v>
      </c>
      <c r="E204" s="126" t="s">
        <v>18</v>
      </c>
      <c r="F204" s="126">
        <v>4</v>
      </c>
      <c r="G204" s="126" t="s">
        <v>304</v>
      </c>
      <c r="H204" s="126" t="s">
        <v>1113</v>
      </c>
      <c r="I204" s="126" t="s">
        <v>1114</v>
      </c>
      <c r="J204" s="21" t="s">
        <v>18</v>
      </c>
      <c r="K204" s="21" t="s">
        <v>18</v>
      </c>
      <c r="L204" s="21" t="s">
        <v>18</v>
      </c>
      <c r="M204" s="21" t="s">
        <v>18</v>
      </c>
      <c r="N204" s="21" t="s">
        <v>18</v>
      </c>
      <c r="O204" s="21" t="s">
        <v>18</v>
      </c>
    </row>
    <row r="205" spans="1:15" ht="18.75" x14ac:dyDescent="0.3">
      <c r="A205" s="93">
        <v>36</v>
      </c>
      <c r="B205" s="503" t="s">
        <v>52</v>
      </c>
      <c r="C205" s="41" t="s">
        <v>53</v>
      </c>
      <c r="D205" s="126" t="s">
        <v>18</v>
      </c>
      <c r="E205" s="126" t="s">
        <v>18</v>
      </c>
      <c r="F205" s="126" t="s">
        <v>18</v>
      </c>
      <c r="G205" s="126" t="s">
        <v>18</v>
      </c>
      <c r="H205" s="126" t="s">
        <v>18</v>
      </c>
      <c r="I205" s="126" t="s">
        <v>18</v>
      </c>
      <c r="J205" s="21" t="s">
        <v>18</v>
      </c>
      <c r="K205" s="21" t="s">
        <v>18</v>
      </c>
      <c r="L205" s="21" t="s">
        <v>18</v>
      </c>
      <c r="M205" s="21" t="s">
        <v>18</v>
      </c>
      <c r="N205" s="21" t="s">
        <v>18</v>
      </c>
      <c r="O205" s="21" t="s">
        <v>18</v>
      </c>
    </row>
    <row r="206" spans="1:15" ht="18.75" x14ac:dyDescent="0.3">
      <c r="A206" s="93">
        <v>37</v>
      </c>
      <c r="B206" s="503"/>
      <c r="C206" s="41" t="s">
        <v>54</v>
      </c>
      <c r="D206" s="126" t="s">
        <v>18</v>
      </c>
      <c r="E206" s="126" t="s">
        <v>18</v>
      </c>
      <c r="F206" s="126" t="s">
        <v>18</v>
      </c>
      <c r="G206" s="126" t="s">
        <v>18</v>
      </c>
      <c r="H206" s="126" t="s">
        <v>18</v>
      </c>
      <c r="I206" s="126" t="s">
        <v>18</v>
      </c>
      <c r="J206" s="21" t="s">
        <v>18</v>
      </c>
      <c r="K206" s="21" t="s">
        <v>18</v>
      </c>
      <c r="L206" s="21" t="s">
        <v>18</v>
      </c>
      <c r="M206" s="21" t="s">
        <v>18</v>
      </c>
      <c r="N206" s="21" t="s">
        <v>18</v>
      </c>
      <c r="O206" s="21" t="s">
        <v>18</v>
      </c>
    </row>
    <row r="207" spans="1:15" ht="18.75" x14ac:dyDescent="0.3">
      <c r="A207" s="93">
        <v>38</v>
      </c>
      <c r="B207" s="503"/>
      <c r="C207" s="41" t="s">
        <v>55</v>
      </c>
      <c r="D207" s="126" t="s">
        <v>18</v>
      </c>
      <c r="E207" s="126" t="s">
        <v>18</v>
      </c>
      <c r="F207" s="126" t="s">
        <v>18</v>
      </c>
      <c r="G207" s="126" t="s">
        <v>18</v>
      </c>
      <c r="H207" s="126" t="s">
        <v>18</v>
      </c>
      <c r="I207" s="126" t="s">
        <v>18</v>
      </c>
      <c r="J207" s="21" t="s">
        <v>18</v>
      </c>
      <c r="K207" s="21" t="s">
        <v>18</v>
      </c>
      <c r="L207" s="21" t="s">
        <v>18</v>
      </c>
      <c r="M207" s="21" t="s">
        <v>18</v>
      </c>
      <c r="N207" s="21" t="s">
        <v>18</v>
      </c>
      <c r="O207" s="21" t="s">
        <v>18</v>
      </c>
    </row>
    <row r="208" spans="1:15" ht="18.75" x14ac:dyDescent="0.3">
      <c r="A208" s="93">
        <v>39</v>
      </c>
      <c r="B208" s="503"/>
      <c r="C208" s="41" t="s">
        <v>56</v>
      </c>
      <c r="D208" s="126" t="s">
        <v>18</v>
      </c>
      <c r="E208" s="126" t="s">
        <v>18</v>
      </c>
      <c r="F208" s="126" t="s">
        <v>18</v>
      </c>
      <c r="G208" s="126" t="s">
        <v>18</v>
      </c>
      <c r="H208" s="126" t="s">
        <v>18</v>
      </c>
      <c r="I208" s="126" t="s">
        <v>18</v>
      </c>
      <c r="J208" s="21" t="s">
        <v>18</v>
      </c>
      <c r="K208" s="21" t="s">
        <v>18</v>
      </c>
      <c r="L208" s="21" t="s">
        <v>18</v>
      </c>
      <c r="M208" s="21" t="s">
        <v>18</v>
      </c>
      <c r="N208" s="21" t="s">
        <v>18</v>
      </c>
      <c r="O208" s="21" t="s">
        <v>18</v>
      </c>
    </row>
    <row r="209" spans="1:15" ht="18.75" x14ac:dyDescent="0.3">
      <c r="A209" s="93">
        <v>40</v>
      </c>
      <c r="B209" s="503"/>
      <c r="C209" s="41" t="s">
        <v>57</v>
      </c>
      <c r="D209" s="126" t="s">
        <v>18</v>
      </c>
      <c r="E209" s="126" t="s">
        <v>18</v>
      </c>
      <c r="F209" s="126" t="s">
        <v>18</v>
      </c>
      <c r="G209" s="126" t="s">
        <v>18</v>
      </c>
      <c r="H209" s="126" t="s">
        <v>18</v>
      </c>
      <c r="I209" s="126" t="s">
        <v>18</v>
      </c>
      <c r="J209" s="21" t="s">
        <v>18</v>
      </c>
      <c r="K209" s="21" t="s">
        <v>18</v>
      </c>
      <c r="L209" s="21" t="s">
        <v>18</v>
      </c>
      <c r="M209" s="21" t="s">
        <v>18</v>
      </c>
      <c r="N209" s="21" t="s">
        <v>18</v>
      </c>
      <c r="O209" s="21" t="s">
        <v>18</v>
      </c>
    </row>
    <row r="210" spans="1:15" ht="18.75" x14ac:dyDescent="0.3">
      <c r="A210" s="93">
        <v>41</v>
      </c>
      <c r="B210" s="503"/>
      <c r="C210" s="41" t="s">
        <v>58</v>
      </c>
      <c r="D210" s="126" t="s">
        <v>18</v>
      </c>
      <c r="E210" s="126" t="s">
        <v>18</v>
      </c>
      <c r="F210" s="126" t="s">
        <v>18</v>
      </c>
      <c r="G210" s="126" t="s">
        <v>18</v>
      </c>
      <c r="H210" s="126" t="s">
        <v>18</v>
      </c>
      <c r="I210" s="126" t="s">
        <v>18</v>
      </c>
      <c r="J210" s="21" t="s">
        <v>18</v>
      </c>
      <c r="K210" s="21" t="s">
        <v>18</v>
      </c>
      <c r="L210" s="21" t="s">
        <v>18</v>
      </c>
      <c r="M210" s="21" t="s">
        <v>18</v>
      </c>
      <c r="N210" s="21" t="s">
        <v>18</v>
      </c>
      <c r="O210" s="21" t="s">
        <v>18</v>
      </c>
    </row>
    <row r="211" spans="1:15" ht="18.75" x14ac:dyDescent="0.3">
      <c r="A211" s="271"/>
      <c r="B211" s="272"/>
      <c r="C211" s="273" t="s">
        <v>60</v>
      </c>
      <c r="D211" s="47">
        <f>SUM(D168:D210)</f>
        <v>72</v>
      </c>
      <c r="E211" s="47">
        <f t="shared" ref="E211:O211" si="3">SUM(E168:E210)</f>
        <v>0</v>
      </c>
      <c r="F211" s="47">
        <f t="shared" si="3"/>
        <v>72</v>
      </c>
      <c r="G211" s="47">
        <f t="shared" si="3"/>
        <v>0</v>
      </c>
      <c r="H211" s="47">
        <f t="shared" si="3"/>
        <v>1827000</v>
      </c>
      <c r="I211" s="47">
        <f t="shared" si="3"/>
        <v>21516000</v>
      </c>
      <c r="J211" s="274">
        <f t="shared" si="3"/>
        <v>0</v>
      </c>
      <c r="K211" s="274">
        <f t="shared" si="3"/>
        <v>0</v>
      </c>
      <c r="L211" s="274">
        <f t="shared" si="3"/>
        <v>0</v>
      </c>
      <c r="M211" s="274">
        <f t="shared" si="3"/>
        <v>0</v>
      </c>
      <c r="N211" s="274">
        <f t="shared" si="3"/>
        <v>0</v>
      </c>
      <c r="O211" s="274">
        <f t="shared" si="3"/>
        <v>0</v>
      </c>
    </row>
    <row r="212" spans="1:15" ht="18.75" x14ac:dyDescent="0.3">
      <c r="A212" s="44"/>
      <c r="C212" s="150"/>
      <c r="D212" s="312"/>
      <c r="E212" s="312"/>
      <c r="F212" s="312"/>
      <c r="G212" s="312"/>
      <c r="H212" s="312"/>
      <c r="I212" s="312"/>
      <c r="J212" s="151"/>
      <c r="K212" s="151"/>
      <c r="L212" s="151"/>
      <c r="M212" s="151"/>
      <c r="N212" s="151"/>
      <c r="O212" s="151"/>
    </row>
    <row r="213" spans="1:15" ht="18.75" x14ac:dyDescent="0.3">
      <c r="A213" s="44"/>
      <c r="C213" s="150"/>
      <c r="D213" s="312"/>
      <c r="E213" s="312"/>
      <c r="F213" s="312"/>
      <c r="G213" s="312"/>
      <c r="H213" s="312"/>
      <c r="I213" s="312"/>
      <c r="J213" s="151"/>
      <c r="K213" s="151"/>
      <c r="L213" s="151"/>
      <c r="M213" s="151"/>
      <c r="N213" s="151"/>
      <c r="O213" s="151"/>
    </row>
    <row r="214" spans="1:15" s="60" customFormat="1" ht="18.75" x14ac:dyDescent="0.25">
      <c r="A214" s="538" t="s">
        <v>777</v>
      </c>
      <c r="B214" s="538"/>
      <c r="C214" s="538"/>
      <c r="D214" s="538"/>
      <c r="E214" s="538"/>
      <c r="F214" s="538"/>
      <c r="G214" s="538"/>
      <c r="H214" s="538"/>
      <c r="I214" s="538"/>
      <c r="J214" s="538"/>
      <c r="K214" s="538"/>
      <c r="L214" s="538"/>
      <c r="M214" s="538"/>
      <c r="N214" s="538"/>
      <c r="O214" s="538"/>
    </row>
    <row r="215" spans="1:15" ht="18.75" x14ac:dyDescent="0.25">
      <c r="A215" s="503" t="s">
        <v>0</v>
      </c>
      <c r="B215" s="537" t="s">
        <v>1</v>
      </c>
      <c r="C215" s="503" t="s">
        <v>2</v>
      </c>
      <c r="D215" s="500" t="s">
        <v>3</v>
      </c>
      <c r="E215" s="500" t="s">
        <v>4</v>
      </c>
      <c r="F215" s="500" t="s">
        <v>5</v>
      </c>
      <c r="G215" s="500" t="s">
        <v>73</v>
      </c>
      <c r="H215" s="500" t="s">
        <v>9</v>
      </c>
      <c r="I215" s="500" t="s">
        <v>10</v>
      </c>
      <c r="J215" s="500" t="s">
        <v>11</v>
      </c>
      <c r="K215" s="500"/>
      <c r="L215" s="500" t="s">
        <v>12</v>
      </c>
      <c r="M215" s="500"/>
      <c r="N215" s="500" t="s">
        <v>13</v>
      </c>
      <c r="O215" s="500"/>
    </row>
    <row r="216" spans="1:15" ht="18.75" x14ac:dyDescent="0.25">
      <c r="A216" s="503"/>
      <c r="B216" s="537"/>
      <c r="C216" s="503"/>
      <c r="D216" s="500"/>
      <c r="E216" s="500"/>
      <c r="F216" s="500"/>
      <c r="G216" s="500"/>
      <c r="H216" s="500"/>
      <c r="I216" s="500"/>
      <c r="J216" s="126" t="s">
        <v>14</v>
      </c>
      <c r="K216" s="126" t="s">
        <v>15</v>
      </c>
      <c r="L216" s="126" t="s">
        <v>14</v>
      </c>
      <c r="M216" s="126" t="s">
        <v>15</v>
      </c>
      <c r="N216" s="126" t="s">
        <v>14</v>
      </c>
      <c r="O216" s="126" t="s">
        <v>15</v>
      </c>
    </row>
    <row r="217" spans="1:15" ht="18.75" x14ac:dyDescent="0.3">
      <c r="A217" s="93">
        <v>1</v>
      </c>
      <c r="B217" s="537" t="s">
        <v>16</v>
      </c>
      <c r="C217" s="41" t="s">
        <v>17</v>
      </c>
      <c r="D217" s="126">
        <v>3</v>
      </c>
      <c r="E217" s="126" t="s">
        <v>18</v>
      </c>
      <c r="F217" s="126">
        <v>3</v>
      </c>
      <c r="G217" s="126" t="s">
        <v>304</v>
      </c>
      <c r="H217" s="126">
        <v>25000</v>
      </c>
      <c r="I217" s="126">
        <v>1975000</v>
      </c>
      <c r="J217" s="21" t="s">
        <v>18</v>
      </c>
      <c r="K217" s="21" t="s">
        <v>18</v>
      </c>
      <c r="L217" s="21" t="s">
        <v>18</v>
      </c>
      <c r="M217" s="21" t="s">
        <v>18</v>
      </c>
      <c r="N217" s="21" t="s">
        <v>18</v>
      </c>
      <c r="O217" s="21" t="s">
        <v>18</v>
      </c>
    </row>
    <row r="218" spans="1:15" ht="18.75" x14ac:dyDescent="0.3">
      <c r="A218" s="93">
        <v>2</v>
      </c>
      <c r="B218" s="537"/>
      <c r="C218" s="41" t="s">
        <v>19</v>
      </c>
      <c r="D218" s="126" t="s">
        <v>18</v>
      </c>
      <c r="E218" s="126" t="s">
        <v>18</v>
      </c>
      <c r="F218" s="126" t="s">
        <v>18</v>
      </c>
      <c r="G218" s="126" t="s">
        <v>18</v>
      </c>
      <c r="H218" s="126" t="s">
        <v>18</v>
      </c>
      <c r="I218" s="126" t="s">
        <v>18</v>
      </c>
      <c r="J218" s="21" t="s">
        <v>18</v>
      </c>
      <c r="K218" s="21" t="s">
        <v>18</v>
      </c>
      <c r="L218" s="21" t="s">
        <v>18</v>
      </c>
      <c r="M218" s="21" t="s">
        <v>18</v>
      </c>
      <c r="N218" s="21" t="s">
        <v>18</v>
      </c>
      <c r="O218" s="21" t="s">
        <v>18</v>
      </c>
    </row>
    <row r="219" spans="1:15" ht="20.25" customHeight="1" x14ac:dyDescent="0.3">
      <c r="A219" s="93">
        <v>3</v>
      </c>
      <c r="B219" s="19" t="s">
        <v>20</v>
      </c>
      <c r="C219" s="41" t="s">
        <v>20</v>
      </c>
      <c r="D219" s="126" t="s">
        <v>18</v>
      </c>
      <c r="E219" s="126" t="s">
        <v>18</v>
      </c>
      <c r="F219" s="126" t="s">
        <v>18</v>
      </c>
      <c r="G219" s="126" t="s">
        <v>18</v>
      </c>
      <c r="H219" s="126" t="s">
        <v>18</v>
      </c>
      <c r="I219" s="126" t="s">
        <v>18</v>
      </c>
      <c r="J219" s="21" t="s">
        <v>18</v>
      </c>
      <c r="K219" s="21" t="s">
        <v>18</v>
      </c>
      <c r="L219" s="21" t="s">
        <v>18</v>
      </c>
      <c r="M219" s="21" t="s">
        <v>18</v>
      </c>
      <c r="N219" s="21" t="s">
        <v>18</v>
      </c>
      <c r="O219" s="21" t="s">
        <v>18</v>
      </c>
    </row>
    <row r="220" spans="1:15" ht="18.75" x14ac:dyDescent="0.3">
      <c r="A220" s="93">
        <v>4</v>
      </c>
      <c r="B220" s="503" t="s">
        <v>21</v>
      </c>
      <c r="C220" s="41" t="s">
        <v>21</v>
      </c>
      <c r="D220" s="126">
        <v>2</v>
      </c>
      <c r="E220" s="126" t="s">
        <v>18</v>
      </c>
      <c r="F220" s="126">
        <v>2</v>
      </c>
      <c r="G220" s="126" t="s">
        <v>304</v>
      </c>
      <c r="H220" s="126" t="s">
        <v>18</v>
      </c>
      <c r="I220" s="126">
        <v>10000</v>
      </c>
      <c r="J220" s="21" t="s">
        <v>18</v>
      </c>
      <c r="K220" s="21" t="s">
        <v>18</v>
      </c>
      <c r="L220" s="21" t="s">
        <v>18</v>
      </c>
      <c r="M220" s="21" t="s">
        <v>18</v>
      </c>
      <c r="N220" s="21" t="s">
        <v>18</v>
      </c>
      <c r="O220" s="21" t="s">
        <v>18</v>
      </c>
    </row>
    <row r="221" spans="1:15" ht="18.75" x14ac:dyDescent="0.3">
      <c r="A221" s="93">
        <v>5</v>
      </c>
      <c r="B221" s="503"/>
      <c r="C221" s="41" t="s">
        <v>22</v>
      </c>
      <c r="D221" s="126" t="s">
        <v>18</v>
      </c>
      <c r="E221" s="126" t="s">
        <v>18</v>
      </c>
      <c r="F221" s="126" t="s">
        <v>18</v>
      </c>
      <c r="G221" s="126" t="s">
        <v>18</v>
      </c>
      <c r="H221" s="126" t="s">
        <v>18</v>
      </c>
      <c r="I221" s="126" t="s">
        <v>18</v>
      </c>
      <c r="J221" s="21" t="s">
        <v>18</v>
      </c>
      <c r="K221" s="21" t="s">
        <v>18</v>
      </c>
      <c r="L221" s="21" t="s">
        <v>18</v>
      </c>
      <c r="M221" s="21" t="s">
        <v>18</v>
      </c>
      <c r="N221" s="21" t="s">
        <v>18</v>
      </c>
      <c r="O221" s="21" t="s">
        <v>18</v>
      </c>
    </row>
    <row r="222" spans="1:15" ht="18.75" x14ac:dyDescent="0.3">
      <c r="A222" s="93">
        <v>6</v>
      </c>
      <c r="B222" s="503"/>
      <c r="C222" s="153" t="s">
        <v>143</v>
      </c>
      <c r="D222" s="126" t="s">
        <v>18</v>
      </c>
      <c r="E222" s="126" t="s">
        <v>18</v>
      </c>
      <c r="F222" s="126" t="s">
        <v>18</v>
      </c>
      <c r="G222" s="126" t="s">
        <v>18</v>
      </c>
      <c r="H222" s="126" t="s">
        <v>18</v>
      </c>
      <c r="I222" s="126" t="s">
        <v>18</v>
      </c>
      <c r="J222" s="21" t="s">
        <v>18</v>
      </c>
      <c r="K222" s="21" t="s">
        <v>18</v>
      </c>
      <c r="L222" s="21" t="s">
        <v>18</v>
      </c>
      <c r="M222" s="21" t="s">
        <v>18</v>
      </c>
      <c r="N222" s="21" t="s">
        <v>18</v>
      </c>
      <c r="O222" s="21" t="s">
        <v>18</v>
      </c>
    </row>
    <row r="223" spans="1:15" ht="18.75" customHeight="1" x14ac:dyDescent="0.3">
      <c r="A223" s="93">
        <v>7</v>
      </c>
      <c r="B223" s="503"/>
      <c r="C223" s="153" t="s">
        <v>144</v>
      </c>
      <c r="D223" s="126" t="s">
        <v>18</v>
      </c>
      <c r="E223" s="126" t="s">
        <v>18</v>
      </c>
      <c r="F223" s="126" t="s">
        <v>18</v>
      </c>
      <c r="G223" s="126" t="s">
        <v>18</v>
      </c>
      <c r="H223" s="126" t="s">
        <v>18</v>
      </c>
      <c r="I223" s="126" t="s">
        <v>18</v>
      </c>
      <c r="J223" s="21" t="s">
        <v>18</v>
      </c>
      <c r="K223" s="21" t="s">
        <v>18</v>
      </c>
      <c r="L223" s="21" t="s">
        <v>18</v>
      </c>
      <c r="M223" s="21" t="s">
        <v>18</v>
      </c>
      <c r="N223" s="21" t="s">
        <v>18</v>
      </c>
      <c r="O223" s="21" t="s">
        <v>18</v>
      </c>
    </row>
    <row r="224" spans="1:15" ht="18.75" x14ac:dyDescent="0.3">
      <c r="A224" s="93">
        <v>8</v>
      </c>
      <c r="B224" s="503" t="s">
        <v>23</v>
      </c>
      <c r="C224" s="41" t="s">
        <v>23</v>
      </c>
      <c r="D224" s="126" t="s">
        <v>18</v>
      </c>
      <c r="E224" s="126" t="s">
        <v>18</v>
      </c>
      <c r="F224" s="126" t="s">
        <v>18</v>
      </c>
      <c r="G224" s="126" t="s">
        <v>18</v>
      </c>
      <c r="H224" s="126" t="s">
        <v>18</v>
      </c>
      <c r="I224" s="126" t="s">
        <v>18</v>
      </c>
      <c r="J224" s="21" t="s">
        <v>18</v>
      </c>
      <c r="K224" s="21" t="s">
        <v>18</v>
      </c>
      <c r="L224" s="21" t="s">
        <v>18</v>
      </c>
      <c r="M224" s="21" t="s">
        <v>18</v>
      </c>
      <c r="N224" s="21" t="s">
        <v>18</v>
      </c>
      <c r="O224" s="21" t="s">
        <v>18</v>
      </c>
    </row>
    <row r="225" spans="1:16" ht="18.75" x14ac:dyDescent="0.3">
      <c r="A225" s="93">
        <v>9</v>
      </c>
      <c r="B225" s="503"/>
      <c r="C225" s="41" t="s">
        <v>140</v>
      </c>
      <c r="D225" s="126" t="s">
        <v>18</v>
      </c>
      <c r="E225" s="126" t="s">
        <v>18</v>
      </c>
      <c r="F225" s="126" t="s">
        <v>18</v>
      </c>
      <c r="G225" s="126" t="s">
        <v>18</v>
      </c>
      <c r="H225" s="126" t="s">
        <v>18</v>
      </c>
      <c r="I225" s="126" t="s">
        <v>18</v>
      </c>
      <c r="J225" s="21" t="s">
        <v>18</v>
      </c>
      <c r="K225" s="21" t="s">
        <v>18</v>
      </c>
      <c r="L225" s="21" t="s">
        <v>18</v>
      </c>
      <c r="M225" s="21" t="s">
        <v>18</v>
      </c>
      <c r="N225" s="21" t="s">
        <v>18</v>
      </c>
      <c r="O225" s="21" t="s">
        <v>18</v>
      </c>
    </row>
    <row r="226" spans="1:16" ht="18.75" x14ac:dyDescent="0.3">
      <c r="A226" s="93">
        <v>10</v>
      </c>
      <c r="B226" s="503" t="s">
        <v>25</v>
      </c>
      <c r="C226" s="41" t="s">
        <v>26</v>
      </c>
      <c r="D226" s="126" t="s">
        <v>18</v>
      </c>
      <c r="E226" s="126" t="s">
        <v>18</v>
      </c>
      <c r="F226" s="126" t="s">
        <v>18</v>
      </c>
      <c r="G226" s="126" t="s">
        <v>18</v>
      </c>
      <c r="H226" s="126" t="s">
        <v>18</v>
      </c>
      <c r="I226" s="126" t="s">
        <v>18</v>
      </c>
      <c r="J226" s="21" t="s">
        <v>18</v>
      </c>
      <c r="K226" s="21" t="s">
        <v>18</v>
      </c>
      <c r="L226" s="21" t="s">
        <v>18</v>
      </c>
      <c r="M226" s="21" t="s">
        <v>18</v>
      </c>
      <c r="N226" s="21" t="s">
        <v>18</v>
      </c>
      <c r="O226" s="21" t="s">
        <v>18</v>
      </c>
    </row>
    <row r="227" spans="1:16" ht="20.25" x14ac:dyDescent="0.3">
      <c r="A227" s="93">
        <v>11</v>
      </c>
      <c r="B227" s="503"/>
      <c r="C227" s="41" t="s">
        <v>27</v>
      </c>
      <c r="D227" s="126">
        <v>3</v>
      </c>
      <c r="E227" s="126" t="s">
        <v>18</v>
      </c>
      <c r="F227" s="126">
        <v>3</v>
      </c>
      <c r="G227" s="126" t="s">
        <v>304</v>
      </c>
      <c r="H227" s="126" t="s">
        <v>18</v>
      </c>
      <c r="I227" s="126" t="s">
        <v>18</v>
      </c>
      <c r="J227" s="21" t="s">
        <v>18</v>
      </c>
      <c r="K227" s="21" t="s">
        <v>18</v>
      </c>
      <c r="L227" s="21" t="s">
        <v>18</v>
      </c>
      <c r="M227" s="21" t="s">
        <v>18</v>
      </c>
      <c r="N227" s="21" t="s">
        <v>18</v>
      </c>
      <c r="O227" s="21" t="s">
        <v>18</v>
      </c>
      <c r="P227" s="70"/>
    </row>
    <row r="228" spans="1:16" ht="18.75" x14ac:dyDescent="0.3">
      <c r="A228" s="93">
        <v>12</v>
      </c>
      <c r="B228" s="503"/>
      <c r="C228" s="41" t="s">
        <v>145</v>
      </c>
      <c r="D228" s="126">
        <v>1</v>
      </c>
      <c r="E228" s="126" t="s">
        <v>18</v>
      </c>
      <c r="F228" s="126">
        <v>1</v>
      </c>
      <c r="G228" s="126" t="s">
        <v>304</v>
      </c>
      <c r="H228" s="126" t="s">
        <v>18</v>
      </c>
      <c r="I228" s="126" t="s">
        <v>18</v>
      </c>
      <c r="J228" s="21" t="s">
        <v>18</v>
      </c>
      <c r="K228" s="21" t="s">
        <v>18</v>
      </c>
      <c r="L228" s="21" t="s">
        <v>18</v>
      </c>
      <c r="M228" s="21" t="s">
        <v>18</v>
      </c>
      <c r="N228" s="21" t="s">
        <v>18</v>
      </c>
      <c r="O228" s="21" t="s">
        <v>18</v>
      </c>
    </row>
    <row r="229" spans="1:16" ht="18.75" x14ac:dyDescent="0.3">
      <c r="A229" s="93">
        <v>13</v>
      </c>
      <c r="B229" s="503" t="s">
        <v>28</v>
      </c>
      <c r="C229" s="41" t="s">
        <v>29</v>
      </c>
      <c r="D229" s="126">
        <v>1</v>
      </c>
      <c r="E229" s="126" t="s">
        <v>18</v>
      </c>
      <c r="F229" s="126">
        <v>1</v>
      </c>
      <c r="G229" s="126" t="s">
        <v>304</v>
      </c>
      <c r="H229" s="126">
        <v>15000</v>
      </c>
      <c r="I229" s="126">
        <v>185000</v>
      </c>
      <c r="J229" s="21" t="s">
        <v>18</v>
      </c>
      <c r="K229" s="21" t="s">
        <v>18</v>
      </c>
      <c r="L229" s="21" t="s">
        <v>18</v>
      </c>
      <c r="M229" s="21" t="s">
        <v>18</v>
      </c>
      <c r="N229" s="21" t="s">
        <v>18</v>
      </c>
      <c r="O229" s="21" t="s">
        <v>18</v>
      </c>
    </row>
    <row r="230" spans="1:16" ht="18.75" x14ac:dyDescent="0.3">
      <c r="A230" s="93">
        <v>14</v>
      </c>
      <c r="B230" s="503"/>
      <c r="C230" s="41" t="s">
        <v>30</v>
      </c>
      <c r="D230" s="126" t="s">
        <v>18</v>
      </c>
      <c r="E230" s="126" t="s">
        <v>18</v>
      </c>
      <c r="F230" s="126" t="s">
        <v>18</v>
      </c>
      <c r="G230" s="126" t="s">
        <v>18</v>
      </c>
      <c r="H230" s="126" t="s">
        <v>18</v>
      </c>
      <c r="I230" s="126" t="s">
        <v>18</v>
      </c>
      <c r="J230" s="21" t="s">
        <v>18</v>
      </c>
      <c r="K230" s="21" t="s">
        <v>18</v>
      </c>
      <c r="L230" s="21" t="s">
        <v>18</v>
      </c>
      <c r="M230" s="21" t="s">
        <v>18</v>
      </c>
      <c r="N230" s="21" t="s">
        <v>18</v>
      </c>
      <c r="O230" s="21" t="s">
        <v>18</v>
      </c>
    </row>
    <row r="231" spans="1:16" ht="18.75" x14ac:dyDescent="0.3">
      <c r="A231" s="93">
        <v>15</v>
      </c>
      <c r="B231" s="503"/>
      <c r="C231" s="41" t="s">
        <v>31</v>
      </c>
      <c r="D231" s="126" t="s">
        <v>18</v>
      </c>
      <c r="E231" s="126" t="s">
        <v>18</v>
      </c>
      <c r="F231" s="126" t="s">
        <v>18</v>
      </c>
      <c r="G231" s="126" t="s">
        <v>18</v>
      </c>
      <c r="H231" s="126" t="s">
        <v>18</v>
      </c>
      <c r="I231" s="126" t="s">
        <v>18</v>
      </c>
      <c r="J231" s="21" t="s">
        <v>18</v>
      </c>
      <c r="K231" s="21" t="s">
        <v>18</v>
      </c>
      <c r="L231" s="21" t="s">
        <v>18</v>
      </c>
      <c r="M231" s="21" t="s">
        <v>18</v>
      </c>
      <c r="N231" s="21" t="s">
        <v>18</v>
      </c>
      <c r="O231" s="21" t="s">
        <v>18</v>
      </c>
    </row>
    <row r="232" spans="1:16" ht="18.75" x14ac:dyDescent="0.3">
      <c r="A232" s="93">
        <v>16</v>
      </c>
      <c r="B232" s="503"/>
      <c r="C232" s="41" t="s">
        <v>32</v>
      </c>
      <c r="D232" s="126" t="s">
        <v>18</v>
      </c>
      <c r="E232" s="126" t="s">
        <v>18</v>
      </c>
      <c r="F232" s="126" t="s">
        <v>18</v>
      </c>
      <c r="G232" s="126" t="s">
        <v>18</v>
      </c>
      <c r="H232" s="126" t="s">
        <v>18</v>
      </c>
      <c r="I232" s="126" t="s">
        <v>18</v>
      </c>
      <c r="J232" s="21" t="s">
        <v>18</v>
      </c>
      <c r="K232" s="21" t="s">
        <v>18</v>
      </c>
      <c r="L232" s="21" t="s">
        <v>18</v>
      </c>
      <c r="M232" s="21" t="s">
        <v>18</v>
      </c>
      <c r="N232" s="21" t="s">
        <v>18</v>
      </c>
      <c r="O232" s="21" t="s">
        <v>18</v>
      </c>
    </row>
    <row r="233" spans="1:16" ht="18.75" x14ac:dyDescent="0.3">
      <c r="A233" s="93">
        <v>17</v>
      </c>
      <c r="B233" s="503" t="s">
        <v>33</v>
      </c>
      <c r="C233" s="41" t="s">
        <v>33</v>
      </c>
      <c r="D233" s="126">
        <v>2</v>
      </c>
      <c r="E233" s="126" t="s">
        <v>18</v>
      </c>
      <c r="F233" s="126">
        <v>2</v>
      </c>
      <c r="G233" s="126" t="s">
        <v>304</v>
      </c>
      <c r="H233" s="126">
        <v>201000</v>
      </c>
      <c r="I233" s="126">
        <v>1849000</v>
      </c>
      <c r="J233" s="21" t="s">
        <v>18</v>
      </c>
      <c r="K233" s="21" t="s">
        <v>18</v>
      </c>
      <c r="L233" s="21" t="s">
        <v>18</v>
      </c>
      <c r="M233" s="21" t="s">
        <v>18</v>
      </c>
      <c r="N233" s="21" t="s">
        <v>18</v>
      </c>
      <c r="O233" s="21" t="s">
        <v>18</v>
      </c>
    </row>
    <row r="234" spans="1:16" ht="18.75" x14ac:dyDescent="0.3">
      <c r="A234" s="93">
        <v>18</v>
      </c>
      <c r="B234" s="503"/>
      <c r="C234" s="41" t="s">
        <v>34</v>
      </c>
      <c r="D234" s="126" t="s">
        <v>18</v>
      </c>
      <c r="E234" s="126" t="s">
        <v>18</v>
      </c>
      <c r="F234" s="126" t="s">
        <v>18</v>
      </c>
      <c r="G234" s="126" t="s">
        <v>18</v>
      </c>
      <c r="H234" s="126" t="s">
        <v>18</v>
      </c>
      <c r="I234" s="126" t="s">
        <v>18</v>
      </c>
      <c r="J234" s="21" t="s">
        <v>18</v>
      </c>
      <c r="K234" s="21" t="s">
        <v>18</v>
      </c>
      <c r="L234" s="21" t="s">
        <v>18</v>
      </c>
      <c r="M234" s="21" t="s">
        <v>18</v>
      </c>
      <c r="N234" s="21" t="s">
        <v>18</v>
      </c>
      <c r="O234" s="21" t="s">
        <v>18</v>
      </c>
    </row>
    <row r="235" spans="1:16" ht="18.75" x14ac:dyDescent="0.3">
      <c r="A235" s="93">
        <v>19</v>
      </c>
      <c r="B235" s="503"/>
      <c r="C235" s="41" t="s">
        <v>35</v>
      </c>
      <c r="D235" s="126">
        <v>1</v>
      </c>
      <c r="E235" s="126" t="s">
        <v>18</v>
      </c>
      <c r="F235" s="126">
        <v>1</v>
      </c>
      <c r="G235" s="126" t="s">
        <v>304</v>
      </c>
      <c r="H235" s="126" t="s">
        <v>18</v>
      </c>
      <c r="I235" s="126" t="s">
        <v>18</v>
      </c>
      <c r="J235" s="21" t="s">
        <v>18</v>
      </c>
      <c r="K235" s="21" t="s">
        <v>18</v>
      </c>
      <c r="L235" s="21" t="s">
        <v>18</v>
      </c>
      <c r="M235" s="21" t="s">
        <v>18</v>
      </c>
      <c r="N235" s="21" t="s">
        <v>18</v>
      </c>
      <c r="O235" s="21" t="s">
        <v>18</v>
      </c>
    </row>
    <row r="236" spans="1:16" ht="18.75" x14ac:dyDescent="0.3">
      <c r="A236" s="93">
        <v>20</v>
      </c>
      <c r="B236" s="503"/>
      <c r="C236" s="41" t="s">
        <v>36</v>
      </c>
      <c r="D236" s="126" t="s">
        <v>18</v>
      </c>
      <c r="E236" s="126" t="s">
        <v>18</v>
      </c>
      <c r="F236" s="126" t="s">
        <v>18</v>
      </c>
      <c r="G236" s="126" t="s">
        <v>18</v>
      </c>
      <c r="H236" s="126" t="s">
        <v>18</v>
      </c>
      <c r="I236" s="126" t="s">
        <v>18</v>
      </c>
      <c r="J236" s="21" t="s">
        <v>18</v>
      </c>
      <c r="K236" s="21" t="s">
        <v>18</v>
      </c>
      <c r="L236" s="21" t="s">
        <v>18</v>
      </c>
      <c r="M236" s="21" t="s">
        <v>18</v>
      </c>
      <c r="N236" s="21" t="s">
        <v>18</v>
      </c>
      <c r="O236" s="21" t="s">
        <v>18</v>
      </c>
    </row>
    <row r="237" spans="1:16" ht="18.75" x14ac:dyDescent="0.3">
      <c r="A237" s="93">
        <v>21</v>
      </c>
      <c r="B237" s="503"/>
      <c r="C237" s="41" t="s">
        <v>37</v>
      </c>
      <c r="D237" s="126" t="s">
        <v>18</v>
      </c>
      <c r="E237" s="126" t="s">
        <v>18</v>
      </c>
      <c r="F237" s="126" t="s">
        <v>18</v>
      </c>
      <c r="G237" s="126" t="s">
        <v>18</v>
      </c>
      <c r="H237" s="126" t="s">
        <v>18</v>
      </c>
      <c r="I237" s="126" t="s">
        <v>18</v>
      </c>
      <c r="J237" s="21" t="s">
        <v>18</v>
      </c>
      <c r="K237" s="21" t="s">
        <v>18</v>
      </c>
      <c r="L237" s="21" t="s">
        <v>18</v>
      </c>
      <c r="M237" s="21" t="s">
        <v>18</v>
      </c>
      <c r="N237" s="21" t="s">
        <v>18</v>
      </c>
      <c r="O237" s="21" t="s">
        <v>18</v>
      </c>
    </row>
    <row r="238" spans="1:16" ht="18.75" x14ac:dyDescent="0.3">
      <c r="A238" s="93">
        <v>22</v>
      </c>
      <c r="B238" s="503"/>
      <c r="C238" s="41" t="s">
        <v>141</v>
      </c>
      <c r="D238" s="126">
        <v>1</v>
      </c>
      <c r="E238" s="126" t="s">
        <v>18</v>
      </c>
      <c r="F238" s="126">
        <v>1</v>
      </c>
      <c r="G238" s="126" t="s">
        <v>304</v>
      </c>
      <c r="H238" s="126">
        <v>500</v>
      </c>
      <c r="I238" s="126">
        <v>9500</v>
      </c>
      <c r="J238" s="21" t="s">
        <v>18</v>
      </c>
      <c r="K238" s="21" t="s">
        <v>18</v>
      </c>
      <c r="L238" s="21" t="s">
        <v>18</v>
      </c>
      <c r="M238" s="21" t="s">
        <v>18</v>
      </c>
      <c r="N238" s="21" t="s">
        <v>18</v>
      </c>
      <c r="O238" s="21" t="s">
        <v>18</v>
      </c>
    </row>
    <row r="239" spans="1:16" ht="21.75" customHeight="1" x14ac:dyDescent="0.3">
      <c r="A239" s="126"/>
      <c r="B239" s="153"/>
      <c r="C239" s="153" t="s">
        <v>308</v>
      </c>
      <c r="D239" s="126" t="s">
        <v>18</v>
      </c>
      <c r="E239" s="126" t="s">
        <v>18</v>
      </c>
      <c r="F239" s="126" t="s">
        <v>18</v>
      </c>
      <c r="G239" s="126" t="s">
        <v>18</v>
      </c>
      <c r="H239" s="126" t="s">
        <v>18</v>
      </c>
      <c r="I239" s="126" t="s">
        <v>18</v>
      </c>
      <c r="J239" s="21" t="s">
        <v>18</v>
      </c>
      <c r="K239" s="21" t="s">
        <v>18</v>
      </c>
      <c r="L239" s="21" t="s">
        <v>18</v>
      </c>
      <c r="M239" s="21" t="s">
        <v>18</v>
      </c>
      <c r="N239" s="21" t="s">
        <v>18</v>
      </c>
      <c r="O239" s="21" t="s">
        <v>18</v>
      </c>
    </row>
    <row r="240" spans="1:16" ht="18.75" x14ac:dyDescent="0.3">
      <c r="A240" s="93">
        <v>23</v>
      </c>
      <c r="B240" s="503" t="s">
        <v>38</v>
      </c>
      <c r="C240" s="41" t="s">
        <v>38</v>
      </c>
      <c r="D240" s="126">
        <v>5</v>
      </c>
      <c r="E240" s="126" t="s">
        <v>18</v>
      </c>
      <c r="F240" s="126">
        <v>5</v>
      </c>
      <c r="G240" s="126" t="s">
        <v>304</v>
      </c>
      <c r="H240" s="126">
        <v>10000</v>
      </c>
      <c r="I240" s="126">
        <v>11000</v>
      </c>
      <c r="J240" s="21" t="s">
        <v>18</v>
      </c>
      <c r="K240" s="21" t="s">
        <v>18</v>
      </c>
      <c r="L240" s="21" t="s">
        <v>18</v>
      </c>
      <c r="M240" s="21" t="s">
        <v>18</v>
      </c>
      <c r="N240" s="21" t="s">
        <v>18</v>
      </c>
      <c r="O240" s="21" t="s">
        <v>18</v>
      </c>
    </row>
    <row r="241" spans="1:15" ht="18.75" x14ac:dyDescent="0.3">
      <c r="A241" s="93">
        <v>24</v>
      </c>
      <c r="B241" s="503"/>
      <c r="C241" s="41" t="s">
        <v>39</v>
      </c>
      <c r="D241" s="126">
        <v>2</v>
      </c>
      <c r="E241" s="126" t="s">
        <v>18</v>
      </c>
      <c r="F241" s="126">
        <v>2</v>
      </c>
      <c r="G241" s="126" t="s">
        <v>304</v>
      </c>
      <c r="H241" s="126">
        <v>1500</v>
      </c>
      <c r="I241" s="126">
        <v>53500</v>
      </c>
      <c r="J241" s="21" t="s">
        <v>18</v>
      </c>
      <c r="K241" s="21" t="s">
        <v>18</v>
      </c>
      <c r="L241" s="21" t="s">
        <v>18</v>
      </c>
      <c r="M241" s="21" t="s">
        <v>18</v>
      </c>
      <c r="N241" s="21" t="s">
        <v>18</v>
      </c>
      <c r="O241" s="21" t="s">
        <v>18</v>
      </c>
    </row>
    <row r="242" spans="1:15" ht="18.75" x14ac:dyDescent="0.3">
      <c r="A242" s="93">
        <v>25</v>
      </c>
      <c r="B242" s="503" t="s">
        <v>88</v>
      </c>
      <c r="C242" s="41" t="s">
        <v>88</v>
      </c>
      <c r="D242" s="126">
        <v>1</v>
      </c>
      <c r="E242" s="126" t="s">
        <v>18</v>
      </c>
      <c r="F242" s="126">
        <v>1</v>
      </c>
      <c r="G242" s="126" t="s">
        <v>304</v>
      </c>
      <c r="H242" s="126" t="s">
        <v>18</v>
      </c>
      <c r="I242" s="126" t="s">
        <v>18</v>
      </c>
      <c r="J242" s="21" t="s">
        <v>18</v>
      </c>
      <c r="K242" s="21" t="s">
        <v>18</v>
      </c>
      <c r="L242" s="21" t="s">
        <v>18</v>
      </c>
      <c r="M242" s="21" t="s">
        <v>18</v>
      </c>
      <c r="N242" s="21" t="s">
        <v>18</v>
      </c>
      <c r="O242" s="21" t="s">
        <v>18</v>
      </c>
    </row>
    <row r="243" spans="1:15" ht="18.75" x14ac:dyDescent="0.3">
      <c r="A243" s="93">
        <v>26</v>
      </c>
      <c r="B243" s="503"/>
      <c r="C243" s="41" t="s">
        <v>41</v>
      </c>
      <c r="D243" s="126" t="s">
        <v>18</v>
      </c>
      <c r="E243" s="126" t="s">
        <v>18</v>
      </c>
      <c r="F243" s="126" t="s">
        <v>18</v>
      </c>
      <c r="G243" s="126" t="s">
        <v>18</v>
      </c>
      <c r="H243" s="126" t="s">
        <v>18</v>
      </c>
      <c r="I243" s="126" t="s">
        <v>18</v>
      </c>
      <c r="J243" s="21" t="s">
        <v>18</v>
      </c>
      <c r="K243" s="21" t="s">
        <v>18</v>
      </c>
      <c r="L243" s="21" t="s">
        <v>18</v>
      </c>
      <c r="M243" s="21" t="s">
        <v>18</v>
      </c>
      <c r="N243" s="21" t="s">
        <v>18</v>
      </c>
      <c r="O243" s="21" t="s">
        <v>18</v>
      </c>
    </row>
    <row r="244" spans="1:15" ht="18.75" x14ac:dyDescent="0.3">
      <c r="A244" s="93">
        <v>27</v>
      </c>
      <c r="B244" s="503"/>
      <c r="C244" s="41" t="s">
        <v>42</v>
      </c>
      <c r="D244" s="126">
        <v>1</v>
      </c>
      <c r="E244" s="126" t="s">
        <v>18</v>
      </c>
      <c r="F244" s="126">
        <v>1</v>
      </c>
      <c r="G244" s="126" t="s">
        <v>304</v>
      </c>
      <c r="H244" s="126" t="s">
        <v>18</v>
      </c>
      <c r="I244" s="126" t="s">
        <v>18</v>
      </c>
      <c r="J244" s="21" t="s">
        <v>18</v>
      </c>
      <c r="K244" s="21" t="s">
        <v>18</v>
      </c>
      <c r="L244" s="21" t="s">
        <v>18</v>
      </c>
      <c r="M244" s="21" t="s">
        <v>18</v>
      </c>
      <c r="N244" s="21" t="s">
        <v>18</v>
      </c>
      <c r="O244" s="21" t="s">
        <v>18</v>
      </c>
    </row>
    <row r="245" spans="1:15" ht="18.75" x14ac:dyDescent="0.3">
      <c r="A245" s="93">
        <v>28</v>
      </c>
      <c r="B245" s="503" t="s">
        <v>43</v>
      </c>
      <c r="C245" s="41" t="s">
        <v>89</v>
      </c>
      <c r="D245" s="126">
        <v>1</v>
      </c>
      <c r="E245" s="126" t="s">
        <v>18</v>
      </c>
      <c r="F245" s="126">
        <v>1</v>
      </c>
      <c r="G245" s="126" t="s">
        <v>304</v>
      </c>
      <c r="H245" s="126" t="s">
        <v>18</v>
      </c>
      <c r="I245" s="126" t="s">
        <v>18</v>
      </c>
      <c r="J245" s="21" t="s">
        <v>18</v>
      </c>
      <c r="K245" s="21" t="s">
        <v>18</v>
      </c>
      <c r="L245" s="21" t="s">
        <v>18</v>
      </c>
      <c r="M245" s="21" t="s">
        <v>18</v>
      </c>
      <c r="N245" s="21" t="s">
        <v>18</v>
      </c>
      <c r="O245" s="21" t="s">
        <v>18</v>
      </c>
    </row>
    <row r="246" spans="1:15" ht="18.75" x14ac:dyDescent="0.3">
      <c r="A246" s="93"/>
      <c r="B246" s="503"/>
      <c r="C246" s="41" t="s">
        <v>44</v>
      </c>
      <c r="D246" s="126"/>
      <c r="E246" s="126"/>
      <c r="F246" s="126"/>
      <c r="G246" s="126"/>
      <c r="H246" s="126"/>
      <c r="I246" s="126"/>
      <c r="J246" s="21"/>
      <c r="K246" s="21"/>
      <c r="L246" s="21"/>
      <c r="M246" s="21"/>
      <c r="N246" s="21"/>
      <c r="O246" s="21"/>
    </row>
    <row r="247" spans="1:15" ht="18.75" x14ac:dyDescent="0.3">
      <c r="A247" s="93">
        <v>29</v>
      </c>
      <c r="B247" s="503"/>
      <c r="C247" s="41" t="s">
        <v>45</v>
      </c>
      <c r="D247" s="126" t="s">
        <v>18</v>
      </c>
      <c r="E247" s="126" t="s">
        <v>18</v>
      </c>
      <c r="F247" s="126" t="s">
        <v>18</v>
      </c>
      <c r="G247" s="126" t="s">
        <v>18</v>
      </c>
      <c r="H247" s="126" t="s">
        <v>18</v>
      </c>
      <c r="I247" s="126" t="s">
        <v>18</v>
      </c>
      <c r="J247" s="21" t="s">
        <v>18</v>
      </c>
      <c r="K247" s="21" t="s">
        <v>18</v>
      </c>
      <c r="L247" s="21" t="s">
        <v>18</v>
      </c>
      <c r="M247" s="21" t="s">
        <v>18</v>
      </c>
      <c r="N247" s="21" t="s">
        <v>18</v>
      </c>
      <c r="O247" s="21" t="s">
        <v>18</v>
      </c>
    </row>
    <row r="248" spans="1:15" ht="18.75" x14ac:dyDescent="0.3">
      <c r="A248" s="93">
        <v>30</v>
      </c>
      <c r="B248" s="503" t="s">
        <v>46</v>
      </c>
      <c r="C248" s="41" t="s">
        <v>47</v>
      </c>
      <c r="D248" s="126" t="s">
        <v>18</v>
      </c>
      <c r="E248" s="126" t="s">
        <v>18</v>
      </c>
      <c r="F248" s="126" t="s">
        <v>18</v>
      </c>
      <c r="G248" s="126" t="s">
        <v>18</v>
      </c>
      <c r="H248" s="126" t="s">
        <v>18</v>
      </c>
      <c r="I248" s="126" t="s">
        <v>18</v>
      </c>
      <c r="J248" s="21" t="s">
        <v>18</v>
      </c>
      <c r="K248" s="21" t="s">
        <v>18</v>
      </c>
      <c r="L248" s="21" t="s">
        <v>18</v>
      </c>
      <c r="M248" s="21" t="s">
        <v>18</v>
      </c>
      <c r="N248" s="21" t="s">
        <v>18</v>
      </c>
      <c r="O248" s="21" t="s">
        <v>18</v>
      </c>
    </row>
    <row r="249" spans="1:15" ht="18.75" x14ac:dyDescent="0.3">
      <c r="A249" s="93">
        <v>31</v>
      </c>
      <c r="B249" s="503"/>
      <c r="C249" s="41" t="s">
        <v>142</v>
      </c>
      <c r="D249" s="126" t="s">
        <v>18</v>
      </c>
      <c r="E249" s="126" t="s">
        <v>18</v>
      </c>
      <c r="F249" s="126" t="s">
        <v>18</v>
      </c>
      <c r="G249" s="126" t="s">
        <v>18</v>
      </c>
      <c r="H249" s="126" t="s">
        <v>18</v>
      </c>
      <c r="I249" s="126" t="s">
        <v>18</v>
      </c>
      <c r="J249" s="21" t="s">
        <v>18</v>
      </c>
      <c r="K249" s="21" t="s">
        <v>18</v>
      </c>
      <c r="L249" s="21" t="s">
        <v>18</v>
      </c>
      <c r="M249" s="21" t="s">
        <v>18</v>
      </c>
      <c r="N249" s="21" t="s">
        <v>18</v>
      </c>
      <c r="O249" s="21" t="s">
        <v>18</v>
      </c>
    </row>
    <row r="250" spans="1:15" ht="18.75" x14ac:dyDescent="0.3">
      <c r="A250" s="93">
        <v>32</v>
      </c>
      <c r="B250" s="503"/>
      <c r="C250" s="41" t="s">
        <v>75</v>
      </c>
      <c r="D250" s="126" t="s">
        <v>18</v>
      </c>
      <c r="E250" s="126" t="s">
        <v>18</v>
      </c>
      <c r="F250" s="126" t="s">
        <v>18</v>
      </c>
      <c r="G250" s="126" t="s">
        <v>18</v>
      </c>
      <c r="H250" s="126" t="s">
        <v>18</v>
      </c>
      <c r="I250" s="126" t="s">
        <v>18</v>
      </c>
      <c r="J250" s="21" t="s">
        <v>18</v>
      </c>
      <c r="K250" s="21" t="s">
        <v>18</v>
      </c>
      <c r="L250" s="21" t="s">
        <v>18</v>
      </c>
      <c r="M250" s="21" t="s">
        <v>18</v>
      </c>
      <c r="N250" s="21" t="s">
        <v>18</v>
      </c>
      <c r="O250" s="21" t="s">
        <v>18</v>
      </c>
    </row>
    <row r="251" spans="1:15" ht="18.75" x14ac:dyDescent="0.3">
      <c r="A251" s="93">
        <v>33</v>
      </c>
      <c r="B251" s="503" t="s">
        <v>49</v>
      </c>
      <c r="C251" s="41" t="s">
        <v>360</v>
      </c>
      <c r="D251" s="126" t="s">
        <v>18</v>
      </c>
      <c r="E251" s="126" t="s">
        <v>18</v>
      </c>
      <c r="F251" s="126" t="s">
        <v>18</v>
      </c>
      <c r="G251" s="126" t="s">
        <v>18</v>
      </c>
      <c r="H251" s="126" t="s">
        <v>18</v>
      </c>
      <c r="I251" s="126" t="s">
        <v>18</v>
      </c>
      <c r="J251" s="21" t="s">
        <v>18</v>
      </c>
      <c r="K251" s="21" t="s">
        <v>18</v>
      </c>
      <c r="L251" s="21" t="s">
        <v>18</v>
      </c>
      <c r="M251" s="21" t="s">
        <v>18</v>
      </c>
      <c r="N251" s="21" t="s">
        <v>18</v>
      </c>
      <c r="O251" s="21" t="s">
        <v>18</v>
      </c>
    </row>
    <row r="252" spans="1:15" ht="18.75" x14ac:dyDescent="0.3">
      <c r="A252" s="93">
        <v>34</v>
      </c>
      <c r="B252" s="503"/>
      <c r="C252" s="41" t="s">
        <v>50</v>
      </c>
      <c r="D252" s="126" t="s">
        <v>18</v>
      </c>
      <c r="E252" s="126" t="s">
        <v>18</v>
      </c>
      <c r="F252" s="126" t="s">
        <v>18</v>
      </c>
      <c r="G252" s="126" t="s">
        <v>18</v>
      </c>
      <c r="H252" s="126" t="s">
        <v>18</v>
      </c>
      <c r="I252" s="126" t="s">
        <v>18</v>
      </c>
      <c r="J252" s="21" t="s">
        <v>18</v>
      </c>
      <c r="K252" s="21" t="s">
        <v>18</v>
      </c>
      <c r="L252" s="21" t="s">
        <v>18</v>
      </c>
      <c r="M252" s="21" t="s">
        <v>18</v>
      </c>
      <c r="N252" s="21" t="s">
        <v>18</v>
      </c>
      <c r="O252" s="21" t="s">
        <v>18</v>
      </c>
    </row>
    <row r="253" spans="1:15" ht="18.75" x14ac:dyDescent="0.3">
      <c r="A253" s="93">
        <v>35</v>
      </c>
      <c r="B253" s="503"/>
      <c r="C253" s="41" t="s">
        <v>51</v>
      </c>
      <c r="D253" s="126" t="s">
        <v>18</v>
      </c>
      <c r="E253" s="126" t="s">
        <v>18</v>
      </c>
      <c r="F253" s="126" t="s">
        <v>18</v>
      </c>
      <c r="G253" s="126" t="s">
        <v>18</v>
      </c>
      <c r="H253" s="126" t="s">
        <v>18</v>
      </c>
      <c r="I253" s="126" t="s">
        <v>18</v>
      </c>
      <c r="J253" s="21" t="s">
        <v>18</v>
      </c>
      <c r="K253" s="21" t="s">
        <v>18</v>
      </c>
      <c r="L253" s="21" t="s">
        <v>18</v>
      </c>
      <c r="M253" s="21" t="s">
        <v>18</v>
      </c>
      <c r="N253" s="21" t="s">
        <v>18</v>
      </c>
      <c r="O253" s="21" t="s">
        <v>18</v>
      </c>
    </row>
    <row r="254" spans="1:15" ht="18.75" x14ac:dyDescent="0.3">
      <c r="A254" s="93">
        <v>36</v>
      </c>
      <c r="B254" s="503" t="s">
        <v>52</v>
      </c>
      <c r="C254" s="41" t="s">
        <v>53</v>
      </c>
      <c r="D254" s="126" t="s">
        <v>18</v>
      </c>
      <c r="E254" s="126" t="s">
        <v>18</v>
      </c>
      <c r="F254" s="126" t="s">
        <v>18</v>
      </c>
      <c r="G254" s="126" t="s">
        <v>18</v>
      </c>
      <c r="H254" s="126" t="s">
        <v>18</v>
      </c>
      <c r="I254" s="126" t="s">
        <v>18</v>
      </c>
      <c r="J254" s="21" t="s">
        <v>18</v>
      </c>
      <c r="K254" s="21" t="s">
        <v>18</v>
      </c>
      <c r="L254" s="21" t="s">
        <v>18</v>
      </c>
      <c r="M254" s="21" t="s">
        <v>18</v>
      </c>
      <c r="N254" s="21" t="s">
        <v>18</v>
      </c>
      <c r="O254" s="21" t="s">
        <v>18</v>
      </c>
    </row>
    <row r="255" spans="1:15" ht="18.75" x14ac:dyDescent="0.3">
      <c r="A255" s="93">
        <v>37</v>
      </c>
      <c r="B255" s="503"/>
      <c r="C255" s="41" t="s">
        <v>54</v>
      </c>
      <c r="D255" s="126" t="s">
        <v>18</v>
      </c>
      <c r="E255" s="126" t="s">
        <v>18</v>
      </c>
      <c r="F255" s="126" t="s">
        <v>18</v>
      </c>
      <c r="G255" s="126" t="s">
        <v>18</v>
      </c>
      <c r="H255" s="126" t="s">
        <v>18</v>
      </c>
      <c r="I255" s="126" t="s">
        <v>18</v>
      </c>
      <c r="J255" s="21" t="s">
        <v>18</v>
      </c>
      <c r="K255" s="21" t="s">
        <v>18</v>
      </c>
      <c r="L255" s="21" t="s">
        <v>18</v>
      </c>
      <c r="M255" s="21" t="s">
        <v>18</v>
      </c>
      <c r="N255" s="21" t="s">
        <v>18</v>
      </c>
      <c r="O255" s="21" t="s">
        <v>18</v>
      </c>
    </row>
    <row r="256" spans="1:15" ht="18.75" x14ac:dyDescent="0.3">
      <c r="A256" s="93">
        <v>38</v>
      </c>
      <c r="B256" s="503"/>
      <c r="C256" s="41" t="s">
        <v>55</v>
      </c>
      <c r="D256" s="126" t="s">
        <v>18</v>
      </c>
      <c r="E256" s="126" t="s">
        <v>18</v>
      </c>
      <c r="F256" s="126" t="s">
        <v>18</v>
      </c>
      <c r="G256" s="126" t="s">
        <v>18</v>
      </c>
      <c r="H256" s="126" t="s">
        <v>18</v>
      </c>
      <c r="I256" s="126" t="s">
        <v>18</v>
      </c>
      <c r="J256" s="21" t="s">
        <v>18</v>
      </c>
      <c r="K256" s="21" t="s">
        <v>18</v>
      </c>
      <c r="L256" s="21" t="s">
        <v>18</v>
      </c>
      <c r="M256" s="21" t="s">
        <v>18</v>
      </c>
      <c r="N256" s="21" t="s">
        <v>18</v>
      </c>
      <c r="O256" s="21" t="s">
        <v>18</v>
      </c>
    </row>
    <row r="257" spans="1:15" ht="18.75" x14ac:dyDescent="0.3">
      <c r="A257" s="93">
        <v>39</v>
      </c>
      <c r="B257" s="503"/>
      <c r="C257" s="41" t="s">
        <v>56</v>
      </c>
      <c r="D257" s="126" t="s">
        <v>18</v>
      </c>
      <c r="E257" s="126" t="s">
        <v>18</v>
      </c>
      <c r="F257" s="126" t="s">
        <v>18</v>
      </c>
      <c r="G257" s="126" t="s">
        <v>18</v>
      </c>
      <c r="H257" s="126" t="s">
        <v>18</v>
      </c>
      <c r="I257" s="126" t="s">
        <v>18</v>
      </c>
      <c r="J257" s="21" t="s">
        <v>18</v>
      </c>
      <c r="K257" s="21" t="s">
        <v>18</v>
      </c>
      <c r="L257" s="21" t="s">
        <v>18</v>
      </c>
      <c r="M257" s="21" t="s">
        <v>18</v>
      </c>
      <c r="N257" s="21" t="s">
        <v>18</v>
      </c>
      <c r="O257" s="21" t="s">
        <v>18</v>
      </c>
    </row>
    <row r="258" spans="1:15" ht="18.75" x14ac:dyDescent="0.3">
      <c r="A258" s="93">
        <v>40</v>
      </c>
      <c r="B258" s="503"/>
      <c r="C258" s="41" t="s">
        <v>57</v>
      </c>
      <c r="D258" s="126" t="s">
        <v>18</v>
      </c>
      <c r="E258" s="126" t="s">
        <v>18</v>
      </c>
      <c r="F258" s="126" t="s">
        <v>18</v>
      </c>
      <c r="G258" s="126" t="s">
        <v>18</v>
      </c>
      <c r="H258" s="126" t="s">
        <v>18</v>
      </c>
      <c r="I258" s="126" t="s">
        <v>18</v>
      </c>
      <c r="J258" s="21" t="s">
        <v>18</v>
      </c>
      <c r="K258" s="21" t="s">
        <v>18</v>
      </c>
      <c r="L258" s="21" t="s">
        <v>18</v>
      </c>
      <c r="M258" s="21" t="s">
        <v>18</v>
      </c>
      <c r="N258" s="21" t="s">
        <v>18</v>
      </c>
      <c r="O258" s="21" t="s">
        <v>18</v>
      </c>
    </row>
    <row r="259" spans="1:15" ht="18.75" x14ac:dyDescent="0.3">
      <c r="A259" s="93">
        <v>41</v>
      </c>
      <c r="B259" s="503"/>
      <c r="C259" s="41" t="s">
        <v>58</v>
      </c>
      <c r="D259" s="126" t="s">
        <v>18</v>
      </c>
      <c r="E259" s="126" t="s">
        <v>18</v>
      </c>
      <c r="F259" s="126" t="s">
        <v>18</v>
      </c>
      <c r="G259" s="126" t="s">
        <v>18</v>
      </c>
      <c r="H259" s="126" t="s">
        <v>18</v>
      </c>
      <c r="I259" s="126" t="s">
        <v>18</v>
      </c>
      <c r="J259" s="21" t="s">
        <v>18</v>
      </c>
      <c r="K259" s="21" t="s">
        <v>18</v>
      </c>
      <c r="L259" s="21" t="s">
        <v>18</v>
      </c>
      <c r="M259" s="21" t="s">
        <v>18</v>
      </c>
      <c r="N259" s="21" t="s">
        <v>18</v>
      </c>
      <c r="O259" s="21" t="s">
        <v>18</v>
      </c>
    </row>
    <row r="260" spans="1:15" ht="18.75" x14ac:dyDescent="0.3">
      <c r="A260" s="271"/>
      <c r="B260" s="272"/>
      <c r="C260" s="273" t="s">
        <v>60</v>
      </c>
      <c r="D260" s="47">
        <f>SUM(D217:D259)</f>
        <v>24</v>
      </c>
      <c r="E260" s="47">
        <f t="shared" ref="E260:O260" si="4">SUM(E217:E259)</f>
        <v>0</v>
      </c>
      <c r="F260" s="47">
        <f t="shared" si="4"/>
        <v>24</v>
      </c>
      <c r="G260" s="47">
        <f t="shared" si="4"/>
        <v>0</v>
      </c>
      <c r="H260" s="47">
        <f t="shared" si="4"/>
        <v>253000</v>
      </c>
      <c r="I260" s="47">
        <f t="shared" si="4"/>
        <v>4093000</v>
      </c>
      <c r="J260" s="274">
        <f t="shared" si="4"/>
        <v>0</v>
      </c>
      <c r="K260" s="274">
        <f t="shared" si="4"/>
        <v>0</v>
      </c>
      <c r="L260" s="274">
        <f t="shared" si="4"/>
        <v>0</v>
      </c>
      <c r="M260" s="274">
        <f t="shared" si="4"/>
        <v>0</v>
      </c>
      <c r="N260" s="274">
        <f t="shared" si="4"/>
        <v>0</v>
      </c>
      <c r="O260" s="274">
        <f t="shared" si="4"/>
        <v>0</v>
      </c>
    </row>
  </sheetData>
  <mergeCells count="138">
    <mergeCell ref="B45:B47"/>
    <mergeCell ref="B48:B50"/>
    <mergeCell ref="B51:B56"/>
    <mergeCell ref="B12:B13"/>
    <mergeCell ref="B15:B18"/>
    <mergeCell ref="B19:B21"/>
    <mergeCell ref="B22:B24"/>
    <mergeCell ref="B25:B29"/>
    <mergeCell ref="B30:B35"/>
    <mergeCell ref="B37:B38"/>
    <mergeCell ref="B39:B41"/>
    <mergeCell ref="B42:B44"/>
    <mergeCell ref="A9:O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0"/>
    <mergeCell ref="L10:M10"/>
    <mergeCell ref="N10:O10"/>
    <mergeCell ref="A1:O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2"/>
    <mergeCell ref="L2:M2"/>
    <mergeCell ref="N2:O2"/>
    <mergeCell ref="B217:B218"/>
    <mergeCell ref="B220:B223"/>
    <mergeCell ref="B224:B225"/>
    <mergeCell ref="B226:B228"/>
    <mergeCell ref="B229:B232"/>
    <mergeCell ref="B251:B253"/>
    <mergeCell ref="B254:B259"/>
    <mergeCell ref="B233:B238"/>
    <mergeCell ref="B240:B241"/>
    <mergeCell ref="B242:B244"/>
    <mergeCell ref="B245:B247"/>
    <mergeCell ref="B248:B250"/>
    <mergeCell ref="A214:O214"/>
    <mergeCell ref="A215:A216"/>
    <mergeCell ref="B215:B216"/>
    <mergeCell ref="C215:C216"/>
    <mergeCell ref="D215:D216"/>
    <mergeCell ref="E215:E216"/>
    <mergeCell ref="F215:F216"/>
    <mergeCell ref="G215:G216"/>
    <mergeCell ref="H215:H216"/>
    <mergeCell ref="I215:I216"/>
    <mergeCell ref="J215:K215"/>
    <mergeCell ref="L215:M215"/>
    <mergeCell ref="N215:O215"/>
    <mergeCell ref="A165:O165"/>
    <mergeCell ref="A166:A167"/>
    <mergeCell ref="B166:B167"/>
    <mergeCell ref="C166:C167"/>
    <mergeCell ref="D166:D167"/>
    <mergeCell ref="E166:E167"/>
    <mergeCell ref="F166:F167"/>
    <mergeCell ref="I166:I167"/>
    <mergeCell ref="J166:K166"/>
    <mergeCell ref="L166:M166"/>
    <mergeCell ref="N166:O166"/>
    <mergeCell ref="G166:G167"/>
    <mergeCell ref="H166:H167"/>
    <mergeCell ref="B199:B201"/>
    <mergeCell ref="B202:B204"/>
    <mergeCell ref="B205:B210"/>
    <mergeCell ref="B168:B169"/>
    <mergeCell ref="B171:B174"/>
    <mergeCell ref="B175:B176"/>
    <mergeCell ref="B177:B179"/>
    <mergeCell ref="B180:B183"/>
    <mergeCell ref="B184:B189"/>
    <mergeCell ref="B191:B192"/>
    <mergeCell ref="B193:B195"/>
    <mergeCell ref="B196:B198"/>
    <mergeCell ref="A115:O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K116"/>
    <mergeCell ref="L116:M116"/>
    <mergeCell ref="N116:O116"/>
    <mergeCell ref="B152:B154"/>
    <mergeCell ref="B155:B160"/>
    <mergeCell ref="B134:B139"/>
    <mergeCell ref="B141:B142"/>
    <mergeCell ref="B143:B145"/>
    <mergeCell ref="B146:B148"/>
    <mergeCell ref="B149:B151"/>
    <mergeCell ref="B118:B119"/>
    <mergeCell ref="B121:B124"/>
    <mergeCell ref="B125:B126"/>
    <mergeCell ref="B127:B129"/>
    <mergeCell ref="B130:B133"/>
    <mergeCell ref="A62:O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K63"/>
    <mergeCell ref="L63:M63"/>
    <mergeCell ref="N63:O63"/>
    <mergeCell ref="B101:B103"/>
    <mergeCell ref="B104:B109"/>
    <mergeCell ref="B83:B88"/>
    <mergeCell ref="B90:B91"/>
    <mergeCell ref="B92:B94"/>
    <mergeCell ref="B95:B97"/>
    <mergeCell ref="B98:B100"/>
    <mergeCell ref="B65:B66"/>
    <mergeCell ref="B68:B71"/>
    <mergeCell ref="B72:B74"/>
    <mergeCell ref="B75:B77"/>
    <mergeCell ref="B78:B82"/>
  </mergeCells>
  <pageMargins left="0.6692913385826772" right="0.15748031496062992" top="0.23622047244094491" bottom="0.27559055118110237" header="0.31496062992125984" footer="0.31496062992125984"/>
  <pageSetup paperSize="9" scale="85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17"/>
  <sheetViews>
    <sheetView topLeftCell="A2" workbookViewId="0">
      <selection activeCell="L2" sqref="L1:L1048576"/>
    </sheetView>
  </sheetViews>
  <sheetFormatPr defaultRowHeight="15" x14ac:dyDescent="0.25"/>
  <cols>
    <col min="1" max="1" width="5.7109375" bestFit="1" customWidth="1"/>
    <col min="2" max="2" width="13.7109375" bestFit="1" customWidth="1"/>
    <col min="3" max="3" width="7.42578125" bestFit="1" customWidth="1"/>
    <col min="4" max="4" width="7.140625" bestFit="1" customWidth="1"/>
    <col min="5" max="5" width="4.7109375" bestFit="1" customWidth="1"/>
    <col min="6" max="6" width="5.85546875" bestFit="1" customWidth="1"/>
    <col min="7" max="7" width="5.140625" customWidth="1"/>
    <col min="8" max="8" width="4.28515625" bestFit="1" customWidth="1"/>
    <col min="9" max="9" width="6.7109375" bestFit="1" customWidth="1"/>
    <col min="10" max="10" width="8" bestFit="1" customWidth="1"/>
    <col min="11" max="11" width="8.85546875" customWidth="1"/>
    <col min="12" max="12" width="7.85546875" bestFit="1" customWidth="1"/>
    <col min="13" max="13" width="7" bestFit="1" customWidth="1"/>
    <col min="14" max="14" width="8.140625" bestFit="1" customWidth="1"/>
    <col min="15" max="15" width="7.42578125" bestFit="1" customWidth="1"/>
    <col min="16" max="16" width="7.140625" bestFit="1" customWidth="1"/>
    <col min="17" max="17" width="4.7109375" bestFit="1" customWidth="1"/>
    <col min="18" max="18" width="5.85546875" bestFit="1" customWidth="1"/>
    <col min="19" max="19" width="3.7109375" bestFit="1" customWidth="1"/>
    <col min="20" max="20" width="4.42578125" bestFit="1" customWidth="1"/>
    <col min="21" max="21" width="7.85546875" bestFit="1" customWidth="1"/>
    <col min="22" max="22" width="8" bestFit="1" customWidth="1"/>
    <col min="23" max="23" width="8.140625" bestFit="1" customWidth="1"/>
  </cols>
  <sheetData>
    <row r="1" spans="1:40" s="218" customFormat="1" ht="20.25" x14ac:dyDescent="0.3">
      <c r="A1" s="540" t="s">
        <v>696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540"/>
      <c r="N1" s="540"/>
      <c r="O1" s="540"/>
      <c r="P1" s="540"/>
      <c r="Q1" s="540"/>
      <c r="R1" s="540"/>
      <c r="S1" s="540"/>
      <c r="T1" s="540"/>
      <c r="Z1" s="540" t="s">
        <v>723</v>
      </c>
      <c r="AA1" s="540"/>
      <c r="AB1" s="540"/>
      <c r="AC1" s="540"/>
      <c r="AD1" s="540"/>
      <c r="AE1" s="540"/>
      <c r="AF1" s="540"/>
      <c r="AG1" s="540"/>
      <c r="AH1" s="540"/>
      <c r="AI1" s="540"/>
      <c r="AJ1" s="540"/>
      <c r="AK1" s="540"/>
      <c r="AL1" s="540"/>
      <c r="AM1" s="540"/>
    </row>
    <row r="2" spans="1:40" s="218" customFormat="1" ht="50.25" customHeight="1" x14ac:dyDescent="0.3">
      <c r="A2" s="54" t="s">
        <v>697</v>
      </c>
      <c r="B2" s="54" t="s">
        <v>217</v>
      </c>
      <c r="C2" s="54" t="s">
        <v>196</v>
      </c>
      <c r="D2" s="54" t="s">
        <v>193</v>
      </c>
      <c r="E2" s="54" t="s">
        <v>110</v>
      </c>
      <c r="F2" s="54" t="s">
        <v>111</v>
      </c>
      <c r="G2" s="54" t="s">
        <v>112</v>
      </c>
      <c r="H2" s="54" t="s">
        <v>131</v>
      </c>
      <c r="I2" s="54" t="s">
        <v>114</v>
      </c>
      <c r="J2" s="54" t="s">
        <v>681</v>
      </c>
      <c r="K2" s="54" t="s">
        <v>116</v>
      </c>
      <c r="L2" s="54" t="s">
        <v>117</v>
      </c>
      <c r="M2" s="54" t="s">
        <v>134</v>
      </c>
      <c r="N2" s="54" t="s">
        <v>318</v>
      </c>
      <c r="O2" s="54" t="s">
        <v>196</v>
      </c>
      <c r="P2" s="54" t="s">
        <v>193</v>
      </c>
      <c r="Q2" s="54" t="s">
        <v>110</v>
      </c>
      <c r="R2" s="54" t="s">
        <v>111</v>
      </c>
      <c r="S2" s="54" t="s">
        <v>112</v>
      </c>
      <c r="T2" s="54" t="s">
        <v>131</v>
      </c>
      <c r="U2" s="54" t="s">
        <v>698</v>
      </c>
      <c r="V2" s="54" t="s">
        <v>681</v>
      </c>
      <c r="W2" s="54" t="s">
        <v>116</v>
      </c>
      <c r="Z2" s="54" t="s">
        <v>697</v>
      </c>
      <c r="AA2" s="54" t="s">
        <v>217</v>
      </c>
      <c r="AB2" s="54" t="s">
        <v>196</v>
      </c>
      <c r="AC2" s="54" t="s">
        <v>193</v>
      </c>
      <c r="AD2" s="54" t="s">
        <v>110</v>
      </c>
      <c r="AE2" s="54" t="s">
        <v>111</v>
      </c>
      <c r="AF2" s="54" t="s">
        <v>112</v>
      </c>
      <c r="AG2" s="54" t="s">
        <v>131</v>
      </c>
      <c r="AH2" s="54" t="s">
        <v>114</v>
      </c>
      <c r="AI2" s="54" t="s">
        <v>681</v>
      </c>
      <c r="AJ2" s="54" t="s">
        <v>116</v>
      </c>
      <c r="AK2" s="54" t="s">
        <v>117</v>
      </c>
      <c r="AL2" s="54" t="s">
        <v>134</v>
      </c>
      <c r="AM2" s="54" t="s">
        <v>318</v>
      </c>
    </row>
    <row r="3" spans="1:40" s="218" customFormat="1" ht="20.25" x14ac:dyDescent="0.3">
      <c r="A3" s="54">
        <v>1</v>
      </c>
      <c r="B3" s="219" t="s">
        <v>38</v>
      </c>
      <c r="C3" s="54">
        <v>14</v>
      </c>
      <c r="D3" s="54">
        <v>10</v>
      </c>
      <c r="E3" s="54">
        <v>16</v>
      </c>
      <c r="F3" s="54">
        <v>12</v>
      </c>
      <c r="G3" s="54">
        <v>12</v>
      </c>
      <c r="H3" s="54">
        <v>7</v>
      </c>
      <c r="I3" s="54">
        <v>10</v>
      </c>
      <c r="J3" s="54">
        <v>6</v>
      </c>
      <c r="K3" s="54">
        <v>7</v>
      </c>
      <c r="L3" s="54">
        <v>8</v>
      </c>
      <c r="M3" s="54">
        <v>5</v>
      </c>
      <c r="N3" s="54">
        <v>9</v>
      </c>
      <c r="O3" s="54">
        <v>6</v>
      </c>
      <c r="P3" s="54">
        <v>12</v>
      </c>
      <c r="Q3" s="54">
        <v>12</v>
      </c>
      <c r="R3" s="54">
        <v>14</v>
      </c>
      <c r="S3" s="54">
        <v>8</v>
      </c>
      <c r="T3" s="54">
        <v>9</v>
      </c>
      <c r="U3" s="54">
        <v>13</v>
      </c>
      <c r="V3" s="54">
        <v>15</v>
      </c>
      <c r="W3" s="54">
        <v>42</v>
      </c>
      <c r="Z3" s="54">
        <v>1</v>
      </c>
      <c r="AA3" s="219" t="s">
        <v>38</v>
      </c>
      <c r="AB3" s="54">
        <v>14</v>
      </c>
      <c r="AC3" s="54">
        <v>10</v>
      </c>
      <c r="AD3" s="54">
        <v>16</v>
      </c>
      <c r="AE3" s="54">
        <v>12</v>
      </c>
      <c r="AF3" s="54">
        <v>12</v>
      </c>
      <c r="AG3" s="54">
        <v>7</v>
      </c>
      <c r="AH3" s="54">
        <v>10</v>
      </c>
      <c r="AI3" s="54">
        <v>6</v>
      </c>
      <c r="AJ3" s="54">
        <v>7</v>
      </c>
      <c r="AK3" s="54">
        <v>8</v>
      </c>
      <c r="AL3" s="54">
        <v>5</v>
      </c>
      <c r="AM3" s="54">
        <v>9</v>
      </c>
    </row>
    <row r="4" spans="1:40" s="218" customFormat="1" ht="20.25" x14ac:dyDescent="0.3">
      <c r="A4" s="54">
        <v>2</v>
      </c>
      <c r="B4" s="219" t="s">
        <v>257</v>
      </c>
      <c r="C4" s="54">
        <v>3</v>
      </c>
      <c r="D4" s="54">
        <v>7</v>
      </c>
      <c r="E4" s="54">
        <v>6</v>
      </c>
      <c r="F4" s="54">
        <v>7</v>
      </c>
      <c r="G4" s="54">
        <v>5</v>
      </c>
      <c r="H4" s="54">
        <v>2</v>
      </c>
      <c r="I4" s="54">
        <v>3</v>
      </c>
      <c r="J4" s="54">
        <v>14</v>
      </c>
      <c r="K4" s="54">
        <v>1</v>
      </c>
      <c r="L4" s="54">
        <v>6</v>
      </c>
      <c r="M4" s="54">
        <v>2</v>
      </c>
      <c r="N4" s="54">
        <v>10</v>
      </c>
      <c r="O4" s="54">
        <v>11</v>
      </c>
      <c r="P4" s="54">
        <v>8</v>
      </c>
      <c r="Q4" s="54">
        <v>8</v>
      </c>
      <c r="R4" s="54">
        <v>9</v>
      </c>
      <c r="S4" s="54">
        <v>14</v>
      </c>
      <c r="T4" s="54">
        <v>12</v>
      </c>
      <c r="U4" s="54">
        <v>15</v>
      </c>
      <c r="V4" s="54">
        <v>18</v>
      </c>
      <c r="W4" s="54">
        <v>20</v>
      </c>
      <c r="Z4" s="54">
        <v>2</v>
      </c>
      <c r="AA4" s="219" t="s">
        <v>257</v>
      </c>
      <c r="AB4" s="54">
        <v>3</v>
      </c>
      <c r="AC4" s="54">
        <v>7</v>
      </c>
      <c r="AD4" s="54">
        <v>6</v>
      </c>
      <c r="AE4" s="54">
        <v>7</v>
      </c>
      <c r="AF4" s="54">
        <v>5</v>
      </c>
      <c r="AG4" s="54">
        <v>2</v>
      </c>
      <c r="AH4" s="54">
        <v>3</v>
      </c>
      <c r="AI4" s="54">
        <v>14</v>
      </c>
      <c r="AJ4" s="54">
        <v>1</v>
      </c>
      <c r="AK4" s="54">
        <v>6</v>
      </c>
      <c r="AL4" s="54">
        <v>2</v>
      </c>
      <c r="AM4" s="54">
        <v>10</v>
      </c>
    </row>
    <row r="5" spans="1:40" s="218" customFormat="1" ht="20.25" x14ac:dyDescent="0.3">
      <c r="A5" s="54">
        <v>3</v>
      </c>
      <c r="B5" s="219" t="s">
        <v>89</v>
      </c>
      <c r="C5" s="54">
        <v>69</v>
      </c>
      <c r="D5" s="54">
        <v>0</v>
      </c>
      <c r="E5" s="54">
        <v>0</v>
      </c>
      <c r="F5" s="54">
        <v>5</v>
      </c>
      <c r="G5" s="54">
        <v>7</v>
      </c>
      <c r="H5" s="54">
        <v>8</v>
      </c>
      <c r="I5" s="54">
        <v>5</v>
      </c>
      <c r="J5" s="54">
        <v>22</v>
      </c>
      <c r="K5" s="54">
        <v>4</v>
      </c>
      <c r="L5" s="54">
        <v>17</v>
      </c>
      <c r="M5" s="54">
        <v>26</v>
      </c>
      <c r="N5" s="54">
        <v>18</v>
      </c>
      <c r="O5" s="54">
        <v>15</v>
      </c>
      <c r="P5" s="54">
        <v>11</v>
      </c>
      <c r="Q5" s="54">
        <v>13</v>
      </c>
      <c r="R5" s="54">
        <v>8</v>
      </c>
      <c r="S5" s="54">
        <v>13</v>
      </c>
      <c r="T5" s="54">
        <v>63</v>
      </c>
      <c r="U5" s="54">
        <v>50</v>
      </c>
      <c r="V5" s="54">
        <v>46</v>
      </c>
      <c r="W5" s="54">
        <v>18</v>
      </c>
      <c r="Z5" s="54">
        <v>3</v>
      </c>
      <c r="AA5" s="219" t="s">
        <v>89</v>
      </c>
      <c r="AB5" s="54">
        <v>69</v>
      </c>
      <c r="AC5" s="54">
        <v>0</v>
      </c>
      <c r="AD5" s="54">
        <v>0</v>
      </c>
      <c r="AE5" s="54">
        <v>5</v>
      </c>
      <c r="AF5" s="54">
        <v>7</v>
      </c>
      <c r="AG5" s="54">
        <v>8</v>
      </c>
      <c r="AH5" s="54">
        <v>5</v>
      </c>
      <c r="AI5" s="54">
        <v>22</v>
      </c>
      <c r="AJ5" s="54">
        <v>4</v>
      </c>
      <c r="AK5" s="54">
        <v>17</v>
      </c>
      <c r="AL5" s="54">
        <v>26</v>
      </c>
      <c r="AM5" s="54">
        <v>18</v>
      </c>
    </row>
    <row r="6" spans="1:40" s="218" customFormat="1" ht="20.25" x14ac:dyDescent="0.3">
      <c r="A6" s="54">
        <v>4</v>
      </c>
      <c r="B6" s="219" t="s">
        <v>46</v>
      </c>
      <c r="C6" s="54">
        <v>10</v>
      </c>
      <c r="D6" s="54">
        <v>10</v>
      </c>
      <c r="E6" s="54">
        <v>11</v>
      </c>
      <c r="F6" s="54">
        <v>11</v>
      </c>
      <c r="G6" s="54">
        <v>9</v>
      </c>
      <c r="H6" s="54">
        <v>6</v>
      </c>
      <c r="I6" s="54">
        <v>5</v>
      </c>
      <c r="J6" s="54">
        <v>14</v>
      </c>
      <c r="K6" s="54">
        <v>15</v>
      </c>
      <c r="L6" s="54">
        <v>8</v>
      </c>
      <c r="M6" s="54">
        <v>9</v>
      </c>
      <c r="N6" s="54">
        <v>13</v>
      </c>
      <c r="O6" s="54">
        <v>22</v>
      </c>
      <c r="P6" s="54">
        <v>18</v>
      </c>
      <c r="Q6" s="54">
        <v>18</v>
      </c>
      <c r="R6" s="54">
        <v>26</v>
      </c>
      <c r="S6" s="54">
        <v>13</v>
      </c>
      <c r="T6" s="54">
        <v>16</v>
      </c>
      <c r="U6" s="54">
        <v>11</v>
      </c>
      <c r="V6" s="54">
        <v>43</v>
      </c>
      <c r="W6" s="54">
        <v>19</v>
      </c>
      <c r="Z6" s="54">
        <v>4</v>
      </c>
      <c r="AA6" s="219" t="s">
        <v>46</v>
      </c>
      <c r="AB6" s="54">
        <v>10</v>
      </c>
      <c r="AC6" s="54">
        <v>10</v>
      </c>
      <c r="AD6" s="54">
        <v>11</v>
      </c>
      <c r="AE6" s="54">
        <v>11</v>
      </c>
      <c r="AF6" s="54">
        <v>9</v>
      </c>
      <c r="AG6" s="54">
        <v>6</v>
      </c>
      <c r="AH6" s="54">
        <v>5</v>
      </c>
      <c r="AI6" s="54">
        <v>14</v>
      </c>
      <c r="AJ6" s="54">
        <v>15</v>
      </c>
      <c r="AK6" s="54">
        <v>8</v>
      </c>
      <c r="AL6" s="54">
        <v>9</v>
      </c>
      <c r="AM6" s="54">
        <v>13</v>
      </c>
    </row>
    <row r="7" spans="1:40" s="218" customFormat="1" ht="20.25" x14ac:dyDescent="0.3">
      <c r="A7" s="54">
        <v>5</v>
      </c>
      <c r="B7" s="219" t="s">
        <v>267</v>
      </c>
      <c r="C7" s="54">
        <v>25</v>
      </c>
      <c r="D7" s="54">
        <v>26</v>
      </c>
      <c r="E7" s="54">
        <v>27</v>
      </c>
      <c r="F7" s="54">
        <v>19</v>
      </c>
      <c r="G7" s="54">
        <v>34</v>
      </c>
      <c r="H7" s="54">
        <v>23</v>
      </c>
      <c r="I7" s="54">
        <v>19</v>
      </c>
      <c r="J7" s="54">
        <v>43</v>
      </c>
      <c r="K7" s="54">
        <v>38</v>
      </c>
      <c r="L7" s="54">
        <v>41</v>
      </c>
      <c r="M7" s="54">
        <v>28</v>
      </c>
      <c r="N7" s="54">
        <v>58</v>
      </c>
      <c r="O7" s="54">
        <v>42</v>
      </c>
      <c r="P7" s="54">
        <v>58</v>
      </c>
      <c r="Q7" s="54">
        <v>48</v>
      </c>
      <c r="R7" s="54">
        <v>48</v>
      </c>
      <c r="S7" s="54">
        <v>38</v>
      </c>
      <c r="T7" s="54">
        <v>80</v>
      </c>
      <c r="U7" s="54">
        <v>39</v>
      </c>
      <c r="V7" s="54">
        <v>98</v>
      </c>
      <c r="W7" s="54">
        <v>76</v>
      </c>
      <c r="Z7" s="54">
        <v>5</v>
      </c>
      <c r="AA7" s="219" t="s">
        <v>267</v>
      </c>
      <c r="AB7" s="54">
        <v>25</v>
      </c>
      <c r="AC7" s="54">
        <v>26</v>
      </c>
      <c r="AD7" s="54">
        <v>27</v>
      </c>
      <c r="AE7" s="54">
        <v>19</v>
      </c>
      <c r="AF7" s="54">
        <v>34</v>
      </c>
      <c r="AG7" s="54">
        <v>23</v>
      </c>
      <c r="AH7" s="54">
        <v>19</v>
      </c>
      <c r="AI7" s="54">
        <v>43</v>
      </c>
      <c r="AJ7" s="54">
        <v>38</v>
      </c>
      <c r="AK7" s="54">
        <v>41</v>
      </c>
      <c r="AL7" s="54">
        <v>28</v>
      </c>
      <c r="AM7" s="54">
        <v>58</v>
      </c>
    </row>
    <row r="8" spans="1:40" s="218" customFormat="1" ht="20.25" x14ac:dyDescent="0.3">
      <c r="A8" s="54">
        <v>6</v>
      </c>
      <c r="B8" s="219" t="s">
        <v>91</v>
      </c>
      <c r="C8" s="54">
        <v>18</v>
      </c>
      <c r="D8" s="54">
        <v>34</v>
      </c>
      <c r="E8" s="54">
        <v>24</v>
      </c>
      <c r="F8" s="54">
        <v>58</v>
      </c>
      <c r="G8" s="54">
        <v>35</v>
      </c>
      <c r="H8" s="54">
        <v>30</v>
      </c>
      <c r="I8" s="54">
        <v>31</v>
      </c>
      <c r="J8" s="54">
        <v>64</v>
      </c>
      <c r="K8" s="54">
        <v>42</v>
      </c>
      <c r="L8" s="54">
        <v>37</v>
      </c>
      <c r="M8" s="54">
        <v>68</v>
      </c>
      <c r="N8" s="54">
        <v>130</v>
      </c>
      <c r="O8" s="54">
        <v>44</v>
      </c>
      <c r="P8" s="54">
        <v>42</v>
      </c>
      <c r="Q8" s="54">
        <v>46</v>
      </c>
      <c r="R8" s="54">
        <v>50</v>
      </c>
      <c r="S8" s="54">
        <v>67</v>
      </c>
      <c r="T8" s="54">
        <v>40</v>
      </c>
      <c r="U8" s="54">
        <v>78</v>
      </c>
      <c r="V8" s="54">
        <v>83</v>
      </c>
      <c r="W8" s="54">
        <v>56</v>
      </c>
      <c r="Z8" s="54">
        <v>6</v>
      </c>
      <c r="AA8" s="219" t="s">
        <v>91</v>
      </c>
      <c r="AB8" s="54">
        <v>18</v>
      </c>
      <c r="AC8" s="54">
        <v>34</v>
      </c>
      <c r="AD8" s="54">
        <v>24</v>
      </c>
      <c r="AE8" s="54">
        <v>58</v>
      </c>
      <c r="AF8" s="54">
        <v>35</v>
      </c>
      <c r="AG8" s="54">
        <v>30</v>
      </c>
      <c r="AH8" s="54">
        <v>31</v>
      </c>
      <c r="AI8" s="54">
        <v>64</v>
      </c>
      <c r="AJ8" s="54">
        <v>42</v>
      </c>
      <c r="AK8" s="54">
        <v>37</v>
      </c>
      <c r="AL8" s="54">
        <v>68</v>
      </c>
      <c r="AM8" s="54">
        <v>130</v>
      </c>
    </row>
    <row r="9" spans="1:40" s="218" customFormat="1" ht="20.25" x14ac:dyDescent="0.3">
      <c r="A9" s="54">
        <v>7</v>
      </c>
      <c r="B9" s="219" t="s">
        <v>191</v>
      </c>
      <c r="C9" s="54">
        <v>22</v>
      </c>
      <c r="D9" s="54">
        <v>31</v>
      </c>
      <c r="E9" s="54">
        <v>19</v>
      </c>
      <c r="F9" s="54">
        <v>32</v>
      </c>
      <c r="G9" s="54">
        <v>17</v>
      </c>
      <c r="H9" s="54">
        <v>25</v>
      </c>
      <c r="I9" s="54">
        <v>23</v>
      </c>
      <c r="J9" s="54">
        <v>30</v>
      </c>
      <c r="K9" s="54">
        <v>17</v>
      </c>
      <c r="L9" s="54">
        <v>20</v>
      </c>
      <c r="M9" s="54">
        <v>27</v>
      </c>
      <c r="N9" s="54">
        <v>17</v>
      </c>
      <c r="O9" s="54">
        <v>8</v>
      </c>
      <c r="P9" s="54">
        <v>14</v>
      </c>
      <c r="Q9" s="54">
        <v>13</v>
      </c>
      <c r="R9" s="54">
        <v>19</v>
      </c>
      <c r="S9" s="54">
        <v>24</v>
      </c>
      <c r="T9" s="54">
        <v>60</v>
      </c>
      <c r="U9" s="54">
        <v>69</v>
      </c>
      <c r="V9" s="54">
        <v>35</v>
      </c>
      <c r="W9" s="54">
        <v>21</v>
      </c>
      <c r="Z9" s="54">
        <v>7</v>
      </c>
      <c r="AA9" s="219" t="s">
        <v>191</v>
      </c>
      <c r="AB9" s="54">
        <v>22</v>
      </c>
      <c r="AC9" s="54">
        <v>31</v>
      </c>
      <c r="AD9" s="54">
        <v>19</v>
      </c>
      <c r="AE9" s="54">
        <v>32</v>
      </c>
      <c r="AF9" s="54">
        <v>17</v>
      </c>
      <c r="AG9" s="54">
        <v>25</v>
      </c>
      <c r="AH9" s="54">
        <v>23</v>
      </c>
      <c r="AI9" s="54">
        <v>30</v>
      </c>
      <c r="AJ9" s="54">
        <v>17</v>
      </c>
      <c r="AK9" s="54">
        <v>20</v>
      </c>
      <c r="AL9" s="54">
        <v>27</v>
      </c>
      <c r="AM9" s="54">
        <v>17</v>
      </c>
    </row>
    <row r="10" spans="1:40" s="218" customFormat="1" ht="20.25" x14ac:dyDescent="0.3">
      <c r="A10" s="54">
        <v>8</v>
      </c>
      <c r="B10" s="219" t="s">
        <v>83</v>
      </c>
      <c r="C10" s="54">
        <v>1</v>
      </c>
      <c r="D10" s="54">
        <v>7</v>
      </c>
      <c r="E10" s="54">
        <v>7</v>
      </c>
      <c r="F10" s="54">
        <v>5</v>
      </c>
      <c r="G10" s="54">
        <v>17</v>
      </c>
      <c r="H10" s="54">
        <v>8</v>
      </c>
      <c r="I10" s="54">
        <v>7</v>
      </c>
      <c r="J10" s="54">
        <v>3</v>
      </c>
      <c r="K10" s="54">
        <v>1</v>
      </c>
      <c r="L10" s="54">
        <v>13</v>
      </c>
      <c r="M10" s="54">
        <v>6</v>
      </c>
      <c r="N10" s="54">
        <v>11</v>
      </c>
      <c r="O10" s="54">
        <v>9</v>
      </c>
      <c r="P10" s="54">
        <v>4</v>
      </c>
      <c r="Q10" s="54">
        <v>4</v>
      </c>
      <c r="R10" s="54">
        <v>20</v>
      </c>
      <c r="S10" s="54">
        <v>10</v>
      </c>
      <c r="T10" s="54">
        <v>33</v>
      </c>
      <c r="U10" s="54">
        <v>6</v>
      </c>
      <c r="V10" s="54">
        <v>4</v>
      </c>
      <c r="W10" s="54">
        <v>7</v>
      </c>
      <c r="Z10" s="54">
        <v>8</v>
      </c>
      <c r="AA10" s="219" t="s">
        <v>83</v>
      </c>
      <c r="AB10" s="54">
        <v>1</v>
      </c>
      <c r="AC10" s="54">
        <v>7</v>
      </c>
      <c r="AD10" s="54">
        <v>7</v>
      </c>
      <c r="AE10" s="54">
        <v>5</v>
      </c>
      <c r="AF10" s="54">
        <v>17</v>
      </c>
      <c r="AG10" s="54">
        <v>8</v>
      </c>
      <c r="AH10" s="54">
        <v>7</v>
      </c>
      <c r="AI10" s="54">
        <v>3</v>
      </c>
      <c r="AJ10" s="54">
        <v>1</v>
      </c>
      <c r="AK10" s="54">
        <v>13</v>
      </c>
      <c r="AL10" s="54">
        <v>6</v>
      </c>
      <c r="AM10" s="54">
        <v>11</v>
      </c>
    </row>
    <row r="11" spans="1:40" s="218" customFormat="1" ht="20.25" x14ac:dyDescent="0.3">
      <c r="A11" s="54">
        <v>9</v>
      </c>
      <c r="B11" s="219" t="s">
        <v>20</v>
      </c>
      <c r="C11" s="54">
        <v>3</v>
      </c>
      <c r="D11" s="54">
        <v>0</v>
      </c>
      <c r="E11" s="54">
        <v>0</v>
      </c>
      <c r="F11" s="54">
        <v>2</v>
      </c>
      <c r="G11" s="54">
        <v>1</v>
      </c>
      <c r="H11" s="54"/>
      <c r="I11" s="54"/>
      <c r="J11" s="54"/>
      <c r="K11" s="54">
        <v>7</v>
      </c>
      <c r="L11" s="54">
        <v>13</v>
      </c>
      <c r="M11" s="54">
        <v>34</v>
      </c>
      <c r="N11" s="54">
        <v>3</v>
      </c>
      <c r="O11" s="54">
        <v>5</v>
      </c>
      <c r="P11" s="54">
        <v>3</v>
      </c>
      <c r="Q11" s="54">
        <v>5</v>
      </c>
      <c r="R11" s="54">
        <v>20</v>
      </c>
      <c r="S11" s="54">
        <v>60</v>
      </c>
      <c r="T11" s="54">
        <v>10</v>
      </c>
      <c r="U11" s="54">
        <v>12</v>
      </c>
      <c r="V11" s="54">
        <v>6</v>
      </c>
      <c r="W11" s="54">
        <v>6</v>
      </c>
      <c r="Z11" s="54">
        <v>9</v>
      </c>
      <c r="AA11" s="219" t="s">
        <v>20</v>
      </c>
      <c r="AB11" s="54">
        <v>3</v>
      </c>
      <c r="AC11" s="54">
        <v>0</v>
      </c>
      <c r="AD11" s="54">
        <v>0</v>
      </c>
      <c r="AE11" s="54">
        <v>2</v>
      </c>
      <c r="AF11" s="54">
        <v>1</v>
      </c>
      <c r="AG11" s="54"/>
      <c r="AH11" s="54"/>
      <c r="AI11" s="54"/>
      <c r="AJ11" s="54">
        <v>7</v>
      </c>
      <c r="AK11" s="54">
        <v>13</v>
      </c>
      <c r="AL11" s="54">
        <v>34</v>
      </c>
      <c r="AM11" s="54">
        <v>3</v>
      </c>
    </row>
    <row r="12" spans="1:40" s="218" customFormat="1" ht="20.25" x14ac:dyDescent="0.3">
      <c r="A12" s="54">
        <v>10</v>
      </c>
      <c r="B12" s="219" t="s">
        <v>169</v>
      </c>
      <c r="C12" s="54">
        <v>21</v>
      </c>
      <c r="D12" s="54">
        <v>25</v>
      </c>
      <c r="E12" s="54">
        <v>29</v>
      </c>
      <c r="F12" s="54">
        <v>19</v>
      </c>
      <c r="G12" s="54">
        <v>32</v>
      </c>
      <c r="H12" s="54">
        <v>7</v>
      </c>
      <c r="I12" s="54">
        <v>17</v>
      </c>
      <c r="J12" s="54">
        <v>9</v>
      </c>
      <c r="K12" s="54">
        <v>9</v>
      </c>
      <c r="L12" s="54">
        <v>18</v>
      </c>
      <c r="M12" s="54">
        <v>15</v>
      </c>
      <c r="N12" s="54">
        <v>22</v>
      </c>
      <c r="O12" s="54">
        <v>21</v>
      </c>
      <c r="P12" s="54">
        <v>17</v>
      </c>
      <c r="Q12" s="54">
        <v>22</v>
      </c>
      <c r="R12" s="54">
        <v>16</v>
      </c>
      <c r="S12" s="54">
        <v>29</v>
      </c>
      <c r="T12" s="54">
        <v>32</v>
      </c>
      <c r="U12" s="54">
        <v>38</v>
      </c>
      <c r="V12" s="54">
        <v>35</v>
      </c>
      <c r="W12" s="54">
        <v>46</v>
      </c>
      <c r="Z12" s="54">
        <v>10</v>
      </c>
      <c r="AA12" s="219" t="s">
        <v>169</v>
      </c>
      <c r="AB12" s="54">
        <v>21</v>
      </c>
      <c r="AC12" s="54">
        <v>25</v>
      </c>
      <c r="AD12" s="54">
        <v>29</v>
      </c>
      <c r="AE12" s="54">
        <v>19</v>
      </c>
      <c r="AF12" s="54">
        <v>32</v>
      </c>
      <c r="AG12" s="54">
        <v>7</v>
      </c>
      <c r="AH12" s="54">
        <v>17</v>
      </c>
      <c r="AI12" s="54">
        <v>9</v>
      </c>
      <c r="AJ12" s="54">
        <v>9</v>
      </c>
      <c r="AK12" s="54">
        <v>18</v>
      </c>
      <c r="AL12" s="54">
        <v>15</v>
      </c>
      <c r="AM12" s="54">
        <v>22</v>
      </c>
    </row>
    <row r="13" spans="1:40" s="218" customFormat="1" ht="20.25" x14ac:dyDescent="0.3">
      <c r="A13" s="54">
        <v>11</v>
      </c>
      <c r="B13" s="219" t="s">
        <v>167</v>
      </c>
      <c r="C13" s="54">
        <v>8</v>
      </c>
      <c r="D13" s="54">
        <v>7</v>
      </c>
      <c r="E13" s="54">
        <v>6</v>
      </c>
      <c r="F13" s="54">
        <v>17</v>
      </c>
      <c r="G13" s="54">
        <v>17</v>
      </c>
      <c r="H13" s="54">
        <v>5</v>
      </c>
      <c r="I13" s="54">
        <v>8</v>
      </c>
      <c r="J13" s="54">
        <v>8</v>
      </c>
      <c r="K13" s="54">
        <v>7</v>
      </c>
      <c r="L13" s="54">
        <v>2</v>
      </c>
      <c r="M13" s="54">
        <v>2</v>
      </c>
      <c r="N13" s="54">
        <v>5</v>
      </c>
      <c r="O13" s="54">
        <v>8</v>
      </c>
      <c r="P13" s="54">
        <v>5</v>
      </c>
      <c r="Q13" s="54">
        <v>6</v>
      </c>
      <c r="R13" s="54">
        <v>11</v>
      </c>
      <c r="S13" s="54">
        <v>23</v>
      </c>
      <c r="T13" s="54">
        <v>28</v>
      </c>
      <c r="U13" s="54">
        <v>36</v>
      </c>
      <c r="V13" s="54">
        <v>49</v>
      </c>
      <c r="W13" s="54">
        <v>24</v>
      </c>
      <c r="Z13" s="54">
        <v>11</v>
      </c>
      <c r="AA13" s="219" t="s">
        <v>167</v>
      </c>
      <c r="AB13" s="54">
        <v>8</v>
      </c>
      <c r="AC13" s="54">
        <v>7</v>
      </c>
      <c r="AD13" s="54">
        <v>6</v>
      </c>
      <c r="AE13" s="54">
        <v>17</v>
      </c>
      <c r="AF13" s="54">
        <v>17</v>
      </c>
      <c r="AG13" s="54">
        <v>5</v>
      </c>
      <c r="AH13" s="54">
        <v>8</v>
      </c>
      <c r="AI13" s="54">
        <v>8</v>
      </c>
      <c r="AJ13" s="54">
        <v>7</v>
      </c>
      <c r="AK13" s="54">
        <v>2</v>
      </c>
      <c r="AL13" s="54">
        <v>2</v>
      </c>
      <c r="AM13" s="54">
        <v>5</v>
      </c>
    </row>
    <row r="14" spans="1:40" s="218" customFormat="1" ht="20.25" x14ac:dyDescent="0.3">
      <c r="A14" s="54">
        <v>12</v>
      </c>
      <c r="B14" s="219" t="s">
        <v>467</v>
      </c>
      <c r="C14" s="54">
        <v>67</v>
      </c>
      <c r="D14" s="54">
        <v>64</v>
      </c>
      <c r="E14" s="54">
        <v>69</v>
      </c>
      <c r="F14" s="54">
        <v>42</v>
      </c>
      <c r="G14" s="54">
        <v>51</v>
      </c>
      <c r="H14" s="54">
        <v>42</v>
      </c>
      <c r="I14" s="54">
        <v>55</v>
      </c>
      <c r="J14" s="54">
        <v>72</v>
      </c>
      <c r="K14" s="54">
        <v>62</v>
      </c>
      <c r="L14" s="54">
        <v>35</v>
      </c>
      <c r="M14" s="54">
        <v>48</v>
      </c>
      <c r="N14" s="54">
        <v>64</v>
      </c>
      <c r="O14" s="54">
        <v>57</v>
      </c>
      <c r="P14" s="54">
        <v>63</v>
      </c>
      <c r="Q14" s="54">
        <v>99</v>
      </c>
      <c r="R14" s="54">
        <v>59</v>
      </c>
      <c r="S14" s="54">
        <v>87</v>
      </c>
      <c r="T14" s="54">
        <v>159</v>
      </c>
      <c r="U14" s="54">
        <v>159</v>
      </c>
      <c r="V14" s="54">
        <v>99</v>
      </c>
      <c r="W14" s="54">
        <v>159</v>
      </c>
      <c r="Z14" s="54">
        <v>12</v>
      </c>
      <c r="AA14" s="219" t="s">
        <v>467</v>
      </c>
      <c r="AB14" s="54">
        <v>67</v>
      </c>
      <c r="AC14" s="54">
        <v>64</v>
      </c>
      <c r="AD14" s="54">
        <v>69</v>
      </c>
      <c r="AE14" s="54">
        <v>42</v>
      </c>
      <c r="AF14" s="54">
        <v>51</v>
      </c>
      <c r="AG14" s="54">
        <v>42</v>
      </c>
      <c r="AH14" s="54">
        <v>55</v>
      </c>
      <c r="AI14" s="54">
        <v>72</v>
      </c>
      <c r="AJ14" s="54">
        <v>62</v>
      </c>
      <c r="AK14" s="54">
        <v>35</v>
      </c>
      <c r="AL14" s="54">
        <v>48</v>
      </c>
      <c r="AM14" s="54">
        <v>64</v>
      </c>
    </row>
    <row r="15" spans="1:40" s="218" customFormat="1" ht="20.25" x14ac:dyDescent="0.3">
      <c r="A15" s="54">
        <v>13</v>
      </c>
      <c r="B15" s="219" t="s">
        <v>127</v>
      </c>
      <c r="C15" s="54">
        <v>79</v>
      </c>
      <c r="D15" s="54">
        <v>73</v>
      </c>
      <c r="E15" s="54">
        <v>93</v>
      </c>
      <c r="F15" s="54">
        <v>49</v>
      </c>
      <c r="G15" s="54">
        <v>41</v>
      </c>
      <c r="H15" s="54">
        <v>56</v>
      </c>
      <c r="I15" s="54">
        <v>48</v>
      </c>
      <c r="J15" s="54">
        <v>29</v>
      </c>
      <c r="K15" s="54">
        <v>26</v>
      </c>
      <c r="L15" s="54">
        <v>54</v>
      </c>
      <c r="M15" s="54">
        <v>34</v>
      </c>
      <c r="N15" s="54">
        <v>74</v>
      </c>
      <c r="O15" s="54">
        <v>63</v>
      </c>
      <c r="P15" s="54">
        <v>64</v>
      </c>
      <c r="Q15" s="54">
        <v>78</v>
      </c>
      <c r="R15" s="54">
        <v>94</v>
      </c>
      <c r="S15" s="54">
        <v>92</v>
      </c>
      <c r="T15" s="54">
        <v>121</v>
      </c>
      <c r="U15" s="54">
        <v>86</v>
      </c>
      <c r="V15" s="54">
        <v>56</v>
      </c>
      <c r="W15" s="54"/>
      <c r="Z15" s="54">
        <v>13</v>
      </c>
      <c r="AA15" s="219" t="s">
        <v>127</v>
      </c>
      <c r="AB15" s="54">
        <v>79</v>
      </c>
      <c r="AC15" s="54">
        <v>73</v>
      </c>
      <c r="AD15" s="54">
        <v>93</v>
      </c>
      <c r="AE15" s="54">
        <v>49</v>
      </c>
      <c r="AF15" s="54">
        <v>41</v>
      </c>
      <c r="AG15" s="54">
        <v>56</v>
      </c>
      <c r="AH15" s="54">
        <v>48</v>
      </c>
      <c r="AI15" s="54">
        <v>29</v>
      </c>
      <c r="AJ15" s="54">
        <v>26</v>
      </c>
      <c r="AK15" s="54">
        <v>54</v>
      </c>
      <c r="AL15" s="54">
        <v>34</v>
      </c>
      <c r="AM15" s="54">
        <v>74</v>
      </c>
    </row>
    <row r="16" spans="1:40" ht="48" customHeight="1" x14ac:dyDescent="0.25">
      <c r="F16" s="54">
        <f>SUM(F3:F15)</f>
        <v>278</v>
      </c>
      <c r="G16" s="54">
        <f t="shared" ref="G16:Q16" si="0">SUM(G3:G15)</f>
        <v>278</v>
      </c>
      <c r="H16" s="54">
        <f t="shared" si="0"/>
        <v>219</v>
      </c>
      <c r="I16" s="54">
        <f t="shared" si="0"/>
        <v>231</v>
      </c>
      <c r="J16" s="54">
        <f t="shared" si="0"/>
        <v>314</v>
      </c>
      <c r="K16" s="54">
        <f t="shared" si="0"/>
        <v>236</v>
      </c>
      <c r="L16" s="54">
        <f t="shared" si="0"/>
        <v>272</v>
      </c>
      <c r="M16" s="54">
        <f t="shared" si="0"/>
        <v>304</v>
      </c>
      <c r="N16" s="54">
        <f t="shared" si="0"/>
        <v>434</v>
      </c>
      <c r="O16" s="54">
        <f t="shared" si="0"/>
        <v>311</v>
      </c>
      <c r="P16" s="54">
        <f t="shared" si="0"/>
        <v>319</v>
      </c>
      <c r="Q16" s="54">
        <f t="shared" si="0"/>
        <v>372</v>
      </c>
      <c r="Z16" s="37"/>
      <c r="AA16" s="219" t="s">
        <v>102</v>
      </c>
      <c r="AB16" s="54">
        <f>SUM(AB3:AB15)</f>
        <v>340</v>
      </c>
      <c r="AC16" s="54">
        <f t="shared" ref="AC16:AM16" si="1">SUM(AC3:AC15)</f>
        <v>294</v>
      </c>
      <c r="AD16" s="54">
        <f t="shared" si="1"/>
        <v>307</v>
      </c>
      <c r="AE16" s="54">
        <f t="shared" si="1"/>
        <v>278</v>
      </c>
      <c r="AF16" s="54">
        <f t="shared" si="1"/>
        <v>278</v>
      </c>
      <c r="AG16" s="54">
        <f t="shared" si="1"/>
        <v>219</v>
      </c>
      <c r="AH16" s="54">
        <f t="shared" si="1"/>
        <v>231</v>
      </c>
      <c r="AI16" s="54">
        <f t="shared" si="1"/>
        <v>314</v>
      </c>
      <c r="AJ16" s="54">
        <f t="shared" si="1"/>
        <v>236</v>
      </c>
      <c r="AK16" s="54">
        <f t="shared" si="1"/>
        <v>272</v>
      </c>
      <c r="AL16" s="54">
        <f t="shared" si="1"/>
        <v>304</v>
      </c>
      <c r="AM16" s="54">
        <f t="shared" si="1"/>
        <v>434</v>
      </c>
      <c r="AN16" s="220">
        <f>SUM(AB16:AM16)</f>
        <v>3507</v>
      </c>
    </row>
    <row r="17" spans="15:16" ht="20.25" x14ac:dyDescent="0.25">
      <c r="O17" t="s">
        <v>334</v>
      </c>
      <c r="P17" s="220">
        <v>2568</v>
      </c>
    </row>
  </sheetData>
  <mergeCells count="2">
    <mergeCell ref="A1:T1"/>
    <mergeCell ref="Z1:AM1"/>
  </mergeCells>
  <pageMargins left="0.27559055118110237" right="0.70866141732283472" top="0.74803149606299213" bottom="0.74803149606299213" header="0.31496062992125984" footer="0.31496062992125984"/>
  <pageSetup paperSize="9" scale="85" orientation="landscape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63"/>
  <sheetViews>
    <sheetView topLeftCell="A11" workbookViewId="0">
      <selection activeCell="E14" sqref="E14"/>
    </sheetView>
  </sheetViews>
  <sheetFormatPr defaultRowHeight="15" x14ac:dyDescent="0.25"/>
  <cols>
    <col min="1" max="1" width="6.85546875" style="26" customWidth="1"/>
    <col min="2" max="2" width="13.28515625" style="26" bestFit="1" customWidth="1"/>
    <col min="3" max="3" width="24.5703125" style="450" bestFit="1" customWidth="1"/>
    <col min="4" max="5" width="20.5703125" style="450" customWidth="1"/>
    <col min="6" max="6" width="42" style="450" customWidth="1"/>
    <col min="7" max="7" width="22.85546875" style="450" bestFit="1" customWidth="1"/>
    <col min="8" max="9" width="9.140625" style="26"/>
    <col min="10" max="10" width="46.5703125" style="26" customWidth="1"/>
    <col min="11" max="16384" width="9.140625" style="26"/>
  </cols>
  <sheetData>
    <row r="1" spans="1:16" ht="36.75" customHeight="1" x14ac:dyDescent="0.25">
      <c r="B1" s="243"/>
      <c r="C1" s="541" t="s">
        <v>1394</v>
      </c>
      <c r="D1" s="541"/>
      <c r="E1" s="541"/>
      <c r="F1" s="541"/>
      <c r="G1" s="541"/>
      <c r="K1" s="463"/>
      <c r="L1" s="463"/>
      <c r="M1" s="463"/>
      <c r="N1" s="463"/>
      <c r="O1" s="463"/>
      <c r="P1" s="463"/>
    </row>
    <row r="2" spans="1:16" s="464" customFormat="1" ht="60.75" x14ac:dyDescent="0.25">
      <c r="A2" s="16"/>
      <c r="B2" s="16"/>
      <c r="C2" s="1" t="s">
        <v>2</v>
      </c>
      <c r="D2" s="1" t="s">
        <v>604</v>
      </c>
      <c r="E2" s="1" t="s">
        <v>837</v>
      </c>
      <c r="F2" s="1" t="s">
        <v>690</v>
      </c>
      <c r="G2" s="1" t="s">
        <v>631</v>
      </c>
      <c r="K2" s="463"/>
      <c r="L2" s="463"/>
      <c r="M2" s="463"/>
      <c r="N2" s="463"/>
      <c r="O2" s="463"/>
      <c r="P2" s="463"/>
    </row>
    <row r="3" spans="1:16" s="464" customFormat="1" ht="20.25" x14ac:dyDescent="0.25">
      <c r="A3" s="16"/>
      <c r="B3" s="16"/>
      <c r="C3" s="1" t="s">
        <v>1264</v>
      </c>
      <c r="D3" s="13">
        <v>424</v>
      </c>
      <c r="E3" s="13">
        <v>154</v>
      </c>
      <c r="F3" s="13">
        <v>60</v>
      </c>
      <c r="G3" s="13">
        <v>0</v>
      </c>
      <c r="K3" s="463"/>
      <c r="L3" s="463"/>
      <c r="M3" s="463"/>
      <c r="N3" s="463"/>
      <c r="O3" s="463"/>
      <c r="P3" s="463"/>
    </row>
    <row r="4" spans="1:16" s="464" customFormat="1" ht="20.25" x14ac:dyDescent="0.25">
      <c r="A4" s="16"/>
      <c r="B4" s="16"/>
      <c r="C4" s="1" t="s">
        <v>1265</v>
      </c>
      <c r="D4" s="13">
        <v>325</v>
      </c>
      <c r="E4" s="13">
        <v>96</v>
      </c>
      <c r="F4" s="13">
        <v>30</v>
      </c>
      <c r="G4" s="13">
        <v>0</v>
      </c>
      <c r="K4" s="463"/>
      <c r="L4" s="463"/>
      <c r="M4" s="463"/>
      <c r="N4" s="463"/>
      <c r="O4" s="463"/>
      <c r="P4" s="463"/>
    </row>
    <row r="5" spans="1:16" s="464" customFormat="1" ht="20.25" x14ac:dyDescent="0.25">
      <c r="A5" s="16"/>
      <c r="B5" s="16"/>
      <c r="C5" s="1" t="s">
        <v>1390</v>
      </c>
      <c r="D5" s="13">
        <v>267</v>
      </c>
      <c r="E5" s="13">
        <v>232</v>
      </c>
      <c r="F5" s="13">
        <v>46</v>
      </c>
      <c r="G5" s="13">
        <v>0</v>
      </c>
      <c r="K5" s="463"/>
      <c r="L5" s="463"/>
      <c r="M5" s="463"/>
      <c r="N5" s="463"/>
      <c r="O5" s="463"/>
      <c r="P5" s="463"/>
    </row>
    <row r="6" spans="1:16" s="464" customFormat="1" ht="20.25" x14ac:dyDescent="0.25">
      <c r="A6" s="16"/>
      <c r="B6" s="16"/>
      <c r="C6" s="1" t="s">
        <v>102</v>
      </c>
      <c r="D6" s="13">
        <f>SUM(D3:D5)</f>
        <v>1016</v>
      </c>
      <c r="E6" s="13">
        <f>SUM(E3:E5)</f>
        <v>482</v>
      </c>
      <c r="F6" s="13">
        <f>SUM(F3:F5)</f>
        <v>136</v>
      </c>
      <c r="G6" s="13">
        <f>SUM(G3:G5)</f>
        <v>0</v>
      </c>
      <c r="K6" s="463"/>
      <c r="L6" s="463"/>
      <c r="M6" s="463"/>
      <c r="N6" s="463"/>
      <c r="O6" s="463"/>
      <c r="P6" s="463"/>
    </row>
    <row r="7" spans="1:16" s="464" customFormat="1" ht="20.25" x14ac:dyDescent="0.25">
      <c r="A7" s="16"/>
      <c r="B7" s="16"/>
      <c r="C7" s="16"/>
      <c r="D7" s="16"/>
      <c r="E7" s="16"/>
      <c r="F7" s="16"/>
      <c r="G7" s="16"/>
      <c r="K7" s="463"/>
      <c r="L7" s="463"/>
      <c r="M7" s="463"/>
      <c r="N7" s="463"/>
      <c r="O7" s="463"/>
      <c r="P7" s="463"/>
    </row>
    <row r="8" spans="1:16" s="464" customFormat="1" ht="20.25" x14ac:dyDescent="0.25">
      <c r="A8" s="16"/>
      <c r="B8" s="16"/>
      <c r="C8" s="16"/>
      <c r="D8" s="16"/>
      <c r="E8" s="16"/>
      <c r="F8" s="16"/>
      <c r="G8" s="16"/>
      <c r="K8" s="463"/>
      <c r="L8" s="463"/>
      <c r="M8" s="463"/>
      <c r="N8" s="463"/>
      <c r="O8" s="463"/>
      <c r="P8" s="463"/>
    </row>
    <row r="10" spans="1:16" ht="36.75" customHeight="1" x14ac:dyDescent="0.25">
      <c r="A10" s="541" t="s">
        <v>1663</v>
      </c>
      <c r="B10" s="541"/>
      <c r="C10" s="541"/>
      <c r="D10" s="541"/>
      <c r="E10" s="541"/>
      <c r="F10" s="541"/>
      <c r="G10" s="541"/>
      <c r="K10" s="463"/>
      <c r="L10" s="463"/>
      <c r="M10" s="463"/>
      <c r="N10" s="463"/>
      <c r="O10" s="463"/>
      <c r="P10" s="463"/>
    </row>
    <row r="11" spans="1:16" s="464" customFormat="1" ht="60.75" x14ac:dyDescent="0.25">
      <c r="A11" s="1" t="s">
        <v>0</v>
      </c>
      <c r="B11" s="1" t="s">
        <v>1</v>
      </c>
      <c r="C11" s="1" t="s">
        <v>2</v>
      </c>
      <c r="D11" s="1" t="s">
        <v>604</v>
      </c>
      <c r="E11" s="1" t="s">
        <v>837</v>
      </c>
      <c r="F11" s="1" t="s">
        <v>690</v>
      </c>
      <c r="G11" s="1" t="s">
        <v>631</v>
      </c>
      <c r="K11" s="463"/>
      <c r="L11" s="463"/>
      <c r="M11" s="463"/>
      <c r="N11" s="463"/>
      <c r="O11" s="463"/>
      <c r="P11" s="463"/>
    </row>
    <row r="12" spans="1:16" s="464" customFormat="1" ht="18.75" x14ac:dyDescent="0.25">
      <c r="A12" s="235">
        <v>1</v>
      </c>
      <c r="B12" s="533" t="s">
        <v>16</v>
      </c>
      <c r="C12" s="234" t="s">
        <v>17</v>
      </c>
      <c r="D12" s="233"/>
      <c r="E12" s="233">
        <v>10</v>
      </c>
      <c r="F12" s="233"/>
      <c r="G12" s="234"/>
      <c r="K12" s="463"/>
      <c r="L12" s="463"/>
      <c r="M12" s="463"/>
      <c r="N12" s="463"/>
      <c r="O12" s="463"/>
      <c r="P12" s="463"/>
    </row>
    <row r="13" spans="1:16" s="464" customFormat="1" ht="18.75" x14ac:dyDescent="0.25">
      <c r="A13" s="235">
        <v>2</v>
      </c>
      <c r="B13" s="533"/>
      <c r="C13" s="234" t="s">
        <v>19</v>
      </c>
      <c r="D13" s="233">
        <v>7</v>
      </c>
      <c r="E13" s="233">
        <v>15</v>
      </c>
      <c r="F13" s="233"/>
      <c r="G13" s="234"/>
      <c r="K13" s="463"/>
      <c r="L13" s="463"/>
      <c r="M13" s="463"/>
      <c r="N13" s="463"/>
      <c r="O13" s="463"/>
      <c r="P13" s="463"/>
    </row>
    <row r="14" spans="1:16" s="464" customFormat="1" ht="20.25" x14ac:dyDescent="0.25">
      <c r="A14" s="235"/>
      <c r="B14" s="232"/>
      <c r="C14" s="276" t="s">
        <v>1667</v>
      </c>
      <c r="D14" s="233">
        <v>27</v>
      </c>
      <c r="E14" s="233"/>
      <c r="F14" s="233"/>
      <c r="G14" s="234"/>
      <c r="K14" s="463"/>
      <c r="L14" s="463"/>
      <c r="M14" s="463"/>
      <c r="N14" s="463"/>
      <c r="O14" s="463"/>
      <c r="P14" s="463"/>
    </row>
    <row r="15" spans="1:16" s="464" customFormat="1" ht="18.75" x14ac:dyDescent="0.3">
      <c r="A15" s="235">
        <v>3</v>
      </c>
      <c r="B15" s="195" t="s">
        <v>20</v>
      </c>
      <c r="C15" s="234" t="s">
        <v>20</v>
      </c>
      <c r="D15" s="233"/>
      <c r="E15" s="233"/>
      <c r="F15" s="233"/>
      <c r="G15" s="234"/>
      <c r="K15" s="463"/>
      <c r="L15" s="463"/>
      <c r="M15" s="463"/>
      <c r="N15" s="463"/>
      <c r="O15" s="463"/>
      <c r="P15" s="463"/>
    </row>
    <row r="16" spans="1:16" s="464" customFormat="1" ht="18.75" x14ac:dyDescent="0.25">
      <c r="A16" s="235">
        <v>4</v>
      </c>
      <c r="B16" s="479" t="s">
        <v>21</v>
      </c>
      <c r="C16" s="234" t="s">
        <v>21</v>
      </c>
      <c r="D16" s="233"/>
      <c r="E16" s="233"/>
      <c r="F16" s="233"/>
      <c r="G16" s="234"/>
    </row>
    <row r="17" spans="1:7" s="464" customFormat="1" ht="18.75" x14ac:dyDescent="0.25">
      <c r="A17" s="235">
        <v>5</v>
      </c>
      <c r="B17" s="479"/>
      <c r="C17" s="234" t="s">
        <v>22</v>
      </c>
      <c r="D17" s="233"/>
      <c r="E17" s="233"/>
      <c r="F17" s="233"/>
      <c r="G17" s="234"/>
    </row>
    <row r="18" spans="1:7" s="464" customFormat="1" ht="18.75" x14ac:dyDescent="0.25">
      <c r="A18" s="235">
        <v>6</v>
      </c>
      <c r="B18" s="479"/>
      <c r="C18" s="234" t="s">
        <v>143</v>
      </c>
      <c r="D18" s="233"/>
      <c r="E18" s="233"/>
      <c r="F18" s="233"/>
      <c r="G18" s="234"/>
    </row>
    <row r="19" spans="1:7" s="464" customFormat="1" ht="18.75" customHeight="1" x14ac:dyDescent="0.25">
      <c r="A19" s="235">
        <v>7</v>
      </c>
      <c r="B19" s="479"/>
      <c r="C19" s="234" t="s">
        <v>144</v>
      </c>
      <c r="D19" s="233"/>
      <c r="E19" s="233"/>
      <c r="F19" s="233"/>
      <c r="G19" s="234"/>
    </row>
    <row r="20" spans="1:7" s="464" customFormat="1" ht="18.75" x14ac:dyDescent="0.25">
      <c r="A20" s="235">
        <v>8</v>
      </c>
      <c r="B20" s="479" t="s">
        <v>23</v>
      </c>
      <c r="C20" s="234" t="s">
        <v>23</v>
      </c>
      <c r="D20" s="233"/>
      <c r="E20" s="233"/>
      <c r="F20" s="233"/>
      <c r="G20" s="234"/>
    </row>
    <row r="21" spans="1:7" s="464" customFormat="1" ht="18.75" x14ac:dyDescent="0.25">
      <c r="A21" s="235">
        <v>9</v>
      </c>
      <c r="B21" s="479"/>
      <c r="C21" s="234" t="s">
        <v>685</v>
      </c>
      <c r="D21" s="233"/>
      <c r="E21" s="233"/>
      <c r="F21" s="233"/>
      <c r="G21" s="234"/>
    </row>
    <row r="22" spans="1:7" s="464" customFormat="1" ht="18.75" x14ac:dyDescent="0.25">
      <c r="A22" s="235">
        <v>10</v>
      </c>
      <c r="B22" s="479" t="s">
        <v>25</v>
      </c>
      <c r="C22" s="234" t="s">
        <v>26</v>
      </c>
      <c r="D22" s="233"/>
      <c r="E22" s="233"/>
      <c r="F22" s="233"/>
      <c r="G22" s="234"/>
    </row>
    <row r="23" spans="1:7" s="464" customFormat="1" ht="18.75" x14ac:dyDescent="0.25">
      <c r="A23" s="235">
        <v>11</v>
      </c>
      <c r="B23" s="479"/>
      <c r="C23" s="234" t="s">
        <v>27</v>
      </c>
      <c r="D23" s="233"/>
      <c r="E23" s="233"/>
      <c r="F23" s="233"/>
      <c r="G23" s="234"/>
    </row>
    <row r="24" spans="1:7" s="464" customFormat="1" ht="18.75" x14ac:dyDescent="0.25">
      <c r="A24" s="235">
        <v>12</v>
      </c>
      <c r="B24" s="479"/>
      <c r="C24" s="234" t="s">
        <v>864</v>
      </c>
      <c r="D24" s="233"/>
      <c r="E24" s="233"/>
      <c r="F24" s="233"/>
      <c r="G24" s="234"/>
    </row>
    <row r="25" spans="1:7" s="464" customFormat="1" ht="18.75" x14ac:dyDescent="0.25">
      <c r="A25" s="235">
        <v>13</v>
      </c>
      <c r="B25" s="479" t="s">
        <v>28</v>
      </c>
      <c r="C25" s="234" t="s">
        <v>29</v>
      </c>
      <c r="D25" s="233"/>
      <c r="E25" s="233"/>
      <c r="F25" s="233"/>
      <c r="G25" s="234"/>
    </row>
    <row r="26" spans="1:7" s="464" customFormat="1" ht="18.75" x14ac:dyDescent="0.25">
      <c r="A26" s="235">
        <v>14</v>
      </c>
      <c r="B26" s="479"/>
      <c r="C26" s="234" t="s">
        <v>30</v>
      </c>
      <c r="D26" s="233"/>
      <c r="E26" s="233"/>
      <c r="F26" s="233"/>
      <c r="G26" s="234"/>
    </row>
    <row r="27" spans="1:7" s="464" customFormat="1" ht="18.75" x14ac:dyDescent="0.25">
      <c r="A27" s="235">
        <v>15</v>
      </c>
      <c r="B27" s="479"/>
      <c r="C27" s="234" t="s">
        <v>31</v>
      </c>
      <c r="D27" s="233"/>
      <c r="E27" s="233"/>
      <c r="F27" s="233"/>
      <c r="G27" s="234"/>
    </row>
    <row r="28" spans="1:7" s="464" customFormat="1" ht="18.75" x14ac:dyDescent="0.25">
      <c r="A28" s="235">
        <v>16</v>
      </c>
      <c r="B28" s="479"/>
      <c r="C28" s="234" t="s">
        <v>32</v>
      </c>
      <c r="D28" s="233"/>
      <c r="E28" s="233"/>
      <c r="F28" s="233"/>
      <c r="G28" s="234"/>
    </row>
    <row r="29" spans="1:7" s="464" customFormat="1" ht="18.75" x14ac:dyDescent="0.25">
      <c r="A29" s="235"/>
      <c r="B29" s="479"/>
      <c r="C29" s="234" t="s">
        <v>201</v>
      </c>
      <c r="D29" s="233"/>
      <c r="E29" s="233"/>
      <c r="F29" s="233"/>
      <c r="G29" s="234"/>
    </row>
    <row r="30" spans="1:7" s="464" customFormat="1" ht="18.75" x14ac:dyDescent="0.25">
      <c r="A30" s="235">
        <v>17</v>
      </c>
      <c r="B30" s="479" t="s">
        <v>33</v>
      </c>
      <c r="C30" s="234" t="s">
        <v>33</v>
      </c>
      <c r="D30" s="233"/>
      <c r="E30" s="233"/>
      <c r="F30" s="233"/>
      <c r="G30" s="234"/>
    </row>
    <row r="31" spans="1:7" s="464" customFormat="1" ht="18.75" x14ac:dyDescent="0.25">
      <c r="A31" s="235">
        <v>18</v>
      </c>
      <c r="B31" s="479"/>
      <c r="C31" s="234" t="s">
        <v>34</v>
      </c>
      <c r="D31" s="233"/>
      <c r="E31" s="233"/>
      <c r="F31" s="233"/>
      <c r="G31" s="234"/>
    </row>
    <row r="32" spans="1:7" s="464" customFormat="1" ht="18.75" x14ac:dyDescent="0.25">
      <c r="A32" s="235">
        <v>19</v>
      </c>
      <c r="B32" s="479"/>
      <c r="C32" s="234" t="s">
        <v>35</v>
      </c>
      <c r="D32" s="233"/>
      <c r="E32" s="233"/>
      <c r="F32" s="233"/>
      <c r="G32" s="234"/>
    </row>
    <row r="33" spans="1:7" s="464" customFormat="1" ht="18.75" x14ac:dyDescent="0.25">
      <c r="A33" s="235">
        <v>20</v>
      </c>
      <c r="B33" s="479"/>
      <c r="C33" s="234" t="s">
        <v>36</v>
      </c>
      <c r="D33" s="233"/>
      <c r="E33" s="233"/>
      <c r="F33" s="233"/>
      <c r="G33" s="234"/>
    </row>
    <row r="34" spans="1:7" s="464" customFormat="1" ht="18.75" x14ac:dyDescent="0.25">
      <c r="A34" s="235">
        <v>21</v>
      </c>
      <c r="B34" s="479"/>
      <c r="C34" s="234" t="s">
        <v>37</v>
      </c>
      <c r="D34" s="233"/>
      <c r="E34" s="233"/>
      <c r="F34" s="233"/>
      <c r="G34" s="234"/>
    </row>
    <row r="35" spans="1:7" s="464" customFormat="1" ht="18.75" x14ac:dyDescent="0.25">
      <c r="A35" s="235">
        <v>22</v>
      </c>
      <c r="B35" s="479"/>
      <c r="C35" s="234" t="s">
        <v>141</v>
      </c>
      <c r="D35" s="233"/>
      <c r="E35" s="233"/>
      <c r="F35" s="233"/>
      <c r="G35" s="234"/>
    </row>
    <row r="36" spans="1:7" s="464" customFormat="1" ht="21.75" customHeight="1" x14ac:dyDescent="0.25">
      <c r="A36" s="233"/>
      <c r="B36" s="234"/>
      <c r="C36" s="234" t="s">
        <v>308</v>
      </c>
      <c r="D36" s="233"/>
      <c r="E36" s="233"/>
      <c r="F36" s="233"/>
      <c r="G36" s="234"/>
    </row>
    <row r="37" spans="1:7" s="464" customFormat="1" ht="18.75" x14ac:dyDescent="0.25">
      <c r="A37" s="235">
        <v>23</v>
      </c>
      <c r="B37" s="479" t="s">
        <v>38</v>
      </c>
      <c r="C37" s="234" t="s">
        <v>38</v>
      </c>
      <c r="D37" s="233"/>
      <c r="E37" s="233"/>
      <c r="F37" s="233"/>
      <c r="G37" s="234"/>
    </row>
    <row r="38" spans="1:7" s="464" customFormat="1" ht="18.75" x14ac:dyDescent="0.25">
      <c r="A38" s="235">
        <v>24</v>
      </c>
      <c r="B38" s="479"/>
      <c r="C38" s="234" t="s">
        <v>39</v>
      </c>
      <c r="D38" s="233"/>
      <c r="E38" s="233"/>
      <c r="F38" s="233"/>
      <c r="G38" s="234"/>
    </row>
    <row r="39" spans="1:7" s="464" customFormat="1" ht="18.75" x14ac:dyDescent="0.25">
      <c r="A39" s="235">
        <v>25</v>
      </c>
      <c r="B39" s="479" t="s">
        <v>88</v>
      </c>
      <c r="C39" s="234" t="s">
        <v>88</v>
      </c>
      <c r="D39" s="233"/>
      <c r="E39" s="233"/>
      <c r="F39" s="281"/>
      <c r="G39" s="234"/>
    </row>
    <row r="40" spans="1:7" s="464" customFormat="1" ht="18.75" x14ac:dyDescent="0.25">
      <c r="A40" s="235">
        <v>26</v>
      </c>
      <c r="B40" s="479"/>
      <c r="C40" s="234" t="s">
        <v>41</v>
      </c>
      <c r="D40" s="233"/>
      <c r="E40" s="233"/>
      <c r="F40" s="233"/>
      <c r="G40" s="234"/>
    </row>
    <row r="41" spans="1:7" s="464" customFormat="1" ht="18.75" x14ac:dyDescent="0.25">
      <c r="A41" s="235">
        <v>27</v>
      </c>
      <c r="B41" s="479"/>
      <c r="C41" s="234" t="s">
        <v>42</v>
      </c>
      <c r="D41" s="233"/>
      <c r="E41" s="233"/>
      <c r="F41" s="233"/>
      <c r="G41" s="234"/>
    </row>
    <row r="42" spans="1:7" s="464" customFormat="1" ht="18.75" x14ac:dyDescent="0.25">
      <c r="A42" s="235"/>
      <c r="B42" s="479" t="s">
        <v>43</v>
      </c>
      <c r="C42" s="234" t="s">
        <v>89</v>
      </c>
      <c r="D42" s="233"/>
      <c r="E42" s="233"/>
      <c r="F42" s="233"/>
      <c r="G42" s="234"/>
    </row>
    <row r="43" spans="1:7" s="464" customFormat="1" ht="18.75" x14ac:dyDescent="0.25">
      <c r="A43" s="235">
        <v>28</v>
      </c>
      <c r="B43" s="479"/>
      <c r="C43" s="234" t="s">
        <v>44</v>
      </c>
      <c r="D43" s="233"/>
      <c r="E43" s="233"/>
      <c r="F43" s="233"/>
      <c r="G43" s="234"/>
    </row>
    <row r="44" spans="1:7" s="464" customFormat="1" ht="18.75" x14ac:dyDescent="0.25">
      <c r="A44" s="235">
        <v>29</v>
      </c>
      <c r="B44" s="479"/>
      <c r="C44" s="234" t="s">
        <v>45</v>
      </c>
      <c r="D44" s="233"/>
      <c r="E44" s="233"/>
      <c r="F44" s="233"/>
      <c r="G44" s="234"/>
    </row>
    <row r="45" spans="1:7" s="464" customFormat="1" ht="18.75" x14ac:dyDescent="0.25">
      <c r="A45" s="235">
        <v>30</v>
      </c>
      <c r="B45" s="479" t="s">
        <v>46</v>
      </c>
      <c r="C45" s="234" t="s">
        <v>47</v>
      </c>
      <c r="D45" s="233"/>
      <c r="E45" s="233"/>
      <c r="F45" s="233"/>
      <c r="G45" s="234"/>
    </row>
    <row r="46" spans="1:7" s="464" customFormat="1" ht="18.75" x14ac:dyDescent="0.25">
      <c r="A46" s="235">
        <v>31</v>
      </c>
      <c r="B46" s="479"/>
      <c r="C46" s="234" t="s">
        <v>142</v>
      </c>
      <c r="D46" s="233"/>
      <c r="E46" s="233"/>
      <c r="F46" s="233"/>
      <c r="G46" s="234"/>
    </row>
    <row r="47" spans="1:7" s="464" customFormat="1" ht="18.75" x14ac:dyDescent="0.25">
      <c r="A47" s="235">
        <v>32</v>
      </c>
      <c r="B47" s="479"/>
      <c r="C47" s="234" t="s">
        <v>75</v>
      </c>
      <c r="D47" s="233"/>
      <c r="E47" s="233"/>
      <c r="F47" s="233"/>
      <c r="G47" s="234"/>
    </row>
    <row r="48" spans="1:7" s="464" customFormat="1" ht="18.75" x14ac:dyDescent="0.25">
      <c r="A48" s="235">
        <v>33</v>
      </c>
      <c r="B48" s="479" t="s">
        <v>49</v>
      </c>
      <c r="C48" s="234" t="s">
        <v>360</v>
      </c>
      <c r="D48" s="233"/>
      <c r="E48" s="233"/>
      <c r="F48" s="233"/>
      <c r="G48" s="234"/>
    </row>
    <row r="49" spans="1:16" s="464" customFormat="1" ht="18.75" x14ac:dyDescent="0.25">
      <c r="A49" s="235">
        <v>34</v>
      </c>
      <c r="B49" s="479"/>
      <c r="C49" s="234" t="s">
        <v>50</v>
      </c>
      <c r="D49" s="233"/>
      <c r="E49" s="233"/>
      <c r="F49" s="233"/>
      <c r="G49" s="234"/>
    </row>
    <row r="50" spans="1:16" s="464" customFormat="1" ht="18.75" x14ac:dyDescent="0.25">
      <c r="A50" s="235">
        <v>35</v>
      </c>
      <c r="B50" s="479"/>
      <c r="C50" s="234" t="s">
        <v>51</v>
      </c>
      <c r="D50" s="233"/>
      <c r="E50" s="233"/>
      <c r="F50" s="233"/>
      <c r="G50" s="234"/>
    </row>
    <row r="51" spans="1:16" s="464" customFormat="1" ht="18.75" x14ac:dyDescent="0.25">
      <c r="A51" s="235">
        <v>36</v>
      </c>
      <c r="B51" s="479" t="s">
        <v>52</v>
      </c>
      <c r="C51" s="234" t="s">
        <v>53</v>
      </c>
      <c r="D51" s="233"/>
      <c r="E51" s="233"/>
      <c r="F51" s="233"/>
      <c r="G51" s="234"/>
    </row>
    <row r="52" spans="1:16" s="464" customFormat="1" ht="18.75" x14ac:dyDescent="0.25">
      <c r="A52" s="235">
        <v>37</v>
      </c>
      <c r="B52" s="479"/>
      <c r="C52" s="234" t="s">
        <v>54</v>
      </c>
      <c r="D52" s="233"/>
      <c r="E52" s="233"/>
      <c r="F52" s="233"/>
      <c r="G52" s="234"/>
    </row>
    <row r="53" spans="1:16" s="464" customFormat="1" ht="18.75" x14ac:dyDescent="0.25">
      <c r="A53" s="235">
        <v>38</v>
      </c>
      <c r="B53" s="479"/>
      <c r="C53" s="234" t="s">
        <v>55</v>
      </c>
      <c r="D53" s="233"/>
      <c r="E53" s="233"/>
      <c r="F53" s="233"/>
      <c r="G53" s="234"/>
    </row>
    <row r="54" spans="1:16" s="464" customFormat="1" ht="18.75" x14ac:dyDescent="0.25">
      <c r="A54" s="235">
        <v>39</v>
      </c>
      <c r="B54" s="479"/>
      <c r="C54" s="234" t="s">
        <v>56</v>
      </c>
      <c r="D54" s="233"/>
      <c r="E54" s="233"/>
      <c r="F54" s="233"/>
      <c r="G54" s="234"/>
    </row>
    <row r="55" spans="1:16" s="464" customFormat="1" ht="18.75" x14ac:dyDescent="0.25">
      <c r="A55" s="235">
        <v>40</v>
      </c>
      <c r="B55" s="479"/>
      <c r="C55" s="234" t="s">
        <v>57</v>
      </c>
      <c r="D55" s="233"/>
      <c r="E55" s="233"/>
      <c r="F55" s="233"/>
      <c r="G55" s="234"/>
    </row>
    <row r="56" spans="1:16" s="464" customFormat="1" ht="18.75" x14ac:dyDescent="0.25">
      <c r="A56" s="235">
        <v>41</v>
      </c>
      <c r="B56" s="479"/>
      <c r="C56" s="234" t="s">
        <v>58</v>
      </c>
      <c r="D56" s="233"/>
      <c r="E56" s="233"/>
      <c r="F56" s="233"/>
      <c r="G56" s="234"/>
    </row>
    <row r="57" spans="1:16" s="464" customFormat="1" ht="18.75" x14ac:dyDescent="0.25">
      <c r="A57" s="271"/>
      <c r="B57" s="272"/>
      <c r="C57" s="48" t="s">
        <v>60</v>
      </c>
      <c r="D57" s="47">
        <f>SUM(D12:D56)</f>
        <v>34</v>
      </c>
      <c r="E57" s="47">
        <f>SUM(E12:E56)</f>
        <v>25</v>
      </c>
      <c r="F57" s="47">
        <f>SUM(F12:F56)</f>
        <v>0</v>
      </c>
      <c r="G57" s="47">
        <f>SUM(G12:G56)</f>
        <v>0</v>
      </c>
    </row>
    <row r="58" spans="1:16" ht="18.75" x14ac:dyDescent="0.25">
      <c r="F58" s="199"/>
      <c r="G58" s="199"/>
    </row>
    <row r="60" spans="1:16" s="464" customFormat="1" ht="20.25" x14ac:dyDescent="0.25">
      <c r="A60" s="16"/>
      <c r="B60" s="16"/>
      <c r="C60" s="16"/>
      <c r="D60" s="16"/>
      <c r="E60" s="16"/>
      <c r="F60" s="16"/>
      <c r="G60" s="16"/>
      <c r="K60" s="463"/>
      <c r="L60" s="463"/>
      <c r="M60" s="463"/>
      <c r="N60" s="463"/>
      <c r="O60" s="463"/>
      <c r="P60" s="463"/>
    </row>
    <row r="61" spans="1:16" s="464" customFormat="1" ht="20.25" x14ac:dyDescent="0.25">
      <c r="A61" s="16"/>
      <c r="B61" s="16"/>
      <c r="C61" s="16"/>
      <c r="D61" s="16"/>
      <c r="E61" s="16"/>
      <c r="F61" s="16"/>
      <c r="G61" s="16"/>
      <c r="K61" s="463"/>
      <c r="L61" s="463"/>
      <c r="M61" s="463"/>
      <c r="N61" s="463"/>
      <c r="O61" s="463"/>
      <c r="P61" s="463"/>
    </row>
    <row r="62" spans="1:16" s="464" customFormat="1" ht="20.25" x14ac:dyDescent="0.25">
      <c r="A62" s="16"/>
      <c r="B62" s="16"/>
      <c r="C62" s="16"/>
      <c r="D62" s="16"/>
      <c r="E62" s="16"/>
      <c r="F62" s="16"/>
      <c r="G62" s="16"/>
      <c r="K62" s="463"/>
      <c r="L62" s="463"/>
      <c r="M62" s="463"/>
      <c r="N62" s="463"/>
      <c r="O62" s="463"/>
      <c r="P62" s="463"/>
    </row>
    <row r="64" spans="1:16" ht="36.75" customHeight="1" x14ac:dyDescent="0.25">
      <c r="A64" s="541" t="s">
        <v>1480</v>
      </c>
      <c r="B64" s="541"/>
      <c r="C64" s="541"/>
      <c r="D64" s="541"/>
      <c r="E64" s="541"/>
      <c r="F64" s="541"/>
      <c r="G64" s="541"/>
      <c r="K64" s="463"/>
      <c r="L64" s="463"/>
      <c r="M64" s="463"/>
      <c r="N64" s="463"/>
      <c r="O64" s="463"/>
      <c r="P64" s="463"/>
    </row>
    <row r="65" spans="1:16" s="464" customFormat="1" ht="60.75" x14ac:dyDescent="0.25">
      <c r="A65" s="1" t="s">
        <v>0</v>
      </c>
      <c r="B65" s="1" t="s">
        <v>1</v>
      </c>
      <c r="C65" s="1" t="s">
        <v>2</v>
      </c>
      <c r="D65" s="1" t="s">
        <v>604</v>
      </c>
      <c r="E65" s="1" t="s">
        <v>837</v>
      </c>
      <c r="F65" s="1" t="s">
        <v>690</v>
      </c>
      <c r="G65" s="1" t="s">
        <v>631</v>
      </c>
      <c r="K65" s="463"/>
      <c r="L65" s="463"/>
      <c r="M65" s="463"/>
      <c r="N65" s="463"/>
      <c r="O65" s="463"/>
      <c r="P65" s="463"/>
    </row>
    <row r="66" spans="1:16" s="464" customFormat="1" ht="18.75" x14ac:dyDescent="0.25">
      <c r="A66" s="235">
        <v>1</v>
      </c>
      <c r="B66" s="533" t="s">
        <v>16</v>
      </c>
      <c r="C66" s="234" t="s">
        <v>17</v>
      </c>
      <c r="D66" s="233"/>
      <c r="E66" s="233">
        <v>5</v>
      </c>
      <c r="F66" s="233"/>
      <c r="G66" s="234"/>
      <c r="K66" s="463"/>
      <c r="L66" s="463"/>
      <c r="M66" s="463"/>
      <c r="N66" s="463"/>
      <c r="O66" s="463"/>
      <c r="P66" s="463"/>
    </row>
    <row r="67" spans="1:16" s="464" customFormat="1" ht="18.75" x14ac:dyDescent="0.25">
      <c r="A67" s="235">
        <v>2</v>
      </c>
      <c r="B67" s="533"/>
      <c r="C67" s="234" t="s">
        <v>19</v>
      </c>
      <c r="D67" s="233"/>
      <c r="E67" s="233">
        <v>33</v>
      </c>
      <c r="F67" s="233"/>
      <c r="G67" s="234"/>
      <c r="K67" s="463"/>
      <c r="L67" s="463"/>
      <c r="M67" s="463"/>
      <c r="N67" s="463"/>
      <c r="O67" s="463"/>
      <c r="P67" s="463"/>
    </row>
    <row r="68" spans="1:16" s="464" customFormat="1" ht="18.75" x14ac:dyDescent="0.3">
      <c r="A68" s="235">
        <v>3</v>
      </c>
      <c r="B68" s="195" t="s">
        <v>20</v>
      </c>
      <c r="C68" s="234" t="s">
        <v>20</v>
      </c>
      <c r="D68" s="233">
        <v>53</v>
      </c>
      <c r="E68" s="233">
        <v>18</v>
      </c>
      <c r="F68" s="233"/>
      <c r="G68" s="234"/>
      <c r="K68" s="463"/>
      <c r="L68" s="463"/>
      <c r="M68" s="463"/>
      <c r="N68" s="463"/>
      <c r="O68" s="463"/>
      <c r="P68" s="463"/>
    </row>
    <row r="69" spans="1:16" s="464" customFormat="1" ht="18.75" x14ac:dyDescent="0.25">
      <c r="A69" s="235">
        <v>4</v>
      </c>
      <c r="B69" s="479" t="s">
        <v>21</v>
      </c>
      <c r="C69" s="234" t="s">
        <v>21</v>
      </c>
      <c r="D69" s="233">
        <v>36</v>
      </c>
      <c r="E69" s="233"/>
      <c r="F69" s="233"/>
      <c r="G69" s="234"/>
    </row>
    <row r="70" spans="1:16" s="464" customFormat="1" ht="18.75" x14ac:dyDescent="0.25">
      <c r="A70" s="235">
        <v>5</v>
      </c>
      <c r="B70" s="479"/>
      <c r="C70" s="234" t="s">
        <v>22</v>
      </c>
      <c r="D70" s="233">
        <v>46</v>
      </c>
      <c r="E70" s="233"/>
      <c r="F70" s="233"/>
      <c r="G70" s="234"/>
    </row>
    <row r="71" spans="1:16" s="464" customFormat="1" ht="18.75" x14ac:dyDescent="0.25">
      <c r="A71" s="235">
        <v>6</v>
      </c>
      <c r="B71" s="479"/>
      <c r="C71" s="234" t="s">
        <v>143</v>
      </c>
      <c r="D71" s="233">
        <v>6</v>
      </c>
      <c r="E71" s="233"/>
      <c r="F71" s="233"/>
      <c r="G71" s="234"/>
    </row>
    <row r="72" spans="1:16" s="464" customFormat="1" ht="18.75" customHeight="1" x14ac:dyDescent="0.25">
      <c r="A72" s="235">
        <v>7</v>
      </c>
      <c r="B72" s="479"/>
      <c r="C72" s="234" t="s">
        <v>144</v>
      </c>
      <c r="D72" s="233"/>
      <c r="E72" s="233"/>
      <c r="F72" s="233"/>
      <c r="G72" s="234"/>
    </row>
    <row r="73" spans="1:16" s="464" customFormat="1" ht="18.75" x14ac:dyDescent="0.25">
      <c r="A73" s="235">
        <v>8</v>
      </c>
      <c r="B73" s="479" t="s">
        <v>23</v>
      </c>
      <c r="C73" s="234" t="s">
        <v>23</v>
      </c>
      <c r="D73" s="233">
        <v>13</v>
      </c>
      <c r="E73" s="233">
        <v>16</v>
      </c>
      <c r="F73" s="233"/>
      <c r="G73" s="234"/>
    </row>
    <row r="74" spans="1:16" s="464" customFormat="1" ht="18.75" x14ac:dyDescent="0.25">
      <c r="A74" s="235">
        <v>9</v>
      </c>
      <c r="B74" s="479"/>
      <c r="C74" s="234" t="s">
        <v>685</v>
      </c>
      <c r="D74" s="233"/>
      <c r="E74" s="233"/>
      <c r="F74" s="233"/>
      <c r="G74" s="234"/>
    </row>
    <row r="75" spans="1:16" s="464" customFormat="1" ht="18.75" x14ac:dyDescent="0.25">
      <c r="A75" s="235">
        <v>10</v>
      </c>
      <c r="B75" s="479" t="s">
        <v>25</v>
      </c>
      <c r="C75" s="234" t="s">
        <v>26</v>
      </c>
      <c r="D75" s="233"/>
      <c r="E75" s="233"/>
      <c r="F75" s="233"/>
      <c r="G75" s="234"/>
    </row>
    <row r="76" spans="1:16" s="464" customFormat="1" ht="18.75" x14ac:dyDescent="0.25">
      <c r="A76" s="235">
        <v>11</v>
      </c>
      <c r="B76" s="479"/>
      <c r="C76" s="234" t="s">
        <v>27</v>
      </c>
      <c r="D76" s="233">
        <v>6</v>
      </c>
      <c r="E76" s="233"/>
      <c r="F76" s="233"/>
      <c r="G76" s="234"/>
    </row>
    <row r="77" spans="1:16" s="464" customFormat="1" ht="18.75" x14ac:dyDescent="0.25">
      <c r="A77" s="235">
        <v>12</v>
      </c>
      <c r="B77" s="479"/>
      <c r="C77" s="234" t="s">
        <v>864</v>
      </c>
      <c r="D77" s="233">
        <v>5</v>
      </c>
      <c r="E77" s="233">
        <v>17</v>
      </c>
      <c r="F77" s="233"/>
      <c r="G77" s="234"/>
    </row>
    <row r="78" spans="1:16" s="464" customFormat="1" ht="18.75" x14ac:dyDescent="0.25">
      <c r="A78" s="235">
        <v>13</v>
      </c>
      <c r="B78" s="479" t="s">
        <v>28</v>
      </c>
      <c r="C78" s="234" t="s">
        <v>29</v>
      </c>
      <c r="D78" s="233">
        <v>41</v>
      </c>
      <c r="E78" s="233"/>
      <c r="F78" s="233"/>
      <c r="G78" s="234"/>
    </row>
    <row r="79" spans="1:16" s="464" customFormat="1" ht="18.75" x14ac:dyDescent="0.25">
      <c r="A79" s="235">
        <v>14</v>
      </c>
      <c r="B79" s="479"/>
      <c r="C79" s="234" t="s">
        <v>30</v>
      </c>
      <c r="D79" s="233">
        <v>8</v>
      </c>
      <c r="E79" s="233"/>
      <c r="F79" s="233"/>
      <c r="G79" s="234"/>
    </row>
    <row r="80" spans="1:16" s="464" customFormat="1" ht="18.75" x14ac:dyDescent="0.25">
      <c r="A80" s="235">
        <v>15</v>
      </c>
      <c r="B80" s="479"/>
      <c r="C80" s="234" t="s">
        <v>31</v>
      </c>
      <c r="D80" s="233">
        <v>55</v>
      </c>
      <c r="E80" s="233"/>
      <c r="F80" s="233"/>
      <c r="G80" s="234"/>
    </row>
    <row r="81" spans="1:7" s="464" customFormat="1" ht="18.75" x14ac:dyDescent="0.25">
      <c r="A81" s="235">
        <v>16</v>
      </c>
      <c r="B81" s="479"/>
      <c r="C81" s="234" t="s">
        <v>32</v>
      </c>
      <c r="D81" s="233">
        <v>38</v>
      </c>
      <c r="E81" s="233"/>
      <c r="F81" s="233"/>
      <c r="G81" s="234"/>
    </row>
    <row r="82" spans="1:7" s="464" customFormat="1" ht="18.75" x14ac:dyDescent="0.25">
      <c r="A82" s="235"/>
      <c r="B82" s="479"/>
      <c r="C82" s="234" t="s">
        <v>201</v>
      </c>
      <c r="D82" s="233">
        <v>28</v>
      </c>
      <c r="E82" s="233"/>
      <c r="F82" s="233"/>
      <c r="G82" s="234"/>
    </row>
    <row r="83" spans="1:7" s="464" customFormat="1" ht="18.75" x14ac:dyDescent="0.25">
      <c r="A83" s="235">
        <v>17</v>
      </c>
      <c r="B83" s="479" t="s">
        <v>33</v>
      </c>
      <c r="C83" s="234" t="s">
        <v>33</v>
      </c>
      <c r="D83" s="233"/>
      <c r="E83" s="233">
        <v>39</v>
      </c>
      <c r="F83" s="233"/>
      <c r="G83" s="234"/>
    </row>
    <row r="84" spans="1:7" s="464" customFormat="1" ht="18.75" x14ac:dyDescent="0.25">
      <c r="A84" s="235">
        <v>18</v>
      </c>
      <c r="B84" s="479"/>
      <c r="C84" s="234" t="s">
        <v>34</v>
      </c>
      <c r="D84" s="233">
        <v>31</v>
      </c>
      <c r="E84" s="233"/>
      <c r="F84" s="233">
        <v>15</v>
      </c>
      <c r="G84" s="234" t="s">
        <v>838</v>
      </c>
    </row>
    <row r="85" spans="1:7" s="464" customFormat="1" ht="18.75" x14ac:dyDescent="0.25">
      <c r="A85" s="235">
        <v>19</v>
      </c>
      <c r="B85" s="479"/>
      <c r="C85" s="234" t="s">
        <v>35</v>
      </c>
      <c r="D85" s="233">
        <v>7</v>
      </c>
      <c r="E85" s="233"/>
      <c r="F85" s="233"/>
      <c r="G85" s="234"/>
    </row>
    <row r="86" spans="1:7" s="464" customFormat="1" ht="18.75" x14ac:dyDescent="0.25">
      <c r="A86" s="235">
        <v>20</v>
      </c>
      <c r="B86" s="479"/>
      <c r="C86" s="234" t="s">
        <v>36</v>
      </c>
      <c r="D86" s="233">
        <v>6</v>
      </c>
      <c r="E86" s="233">
        <v>21</v>
      </c>
      <c r="F86" s="233"/>
      <c r="G86" s="234"/>
    </row>
    <row r="87" spans="1:7" s="464" customFormat="1" ht="18.75" x14ac:dyDescent="0.25">
      <c r="A87" s="235">
        <v>21</v>
      </c>
      <c r="B87" s="479"/>
      <c r="C87" s="234" t="s">
        <v>37</v>
      </c>
      <c r="D87" s="233">
        <v>3</v>
      </c>
      <c r="E87" s="233">
        <v>2</v>
      </c>
      <c r="F87" s="233">
        <v>1</v>
      </c>
      <c r="G87" s="234" t="s">
        <v>838</v>
      </c>
    </row>
    <row r="88" spans="1:7" s="464" customFormat="1" ht="18.75" x14ac:dyDescent="0.25">
      <c r="A88" s="235">
        <v>22</v>
      </c>
      <c r="B88" s="479"/>
      <c r="C88" s="234" t="s">
        <v>141</v>
      </c>
      <c r="D88" s="233">
        <v>2</v>
      </c>
      <c r="E88" s="233">
        <v>13</v>
      </c>
      <c r="F88" s="233"/>
      <c r="G88" s="234"/>
    </row>
    <row r="89" spans="1:7" s="464" customFormat="1" ht="21.75" customHeight="1" x14ac:dyDescent="0.25">
      <c r="A89" s="233"/>
      <c r="B89" s="234"/>
      <c r="C89" s="234" t="s">
        <v>308</v>
      </c>
      <c r="D89" s="233"/>
      <c r="E89" s="233"/>
      <c r="F89" s="233"/>
      <c r="G89" s="234"/>
    </row>
    <row r="90" spans="1:7" s="464" customFormat="1" ht="18.75" x14ac:dyDescent="0.25">
      <c r="A90" s="235">
        <v>23</v>
      </c>
      <c r="B90" s="479" t="s">
        <v>38</v>
      </c>
      <c r="C90" s="234" t="s">
        <v>38</v>
      </c>
      <c r="D90" s="233">
        <v>18</v>
      </c>
      <c r="E90" s="233"/>
      <c r="F90" s="233"/>
      <c r="G90" s="234"/>
    </row>
    <row r="91" spans="1:7" s="464" customFormat="1" ht="18.75" x14ac:dyDescent="0.25">
      <c r="A91" s="235">
        <v>24</v>
      </c>
      <c r="B91" s="479"/>
      <c r="C91" s="234" t="s">
        <v>39</v>
      </c>
      <c r="D91" s="233">
        <v>18</v>
      </c>
      <c r="E91" s="233"/>
      <c r="F91" s="233"/>
      <c r="G91" s="234"/>
    </row>
    <row r="92" spans="1:7" s="464" customFormat="1" ht="18.75" x14ac:dyDescent="0.25">
      <c r="A92" s="235">
        <v>25</v>
      </c>
      <c r="B92" s="479" t="s">
        <v>88</v>
      </c>
      <c r="C92" s="234" t="s">
        <v>88</v>
      </c>
      <c r="D92" s="233"/>
      <c r="E92" s="233"/>
      <c r="F92" s="281"/>
      <c r="G92" s="234"/>
    </row>
    <row r="93" spans="1:7" s="464" customFormat="1" ht="18.75" x14ac:dyDescent="0.25">
      <c r="A93" s="235">
        <v>26</v>
      </c>
      <c r="B93" s="479"/>
      <c r="C93" s="234" t="s">
        <v>41</v>
      </c>
      <c r="D93" s="233"/>
      <c r="E93" s="233"/>
      <c r="F93" s="233"/>
      <c r="G93" s="234"/>
    </row>
    <row r="94" spans="1:7" s="464" customFormat="1" ht="18.75" x14ac:dyDescent="0.25">
      <c r="A94" s="235">
        <v>27</v>
      </c>
      <c r="B94" s="479"/>
      <c r="C94" s="234" t="s">
        <v>42</v>
      </c>
      <c r="D94" s="233"/>
      <c r="E94" s="233"/>
      <c r="F94" s="233"/>
      <c r="G94" s="234"/>
    </row>
    <row r="95" spans="1:7" s="464" customFormat="1" ht="18.75" x14ac:dyDescent="0.25">
      <c r="A95" s="235"/>
      <c r="B95" s="479" t="s">
        <v>43</v>
      </c>
      <c r="C95" s="234" t="s">
        <v>89</v>
      </c>
      <c r="D95" s="233"/>
      <c r="E95" s="233"/>
      <c r="F95" s="233"/>
      <c r="G95" s="234"/>
    </row>
    <row r="96" spans="1:7" s="464" customFormat="1" ht="18.75" x14ac:dyDescent="0.25">
      <c r="A96" s="235">
        <v>28</v>
      </c>
      <c r="B96" s="479"/>
      <c r="C96" s="234" t="s">
        <v>44</v>
      </c>
      <c r="D96" s="233">
        <v>2</v>
      </c>
      <c r="E96" s="233">
        <v>5</v>
      </c>
      <c r="F96" s="233"/>
      <c r="G96" s="234"/>
    </row>
    <row r="97" spans="1:7" s="464" customFormat="1" ht="18.75" x14ac:dyDescent="0.25">
      <c r="A97" s="235">
        <v>29</v>
      </c>
      <c r="B97" s="479"/>
      <c r="C97" s="234" t="s">
        <v>45</v>
      </c>
      <c r="D97" s="233"/>
      <c r="E97" s="233">
        <v>4</v>
      </c>
      <c r="F97" s="233"/>
      <c r="G97" s="234"/>
    </row>
    <row r="98" spans="1:7" s="464" customFormat="1" ht="18.75" x14ac:dyDescent="0.25">
      <c r="A98" s="235">
        <v>30</v>
      </c>
      <c r="B98" s="479" t="s">
        <v>46</v>
      </c>
      <c r="C98" s="234" t="s">
        <v>47</v>
      </c>
      <c r="D98" s="233">
        <v>17</v>
      </c>
      <c r="E98" s="233">
        <v>12</v>
      </c>
      <c r="F98" s="233">
        <v>3</v>
      </c>
      <c r="G98" s="234" t="s">
        <v>838</v>
      </c>
    </row>
    <row r="99" spans="1:7" s="464" customFormat="1" ht="18.75" x14ac:dyDescent="0.25">
      <c r="A99" s="235">
        <v>31</v>
      </c>
      <c r="B99" s="479"/>
      <c r="C99" s="234" t="s">
        <v>142</v>
      </c>
      <c r="D99" s="233"/>
      <c r="E99" s="233"/>
      <c r="F99" s="233"/>
      <c r="G99" s="234"/>
    </row>
    <row r="100" spans="1:7" s="464" customFormat="1" ht="18.75" x14ac:dyDescent="0.25">
      <c r="A100" s="235">
        <v>32</v>
      </c>
      <c r="B100" s="479"/>
      <c r="C100" s="234" t="s">
        <v>75</v>
      </c>
      <c r="D100" s="233">
        <v>7</v>
      </c>
      <c r="E100" s="233"/>
      <c r="F100" s="233"/>
      <c r="G100" s="234"/>
    </row>
    <row r="101" spans="1:7" s="464" customFormat="1" ht="18.75" x14ac:dyDescent="0.25">
      <c r="A101" s="235">
        <v>33</v>
      </c>
      <c r="B101" s="479" t="s">
        <v>49</v>
      </c>
      <c r="C101" s="234" t="s">
        <v>360</v>
      </c>
      <c r="D101" s="233">
        <v>38</v>
      </c>
      <c r="E101" s="233"/>
      <c r="F101" s="233"/>
      <c r="G101" s="234"/>
    </row>
    <row r="102" spans="1:7" s="464" customFormat="1" ht="18.75" x14ac:dyDescent="0.25">
      <c r="A102" s="235">
        <v>34</v>
      </c>
      <c r="B102" s="479"/>
      <c r="C102" s="234" t="s">
        <v>50</v>
      </c>
      <c r="D102" s="233"/>
      <c r="E102" s="233"/>
      <c r="F102" s="233"/>
      <c r="G102" s="234"/>
    </row>
    <row r="103" spans="1:7" s="464" customFormat="1" ht="18.75" x14ac:dyDescent="0.25">
      <c r="A103" s="235">
        <v>35</v>
      </c>
      <c r="B103" s="479"/>
      <c r="C103" s="234" t="s">
        <v>51</v>
      </c>
      <c r="D103" s="233"/>
      <c r="E103" s="233"/>
      <c r="F103" s="233"/>
      <c r="G103" s="234"/>
    </row>
    <row r="104" spans="1:7" s="464" customFormat="1" ht="18.75" x14ac:dyDescent="0.25">
      <c r="A104" s="235">
        <v>36</v>
      </c>
      <c r="B104" s="479" t="s">
        <v>52</v>
      </c>
      <c r="C104" s="234" t="s">
        <v>53</v>
      </c>
      <c r="D104" s="233">
        <v>9</v>
      </c>
      <c r="E104" s="233"/>
      <c r="F104" s="233"/>
      <c r="G104" s="234"/>
    </row>
    <row r="105" spans="1:7" s="464" customFormat="1" ht="18.75" x14ac:dyDescent="0.25">
      <c r="A105" s="235">
        <v>37</v>
      </c>
      <c r="B105" s="479"/>
      <c r="C105" s="234" t="s">
        <v>54</v>
      </c>
      <c r="D105" s="233">
        <v>10</v>
      </c>
      <c r="E105" s="233"/>
      <c r="F105" s="233">
        <v>4</v>
      </c>
      <c r="G105" s="234" t="s">
        <v>838</v>
      </c>
    </row>
    <row r="106" spans="1:7" s="464" customFormat="1" ht="18.75" x14ac:dyDescent="0.25">
      <c r="A106" s="235">
        <v>38</v>
      </c>
      <c r="B106" s="479"/>
      <c r="C106" s="234" t="s">
        <v>55</v>
      </c>
      <c r="D106" s="233"/>
      <c r="E106" s="233">
        <v>4</v>
      </c>
      <c r="F106" s="233">
        <v>2</v>
      </c>
      <c r="G106" s="234" t="s">
        <v>838</v>
      </c>
    </row>
    <row r="107" spans="1:7" s="464" customFormat="1" ht="18.75" x14ac:dyDescent="0.25">
      <c r="A107" s="235">
        <v>39</v>
      </c>
      <c r="B107" s="479"/>
      <c r="C107" s="234" t="s">
        <v>56</v>
      </c>
      <c r="D107" s="233"/>
      <c r="E107" s="233">
        <v>9</v>
      </c>
      <c r="F107" s="233">
        <v>1</v>
      </c>
      <c r="G107" s="234" t="s">
        <v>838</v>
      </c>
    </row>
    <row r="108" spans="1:7" s="464" customFormat="1" ht="18.75" x14ac:dyDescent="0.25">
      <c r="A108" s="235">
        <v>40</v>
      </c>
      <c r="B108" s="479"/>
      <c r="C108" s="234" t="s">
        <v>57</v>
      </c>
      <c r="D108" s="233"/>
      <c r="E108" s="233">
        <v>7</v>
      </c>
      <c r="F108" s="233">
        <v>1</v>
      </c>
      <c r="G108" s="234" t="s">
        <v>838</v>
      </c>
    </row>
    <row r="109" spans="1:7" s="464" customFormat="1" ht="18.75" x14ac:dyDescent="0.25">
      <c r="A109" s="235">
        <v>41</v>
      </c>
      <c r="B109" s="479"/>
      <c r="C109" s="234" t="s">
        <v>58</v>
      </c>
      <c r="D109" s="233">
        <v>2</v>
      </c>
      <c r="E109" s="233">
        <v>2</v>
      </c>
      <c r="F109" s="233"/>
      <c r="G109" s="234"/>
    </row>
    <row r="110" spans="1:7" s="464" customFormat="1" ht="18.75" x14ac:dyDescent="0.25">
      <c r="A110" s="271"/>
      <c r="B110" s="272"/>
      <c r="C110" s="48" t="s">
        <v>60</v>
      </c>
      <c r="D110" s="47">
        <f>SUM(D66:D109)</f>
        <v>505</v>
      </c>
      <c r="E110" s="47">
        <f>SUM(E66:E109)</f>
        <v>207</v>
      </c>
      <c r="F110" s="47">
        <f>SUM(F66:F109)</f>
        <v>27</v>
      </c>
      <c r="G110" s="47">
        <f>SUM(G66:G109)</f>
        <v>0</v>
      </c>
    </row>
    <row r="111" spans="1:7" ht="18.75" x14ac:dyDescent="0.25">
      <c r="F111" s="199"/>
      <c r="G111" s="199"/>
    </row>
    <row r="113" spans="1:16" s="464" customFormat="1" ht="20.25" x14ac:dyDescent="0.25">
      <c r="A113" s="16"/>
      <c r="B113" s="16"/>
      <c r="C113" s="16"/>
      <c r="D113" s="16"/>
      <c r="E113" s="16"/>
      <c r="F113" s="16"/>
      <c r="G113" s="16"/>
      <c r="K113" s="463"/>
      <c r="L113" s="463"/>
      <c r="M113" s="463"/>
      <c r="N113" s="463"/>
      <c r="O113" s="463"/>
      <c r="P113" s="463"/>
    </row>
    <row r="114" spans="1:16" s="464" customFormat="1" ht="20.25" x14ac:dyDescent="0.25">
      <c r="A114" s="16"/>
      <c r="B114" s="16"/>
      <c r="C114" s="16"/>
      <c r="D114" s="16"/>
      <c r="E114" s="16"/>
      <c r="F114" s="16"/>
      <c r="G114" s="16"/>
      <c r="K114" s="463"/>
      <c r="L114" s="463"/>
      <c r="M114" s="463"/>
      <c r="N114" s="463"/>
      <c r="O114" s="463"/>
      <c r="P114" s="463"/>
    </row>
    <row r="115" spans="1:16" s="464" customFormat="1" ht="20.25" x14ac:dyDescent="0.25">
      <c r="A115" s="16"/>
      <c r="B115" s="16"/>
      <c r="C115" s="16"/>
      <c r="D115" s="16"/>
      <c r="E115" s="16"/>
      <c r="F115" s="16"/>
      <c r="G115" s="16"/>
      <c r="K115" s="463"/>
      <c r="L115" s="463"/>
      <c r="M115" s="463"/>
      <c r="N115" s="463"/>
      <c r="O115" s="463"/>
      <c r="P115" s="463"/>
    </row>
    <row r="117" spans="1:16" ht="36.75" customHeight="1" x14ac:dyDescent="0.25">
      <c r="A117" s="541" t="s">
        <v>1231</v>
      </c>
      <c r="B117" s="541"/>
      <c r="C117" s="541"/>
      <c r="D117" s="541"/>
      <c r="E117" s="541"/>
      <c r="F117" s="541"/>
      <c r="G117" s="541"/>
      <c r="K117" s="463"/>
      <c r="L117" s="463"/>
      <c r="M117" s="463"/>
      <c r="N117" s="463"/>
      <c r="O117" s="463"/>
      <c r="P117" s="463"/>
    </row>
    <row r="118" spans="1:16" s="464" customFormat="1" ht="60.75" x14ac:dyDescent="0.25">
      <c r="A118" s="1" t="s">
        <v>0</v>
      </c>
      <c r="B118" s="1" t="s">
        <v>1</v>
      </c>
      <c r="C118" s="1" t="s">
        <v>2</v>
      </c>
      <c r="D118" s="1" t="s">
        <v>604</v>
      </c>
      <c r="E118" s="1" t="s">
        <v>837</v>
      </c>
      <c r="F118" s="1" t="s">
        <v>690</v>
      </c>
      <c r="G118" s="1" t="s">
        <v>631</v>
      </c>
      <c r="K118" s="463"/>
      <c r="L118" s="463"/>
      <c r="M118" s="463"/>
      <c r="N118" s="463"/>
      <c r="O118" s="463"/>
      <c r="P118" s="463"/>
    </row>
    <row r="119" spans="1:16" s="464" customFormat="1" ht="18.75" x14ac:dyDescent="0.25">
      <c r="A119" s="235">
        <v>1</v>
      </c>
      <c r="B119" s="533" t="s">
        <v>16</v>
      </c>
      <c r="C119" s="234" t="s">
        <v>17</v>
      </c>
      <c r="D119" s="233"/>
      <c r="E119" s="233">
        <v>6</v>
      </c>
      <c r="F119" s="233"/>
      <c r="G119" s="234"/>
      <c r="K119" s="463"/>
      <c r="L119" s="463"/>
      <c r="M119" s="463"/>
      <c r="N119" s="463"/>
      <c r="O119" s="463"/>
      <c r="P119" s="463"/>
    </row>
    <row r="120" spans="1:16" s="464" customFormat="1" ht="18.75" x14ac:dyDescent="0.25">
      <c r="A120" s="235">
        <v>2</v>
      </c>
      <c r="B120" s="533"/>
      <c r="C120" s="234" t="s">
        <v>19</v>
      </c>
      <c r="D120" s="233"/>
      <c r="E120" s="233">
        <v>9</v>
      </c>
      <c r="F120" s="233">
        <v>4</v>
      </c>
      <c r="G120" s="234" t="s">
        <v>838</v>
      </c>
      <c r="K120" s="463"/>
      <c r="L120" s="463"/>
      <c r="M120" s="463"/>
      <c r="N120" s="463"/>
      <c r="O120" s="463"/>
      <c r="P120" s="463"/>
    </row>
    <row r="121" spans="1:16" s="464" customFormat="1" ht="18.75" x14ac:dyDescent="0.3">
      <c r="A121" s="235">
        <v>3</v>
      </c>
      <c r="B121" s="195" t="s">
        <v>20</v>
      </c>
      <c r="C121" s="234" t="s">
        <v>20</v>
      </c>
      <c r="D121" s="233">
        <v>18</v>
      </c>
      <c r="E121" s="233"/>
      <c r="F121" s="233"/>
      <c r="G121" s="234"/>
      <c r="K121" s="463"/>
      <c r="L121" s="463"/>
      <c r="M121" s="463"/>
      <c r="N121" s="463"/>
      <c r="O121" s="463"/>
      <c r="P121" s="463"/>
    </row>
    <row r="122" spans="1:16" s="464" customFormat="1" ht="18.75" x14ac:dyDescent="0.25">
      <c r="A122" s="235">
        <v>4</v>
      </c>
      <c r="B122" s="479" t="s">
        <v>21</v>
      </c>
      <c r="C122" s="234" t="s">
        <v>21</v>
      </c>
      <c r="D122" s="233">
        <v>14</v>
      </c>
      <c r="E122" s="233"/>
      <c r="F122" s="233">
        <v>6</v>
      </c>
      <c r="G122" s="234" t="s">
        <v>863</v>
      </c>
    </row>
    <row r="123" spans="1:16" s="464" customFormat="1" ht="18.75" x14ac:dyDescent="0.25">
      <c r="A123" s="235">
        <v>5</v>
      </c>
      <c r="B123" s="479"/>
      <c r="C123" s="234" t="s">
        <v>22</v>
      </c>
      <c r="D123" s="233">
        <v>31</v>
      </c>
      <c r="E123" s="233"/>
      <c r="F123" s="233"/>
      <c r="G123" s="234"/>
    </row>
    <row r="124" spans="1:16" s="464" customFormat="1" ht="18.75" x14ac:dyDescent="0.25">
      <c r="A124" s="235">
        <v>6</v>
      </c>
      <c r="B124" s="479"/>
      <c r="C124" s="234" t="s">
        <v>143</v>
      </c>
      <c r="D124" s="233">
        <v>1</v>
      </c>
      <c r="E124" s="233"/>
      <c r="F124" s="233"/>
      <c r="G124" s="234"/>
    </row>
    <row r="125" spans="1:16" s="464" customFormat="1" ht="18.75" customHeight="1" x14ac:dyDescent="0.25">
      <c r="A125" s="235">
        <v>7</v>
      </c>
      <c r="B125" s="479"/>
      <c r="C125" s="234" t="s">
        <v>144</v>
      </c>
      <c r="D125" s="233">
        <v>3</v>
      </c>
      <c r="E125" s="233"/>
      <c r="F125" s="233"/>
      <c r="G125" s="234"/>
    </row>
    <row r="126" spans="1:16" s="464" customFormat="1" ht="18.75" x14ac:dyDescent="0.25">
      <c r="A126" s="235">
        <v>8</v>
      </c>
      <c r="B126" s="479" t="s">
        <v>23</v>
      </c>
      <c r="C126" s="234" t="s">
        <v>23</v>
      </c>
      <c r="D126" s="233"/>
      <c r="E126" s="233">
        <v>18</v>
      </c>
      <c r="F126" s="233"/>
      <c r="G126" s="234"/>
    </row>
    <row r="127" spans="1:16" s="464" customFormat="1" ht="18.75" x14ac:dyDescent="0.25">
      <c r="A127" s="235">
        <v>9</v>
      </c>
      <c r="B127" s="479"/>
      <c r="C127" s="234" t="s">
        <v>685</v>
      </c>
      <c r="D127" s="233"/>
      <c r="E127" s="233"/>
      <c r="F127" s="233"/>
      <c r="G127" s="234"/>
    </row>
    <row r="128" spans="1:16" s="464" customFormat="1" ht="18.75" x14ac:dyDescent="0.25">
      <c r="A128" s="235">
        <v>10</v>
      </c>
      <c r="B128" s="479" t="s">
        <v>25</v>
      </c>
      <c r="C128" s="234" t="s">
        <v>26</v>
      </c>
      <c r="D128" s="233">
        <v>4</v>
      </c>
      <c r="E128" s="233">
        <v>28</v>
      </c>
      <c r="F128" s="233"/>
      <c r="G128" s="234"/>
    </row>
    <row r="129" spans="1:7" s="464" customFormat="1" ht="18.75" x14ac:dyDescent="0.25">
      <c r="A129" s="235">
        <v>11</v>
      </c>
      <c r="B129" s="479"/>
      <c r="C129" s="234" t="s">
        <v>27</v>
      </c>
      <c r="D129" s="233"/>
      <c r="E129" s="233">
        <v>5</v>
      </c>
      <c r="F129" s="233"/>
      <c r="G129" s="234"/>
    </row>
    <row r="130" spans="1:7" s="464" customFormat="1" ht="18.75" x14ac:dyDescent="0.25">
      <c r="A130" s="235">
        <v>12</v>
      </c>
      <c r="B130" s="479"/>
      <c r="C130" s="234" t="s">
        <v>864</v>
      </c>
      <c r="D130" s="233"/>
      <c r="E130" s="233"/>
      <c r="F130" s="233"/>
      <c r="G130" s="234"/>
    </row>
    <row r="131" spans="1:7" s="464" customFormat="1" ht="18.75" x14ac:dyDescent="0.25">
      <c r="A131" s="235">
        <v>13</v>
      </c>
      <c r="B131" s="479" t="s">
        <v>28</v>
      </c>
      <c r="C131" s="234" t="s">
        <v>29</v>
      </c>
      <c r="D131" s="233">
        <v>32</v>
      </c>
      <c r="E131" s="233"/>
      <c r="F131" s="233"/>
      <c r="G131" s="234"/>
    </row>
    <row r="132" spans="1:7" s="464" customFormat="1" ht="18.75" x14ac:dyDescent="0.25">
      <c r="A132" s="235">
        <v>14</v>
      </c>
      <c r="B132" s="479"/>
      <c r="C132" s="234" t="s">
        <v>30</v>
      </c>
      <c r="D132" s="233">
        <v>4</v>
      </c>
      <c r="E132" s="233"/>
      <c r="F132" s="233"/>
      <c r="G132" s="234"/>
    </row>
    <row r="133" spans="1:7" s="464" customFormat="1" ht="18.75" x14ac:dyDescent="0.25">
      <c r="A133" s="235">
        <v>15</v>
      </c>
      <c r="B133" s="479"/>
      <c r="C133" s="234" t="s">
        <v>31</v>
      </c>
      <c r="D133" s="233">
        <v>40</v>
      </c>
      <c r="E133" s="233"/>
      <c r="F133" s="233"/>
      <c r="G133" s="234"/>
    </row>
    <row r="134" spans="1:7" s="464" customFormat="1" ht="18.75" x14ac:dyDescent="0.25">
      <c r="A134" s="235">
        <v>16</v>
      </c>
      <c r="B134" s="479"/>
      <c r="C134" s="234" t="s">
        <v>32</v>
      </c>
      <c r="D134" s="233">
        <v>39</v>
      </c>
      <c r="E134" s="233"/>
      <c r="F134" s="233"/>
      <c r="G134" s="234"/>
    </row>
    <row r="135" spans="1:7" s="464" customFormat="1" ht="18.75" x14ac:dyDescent="0.25">
      <c r="A135" s="235"/>
      <c r="B135" s="479"/>
      <c r="C135" s="234" t="s">
        <v>201</v>
      </c>
      <c r="D135" s="233">
        <v>17</v>
      </c>
      <c r="E135" s="233"/>
      <c r="F135" s="233"/>
      <c r="G135" s="234"/>
    </row>
    <row r="136" spans="1:7" s="464" customFormat="1" ht="18.75" x14ac:dyDescent="0.25">
      <c r="A136" s="235">
        <v>17</v>
      </c>
      <c r="B136" s="479" t="s">
        <v>33</v>
      </c>
      <c r="C136" s="234" t="s">
        <v>33</v>
      </c>
      <c r="D136" s="233"/>
      <c r="E136" s="233">
        <v>63</v>
      </c>
      <c r="F136" s="233"/>
      <c r="G136" s="234"/>
    </row>
    <row r="137" spans="1:7" s="464" customFormat="1" ht="18.75" x14ac:dyDescent="0.25">
      <c r="A137" s="235">
        <v>18</v>
      </c>
      <c r="B137" s="479"/>
      <c r="C137" s="234" t="s">
        <v>34</v>
      </c>
      <c r="D137" s="233">
        <v>16</v>
      </c>
      <c r="E137" s="233"/>
      <c r="F137" s="233"/>
      <c r="G137" s="234"/>
    </row>
    <row r="138" spans="1:7" s="464" customFormat="1" ht="18.75" x14ac:dyDescent="0.25">
      <c r="A138" s="235">
        <v>19</v>
      </c>
      <c r="B138" s="479"/>
      <c r="C138" s="234" t="s">
        <v>35</v>
      </c>
      <c r="D138" s="233"/>
      <c r="E138" s="233">
        <v>9</v>
      </c>
      <c r="F138" s="233"/>
      <c r="G138" s="234"/>
    </row>
    <row r="139" spans="1:7" s="464" customFormat="1" ht="18.75" x14ac:dyDescent="0.25">
      <c r="A139" s="235">
        <v>20</v>
      </c>
      <c r="B139" s="479"/>
      <c r="C139" s="234" t="s">
        <v>36</v>
      </c>
      <c r="D139" s="233">
        <v>2</v>
      </c>
      <c r="E139" s="233">
        <v>16</v>
      </c>
      <c r="F139" s="233"/>
      <c r="G139" s="234"/>
    </row>
    <row r="140" spans="1:7" s="464" customFormat="1" ht="18.75" x14ac:dyDescent="0.25">
      <c r="A140" s="235">
        <v>21</v>
      </c>
      <c r="B140" s="479"/>
      <c r="C140" s="234" t="s">
        <v>37</v>
      </c>
      <c r="D140" s="233">
        <v>8</v>
      </c>
      <c r="E140" s="233">
        <v>2</v>
      </c>
      <c r="F140" s="233">
        <v>2</v>
      </c>
      <c r="G140" s="234" t="s">
        <v>1261</v>
      </c>
    </row>
    <row r="141" spans="1:7" s="464" customFormat="1" ht="37.5" x14ac:dyDescent="0.25">
      <c r="A141" s="235">
        <v>22</v>
      </c>
      <c r="B141" s="479"/>
      <c r="C141" s="234" t="s">
        <v>141</v>
      </c>
      <c r="D141" s="233">
        <v>1</v>
      </c>
      <c r="E141" s="233">
        <v>17</v>
      </c>
      <c r="F141" s="233">
        <v>1</v>
      </c>
      <c r="G141" s="234" t="s">
        <v>1262</v>
      </c>
    </row>
    <row r="142" spans="1:7" s="464" customFormat="1" ht="21.75" customHeight="1" x14ac:dyDescent="0.25">
      <c r="A142" s="233"/>
      <c r="B142" s="234"/>
      <c r="C142" s="234" t="s">
        <v>308</v>
      </c>
      <c r="D142" s="233"/>
      <c r="E142" s="233"/>
      <c r="F142" s="233"/>
      <c r="G142" s="234"/>
    </row>
    <row r="143" spans="1:7" s="464" customFormat="1" ht="18.75" x14ac:dyDescent="0.25">
      <c r="A143" s="235">
        <v>23</v>
      </c>
      <c r="B143" s="479" t="s">
        <v>38</v>
      </c>
      <c r="C143" s="234" t="s">
        <v>38</v>
      </c>
      <c r="D143" s="233"/>
      <c r="E143" s="233"/>
      <c r="F143" s="233"/>
      <c r="G143" s="234"/>
    </row>
    <row r="144" spans="1:7" s="464" customFormat="1" ht="18.75" x14ac:dyDescent="0.25">
      <c r="A144" s="235">
        <v>24</v>
      </c>
      <c r="B144" s="479"/>
      <c r="C144" s="234" t="s">
        <v>39</v>
      </c>
      <c r="D144" s="233"/>
      <c r="E144" s="233"/>
      <c r="F144" s="233"/>
      <c r="G144" s="234"/>
    </row>
    <row r="145" spans="1:7" s="464" customFormat="1" ht="18.75" x14ac:dyDescent="0.25">
      <c r="A145" s="235">
        <v>25</v>
      </c>
      <c r="B145" s="479" t="s">
        <v>88</v>
      </c>
      <c r="C145" s="234" t="s">
        <v>88</v>
      </c>
      <c r="D145" s="233">
        <v>9</v>
      </c>
      <c r="E145" s="233"/>
      <c r="F145" s="281"/>
      <c r="G145" s="234"/>
    </row>
    <row r="146" spans="1:7" s="464" customFormat="1" ht="18.75" x14ac:dyDescent="0.25">
      <c r="A146" s="235">
        <v>26</v>
      </c>
      <c r="B146" s="479"/>
      <c r="C146" s="234" t="s">
        <v>41</v>
      </c>
      <c r="D146" s="233"/>
      <c r="E146" s="233"/>
      <c r="F146" s="233"/>
      <c r="G146" s="234"/>
    </row>
    <row r="147" spans="1:7" s="464" customFormat="1" ht="18.75" x14ac:dyDescent="0.25">
      <c r="A147" s="235">
        <v>27</v>
      </c>
      <c r="B147" s="479"/>
      <c r="C147" s="234" t="s">
        <v>42</v>
      </c>
      <c r="D147" s="233"/>
      <c r="E147" s="233"/>
      <c r="F147" s="233"/>
      <c r="G147" s="234"/>
    </row>
    <row r="148" spans="1:7" s="465" customFormat="1" ht="18.75" x14ac:dyDescent="0.25">
      <c r="A148" s="93"/>
      <c r="B148" s="503" t="s">
        <v>43</v>
      </c>
      <c r="C148" s="153" t="s">
        <v>89</v>
      </c>
      <c r="D148" s="126"/>
      <c r="E148" s="126"/>
      <c r="F148" s="126"/>
      <c r="G148" s="153"/>
    </row>
    <row r="149" spans="1:7" s="465" customFormat="1" ht="18.75" x14ac:dyDescent="0.25">
      <c r="A149" s="93">
        <v>28</v>
      </c>
      <c r="B149" s="503"/>
      <c r="C149" s="153" t="s">
        <v>44</v>
      </c>
      <c r="D149" s="126"/>
      <c r="E149" s="126">
        <v>7</v>
      </c>
      <c r="F149" s="126">
        <v>7</v>
      </c>
      <c r="G149" s="153" t="s">
        <v>838</v>
      </c>
    </row>
    <row r="150" spans="1:7" s="465" customFormat="1" ht="18.75" x14ac:dyDescent="0.25">
      <c r="A150" s="93">
        <v>29</v>
      </c>
      <c r="B150" s="503"/>
      <c r="C150" s="153" t="s">
        <v>45</v>
      </c>
      <c r="D150" s="126"/>
      <c r="E150" s="126">
        <v>6</v>
      </c>
      <c r="F150" s="126">
        <v>6</v>
      </c>
      <c r="G150" s="153" t="s">
        <v>838</v>
      </c>
    </row>
    <row r="151" spans="1:7" s="465" customFormat="1" ht="18.75" x14ac:dyDescent="0.25">
      <c r="A151" s="93">
        <v>30</v>
      </c>
      <c r="B151" s="479" t="s">
        <v>46</v>
      </c>
      <c r="C151" s="153" t="s">
        <v>47</v>
      </c>
      <c r="D151" s="126"/>
      <c r="E151" s="126"/>
      <c r="F151" s="126"/>
      <c r="G151" s="153"/>
    </row>
    <row r="152" spans="1:7" s="464" customFormat="1" ht="18.75" x14ac:dyDescent="0.25">
      <c r="A152" s="235">
        <v>31</v>
      </c>
      <c r="B152" s="479"/>
      <c r="C152" s="234" t="s">
        <v>142</v>
      </c>
      <c r="D152" s="233"/>
      <c r="E152" s="233"/>
      <c r="F152" s="233"/>
      <c r="G152" s="234"/>
    </row>
    <row r="153" spans="1:7" s="464" customFormat="1" ht="18.75" x14ac:dyDescent="0.25">
      <c r="A153" s="235">
        <v>32</v>
      </c>
      <c r="B153" s="479"/>
      <c r="C153" s="234" t="s">
        <v>75</v>
      </c>
      <c r="D153" s="233"/>
      <c r="E153" s="233"/>
      <c r="F153" s="233"/>
      <c r="G153" s="234"/>
    </row>
    <row r="154" spans="1:7" s="464" customFormat="1" ht="18.75" x14ac:dyDescent="0.25">
      <c r="A154" s="235">
        <v>33</v>
      </c>
      <c r="B154" s="479" t="s">
        <v>49</v>
      </c>
      <c r="C154" s="234" t="s">
        <v>360</v>
      </c>
      <c r="D154" s="233"/>
      <c r="E154" s="233">
        <v>31</v>
      </c>
      <c r="F154" s="233"/>
      <c r="G154" s="234"/>
    </row>
    <row r="155" spans="1:7" s="464" customFormat="1" ht="18.75" x14ac:dyDescent="0.25">
      <c r="A155" s="235">
        <v>34</v>
      </c>
      <c r="B155" s="479"/>
      <c r="C155" s="234" t="s">
        <v>50</v>
      </c>
      <c r="D155" s="233"/>
      <c r="E155" s="233"/>
      <c r="F155" s="233"/>
      <c r="G155" s="234"/>
    </row>
    <row r="156" spans="1:7" s="464" customFormat="1" ht="18.75" x14ac:dyDescent="0.25">
      <c r="A156" s="235">
        <v>35</v>
      </c>
      <c r="B156" s="479"/>
      <c r="C156" s="234" t="s">
        <v>51</v>
      </c>
      <c r="D156" s="233"/>
      <c r="E156" s="233"/>
      <c r="F156" s="233"/>
      <c r="G156" s="234"/>
    </row>
    <row r="157" spans="1:7" s="464" customFormat="1" ht="18.75" x14ac:dyDescent="0.25">
      <c r="A157" s="235">
        <v>36</v>
      </c>
      <c r="B157" s="479" t="s">
        <v>52</v>
      </c>
      <c r="C157" s="234" t="s">
        <v>53</v>
      </c>
      <c r="D157" s="233">
        <v>6</v>
      </c>
      <c r="E157" s="233"/>
      <c r="F157" s="233"/>
      <c r="G157" s="234"/>
    </row>
    <row r="158" spans="1:7" s="464" customFormat="1" ht="18.75" x14ac:dyDescent="0.25">
      <c r="A158" s="235">
        <v>37</v>
      </c>
      <c r="B158" s="479"/>
      <c r="C158" s="234" t="s">
        <v>54</v>
      </c>
      <c r="D158" s="233">
        <v>4</v>
      </c>
      <c r="E158" s="233"/>
      <c r="F158" s="233">
        <v>2</v>
      </c>
      <c r="G158" s="234" t="s">
        <v>838</v>
      </c>
    </row>
    <row r="159" spans="1:7" s="464" customFormat="1" ht="18.75" x14ac:dyDescent="0.25">
      <c r="A159" s="235">
        <v>38</v>
      </c>
      <c r="B159" s="479"/>
      <c r="C159" s="234" t="s">
        <v>55</v>
      </c>
      <c r="D159" s="233">
        <v>5</v>
      </c>
      <c r="E159" s="233"/>
      <c r="F159" s="233">
        <v>5</v>
      </c>
      <c r="G159" s="234" t="s">
        <v>838</v>
      </c>
    </row>
    <row r="160" spans="1:7" s="464" customFormat="1" ht="18.75" x14ac:dyDescent="0.25">
      <c r="A160" s="235">
        <v>39</v>
      </c>
      <c r="B160" s="479"/>
      <c r="C160" s="234" t="s">
        <v>56</v>
      </c>
      <c r="D160" s="233">
        <v>8</v>
      </c>
      <c r="E160" s="233"/>
      <c r="F160" s="233">
        <v>5</v>
      </c>
      <c r="G160" s="234" t="s">
        <v>838</v>
      </c>
    </row>
    <row r="161" spans="1:16" s="464" customFormat="1" ht="18.75" x14ac:dyDescent="0.25">
      <c r="A161" s="235">
        <v>40</v>
      </c>
      <c r="B161" s="479"/>
      <c r="C161" s="234" t="s">
        <v>57</v>
      </c>
      <c r="D161" s="233"/>
      <c r="E161" s="233">
        <v>10</v>
      </c>
      <c r="F161" s="233"/>
      <c r="G161" s="234"/>
    </row>
    <row r="162" spans="1:16" s="464" customFormat="1" ht="18.75" x14ac:dyDescent="0.25">
      <c r="A162" s="235">
        <v>41</v>
      </c>
      <c r="B162" s="479"/>
      <c r="C162" s="234" t="s">
        <v>58</v>
      </c>
      <c r="D162" s="233">
        <v>5</v>
      </c>
      <c r="E162" s="233">
        <v>5</v>
      </c>
      <c r="F162" s="233">
        <v>8</v>
      </c>
      <c r="G162" s="234" t="s">
        <v>838</v>
      </c>
    </row>
    <row r="163" spans="1:16" s="464" customFormat="1" ht="18.75" x14ac:dyDescent="0.25">
      <c r="A163" s="271"/>
      <c r="B163" s="272"/>
      <c r="C163" s="48" t="s">
        <v>60</v>
      </c>
      <c r="D163" s="47">
        <f>SUM(D119:D162)</f>
        <v>267</v>
      </c>
      <c r="E163" s="47">
        <f>SUM(E119:E162)</f>
        <v>232</v>
      </c>
      <c r="F163" s="47">
        <f>SUM(F119:F162)</f>
        <v>46</v>
      </c>
      <c r="G163" s="47">
        <f>SUM(G119:G162)</f>
        <v>0</v>
      </c>
    </row>
    <row r="164" spans="1:16" ht="18.75" x14ac:dyDescent="0.25">
      <c r="F164" s="199"/>
      <c r="G164" s="199"/>
    </row>
    <row r="167" spans="1:16" ht="36.75" customHeight="1" x14ac:dyDescent="0.25">
      <c r="A167" s="541" t="s">
        <v>1071</v>
      </c>
      <c r="B167" s="541"/>
      <c r="C167" s="541"/>
      <c r="D167" s="541"/>
      <c r="E167" s="541"/>
      <c r="F167" s="541"/>
      <c r="G167" s="541"/>
      <c r="K167" s="463"/>
      <c r="L167" s="463"/>
      <c r="M167" s="463"/>
      <c r="N167" s="463"/>
      <c r="O167" s="463"/>
      <c r="P167" s="463"/>
    </row>
    <row r="168" spans="1:16" s="464" customFormat="1" ht="60.75" x14ac:dyDescent="0.25">
      <c r="A168" s="1" t="s">
        <v>0</v>
      </c>
      <c r="B168" s="1" t="s">
        <v>1</v>
      </c>
      <c r="C168" s="1" t="s">
        <v>2</v>
      </c>
      <c r="D168" s="1" t="s">
        <v>604</v>
      </c>
      <c r="E168" s="1" t="s">
        <v>837</v>
      </c>
      <c r="F168" s="1" t="s">
        <v>690</v>
      </c>
      <c r="G168" s="1" t="s">
        <v>631</v>
      </c>
      <c r="K168" s="463"/>
      <c r="L168" s="463"/>
      <c r="M168" s="463"/>
      <c r="N168" s="463"/>
      <c r="O168" s="463"/>
      <c r="P168" s="463"/>
    </row>
    <row r="169" spans="1:16" s="464" customFormat="1" ht="18.75" x14ac:dyDescent="0.25">
      <c r="A169" s="235">
        <v>1</v>
      </c>
      <c r="B169" s="533" t="s">
        <v>16</v>
      </c>
      <c r="C169" s="234" t="s">
        <v>17</v>
      </c>
      <c r="D169" s="233"/>
      <c r="E169" s="233"/>
      <c r="F169" s="233"/>
      <c r="G169" s="234"/>
      <c r="K169" s="463"/>
      <c r="L169" s="463"/>
      <c r="M169" s="463"/>
      <c r="N169" s="463"/>
      <c r="O169" s="463"/>
      <c r="P169" s="463"/>
    </row>
    <row r="170" spans="1:16" s="464" customFormat="1" ht="18.75" x14ac:dyDescent="0.25">
      <c r="A170" s="235">
        <v>2</v>
      </c>
      <c r="B170" s="533"/>
      <c r="C170" s="234" t="s">
        <v>19</v>
      </c>
      <c r="D170" s="233"/>
      <c r="E170" s="233"/>
      <c r="F170" s="233"/>
      <c r="G170" s="234"/>
      <c r="K170" s="463"/>
      <c r="L170" s="463"/>
      <c r="M170" s="463"/>
      <c r="N170" s="463"/>
      <c r="O170" s="463"/>
      <c r="P170" s="463"/>
    </row>
    <row r="171" spans="1:16" s="464" customFormat="1" ht="18.75" x14ac:dyDescent="0.3">
      <c r="A171" s="235">
        <v>3</v>
      </c>
      <c r="B171" s="195" t="s">
        <v>20</v>
      </c>
      <c r="C171" s="234" t="s">
        <v>20</v>
      </c>
      <c r="D171" s="233">
        <v>6</v>
      </c>
      <c r="E171" s="233"/>
      <c r="F171" s="233"/>
      <c r="G171" s="234"/>
      <c r="K171" s="463"/>
      <c r="L171" s="463"/>
      <c r="M171" s="463"/>
      <c r="N171" s="463"/>
      <c r="O171" s="463"/>
      <c r="P171" s="463"/>
    </row>
    <row r="172" spans="1:16" s="464" customFormat="1" ht="18.75" x14ac:dyDescent="0.25">
      <c r="A172" s="235">
        <v>4</v>
      </c>
      <c r="B172" s="479" t="s">
        <v>21</v>
      </c>
      <c r="C172" s="234" t="s">
        <v>21</v>
      </c>
      <c r="D172" s="233">
        <v>2</v>
      </c>
      <c r="E172" s="233"/>
      <c r="F172" s="233"/>
      <c r="G172" s="234"/>
    </row>
    <row r="173" spans="1:16" s="464" customFormat="1" ht="18.75" x14ac:dyDescent="0.25">
      <c r="A173" s="235">
        <v>5</v>
      </c>
      <c r="B173" s="479"/>
      <c r="C173" s="234" t="s">
        <v>22</v>
      </c>
      <c r="D173" s="233">
        <v>24</v>
      </c>
      <c r="E173" s="233"/>
      <c r="F173" s="233"/>
      <c r="G173" s="234"/>
    </row>
    <row r="174" spans="1:16" s="464" customFormat="1" ht="18.75" x14ac:dyDescent="0.25">
      <c r="A174" s="235">
        <v>6</v>
      </c>
      <c r="B174" s="479"/>
      <c r="C174" s="234" t="s">
        <v>143</v>
      </c>
      <c r="D174" s="233"/>
      <c r="E174" s="233"/>
      <c r="F174" s="233"/>
      <c r="G174" s="234"/>
    </row>
    <row r="175" spans="1:16" s="464" customFormat="1" ht="18.75" customHeight="1" x14ac:dyDescent="0.25">
      <c r="A175" s="235">
        <v>7</v>
      </c>
      <c r="B175" s="479"/>
      <c r="C175" s="234" t="s">
        <v>144</v>
      </c>
      <c r="D175" s="233"/>
      <c r="E175" s="233"/>
      <c r="F175" s="233"/>
      <c r="G175" s="234"/>
    </row>
    <row r="176" spans="1:16" s="464" customFormat="1" ht="18.75" x14ac:dyDescent="0.25">
      <c r="A176" s="235">
        <v>8</v>
      </c>
      <c r="B176" s="479" t="s">
        <v>23</v>
      </c>
      <c r="C176" s="234" t="s">
        <v>23</v>
      </c>
      <c r="D176" s="233">
        <v>10</v>
      </c>
      <c r="E176" s="233">
        <v>4</v>
      </c>
      <c r="F176" s="233"/>
      <c r="G176" s="234"/>
    </row>
    <row r="177" spans="1:7" s="464" customFormat="1" ht="18.75" x14ac:dyDescent="0.25">
      <c r="A177" s="235">
        <v>9</v>
      </c>
      <c r="B177" s="479"/>
      <c r="C177" s="234" t="s">
        <v>685</v>
      </c>
      <c r="D177" s="233"/>
      <c r="E177" s="233"/>
      <c r="F177" s="233"/>
      <c r="G177" s="234"/>
    </row>
    <row r="178" spans="1:7" s="464" customFormat="1" ht="18.75" x14ac:dyDescent="0.25">
      <c r="A178" s="235">
        <v>10</v>
      </c>
      <c r="B178" s="479" t="s">
        <v>25</v>
      </c>
      <c r="C178" s="234" t="s">
        <v>26</v>
      </c>
      <c r="D178" s="233">
        <v>6</v>
      </c>
      <c r="E178" s="233">
        <v>12</v>
      </c>
      <c r="F178" s="233"/>
      <c r="G178" s="234"/>
    </row>
    <row r="179" spans="1:7" s="464" customFormat="1" ht="18.75" x14ac:dyDescent="0.25">
      <c r="A179" s="235">
        <v>11</v>
      </c>
      <c r="B179" s="479"/>
      <c r="C179" s="234" t="s">
        <v>27</v>
      </c>
      <c r="D179" s="233"/>
      <c r="E179" s="233">
        <v>2</v>
      </c>
      <c r="F179" s="233"/>
      <c r="G179" s="234"/>
    </row>
    <row r="180" spans="1:7" s="464" customFormat="1" ht="18.75" x14ac:dyDescent="0.25">
      <c r="A180" s="235">
        <v>12</v>
      </c>
      <c r="B180" s="479"/>
      <c r="C180" s="234" t="s">
        <v>864</v>
      </c>
      <c r="D180" s="233"/>
      <c r="E180" s="233"/>
      <c r="F180" s="233"/>
      <c r="G180" s="234"/>
    </row>
    <row r="181" spans="1:7" s="464" customFormat="1" ht="18.75" x14ac:dyDescent="0.25">
      <c r="A181" s="235">
        <v>13</v>
      </c>
      <c r="B181" s="479" t="s">
        <v>28</v>
      </c>
      <c r="C181" s="234" t="s">
        <v>29</v>
      </c>
      <c r="D181" s="233">
        <v>74</v>
      </c>
      <c r="E181" s="233"/>
      <c r="F181" s="233"/>
      <c r="G181" s="234"/>
    </row>
    <row r="182" spans="1:7" s="464" customFormat="1" ht="18.75" x14ac:dyDescent="0.25">
      <c r="A182" s="235">
        <v>14</v>
      </c>
      <c r="B182" s="479"/>
      <c r="C182" s="234" t="s">
        <v>30</v>
      </c>
      <c r="D182" s="233">
        <v>5</v>
      </c>
      <c r="E182" s="233"/>
      <c r="F182" s="233"/>
      <c r="G182" s="234"/>
    </row>
    <row r="183" spans="1:7" s="464" customFormat="1" ht="18.75" x14ac:dyDescent="0.25">
      <c r="A183" s="235">
        <v>15</v>
      </c>
      <c r="B183" s="479"/>
      <c r="C183" s="234" t="s">
        <v>31</v>
      </c>
      <c r="D183" s="233">
        <v>27</v>
      </c>
      <c r="E183" s="233"/>
      <c r="F183" s="233"/>
      <c r="G183" s="234"/>
    </row>
    <row r="184" spans="1:7" s="464" customFormat="1" ht="18.75" x14ac:dyDescent="0.25">
      <c r="A184" s="235">
        <v>16</v>
      </c>
      <c r="B184" s="479"/>
      <c r="C184" s="234" t="s">
        <v>32</v>
      </c>
      <c r="D184" s="233">
        <v>33</v>
      </c>
      <c r="E184" s="233"/>
      <c r="F184" s="233"/>
      <c r="G184" s="234"/>
    </row>
    <row r="185" spans="1:7" s="464" customFormat="1" ht="18.75" x14ac:dyDescent="0.25">
      <c r="A185" s="235"/>
      <c r="B185" s="479"/>
      <c r="C185" s="234" t="s">
        <v>201</v>
      </c>
      <c r="D185" s="233">
        <v>21</v>
      </c>
      <c r="E185" s="233"/>
      <c r="F185" s="233"/>
      <c r="G185" s="234"/>
    </row>
    <row r="186" spans="1:7" s="464" customFormat="1" ht="18.75" x14ac:dyDescent="0.25">
      <c r="A186" s="235">
        <v>17</v>
      </c>
      <c r="B186" s="479" t="s">
        <v>33</v>
      </c>
      <c r="C186" s="234" t="s">
        <v>33</v>
      </c>
      <c r="D186" s="233">
        <v>21</v>
      </c>
      <c r="E186" s="233"/>
      <c r="F186" s="233"/>
      <c r="G186" s="234"/>
    </row>
    <row r="187" spans="1:7" s="464" customFormat="1" ht="18.75" x14ac:dyDescent="0.25">
      <c r="A187" s="235">
        <v>18</v>
      </c>
      <c r="B187" s="479"/>
      <c r="C187" s="234" t="s">
        <v>34</v>
      </c>
      <c r="D187" s="233">
        <v>11</v>
      </c>
      <c r="E187" s="233">
        <v>1</v>
      </c>
      <c r="F187" s="233"/>
      <c r="G187" s="234"/>
    </row>
    <row r="188" spans="1:7" s="464" customFormat="1" ht="18.75" x14ac:dyDescent="0.25">
      <c r="A188" s="235">
        <v>19</v>
      </c>
      <c r="B188" s="479"/>
      <c r="C188" s="234" t="s">
        <v>35</v>
      </c>
      <c r="D188" s="233">
        <v>5</v>
      </c>
      <c r="E188" s="233"/>
      <c r="F188" s="233"/>
      <c r="G188" s="234"/>
    </row>
    <row r="189" spans="1:7" s="464" customFormat="1" ht="18.75" x14ac:dyDescent="0.25">
      <c r="A189" s="235">
        <v>20</v>
      </c>
      <c r="B189" s="479"/>
      <c r="C189" s="234" t="s">
        <v>36</v>
      </c>
      <c r="D189" s="233">
        <v>2</v>
      </c>
      <c r="E189" s="233">
        <v>9</v>
      </c>
      <c r="F189" s="233"/>
      <c r="G189" s="234"/>
    </row>
    <row r="190" spans="1:7" s="464" customFormat="1" ht="18.75" x14ac:dyDescent="0.25">
      <c r="A190" s="235">
        <v>21</v>
      </c>
      <c r="B190" s="479"/>
      <c r="C190" s="234" t="s">
        <v>37</v>
      </c>
      <c r="D190" s="233">
        <v>4</v>
      </c>
      <c r="E190" s="233">
        <v>2</v>
      </c>
      <c r="F190" s="233">
        <v>1</v>
      </c>
      <c r="G190" s="234" t="s">
        <v>838</v>
      </c>
    </row>
    <row r="191" spans="1:7" s="464" customFormat="1" ht="18.75" x14ac:dyDescent="0.25">
      <c r="A191" s="235">
        <v>22</v>
      </c>
      <c r="B191" s="479"/>
      <c r="C191" s="234" t="s">
        <v>141</v>
      </c>
      <c r="D191" s="233">
        <v>2</v>
      </c>
      <c r="E191" s="233">
        <v>4</v>
      </c>
      <c r="F191" s="233">
        <v>1</v>
      </c>
      <c r="G191" s="234" t="s">
        <v>838</v>
      </c>
    </row>
    <row r="192" spans="1:7" s="464" customFormat="1" ht="21.75" customHeight="1" x14ac:dyDescent="0.25">
      <c r="A192" s="233"/>
      <c r="B192" s="234"/>
      <c r="C192" s="234" t="s">
        <v>308</v>
      </c>
      <c r="D192" s="233"/>
      <c r="E192" s="233"/>
      <c r="F192" s="233"/>
      <c r="G192" s="234"/>
    </row>
    <row r="193" spans="1:7" s="464" customFormat="1" ht="18.75" x14ac:dyDescent="0.25">
      <c r="A193" s="235">
        <v>23</v>
      </c>
      <c r="B193" s="479" t="s">
        <v>38</v>
      </c>
      <c r="C193" s="234" t="s">
        <v>38</v>
      </c>
      <c r="D193" s="233">
        <v>16</v>
      </c>
      <c r="E193" s="233"/>
      <c r="F193" s="233"/>
      <c r="G193" s="234"/>
    </row>
    <row r="194" spans="1:7" s="464" customFormat="1" ht="18.75" x14ac:dyDescent="0.25">
      <c r="A194" s="235">
        <v>24</v>
      </c>
      <c r="B194" s="479"/>
      <c r="C194" s="234" t="s">
        <v>39</v>
      </c>
      <c r="D194" s="233">
        <v>20</v>
      </c>
      <c r="E194" s="233"/>
      <c r="F194" s="233"/>
      <c r="G194" s="234"/>
    </row>
    <row r="195" spans="1:7" s="464" customFormat="1" ht="18.75" x14ac:dyDescent="0.25">
      <c r="A195" s="235">
        <v>25</v>
      </c>
      <c r="B195" s="479" t="s">
        <v>88</v>
      </c>
      <c r="C195" s="234" t="s">
        <v>88</v>
      </c>
      <c r="D195" s="233">
        <v>6</v>
      </c>
      <c r="E195" s="233"/>
      <c r="F195" s="281"/>
      <c r="G195" s="234"/>
    </row>
    <row r="196" spans="1:7" s="464" customFormat="1" ht="18.75" x14ac:dyDescent="0.25">
      <c r="A196" s="235">
        <v>26</v>
      </c>
      <c r="B196" s="479"/>
      <c r="C196" s="234" t="s">
        <v>41</v>
      </c>
      <c r="D196" s="233"/>
      <c r="E196" s="233"/>
      <c r="F196" s="233"/>
      <c r="G196" s="234"/>
    </row>
    <row r="197" spans="1:7" s="464" customFormat="1" ht="18.75" x14ac:dyDescent="0.25">
      <c r="A197" s="235">
        <v>27</v>
      </c>
      <c r="B197" s="479"/>
      <c r="C197" s="234" t="s">
        <v>42</v>
      </c>
      <c r="D197" s="233"/>
      <c r="E197" s="233"/>
      <c r="F197" s="233"/>
      <c r="G197" s="234"/>
    </row>
    <row r="198" spans="1:7" s="465" customFormat="1" ht="18.75" x14ac:dyDescent="0.25">
      <c r="A198" s="93"/>
      <c r="B198" s="503" t="s">
        <v>43</v>
      </c>
      <c r="C198" s="153" t="s">
        <v>89</v>
      </c>
      <c r="D198" s="126">
        <v>3</v>
      </c>
      <c r="E198" s="126">
        <v>5</v>
      </c>
      <c r="F198" s="126">
        <v>8</v>
      </c>
      <c r="G198" s="153" t="s">
        <v>838</v>
      </c>
    </row>
    <row r="199" spans="1:7" s="465" customFormat="1" ht="18.75" x14ac:dyDescent="0.25">
      <c r="A199" s="93">
        <v>28</v>
      </c>
      <c r="B199" s="503"/>
      <c r="C199" s="153" t="s">
        <v>44</v>
      </c>
      <c r="D199" s="126"/>
      <c r="E199" s="126"/>
      <c r="F199" s="126"/>
      <c r="G199" s="153"/>
    </row>
    <row r="200" spans="1:7" s="465" customFormat="1" ht="18.75" x14ac:dyDescent="0.25">
      <c r="A200" s="93">
        <v>29</v>
      </c>
      <c r="B200" s="503"/>
      <c r="C200" s="153" t="s">
        <v>45</v>
      </c>
      <c r="D200" s="126">
        <v>9</v>
      </c>
      <c r="E200" s="126"/>
      <c r="F200" s="126">
        <v>9</v>
      </c>
      <c r="G200" s="153" t="s">
        <v>838</v>
      </c>
    </row>
    <row r="201" spans="1:7" s="465" customFormat="1" ht="18.75" x14ac:dyDescent="0.25">
      <c r="A201" s="93">
        <v>30</v>
      </c>
      <c r="B201" s="479" t="s">
        <v>46</v>
      </c>
      <c r="C201" s="153" t="s">
        <v>47</v>
      </c>
      <c r="D201" s="126">
        <v>5</v>
      </c>
      <c r="E201" s="126">
        <v>5</v>
      </c>
      <c r="F201" s="126"/>
      <c r="G201" s="153"/>
    </row>
    <row r="202" spans="1:7" s="464" customFormat="1" ht="18.75" x14ac:dyDescent="0.25">
      <c r="A202" s="235">
        <v>31</v>
      </c>
      <c r="B202" s="479"/>
      <c r="C202" s="234" t="s">
        <v>142</v>
      </c>
      <c r="D202" s="233">
        <v>2</v>
      </c>
      <c r="E202" s="233"/>
      <c r="F202" s="233"/>
      <c r="G202" s="234"/>
    </row>
    <row r="203" spans="1:7" s="464" customFormat="1" ht="18.75" x14ac:dyDescent="0.25">
      <c r="A203" s="235">
        <v>32</v>
      </c>
      <c r="B203" s="479"/>
      <c r="C203" s="234" t="s">
        <v>75</v>
      </c>
      <c r="D203" s="233">
        <v>2</v>
      </c>
      <c r="E203" s="233"/>
      <c r="F203" s="233"/>
      <c r="G203" s="234"/>
    </row>
    <row r="204" spans="1:7" s="464" customFormat="1" ht="18.75" x14ac:dyDescent="0.25">
      <c r="A204" s="235">
        <v>33</v>
      </c>
      <c r="B204" s="479" t="s">
        <v>49</v>
      </c>
      <c r="C204" s="234" t="s">
        <v>360</v>
      </c>
      <c r="D204" s="233"/>
      <c r="E204" s="233">
        <v>7</v>
      </c>
      <c r="F204" s="233"/>
      <c r="G204" s="234"/>
    </row>
    <row r="205" spans="1:7" s="464" customFormat="1" ht="18.75" x14ac:dyDescent="0.25">
      <c r="A205" s="235">
        <v>34</v>
      </c>
      <c r="B205" s="479"/>
      <c r="C205" s="234" t="s">
        <v>50</v>
      </c>
      <c r="D205" s="233"/>
      <c r="E205" s="233">
        <v>12</v>
      </c>
      <c r="F205" s="233"/>
      <c r="G205" s="234"/>
    </row>
    <row r="206" spans="1:7" s="464" customFormat="1" ht="18.75" x14ac:dyDescent="0.25">
      <c r="A206" s="235">
        <v>35</v>
      </c>
      <c r="B206" s="479"/>
      <c r="C206" s="234" t="s">
        <v>51</v>
      </c>
      <c r="D206" s="233"/>
      <c r="E206" s="233">
        <v>5</v>
      </c>
      <c r="F206" s="233"/>
      <c r="G206" s="234"/>
    </row>
    <row r="207" spans="1:7" s="464" customFormat="1" ht="18.75" x14ac:dyDescent="0.25">
      <c r="A207" s="235">
        <v>36</v>
      </c>
      <c r="B207" s="479" t="s">
        <v>52</v>
      </c>
      <c r="C207" s="234" t="s">
        <v>53</v>
      </c>
      <c r="D207" s="233">
        <v>6</v>
      </c>
      <c r="E207" s="233"/>
      <c r="F207" s="233"/>
      <c r="G207" s="234"/>
    </row>
    <row r="208" spans="1:7" s="464" customFormat="1" ht="18.75" x14ac:dyDescent="0.25">
      <c r="A208" s="235">
        <v>37</v>
      </c>
      <c r="B208" s="479"/>
      <c r="C208" s="234" t="s">
        <v>54</v>
      </c>
      <c r="D208" s="233"/>
      <c r="E208" s="233">
        <v>4</v>
      </c>
      <c r="F208" s="233">
        <v>3</v>
      </c>
      <c r="G208" s="234" t="s">
        <v>838</v>
      </c>
    </row>
    <row r="209" spans="1:16" s="464" customFormat="1" ht="18.75" x14ac:dyDescent="0.25">
      <c r="A209" s="235">
        <v>38</v>
      </c>
      <c r="B209" s="479"/>
      <c r="C209" s="234" t="s">
        <v>55</v>
      </c>
      <c r="D209" s="233"/>
      <c r="E209" s="233">
        <v>5</v>
      </c>
      <c r="F209" s="233">
        <v>1</v>
      </c>
      <c r="G209" s="234" t="s">
        <v>838</v>
      </c>
    </row>
    <row r="210" spans="1:16" s="464" customFormat="1" ht="18.75" x14ac:dyDescent="0.25">
      <c r="A210" s="235">
        <v>39</v>
      </c>
      <c r="B210" s="479"/>
      <c r="C210" s="234" t="s">
        <v>56</v>
      </c>
      <c r="D210" s="233"/>
      <c r="E210" s="233">
        <v>8</v>
      </c>
      <c r="F210" s="233">
        <v>5</v>
      </c>
      <c r="G210" s="234" t="s">
        <v>838</v>
      </c>
    </row>
    <row r="211" spans="1:16" s="464" customFormat="1" ht="18.75" x14ac:dyDescent="0.25">
      <c r="A211" s="235">
        <v>40</v>
      </c>
      <c r="B211" s="479"/>
      <c r="C211" s="234" t="s">
        <v>57</v>
      </c>
      <c r="D211" s="233"/>
      <c r="E211" s="233">
        <v>8</v>
      </c>
      <c r="F211" s="233"/>
      <c r="G211" s="234"/>
    </row>
    <row r="212" spans="1:16" s="464" customFormat="1" ht="18.75" x14ac:dyDescent="0.25">
      <c r="A212" s="235">
        <v>41</v>
      </c>
      <c r="B212" s="479"/>
      <c r="C212" s="234" t="s">
        <v>58</v>
      </c>
      <c r="D212" s="233">
        <v>3</v>
      </c>
      <c r="E212" s="233">
        <v>3</v>
      </c>
      <c r="F212" s="233">
        <v>2</v>
      </c>
      <c r="G212" s="234" t="s">
        <v>838</v>
      </c>
    </row>
    <row r="213" spans="1:16" s="464" customFormat="1" ht="18.75" x14ac:dyDescent="0.25">
      <c r="A213" s="271"/>
      <c r="B213" s="272"/>
      <c r="C213" s="48" t="s">
        <v>60</v>
      </c>
      <c r="D213" s="47">
        <f>SUM(D169:D212)</f>
        <v>325</v>
      </c>
      <c r="E213" s="47">
        <f>SUM(E169:E212)</f>
        <v>96</v>
      </c>
      <c r="F213" s="47">
        <f>SUM(F169:F212)</f>
        <v>30</v>
      </c>
      <c r="G213" s="47">
        <f>SUM(G169:G212)</f>
        <v>0</v>
      </c>
    </row>
    <row r="214" spans="1:16" ht="18.75" x14ac:dyDescent="0.25">
      <c r="F214" s="199"/>
      <c r="G214" s="199"/>
    </row>
    <row r="216" spans="1:16" ht="36.75" customHeight="1" x14ac:dyDescent="0.25">
      <c r="A216" s="541" t="s">
        <v>778</v>
      </c>
      <c r="B216" s="541"/>
      <c r="C216" s="541"/>
      <c r="D216" s="541"/>
      <c r="E216" s="541"/>
      <c r="F216" s="541"/>
      <c r="G216" s="541"/>
      <c r="K216" s="463"/>
      <c r="L216" s="463"/>
      <c r="M216" s="463"/>
      <c r="N216" s="463"/>
      <c r="O216" s="463"/>
      <c r="P216" s="463"/>
    </row>
    <row r="217" spans="1:16" s="464" customFormat="1" ht="60.75" x14ac:dyDescent="0.25">
      <c r="A217" s="1" t="s">
        <v>0</v>
      </c>
      <c r="B217" s="1" t="s">
        <v>1</v>
      </c>
      <c r="C217" s="1" t="s">
        <v>2</v>
      </c>
      <c r="D217" s="1" t="s">
        <v>604</v>
      </c>
      <c r="E217" s="1" t="s">
        <v>837</v>
      </c>
      <c r="F217" s="1" t="s">
        <v>690</v>
      </c>
      <c r="G217" s="1" t="s">
        <v>631</v>
      </c>
      <c r="K217" s="463"/>
      <c r="L217" s="463"/>
      <c r="M217" s="463"/>
      <c r="N217" s="463"/>
      <c r="O217" s="463"/>
      <c r="P217" s="463"/>
    </row>
    <row r="218" spans="1:16" s="464" customFormat="1" ht="18.75" x14ac:dyDescent="0.25">
      <c r="A218" s="235">
        <v>1</v>
      </c>
      <c r="B218" s="533" t="s">
        <v>16</v>
      </c>
      <c r="C218" s="234" t="s">
        <v>17</v>
      </c>
      <c r="D218" s="233"/>
      <c r="E218" s="233">
        <v>11</v>
      </c>
      <c r="F218" s="233"/>
      <c r="G218" s="234"/>
      <c r="K218" s="463"/>
      <c r="L218" s="463"/>
      <c r="M218" s="463"/>
      <c r="N218" s="463"/>
      <c r="O218" s="463"/>
      <c r="P218" s="463"/>
    </row>
    <row r="219" spans="1:16" s="464" customFormat="1" ht="18.75" x14ac:dyDescent="0.25">
      <c r="A219" s="235">
        <v>2</v>
      </c>
      <c r="B219" s="533"/>
      <c r="C219" s="234" t="s">
        <v>19</v>
      </c>
      <c r="D219" s="233"/>
      <c r="E219" s="233"/>
      <c r="F219" s="233"/>
      <c r="G219" s="234"/>
      <c r="K219" s="463"/>
      <c r="L219" s="463"/>
      <c r="M219" s="463"/>
      <c r="N219" s="463"/>
      <c r="O219" s="463"/>
      <c r="P219" s="463"/>
    </row>
    <row r="220" spans="1:16" s="464" customFormat="1" ht="18.75" x14ac:dyDescent="0.3">
      <c r="A220" s="235">
        <v>3</v>
      </c>
      <c r="B220" s="195" t="s">
        <v>20</v>
      </c>
      <c r="C220" s="234" t="s">
        <v>20</v>
      </c>
      <c r="D220" s="233">
        <v>9</v>
      </c>
      <c r="E220" s="233"/>
      <c r="F220" s="233"/>
      <c r="G220" s="234"/>
      <c r="K220" s="463"/>
      <c r="L220" s="463"/>
      <c r="M220" s="463"/>
      <c r="N220" s="463"/>
      <c r="O220" s="463"/>
      <c r="P220" s="463"/>
    </row>
    <row r="221" spans="1:16" s="464" customFormat="1" ht="18.75" x14ac:dyDescent="0.25">
      <c r="A221" s="235">
        <v>4</v>
      </c>
      <c r="B221" s="479" t="s">
        <v>21</v>
      </c>
      <c r="C221" s="234" t="s">
        <v>21</v>
      </c>
      <c r="D221" s="233">
        <v>25</v>
      </c>
      <c r="E221" s="233"/>
      <c r="F221" s="233">
        <v>8</v>
      </c>
      <c r="G221" s="234" t="s">
        <v>863</v>
      </c>
    </row>
    <row r="222" spans="1:16" s="464" customFormat="1" ht="18.75" x14ac:dyDescent="0.25">
      <c r="A222" s="235">
        <v>5</v>
      </c>
      <c r="B222" s="479"/>
      <c r="C222" s="234" t="s">
        <v>22</v>
      </c>
      <c r="D222" s="233">
        <v>22</v>
      </c>
      <c r="E222" s="233"/>
      <c r="F222" s="233"/>
      <c r="G222" s="234"/>
    </row>
    <row r="223" spans="1:16" s="464" customFormat="1" ht="18.75" x14ac:dyDescent="0.25">
      <c r="A223" s="235">
        <v>6</v>
      </c>
      <c r="B223" s="479"/>
      <c r="C223" s="234" t="s">
        <v>143</v>
      </c>
      <c r="D223" s="233">
        <v>21</v>
      </c>
      <c r="E223" s="233"/>
      <c r="F223" s="233">
        <v>1</v>
      </c>
      <c r="G223" s="234" t="s">
        <v>863</v>
      </c>
    </row>
    <row r="224" spans="1:16" s="464" customFormat="1" ht="18.75" customHeight="1" x14ac:dyDescent="0.25">
      <c r="A224" s="235">
        <v>7</v>
      </c>
      <c r="B224" s="479"/>
      <c r="C224" s="234" t="s">
        <v>144</v>
      </c>
      <c r="D224" s="233">
        <v>18</v>
      </c>
      <c r="E224" s="233"/>
      <c r="F224" s="233">
        <v>7</v>
      </c>
      <c r="G224" s="234" t="s">
        <v>863</v>
      </c>
    </row>
    <row r="225" spans="1:7" s="464" customFormat="1" ht="18.75" x14ac:dyDescent="0.25">
      <c r="A225" s="235">
        <v>8</v>
      </c>
      <c r="B225" s="479" t="s">
        <v>23</v>
      </c>
      <c r="C225" s="234" t="s">
        <v>23</v>
      </c>
      <c r="D225" s="233">
        <v>8</v>
      </c>
      <c r="E225" s="233">
        <v>5</v>
      </c>
      <c r="F225" s="233">
        <v>1</v>
      </c>
      <c r="G225" s="234" t="s">
        <v>838</v>
      </c>
    </row>
    <row r="226" spans="1:7" s="464" customFormat="1" ht="18.75" x14ac:dyDescent="0.25">
      <c r="A226" s="235">
        <v>9</v>
      </c>
      <c r="B226" s="479"/>
      <c r="C226" s="234" t="s">
        <v>685</v>
      </c>
      <c r="D226" s="233"/>
      <c r="E226" s="233"/>
      <c r="F226" s="233"/>
      <c r="G226" s="234"/>
    </row>
    <row r="227" spans="1:7" s="464" customFormat="1" ht="18.75" x14ac:dyDescent="0.25">
      <c r="A227" s="235">
        <v>10</v>
      </c>
      <c r="B227" s="479" t="s">
        <v>25</v>
      </c>
      <c r="C227" s="234" t="s">
        <v>26</v>
      </c>
      <c r="D227" s="233">
        <v>10</v>
      </c>
      <c r="E227" s="233">
        <v>14</v>
      </c>
      <c r="F227" s="233"/>
      <c r="G227" s="234"/>
    </row>
    <row r="228" spans="1:7" s="464" customFormat="1" ht="18.75" x14ac:dyDescent="0.25">
      <c r="A228" s="235">
        <v>11</v>
      </c>
      <c r="B228" s="479"/>
      <c r="C228" s="234" t="s">
        <v>27</v>
      </c>
      <c r="D228" s="233"/>
      <c r="E228" s="233">
        <v>5</v>
      </c>
      <c r="F228" s="233"/>
      <c r="G228" s="234"/>
    </row>
    <row r="229" spans="1:7" s="464" customFormat="1" ht="18.75" x14ac:dyDescent="0.25">
      <c r="A229" s="235">
        <v>12</v>
      </c>
      <c r="B229" s="479"/>
      <c r="C229" s="234" t="s">
        <v>864</v>
      </c>
      <c r="D229" s="233"/>
      <c r="E229" s="233"/>
      <c r="F229" s="233"/>
      <c r="G229" s="234"/>
    </row>
    <row r="230" spans="1:7" s="464" customFormat="1" ht="18.75" x14ac:dyDescent="0.25">
      <c r="A230" s="235">
        <v>13</v>
      </c>
      <c r="B230" s="479" t="s">
        <v>28</v>
      </c>
      <c r="C230" s="234" t="s">
        <v>29</v>
      </c>
      <c r="D230" s="233">
        <v>52</v>
      </c>
      <c r="E230" s="233"/>
      <c r="F230" s="233">
        <v>10</v>
      </c>
      <c r="G230" s="234" t="s">
        <v>838</v>
      </c>
    </row>
    <row r="231" spans="1:7" s="464" customFormat="1" ht="18.75" x14ac:dyDescent="0.25">
      <c r="A231" s="235">
        <v>14</v>
      </c>
      <c r="B231" s="479"/>
      <c r="C231" s="234" t="s">
        <v>30</v>
      </c>
      <c r="D231" s="233">
        <v>8</v>
      </c>
      <c r="E231" s="233"/>
      <c r="F231" s="233"/>
      <c r="G231" s="234"/>
    </row>
    <row r="232" spans="1:7" s="464" customFormat="1" ht="18.75" x14ac:dyDescent="0.25">
      <c r="A232" s="235">
        <v>15</v>
      </c>
      <c r="B232" s="479"/>
      <c r="C232" s="234" t="s">
        <v>31</v>
      </c>
      <c r="D232" s="233">
        <v>17</v>
      </c>
      <c r="E232" s="233"/>
      <c r="F232" s="233"/>
      <c r="G232" s="234"/>
    </row>
    <row r="233" spans="1:7" s="464" customFormat="1" ht="18.75" x14ac:dyDescent="0.25">
      <c r="A233" s="235">
        <v>16</v>
      </c>
      <c r="B233" s="479"/>
      <c r="C233" s="234" t="s">
        <v>32</v>
      </c>
      <c r="D233" s="233">
        <v>39</v>
      </c>
      <c r="E233" s="233"/>
      <c r="F233" s="233"/>
      <c r="G233" s="234"/>
    </row>
    <row r="234" spans="1:7" s="464" customFormat="1" ht="18.75" x14ac:dyDescent="0.25">
      <c r="A234" s="235"/>
      <c r="B234" s="479"/>
      <c r="C234" s="234" t="s">
        <v>201</v>
      </c>
      <c r="D234" s="233">
        <v>12</v>
      </c>
      <c r="E234" s="233"/>
      <c r="F234" s="233"/>
      <c r="G234" s="234"/>
    </row>
    <row r="235" spans="1:7" s="464" customFormat="1" ht="18.75" x14ac:dyDescent="0.25">
      <c r="A235" s="235">
        <v>17</v>
      </c>
      <c r="B235" s="479" t="s">
        <v>33</v>
      </c>
      <c r="C235" s="234" t="s">
        <v>33</v>
      </c>
      <c r="D235" s="233">
        <v>44</v>
      </c>
      <c r="E235" s="233"/>
      <c r="F235" s="233"/>
      <c r="G235" s="234"/>
    </row>
    <row r="236" spans="1:7" s="464" customFormat="1" ht="18.75" x14ac:dyDescent="0.25">
      <c r="A236" s="235">
        <v>18</v>
      </c>
      <c r="B236" s="479"/>
      <c r="C236" s="234" t="s">
        <v>34</v>
      </c>
      <c r="D236" s="233">
        <v>14</v>
      </c>
      <c r="E236" s="233"/>
      <c r="F236" s="233">
        <v>10</v>
      </c>
      <c r="G236" s="234" t="s">
        <v>838</v>
      </c>
    </row>
    <row r="237" spans="1:7" s="464" customFormat="1" ht="18.75" x14ac:dyDescent="0.25">
      <c r="A237" s="235">
        <v>19</v>
      </c>
      <c r="B237" s="479"/>
      <c r="C237" s="234" t="s">
        <v>35</v>
      </c>
      <c r="D237" s="233">
        <v>7</v>
      </c>
      <c r="E237" s="233"/>
      <c r="F237" s="233"/>
      <c r="G237" s="234"/>
    </row>
    <row r="238" spans="1:7" s="464" customFormat="1" ht="18.75" x14ac:dyDescent="0.25">
      <c r="A238" s="235">
        <v>20</v>
      </c>
      <c r="B238" s="479"/>
      <c r="C238" s="234" t="s">
        <v>36</v>
      </c>
      <c r="D238" s="233">
        <v>5</v>
      </c>
      <c r="E238" s="233">
        <v>9</v>
      </c>
      <c r="F238" s="233"/>
      <c r="G238" s="234"/>
    </row>
    <row r="239" spans="1:7" s="464" customFormat="1" ht="18.75" x14ac:dyDescent="0.25">
      <c r="A239" s="235">
        <v>21</v>
      </c>
      <c r="B239" s="479"/>
      <c r="C239" s="234" t="s">
        <v>37</v>
      </c>
      <c r="D239" s="233">
        <v>2</v>
      </c>
      <c r="E239" s="233">
        <v>2</v>
      </c>
      <c r="F239" s="233">
        <v>4</v>
      </c>
      <c r="G239" s="234" t="s">
        <v>838</v>
      </c>
    </row>
    <row r="240" spans="1:7" s="464" customFormat="1" ht="18.75" x14ac:dyDescent="0.25">
      <c r="A240" s="235">
        <v>22</v>
      </c>
      <c r="B240" s="479"/>
      <c r="C240" s="234" t="s">
        <v>141</v>
      </c>
      <c r="D240" s="233">
        <v>6</v>
      </c>
      <c r="E240" s="233">
        <v>5</v>
      </c>
      <c r="F240" s="233">
        <v>3</v>
      </c>
      <c r="G240" s="234" t="s">
        <v>838</v>
      </c>
    </row>
    <row r="241" spans="1:7" s="464" customFormat="1" ht="21.75" customHeight="1" x14ac:dyDescent="0.25">
      <c r="A241" s="233"/>
      <c r="B241" s="234"/>
      <c r="C241" s="234" t="s">
        <v>308</v>
      </c>
      <c r="D241" s="233"/>
      <c r="E241" s="233"/>
      <c r="F241" s="233"/>
      <c r="G241" s="234"/>
    </row>
    <row r="242" spans="1:7" s="464" customFormat="1" ht="18.75" x14ac:dyDescent="0.25">
      <c r="A242" s="235">
        <v>23</v>
      </c>
      <c r="B242" s="479" t="s">
        <v>38</v>
      </c>
      <c r="C242" s="234" t="s">
        <v>38</v>
      </c>
      <c r="D242" s="233"/>
      <c r="E242" s="233">
        <v>82</v>
      </c>
      <c r="F242" s="233"/>
      <c r="G242" s="234"/>
    </row>
    <row r="243" spans="1:7" s="464" customFormat="1" ht="18.75" x14ac:dyDescent="0.25">
      <c r="A243" s="235">
        <v>24</v>
      </c>
      <c r="B243" s="479"/>
      <c r="C243" s="234" t="s">
        <v>39</v>
      </c>
      <c r="D243" s="233">
        <v>28</v>
      </c>
      <c r="E243" s="233"/>
      <c r="F243" s="233">
        <v>2</v>
      </c>
      <c r="G243" s="234" t="s">
        <v>838</v>
      </c>
    </row>
    <row r="244" spans="1:7" s="464" customFormat="1" ht="18.75" x14ac:dyDescent="0.25">
      <c r="A244" s="235">
        <v>25</v>
      </c>
      <c r="B244" s="479" t="s">
        <v>88</v>
      </c>
      <c r="C244" s="234" t="s">
        <v>88</v>
      </c>
      <c r="D244" s="233">
        <v>6</v>
      </c>
      <c r="E244" s="233">
        <v>1</v>
      </c>
      <c r="F244" s="233"/>
      <c r="G244" s="234"/>
    </row>
    <row r="245" spans="1:7" s="464" customFormat="1" ht="18.75" x14ac:dyDescent="0.25">
      <c r="A245" s="235">
        <v>26</v>
      </c>
      <c r="B245" s="479"/>
      <c r="C245" s="234" t="s">
        <v>41</v>
      </c>
      <c r="D245" s="233">
        <v>1</v>
      </c>
      <c r="E245" s="233">
        <v>1</v>
      </c>
      <c r="F245" s="233"/>
      <c r="G245" s="234"/>
    </row>
    <row r="246" spans="1:7" s="464" customFormat="1" ht="18.75" x14ac:dyDescent="0.25">
      <c r="A246" s="235">
        <v>27</v>
      </c>
      <c r="B246" s="479"/>
      <c r="C246" s="234" t="s">
        <v>42</v>
      </c>
      <c r="D246" s="233"/>
      <c r="E246" s="233"/>
      <c r="F246" s="233"/>
      <c r="G246" s="234"/>
    </row>
    <row r="247" spans="1:7" s="465" customFormat="1" ht="18.75" x14ac:dyDescent="0.25">
      <c r="A247" s="93"/>
      <c r="B247" s="503" t="s">
        <v>43</v>
      </c>
      <c r="C247" s="153" t="s">
        <v>89</v>
      </c>
      <c r="D247" s="126"/>
      <c r="E247" s="126">
        <v>2</v>
      </c>
      <c r="F247" s="126"/>
      <c r="G247" s="153"/>
    </row>
    <row r="248" spans="1:7" s="465" customFormat="1" ht="18.75" x14ac:dyDescent="0.25">
      <c r="A248" s="93">
        <v>28</v>
      </c>
      <c r="B248" s="503"/>
      <c r="C248" s="153" t="s">
        <v>44</v>
      </c>
      <c r="D248" s="126">
        <v>11</v>
      </c>
      <c r="E248" s="126">
        <v>3</v>
      </c>
      <c r="F248" s="126">
        <v>11</v>
      </c>
      <c r="G248" s="153" t="s">
        <v>838</v>
      </c>
    </row>
    <row r="249" spans="1:7" s="465" customFormat="1" ht="18.75" x14ac:dyDescent="0.25">
      <c r="A249" s="93">
        <v>29</v>
      </c>
      <c r="B249" s="503"/>
      <c r="C249" s="153" t="s">
        <v>45</v>
      </c>
      <c r="D249" s="126"/>
      <c r="E249" s="126">
        <v>5</v>
      </c>
      <c r="F249" s="126">
        <v>3</v>
      </c>
      <c r="G249" s="153" t="s">
        <v>838</v>
      </c>
    </row>
    <row r="250" spans="1:7" s="465" customFormat="1" ht="18.75" x14ac:dyDescent="0.25">
      <c r="A250" s="93">
        <v>30</v>
      </c>
      <c r="B250" s="479" t="s">
        <v>46</v>
      </c>
      <c r="C250" s="153" t="s">
        <v>47</v>
      </c>
      <c r="D250" s="126">
        <v>43</v>
      </c>
      <c r="E250" s="126"/>
      <c r="F250" s="126"/>
      <c r="G250" s="153"/>
    </row>
    <row r="251" spans="1:7" s="464" customFormat="1" ht="18.75" x14ac:dyDescent="0.25">
      <c r="A251" s="235">
        <v>31</v>
      </c>
      <c r="B251" s="479"/>
      <c r="C251" s="234" t="s">
        <v>142</v>
      </c>
      <c r="D251" s="233"/>
      <c r="E251" s="233"/>
      <c r="F251" s="233"/>
      <c r="G251" s="234"/>
    </row>
    <row r="252" spans="1:7" s="464" customFormat="1" ht="18.75" x14ac:dyDescent="0.25">
      <c r="A252" s="235">
        <v>32</v>
      </c>
      <c r="B252" s="479"/>
      <c r="C252" s="234" t="s">
        <v>75</v>
      </c>
      <c r="D252" s="233"/>
      <c r="E252" s="233"/>
      <c r="F252" s="233"/>
      <c r="G252" s="234"/>
    </row>
    <row r="253" spans="1:7" s="464" customFormat="1" ht="18.75" x14ac:dyDescent="0.25">
      <c r="A253" s="235">
        <v>33</v>
      </c>
      <c r="B253" s="479" t="s">
        <v>49</v>
      </c>
      <c r="C253" s="234" t="s">
        <v>360</v>
      </c>
      <c r="D253" s="233">
        <v>8</v>
      </c>
      <c r="E253" s="233"/>
      <c r="F253" s="233"/>
      <c r="G253" s="234"/>
    </row>
    <row r="254" spans="1:7" s="464" customFormat="1" ht="18.75" x14ac:dyDescent="0.25">
      <c r="A254" s="235">
        <v>34</v>
      </c>
      <c r="B254" s="479"/>
      <c r="C254" s="234" t="s">
        <v>50</v>
      </c>
      <c r="D254" s="233"/>
      <c r="E254" s="233">
        <v>9</v>
      </c>
      <c r="F254" s="233"/>
      <c r="G254" s="234"/>
    </row>
    <row r="255" spans="1:7" s="464" customFormat="1" ht="18.75" x14ac:dyDescent="0.25">
      <c r="A255" s="235">
        <v>35</v>
      </c>
      <c r="B255" s="479"/>
      <c r="C255" s="234" t="s">
        <v>51</v>
      </c>
      <c r="D255" s="233">
        <v>8</v>
      </c>
      <c r="E255" s="233"/>
      <c r="F255" s="233"/>
      <c r="G255" s="234"/>
    </row>
    <row r="256" spans="1:7" s="464" customFormat="1" ht="18.75" x14ac:dyDescent="0.25">
      <c r="A256" s="235">
        <v>36</v>
      </c>
      <c r="B256" s="479" t="s">
        <v>52</v>
      </c>
      <c r="C256" s="234" t="s">
        <v>53</v>
      </c>
      <c r="D256" s="233"/>
      <c r="E256" s="233"/>
      <c r="F256" s="233"/>
      <c r="G256" s="234"/>
    </row>
    <row r="257" spans="1:7" s="464" customFormat="1" ht="18.75" x14ac:dyDescent="0.25">
      <c r="A257" s="235">
        <v>37</v>
      </c>
      <c r="B257" s="479"/>
      <c r="C257" s="234" t="s">
        <v>54</v>
      </c>
      <c r="D257" s="233"/>
      <c r="E257" s="233"/>
      <c r="F257" s="233"/>
      <c r="G257" s="234"/>
    </row>
    <row r="258" spans="1:7" s="464" customFormat="1" ht="18.75" x14ac:dyDescent="0.25">
      <c r="A258" s="235">
        <v>38</v>
      </c>
      <c r="B258" s="479"/>
      <c r="C258" s="234" t="s">
        <v>55</v>
      </c>
      <c r="D258" s="233"/>
      <c r="E258" s="233"/>
      <c r="F258" s="233"/>
      <c r="G258" s="234"/>
    </row>
    <row r="259" spans="1:7" s="464" customFormat="1" ht="18.75" x14ac:dyDescent="0.25">
      <c r="A259" s="235">
        <v>39</v>
      </c>
      <c r="B259" s="479"/>
      <c r="C259" s="234" t="s">
        <v>56</v>
      </c>
      <c r="D259" s="233"/>
      <c r="E259" s="233"/>
      <c r="F259" s="233"/>
      <c r="G259" s="234"/>
    </row>
    <row r="260" spans="1:7" s="464" customFormat="1" ht="18.75" x14ac:dyDescent="0.25">
      <c r="A260" s="235">
        <v>40</v>
      </c>
      <c r="B260" s="479"/>
      <c r="C260" s="234" t="s">
        <v>57</v>
      </c>
      <c r="D260" s="233"/>
      <c r="E260" s="233"/>
      <c r="F260" s="233"/>
      <c r="G260" s="234"/>
    </row>
    <row r="261" spans="1:7" s="464" customFormat="1" ht="18.75" x14ac:dyDescent="0.25">
      <c r="A261" s="235">
        <v>41</v>
      </c>
      <c r="B261" s="479"/>
      <c r="C261" s="234" t="s">
        <v>58</v>
      </c>
      <c r="D261" s="233"/>
      <c r="E261" s="233"/>
      <c r="F261" s="233"/>
      <c r="G261" s="234"/>
    </row>
    <row r="262" spans="1:7" s="464" customFormat="1" ht="18.75" x14ac:dyDescent="0.25">
      <c r="A262" s="271"/>
      <c r="B262" s="272"/>
      <c r="C262" s="48" t="s">
        <v>60</v>
      </c>
      <c r="D262" s="47">
        <f>SUM(D218:D261)</f>
        <v>424</v>
      </c>
      <c r="E262" s="47">
        <f>SUM(E218:E261)</f>
        <v>154</v>
      </c>
      <c r="F262" s="47">
        <f>SUM(F218:F261)</f>
        <v>60</v>
      </c>
      <c r="G262" s="47">
        <f>SUM(G218:G261)</f>
        <v>0</v>
      </c>
    </row>
    <row r="263" spans="1:7" ht="18.75" x14ac:dyDescent="0.25">
      <c r="F263" s="199"/>
      <c r="G263" s="199"/>
    </row>
  </sheetData>
  <mergeCells count="66">
    <mergeCell ref="C1:G1"/>
    <mergeCell ref="B250:B252"/>
    <mergeCell ref="B253:B255"/>
    <mergeCell ref="B256:B261"/>
    <mergeCell ref="B230:B234"/>
    <mergeCell ref="B235:B240"/>
    <mergeCell ref="B242:B243"/>
    <mergeCell ref="B244:B246"/>
    <mergeCell ref="B247:B249"/>
    <mergeCell ref="A216:G216"/>
    <mergeCell ref="B218:B219"/>
    <mergeCell ref="B221:B224"/>
    <mergeCell ref="B225:B226"/>
    <mergeCell ref="B227:B229"/>
    <mergeCell ref="A167:G167"/>
    <mergeCell ref="B169:B170"/>
    <mergeCell ref="B172:B175"/>
    <mergeCell ref="B176:B177"/>
    <mergeCell ref="B178:B180"/>
    <mergeCell ref="B201:B203"/>
    <mergeCell ref="B204:B206"/>
    <mergeCell ref="B207:B212"/>
    <mergeCell ref="B181:B185"/>
    <mergeCell ref="B186:B191"/>
    <mergeCell ref="B193:B194"/>
    <mergeCell ref="B195:B197"/>
    <mergeCell ref="B198:B200"/>
    <mergeCell ref="A117:G117"/>
    <mergeCell ref="B119:B120"/>
    <mergeCell ref="B122:B125"/>
    <mergeCell ref="B126:B127"/>
    <mergeCell ref="B128:B130"/>
    <mergeCell ref="B151:B153"/>
    <mergeCell ref="B154:B156"/>
    <mergeCell ref="B157:B162"/>
    <mergeCell ref="B131:B135"/>
    <mergeCell ref="B136:B141"/>
    <mergeCell ref="B143:B144"/>
    <mergeCell ref="B145:B147"/>
    <mergeCell ref="B148:B150"/>
    <mergeCell ref="A64:G64"/>
    <mergeCell ref="B66:B67"/>
    <mergeCell ref="B69:B72"/>
    <mergeCell ref="B73:B74"/>
    <mergeCell ref="B75:B77"/>
    <mergeCell ref="B98:B100"/>
    <mergeCell ref="B101:B103"/>
    <mergeCell ref="B104:B109"/>
    <mergeCell ref="B78:B82"/>
    <mergeCell ref="B83:B88"/>
    <mergeCell ref="B90:B91"/>
    <mergeCell ref="B92:B94"/>
    <mergeCell ref="B95:B97"/>
    <mergeCell ref="A10:G10"/>
    <mergeCell ref="B12:B13"/>
    <mergeCell ref="B16:B19"/>
    <mergeCell ref="B20:B21"/>
    <mergeCell ref="B22:B24"/>
    <mergeCell ref="B45:B47"/>
    <mergeCell ref="B48:B50"/>
    <mergeCell ref="B51:B56"/>
    <mergeCell ref="B25:B29"/>
    <mergeCell ref="B30:B35"/>
    <mergeCell ref="B37:B38"/>
    <mergeCell ref="B39:B41"/>
    <mergeCell ref="B42:B44"/>
  </mergeCells>
  <pageMargins left="0.39370078740157483" right="0.23622047244094491" top="0.31496062992125984" bottom="0.35433070866141736" header="0.31496062992125984" footer="0.31496062992125984"/>
  <pageSetup scale="80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227"/>
  <sheetViews>
    <sheetView zoomScale="115" zoomScaleNormal="115" workbookViewId="0">
      <selection activeCell="D8" sqref="D8"/>
    </sheetView>
  </sheetViews>
  <sheetFormatPr defaultRowHeight="18.75" x14ac:dyDescent="0.3"/>
  <cols>
    <col min="1" max="1" width="4.28515625" style="256" customWidth="1"/>
    <col min="2" max="2" width="16.5703125" style="6" customWidth="1"/>
    <col min="3" max="3" width="24.42578125" style="257" customWidth="1"/>
    <col min="4" max="4" width="19" style="6" customWidth="1"/>
    <col min="5" max="5" width="12.7109375" style="6" customWidth="1"/>
    <col min="6" max="6" width="20.140625" style="6" customWidth="1"/>
    <col min="7" max="7" width="13.5703125" style="6" customWidth="1"/>
    <col min="8" max="8" width="10.140625" style="6" customWidth="1"/>
    <col min="9" max="9" width="13" style="258" customWidth="1"/>
    <col min="10" max="10" width="17.5703125" style="6" customWidth="1"/>
    <col min="11" max="16384" width="9.140625" style="6"/>
  </cols>
  <sheetData>
    <row r="2" spans="1:10" ht="20.25" x14ac:dyDescent="0.25">
      <c r="A2" s="544" t="s">
        <v>1653</v>
      </c>
      <c r="B2" s="545"/>
      <c r="C2" s="545"/>
      <c r="D2" s="545"/>
      <c r="E2" s="545"/>
      <c r="F2" s="545"/>
      <c r="G2" s="545"/>
      <c r="H2" s="545"/>
      <c r="I2" s="545"/>
      <c r="J2" s="546"/>
    </row>
    <row r="3" spans="1:10" ht="15" customHeight="1" x14ac:dyDescent="0.25">
      <c r="A3" s="547" t="s">
        <v>76</v>
      </c>
      <c r="B3" s="548" t="s">
        <v>1</v>
      </c>
      <c r="C3" s="548" t="s">
        <v>77</v>
      </c>
      <c r="D3" s="548" t="s">
        <v>78</v>
      </c>
      <c r="E3" s="548" t="s">
        <v>79</v>
      </c>
      <c r="F3" s="548" t="s">
        <v>719</v>
      </c>
      <c r="G3" s="548" t="s">
        <v>80</v>
      </c>
      <c r="H3" s="548" t="s">
        <v>81</v>
      </c>
      <c r="I3" s="549" t="s">
        <v>82</v>
      </c>
      <c r="J3" s="548" t="s">
        <v>139</v>
      </c>
    </row>
    <row r="4" spans="1:10" ht="15" x14ac:dyDescent="0.25">
      <c r="A4" s="547"/>
      <c r="B4" s="548"/>
      <c r="C4" s="548"/>
      <c r="D4" s="548"/>
      <c r="E4" s="548"/>
      <c r="F4" s="548"/>
      <c r="G4" s="548"/>
      <c r="H4" s="548"/>
      <c r="I4" s="549"/>
      <c r="J4" s="548"/>
    </row>
    <row r="5" spans="1:10" customFormat="1" x14ac:dyDescent="0.25">
      <c r="A5" s="542">
        <v>1</v>
      </c>
      <c r="B5" s="543" t="s">
        <v>83</v>
      </c>
      <c r="C5" s="423" t="s">
        <v>84</v>
      </c>
      <c r="D5" s="233"/>
      <c r="E5" s="233">
        <v>7</v>
      </c>
      <c r="F5" s="233">
        <f>D5+E5</f>
        <v>7</v>
      </c>
      <c r="G5" s="233">
        <v>3</v>
      </c>
      <c r="H5" s="233">
        <v>2</v>
      </c>
      <c r="I5" s="233"/>
      <c r="J5" s="233">
        <f>F5-G5-H5</f>
        <v>2</v>
      </c>
    </row>
    <row r="6" spans="1:10" customFormat="1" x14ac:dyDescent="0.25">
      <c r="A6" s="542"/>
      <c r="B6" s="543"/>
      <c r="C6" s="423" t="s">
        <v>85</v>
      </c>
      <c r="D6" s="233">
        <v>4</v>
      </c>
      <c r="E6" s="233">
        <v>19</v>
      </c>
      <c r="F6" s="233">
        <f t="shared" ref="F6:F43" si="0">D6+E6</f>
        <v>23</v>
      </c>
      <c r="G6" s="233">
        <v>8</v>
      </c>
      <c r="H6" s="233">
        <v>1</v>
      </c>
      <c r="I6" s="233"/>
      <c r="J6" s="233">
        <f t="shared" ref="J6:J43" si="1">F6-G6-H6</f>
        <v>14</v>
      </c>
    </row>
    <row r="7" spans="1:10" customFormat="1" ht="17.25" customHeight="1" x14ac:dyDescent="0.25">
      <c r="A7" s="542"/>
      <c r="B7" s="543"/>
      <c r="C7" s="423" t="s">
        <v>86</v>
      </c>
      <c r="D7" s="233">
        <v>2</v>
      </c>
      <c r="E7" s="233">
        <v>10</v>
      </c>
      <c r="F7" s="233">
        <f t="shared" si="0"/>
        <v>12</v>
      </c>
      <c r="G7" s="233">
        <v>6</v>
      </c>
      <c r="H7" s="233"/>
      <c r="I7" s="233"/>
      <c r="J7" s="233">
        <f t="shared" si="1"/>
        <v>6</v>
      </c>
    </row>
    <row r="8" spans="1:10" customFormat="1" x14ac:dyDescent="0.25">
      <c r="A8" s="542">
        <v>2</v>
      </c>
      <c r="B8" s="543" t="s">
        <v>20</v>
      </c>
      <c r="C8" s="423" t="s">
        <v>84</v>
      </c>
      <c r="D8" s="233"/>
      <c r="E8" s="233"/>
      <c r="F8" s="233">
        <f t="shared" si="0"/>
        <v>0</v>
      </c>
      <c r="G8" s="233"/>
      <c r="H8" s="233"/>
      <c r="I8" s="233"/>
      <c r="J8" s="233">
        <f t="shared" si="1"/>
        <v>0</v>
      </c>
    </row>
    <row r="9" spans="1:10" customFormat="1" x14ac:dyDescent="0.25">
      <c r="A9" s="542"/>
      <c r="B9" s="543"/>
      <c r="C9" s="423" t="s">
        <v>85</v>
      </c>
      <c r="D9" s="233"/>
      <c r="E9" s="233"/>
      <c r="F9" s="233">
        <f t="shared" si="0"/>
        <v>0</v>
      </c>
      <c r="G9" s="233"/>
      <c r="H9" s="233"/>
      <c r="I9" s="233"/>
      <c r="J9" s="233">
        <f t="shared" si="1"/>
        <v>0</v>
      </c>
    </row>
    <row r="10" spans="1:10" customFormat="1" x14ac:dyDescent="0.25">
      <c r="A10" s="542"/>
      <c r="B10" s="543"/>
      <c r="C10" s="423" t="s">
        <v>86</v>
      </c>
      <c r="D10" s="233"/>
      <c r="E10" s="233"/>
      <c r="F10" s="233">
        <f t="shared" si="0"/>
        <v>0</v>
      </c>
      <c r="G10" s="233"/>
      <c r="H10" s="233"/>
      <c r="I10" s="233"/>
      <c r="J10" s="233">
        <f t="shared" si="1"/>
        <v>0</v>
      </c>
    </row>
    <row r="11" spans="1:10" customFormat="1" x14ac:dyDescent="0.25">
      <c r="A11" s="542">
        <v>3</v>
      </c>
      <c r="B11" s="543" t="s">
        <v>21</v>
      </c>
      <c r="C11" s="423" t="s">
        <v>84</v>
      </c>
      <c r="D11" s="233"/>
      <c r="E11" s="233"/>
      <c r="F11" s="233">
        <f t="shared" si="0"/>
        <v>0</v>
      </c>
      <c r="G11" s="233"/>
      <c r="H11" s="233"/>
      <c r="I11" s="233"/>
      <c r="J11" s="233">
        <f t="shared" si="1"/>
        <v>0</v>
      </c>
    </row>
    <row r="12" spans="1:10" customFormat="1" x14ac:dyDescent="0.25">
      <c r="A12" s="542"/>
      <c r="B12" s="543"/>
      <c r="C12" s="423" t="s">
        <v>85</v>
      </c>
      <c r="D12" s="233"/>
      <c r="E12" s="233"/>
      <c r="F12" s="233">
        <f t="shared" si="0"/>
        <v>0</v>
      </c>
      <c r="G12" s="233"/>
      <c r="H12" s="233"/>
      <c r="I12" s="233"/>
      <c r="J12" s="233">
        <f t="shared" si="1"/>
        <v>0</v>
      </c>
    </row>
    <row r="13" spans="1:10" customFormat="1" x14ac:dyDescent="0.25">
      <c r="A13" s="542"/>
      <c r="B13" s="543"/>
      <c r="C13" s="423" t="s">
        <v>86</v>
      </c>
      <c r="D13" s="233"/>
      <c r="E13" s="233"/>
      <c r="F13" s="233">
        <f t="shared" si="0"/>
        <v>0</v>
      </c>
      <c r="G13" s="233"/>
      <c r="H13" s="233"/>
      <c r="I13" s="233"/>
      <c r="J13" s="233">
        <f t="shared" si="1"/>
        <v>0</v>
      </c>
    </row>
    <row r="14" spans="1:10" customFormat="1" x14ac:dyDescent="0.25">
      <c r="A14" s="542">
        <v>4</v>
      </c>
      <c r="B14" s="543" t="s">
        <v>23</v>
      </c>
      <c r="C14" s="423" t="s">
        <v>84</v>
      </c>
      <c r="D14" s="233"/>
      <c r="E14" s="233"/>
      <c r="F14" s="233">
        <f t="shared" si="0"/>
        <v>0</v>
      </c>
      <c r="G14" s="233"/>
      <c r="H14" s="233"/>
      <c r="I14" s="233"/>
      <c r="J14" s="233">
        <f t="shared" si="1"/>
        <v>0</v>
      </c>
    </row>
    <row r="15" spans="1:10" customFormat="1" x14ac:dyDescent="0.25">
      <c r="A15" s="542"/>
      <c r="B15" s="543"/>
      <c r="C15" s="423" t="s">
        <v>85</v>
      </c>
      <c r="D15" s="233"/>
      <c r="E15" s="233"/>
      <c r="F15" s="233">
        <f t="shared" si="0"/>
        <v>0</v>
      </c>
      <c r="G15" s="233"/>
      <c r="H15" s="233"/>
      <c r="I15" s="233"/>
      <c r="J15" s="233">
        <f t="shared" si="1"/>
        <v>0</v>
      </c>
    </row>
    <row r="16" spans="1:10" customFormat="1" x14ac:dyDescent="0.25">
      <c r="A16" s="542"/>
      <c r="B16" s="543"/>
      <c r="C16" s="423" t="s">
        <v>86</v>
      </c>
      <c r="D16" s="233"/>
      <c r="E16" s="233"/>
      <c r="F16" s="233">
        <f t="shared" si="0"/>
        <v>0</v>
      </c>
      <c r="G16" s="233"/>
      <c r="H16" s="233"/>
      <c r="I16" s="233"/>
      <c r="J16" s="233">
        <f t="shared" si="1"/>
        <v>0</v>
      </c>
    </row>
    <row r="17" spans="1:10" customFormat="1" x14ac:dyDescent="0.25">
      <c r="A17" s="542">
        <v>5</v>
      </c>
      <c r="B17" s="543" t="s">
        <v>87</v>
      </c>
      <c r="C17" s="423" t="s">
        <v>84</v>
      </c>
      <c r="D17" s="233"/>
      <c r="E17" s="233"/>
      <c r="F17" s="233">
        <f t="shared" si="0"/>
        <v>0</v>
      </c>
      <c r="G17" s="233"/>
      <c r="H17" s="233"/>
      <c r="I17" s="233"/>
      <c r="J17" s="233">
        <f t="shared" si="1"/>
        <v>0</v>
      </c>
    </row>
    <row r="18" spans="1:10" customFormat="1" x14ac:dyDescent="0.25">
      <c r="A18" s="542"/>
      <c r="B18" s="543"/>
      <c r="C18" s="423" t="s">
        <v>85</v>
      </c>
      <c r="D18" s="233"/>
      <c r="E18" s="233"/>
      <c r="F18" s="233">
        <f t="shared" si="0"/>
        <v>0</v>
      </c>
      <c r="G18" s="233"/>
      <c r="H18" s="233"/>
      <c r="I18" s="233"/>
      <c r="J18" s="233">
        <f t="shared" si="1"/>
        <v>0</v>
      </c>
    </row>
    <row r="19" spans="1:10" customFormat="1" x14ac:dyDescent="0.25">
      <c r="A19" s="542"/>
      <c r="B19" s="543"/>
      <c r="C19" s="423" t="s">
        <v>86</v>
      </c>
      <c r="D19" s="233"/>
      <c r="E19" s="233"/>
      <c r="F19" s="233">
        <f t="shared" si="0"/>
        <v>0</v>
      </c>
      <c r="G19" s="233"/>
      <c r="H19" s="233"/>
      <c r="I19" s="233"/>
      <c r="J19" s="233">
        <f t="shared" si="1"/>
        <v>0</v>
      </c>
    </row>
    <row r="20" spans="1:10" customFormat="1" x14ac:dyDescent="0.25">
      <c r="A20" s="542">
        <v>6</v>
      </c>
      <c r="B20" s="543" t="s">
        <v>28</v>
      </c>
      <c r="C20" s="423" t="s">
        <v>84</v>
      </c>
      <c r="D20" s="235"/>
      <c r="E20" s="235"/>
      <c r="F20" s="233">
        <f t="shared" si="0"/>
        <v>0</v>
      </c>
      <c r="G20" s="235"/>
      <c r="H20" s="235"/>
      <c r="I20" s="233"/>
      <c r="J20" s="233">
        <f t="shared" si="1"/>
        <v>0</v>
      </c>
    </row>
    <row r="21" spans="1:10" customFormat="1" x14ac:dyDescent="0.25">
      <c r="A21" s="542"/>
      <c r="B21" s="543"/>
      <c r="C21" s="423" t="s">
        <v>85</v>
      </c>
      <c r="D21" s="235"/>
      <c r="E21" s="235"/>
      <c r="F21" s="233">
        <f t="shared" si="0"/>
        <v>0</v>
      </c>
      <c r="G21" s="235"/>
      <c r="H21" s="235"/>
      <c r="I21" s="233"/>
      <c r="J21" s="233">
        <f t="shared" si="1"/>
        <v>0</v>
      </c>
    </row>
    <row r="22" spans="1:10" customFormat="1" x14ac:dyDescent="0.25">
      <c r="A22" s="542"/>
      <c r="B22" s="543"/>
      <c r="C22" s="423" t="s">
        <v>86</v>
      </c>
      <c r="D22" s="235"/>
      <c r="E22" s="235"/>
      <c r="F22" s="233">
        <f t="shared" si="0"/>
        <v>0</v>
      </c>
      <c r="G22" s="235"/>
      <c r="H22" s="235"/>
      <c r="I22" s="233"/>
      <c r="J22" s="233">
        <f t="shared" si="1"/>
        <v>0</v>
      </c>
    </row>
    <row r="23" spans="1:10" customFormat="1" x14ac:dyDescent="0.25">
      <c r="A23" s="542">
        <v>7</v>
      </c>
      <c r="B23" s="543" t="s">
        <v>33</v>
      </c>
      <c r="C23" s="423" t="s">
        <v>84</v>
      </c>
      <c r="D23" s="233"/>
      <c r="E23" s="233"/>
      <c r="F23" s="233">
        <f t="shared" si="0"/>
        <v>0</v>
      </c>
      <c r="G23" s="233"/>
      <c r="H23" s="233"/>
      <c r="I23" s="233"/>
      <c r="J23" s="233">
        <f t="shared" si="1"/>
        <v>0</v>
      </c>
    </row>
    <row r="24" spans="1:10" customFormat="1" x14ac:dyDescent="0.25">
      <c r="A24" s="542"/>
      <c r="B24" s="543"/>
      <c r="C24" s="423" t="s">
        <v>85</v>
      </c>
      <c r="D24" s="233"/>
      <c r="E24" s="233"/>
      <c r="F24" s="233">
        <f t="shared" si="0"/>
        <v>0</v>
      </c>
      <c r="G24" s="233"/>
      <c r="H24" s="233"/>
      <c r="I24" s="233"/>
      <c r="J24" s="233">
        <f t="shared" si="1"/>
        <v>0</v>
      </c>
    </row>
    <row r="25" spans="1:10" customFormat="1" x14ac:dyDescent="0.25">
      <c r="A25" s="542"/>
      <c r="B25" s="543"/>
      <c r="C25" s="423" t="s">
        <v>86</v>
      </c>
      <c r="D25" s="233"/>
      <c r="E25" s="233"/>
      <c r="F25" s="233">
        <f t="shared" si="0"/>
        <v>0</v>
      </c>
      <c r="G25" s="233"/>
      <c r="H25" s="233"/>
      <c r="I25" s="233"/>
      <c r="J25" s="233">
        <f t="shared" si="1"/>
        <v>0</v>
      </c>
    </row>
    <row r="26" spans="1:10" customFormat="1" x14ac:dyDescent="0.25">
      <c r="A26" s="542">
        <v>8</v>
      </c>
      <c r="B26" s="543" t="s">
        <v>38</v>
      </c>
      <c r="C26" s="423" t="s">
        <v>84</v>
      </c>
      <c r="D26" s="233"/>
      <c r="E26" s="233"/>
      <c r="F26" s="233">
        <f t="shared" si="0"/>
        <v>0</v>
      </c>
      <c r="G26" s="233"/>
      <c r="H26" s="233"/>
      <c r="I26" s="233"/>
      <c r="J26" s="233">
        <f t="shared" si="1"/>
        <v>0</v>
      </c>
    </row>
    <row r="27" spans="1:10" customFormat="1" x14ac:dyDescent="0.25">
      <c r="A27" s="542"/>
      <c r="B27" s="543"/>
      <c r="C27" s="423" t="s">
        <v>85</v>
      </c>
      <c r="D27" s="233"/>
      <c r="E27" s="233"/>
      <c r="F27" s="233">
        <f t="shared" si="0"/>
        <v>0</v>
      </c>
      <c r="G27" s="233"/>
      <c r="H27" s="233"/>
      <c r="I27" s="233"/>
      <c r="J27" s="233">
        <f t="shared" si="1"/>
        <v>0</v>
      </c>
    </row>
    <row r="28" spans="1:10" customFormat="1" x14ac:dyDescent="0.25">
      <c r="A28" s="542"/>
      <c r="B28" s="543"/>
      <c r="C28" s="423" t="s">
        <v>86</v>
      </c>
      <c r="D28" s="233"/>
      <c r="E28" s="233"/>
      <c r="F28" s="233">
        <f t="shared" si="0"/>
        <v>0</v>
      </c>
      <c r="G28" s="233"/>
      <c r="H28" s="233"/>
      <c r="I28" s="233"/>
      <c r="J28" s="233">
        <f t="shared" si="1"/>
        <v>0</v>
      </c>
    </row>
    <row r="29" spans="1:10" customFormat="1" x14ac:dyDescent="0.25">
      <c r="A29" s="542">
        <v>9</v>
      </c>
      <c r="B29" s="543" t="s">
        <v>88</v>
      </c>
      <c r="C29" s="423" t="s">
        <v>84</v>
      </c>
      <c r="D29" s="233"/>
      <c r="E29" s="233"/>
      <c r="F29" s="233">
        <f t="shared" si="0"/>
        <v>0</v>
      </c>
      <c r="G29" s="233"/>
      <c r="H29" s="233"/>
      <c r="I29" s="233"/>
      <c r="J29" s="233">
        <f t="shared" si="1"/>
        <v>0</v>
      </c>
    </row>
    <row r="30" spans="1:10" customFormat="1" x14ac:dyDescent="0.25">
      <c r="A30" s="542"/>
      <c r="B30" s="543"/>
      <c r="C30" s="423" t="s">
        <v>85</v>
      </c>
      <c r="D30" s="233"/>
      <c r="E30" s="233"/>
      <c r="F30" s="233">
        <f t="shared" si="0"/>
        <v>0</v>
      </c>
      <c r="G30" s="233"/>
      <c r="H30" s="233"/>
      <c r="I30" s="233"/>
      <c r="J30" s="233">
        <f t="shared" si="1"/>
        <v>0</v>
      </c>
    </row>
    <row r="31" spans="1:10" customFormat="1" x14ac:dyDescent="0.25">
      <c r="A31" s="542"/>
      <c r="B31" s="543"/>
      <c r="C31" s="423" t="s">
        <v>86</v>
      </c>
      <c r="D31" s="233"/>
      <c r="E31" s="233"/>
      <c r="F31" s="233">
        <f t="shared" si="0"/>
        <v>0</v>
      </c>
      <c r="G31" s="233"/>
      <c r="H31" s="233"/>
      <c r="I31" s="233"/>
      <c r="J31" s="233">
        <f t="shared" si="1"/>
        <v>0</v>
      </c>
    </row>
    <row r="32" spans="1:10" customFormat="1" x14ac:dyDescent="0.25">
      <c r="A32" s="542">
        <v>10</v>
      </c>
      <c r="B32" s="543" t="s">
        <v>89</v>
      </c>
      <c r="C32" s="423" t="s">
        <v>84</v>
      </c>
      <c r="D32" s="233"/>
      <c r="E32" s="233"/>
      <c r="F32" s="233">
        <f t="shared" si="0"/>
        <v>0</v>
      </c>
      <c r="G32" s="233"/>
      <c r="H32" s="233"/>
      <c r="I32" s="233"/>
      <c r="J32" s="233">
        <f t="shared" si="1"/>
        <v>0</v>
      </c>
    </row>
    <row r="33" spans="1:10" customFormat="1" x14ac:dyDescent="0.25">
      <c r="A33" s="542"/>
      <c r="B33" s="543"/>
      <c r="C33" s="423" t="s">
        <v>85</v>
      </c>
      <c r="D33" s="233"/>
      <c r="E33" s="233"/>
      <c r="F33" s="233">
        <f t="shared" si="0"/>
        <v>0</v>
      </c>
      <c r="G33" s="233"/>
      <c r="H33" s="233"/>
      <c r="I33" s="233"/>
      <c r="J33" s="233">
        <f t="shared" si="1"/>
        <v>0</v>
      </c>
    </row>
    <row r="34" spans="1:10" customFormat="1" x14ac:dyDescent="0.25">
      <c r="A34" s="542"/>
      <c r="B34" s="543"/>
      <c r="C34" s="423" t="s">
        <v>86</v>
      </c>
      <c r="D34" s="233"/>
      <c r="E34" s="233"/>
      <c r="F34" s="233">
        <f t="shared" si="0"/>
        <v>0</v>
      </c>
      <c r="G34" s="233"/>
      <c r="H34" s="233"/>
      <c r="I34" s="233"/>
      <c r="J34" s="233">
        <f t="shared" si="1"/>
        <v>0</v>
      </c>
    </row>
    <row r="35" spans="1:10" customFormat="1" x14ac:dyDescent="0.25">
      <c r="A35" s="542">
        <v>11</v>
      </c>
      <c r="B35" s="543" t="s">
        <v>90</v>
      </c>
      <c r="C35" s="423" t="s">
        <v>84</v>
      </c>
      <c r="D35" s="233"/>
      <c r="E35" s="233"/>
      <c r="F35" s="233">
        <f t="shared" si="0"/>
        <v>0</v>
      </c>
      <c r="G35" s="233"/>
      <c r="H35" s="233"/>
      <c r="I35" s="233"/>
      <c r="J35" s="233">
        <f t="shared" si="1"/>
        <v>0</v>
      </c>
    </row>
    <row r="36" spans="1:10" customFormat="1" x14ac:dyDescent="0.25">
      <c r="A36" s="542"/>
      <c r="B36" s="543"/>
      <c r="C36" s="423" t="s">
        <v>85</v>
      </c>
      <c r="D36" s="233"/>
      <c r="E36" s="233"/>
      <c r="F36" s="233">
        <f t="shared" si="0"/>
        <v>0</v>
      </c>
      <c r="G36" s="233"/>
      <c r="H36" s="233"/>
      <c r="I36" s="233"/>
      <c r="J36" s="233">
        <f t="shared" si="1"/>
        <v>0</v>
      </c>
    </row>
    <row r="37" spans="1:10" customFormat="1" x14ac:dyDescent="0.25">
      <c r="A37" s="542"/>
      <c r="B37" s="543"/>
      <c r="C37" s="423" t="s">
        <v>86</v>
      </c>
      <c r="D37" s="233"/>
      <c r="E37" s="233"/>
      <c r="F37" s="233">
        <f t="shared" si="0"/>
        <v>0</v>
      </c>
      <c r="G37" s="233"/>
      <c r="H37" s="233"/>
      <c r="I37" s="233"/>
      <c r="J37" s="233">
        <f t="shared" si="1"/>
        <v>0</v>
      </c>
    </row>
    <row r="38" spans="1:10" customFormat="1" x14ac:dyDescent="0.25">
      <c r="A38" s="542">
        <v>12</v>
      </c>
      <c r="B38" s="543" t="s">
        <v>91</v>
      </c>
      <c r="C38" s="423" t="s">
        <v>84</v>
      </c>
      <c r="D38" s="233"/>
      <c r="E38" s="233"/>
      <c r="F38" s="233">
        <f t="shared" si="0"/>
        <v>0</v>
      </c>
      <c r="G38" s="233"/>
      <c r="H38" s="233"/>
      <c r="I38" s="233"/>
      <c r="J38" s="233">
        <f t="shared" si="1"/>
        <v>0</v>
      </c>
    </row>
    <row r="39" spans="1:10" customFormat="1" x14ac:dyDescent="0.25">
      <c r="A39" s="542"/>
      <c r="B39" s="543"/>
      <c r="C39" s="423" t="s">
        <v>85</v>
      </c>
      <c r="D39" s="233"/>
      <c r="E39" s="233"/>
      <c r="F39" s="233">
        <f t="shared" si="0"/>
        <v>0</v>
      </c>
      <c r="G39" s="233"/>
      <c r="H39" s="233"/>
      <c r="I39" s="233"/>
      <c r="J39" s="233">
        <f t="shared" si="1"/>
        <v>0</v>
      </c>
    </row>
    <row r="40" spans="1:10" customFormat="1" x14ac:dyDescent="0.25">
      <c r="A40" s="542"/>
      <c r="B40" s="543"/>
      <c r="C40" s="423" t="s">
        <v>86</v>
      </c>
      <c r="D40" s="233"/>
      <c r="E40" s="233"/>
      <c r="F40" s="233">
        <f t="shared" si="0"/>
        <v>0</v>
      </c>
      <c r="G40" s="233"/>
      <c r="H40" s="233"/>
      <c r="I40" s="233"/>
      <c r="J40" s="233">
        <f t="shared" si="1"/>
        <v>0</v>
      </c>
    </row>
    <row r="41" spans="1:10" customFormat="1" x14ac:dyDescent="0.25">
      <c r="A41" s="542">
        <v>13</v>
      </c>
      <c r="B41" s="543" t="s">
        <v>52</v>
      </c>
      <c r="C41" s="423" t="s">
        <v>84</v>
      </c>
      <c r="D41" s="233"/>
      <c r="E41" s="233"/>
      <c r="F41" s="233">
        <f t="shared" si="0"/>
        <v>0</v>
      </c>
      <c r="G41" s="233"/>
      <c r="H41" s="233"/>
      <c r="I41" s="233"/>
      <c r="J41" s="233">
        <f t="shared" si="1"/>
        <v>0</v>
      </c>
    </row>
    <row r="42" spans="1:10" customFormat="1" x14ac:dyDescent="0.25">
      <c r="A42" s="542"/>
      <c r="B42" s="543"/>
      <c r="C42" s="423" t="s">
        <v>85</v>
      </c>
      <c r="D42" s="233"/>
      <c r="E42" s="233"/>
      <c r="F42" s="233">
        <f t="shared" si="0"/>
        <v>0</v>
      </c>
      <c r="G42" s="233"/>
      <c r="H42" s="233"/>
      <c r="I42" s="233"/>
      <c r="J42" s="233">
        <f t="shared" si="1"/>
        <v>0</v>
      </c>
    </row>
    <row r="43" spans="1:10" customFormat="1" x14ac:dyDescent="0.25">
      <c r="A43" s="542"/>
      <c r="B43" s="543"/>
      <c r="C43" s="423" t="s">
        <v>86</v>
      </c>
      <c r="D43" s="233"/>
      <c r="E43" s="233"/>
      <c r="F43" s="233">
        <f t="shared" si="0"/>
        <v>0</v>
      </c>
      <c r="G43" s="233">
        <v>68</v>
      </c>
      <c r="H43" s="233"/>
      <c r="I43" s="233"/>
      <c r="J43" s="233">
        <f t="shared" si="1"/>
        <v>-68</v>
      </c>
    </row>
    <row r="48" spans="1:10" ht="20.25" x14ac:dyDescent="0.25">
      <c r="A48" s="544" t="s">
        <v>1481</v>
      </c>
      <c r="B48" s="545"/>
      <c r="C48" s="545"/>
      <c r="D48" s="545"/>
      <c r="E48" s="545"/>
      <c r="F48" s="545"/>
      <c r="G48" s="545"/>
      <c r="H48" s="545"/>
      <c r="I48" s="545"/>
      <c r="J48" s="546"/>
    </row>
    <row r="49" spans="1:10" ht="15" customHeight="1" x14ac:dyDescent="0.25">
      <c r="A49" s="547" t="s">
        <v>76</v>
      </c>
      <c r="B49" s="548" t="s">
        <v>1</v>
      </c>
      <c r="C49" s="548" t="s">
        <v>77</v>
      </c>
      <c r="D49" s="548" t="s">
        <v>78</v>
      </c>
      <c r="E49" s="548" t="s">
        <v>79</v>
      </c>
      <c r="F49" s="548" t="s">
        <v>719</v>
      </c>
      <c r="G49" s="548" t="s">
        <v>80</v>
      </c>
      <c r="H49" s="548" t="s">
        <v>81</v>
      </c>
      <c r="I49" s="549" t="s">
        <v>82</v>
      </c>
      <c r="J49" s="548" t="s">
        <v>139</v>
      </c>
    </row>
    <row r="50" spans="1:10" ht="15" x14ac:dyDescent="0.25">
      <c r="A50" s="547"/>
      <c r="B50" s="548"/>
      <c r="C50" s="548"/>
      <c r="D50" s="548"/>
      <c r="E50" s="548"/>
      <c r="F50" s="548"/>
      <c r="G50" s="548"/>
      <c r="H50" s="548"/>
      <c r="I50" s="549"/>
      <c r="J50" s="548"/>
    </row>
    <row r="51" spans="1:10" customFormat="1" x14ac:dyDescent="0.25">
      <c r="A51" s="542">
        <v>1</v>
      </c>
      <c r="B51" s="543" t="s">
        <v>83</v>
      </c>
      <c r="C51" s="423" t="s">
        <v>84</v>
      </c>
      <c r="D51" s="233"/>
      <c r="E51" s="233"/>
      <c r="F51" s="233">
        <f>D51+E51</f>
        <v>0</v>
      </c>
      <c r="G51" s="233"/>
      <c r="H51" s="233"/>
      <c r="I51" s="233"/>
      <c r="J51" s="233">
        <f>F51-G51-H51</f>
        <v>0</v>
      </c>
    </row>
    <row r="52" spans="1:10" customFormat="1" x14ac:dyDescent="0.25">
      <c r="A52" s="542"/>
      <c r="B52" s="543"/>
      <c r="C52" s="423" t="s">
        <v>85</v>
      </c>
      <c r="D52" s="233">
        <v>1</v>
      </c>
      <c r="E52" s="233">
        <v>9</v>
      </c>
      <c r="F52" s="233">
        <f t="shared" ref="F52:F89" si="2">D52+E52</f>
        <v>10</v>
      </c>
      <c r="G52" s="233">
        <v>5</v>
      </c>
      <c r="H52" s="233">
        <v>1</v>
      </c>
      <c r="I52" s="233"/>
      <c r="J52" s="233">
        <f t="shared" ref="J52:J89" si="3">F52-G52-H52</f>
        <v>4</v>
      </c>
    </row>
    <row r="53" spans="1:10" customFormat="1" ht="17.25" customHeight="1" x14ac:dyDescent="0.25">
      <c r="A53" s="542"/>
      <c r="B53" s="543"/>
      <c r="C53" s="423" t="s">
        <v>86</v>
      </c>
      <c r="D53" s="233">
        <v>1</v>
      </c>
      <c r="E53" s="233">
        <v>2</v>
      </c>
      <c r="F53" s="233">
        <f t="shared" si="2"/>
        <v>3</v>
      </c>
      <c r="G53" s="233">
        <v>1</v>
      </c>
      <c r="H53" s="233"/>
      <c r="I53" s="233"/>
      <c r="J53" s="233">
        <f t="shared" si="3"/>
        <v>2</v>
      </c>
    </row>
    <row r="54" spans="1:10" customFormat="1" x14ac:dyDescent="0.25">
      <c r="A54" s="542">
        <v>2</v>
      </c>
      <c r="B54" s="543" t="s">
        <v>20</v>
      </c>
      <c r="C54" s="423" t="s">
        <v>84</v>
      </c>
      <c r="D54" s="233"/>
      <c r="E54" s="233"/>
      <c r="F54" s="233">
        <f t="shared" si="2"/>
        <v>0</v>
      </c>
      <c r="G54" s="233"/>
      <c r="H54" s="233"/>
      <c r="I54" s="233"/>
      <c r="J54" s="233">
        <f t="shared" si="3"/>
        <v>0</v>
      </c>
    </row>
    <row r="55" spans="1:10" customFormat="1" x14ac:dyDescent="0.25">
      <c r="A55" s="542"/>
      <c r="B55" s="543"/>
      <c r="C55" s="423" t="s">
        <v>85</v>
      </c>
      <c r="D55" s="233">
        <v>1</v>
      </c>
      <c r="E55" s="233">
        <v>17</v>
      </c>
      <c r="F55" s="233">
        <f t="shared" si="2"/>
        <v>18</v>
      </c>
      <c r="G55" s="233">
        <v>11</v>
      </c>
      <c r="H55" s="233">
        <v>1</v>
      </c>
      <c r="I55" s="233"/>
      <c r="J55" s="233">
        <f t="shared" si="3"/>
        <v>6</v>
      </c>
    </row>
    <row r="56" spans="1:10" customFormat="1" x14ac:dyDescent="0.25">
      <c r="A56" s="542"/>
      <c r="B56" s="543"/>
      <c r="C56" s="423" t="s">
        <v>86</v>
      </c>
      <c r="D56" s="233"/>
      <c r="E56" s="233">
        <v>6</v>
      </c>
      <c r="F56" s="233">
        <f t="shared" si="2"/>
        <v>6</v>
      </c>
      <c r="G56" s="233"/>
      <c r="H56" s="233"/>
      <c r="I56" s="233"/>
      <c r="J56" s="233">
        <f t="shared" si="3"/>
        <v>6</v>
      </c>
    </row>
    <row r="57" spans="1:10" customFormat="1" x14ac:dyDescent="0.25">
      <c r="A57" s="542">
        <v>3</v>
      </c>
      <c r="B57" s="543" t="s">
        <v>21</v>
      </c>
      <c r="C57" s="423" t="s">
        <v>84</v>
      </c>
      <c r="D57" s="233"/>
      <c r="E57" s="233">
        <v>2</v>
      </c>
      <c r="F57" s="233">
        <f t="shared" si="2"/>
        <v>2</v>
      </c>
      <c r="G57" s="233">
        <v>2</v>
      </c>
      <c r="H57" s="233"/>
      <c r="I57" s="233"/>
      <c r="J57" s="233">
        <f t="shared" si="3"/>
        <v>0</v>
      </c>
    </row>
    <row r="58" spans="1:10" customFormat="1" x14ac:dyDescent="0.25">
      <c r="A58" s="542"/>
      <c r="B58" s="543"/>
      <c r="C58" s="423" t="s">
        <v>85</v>
      </c>
      <c r="D58" s="233"/>
      <c r="E58" s="233">
        <v>5</v>
      </c>
      <c r="F58" s="233">
        <f t="shared" si="2"/>
        <v>5</v>
      </c>
      <c r="G58" s="233">
        <v>4</v>
      </c>
      <c r="H58" s="233">
        <v>1</v>
      </c>
      <c r="I58" s="233"/>
      <c r="J58" s="233">
        <f t="shared" si="3"/>
        <v>0</v>
      </c>
    </row>
    <row r="59" spans="1:10" customFormat="1" x14ac:dyDescent="0.25">
      <c r="A59" s="542"/>
      <c r="B59" s="543"/>
      <c r="C59" s="423" t="s">
        <v>86</v>
      </c>
      <c r="D59" s="233"/>
      <c r="E59" s="233">
        <v>45</v>
      </c>
      <c r="F59" s="233">
        <f t="shared" si="2"/>
        <v>45</v>
      </c>
      <c r="G59" s="233">
        <v>43</v>
      </c>
      <c r="H59" s="233"/>
      <c r="I59" s="233"/>
      <c r="J59" s="233">
        <f t="shared" si="3"/>
        <v>2</v>
      </c>
    </row>
    <row r="60" spans="1:10" customFormat="1" x14ac:dyDescent="0.25">
      <c r="A60" s="542">
        <v>4</v>
      </c>
      <c r="B60" s="543" t="s">
        <v>23</v>
      </c>
      <c r="C60" s="423" t="s">
        <v>84</v>
      </c>
      <c r="D60" s="233"/>
      <c r="E60" s="233"/>
      <c r="F60" s="233">
        <f t="shared" si="2"/>
        <v>0</v>
      </c>
      <c r="G60" s="233"/>
      <c r="H60" s="233"/>
      <c r="I60" s="233"/>
      <c r="J60" s="233">
        <f t="shared" si="3"/>
        <v>0</v>
      </c>
    </row>
    <row r="61" spans="1:10" customFormat="1" x14ac:dyDescent="0.25">
      <c r="A61" s="542"/>
      <c r="B61" s="543"/>
      <c r="C61" s="423" t="s">
        <v>85</v>
      </c>
      <c r="D61" s="233">
        <v>1</v>
      </c>
      <c r="E61" s="233">
        <v>6</v>
      </c>
      <c r="F61" s="233">
        <f t="shared" si="2"/>
        <v>7</v>
      </c>
      <c r="G61" s="233">
        <v>6</v>
      </c>
      <c r="H61" s="233"/>
      <c r="I61" s="233"/>
      <c r="J61" s="233">
        <f t="shared" si="3"/>
        <v>1</v>
      </c>
    </row>
    <row r="62" spans="1:10" customFormat="1" x14ac:dyDescent="0.25">
      <c r="A62" s="542"/>
      <c r="B62" s="543"/>
      <c r="C62" s="423" t="s">
        <v>86</v>
      </c>
      <c r="D62" s="233"/>
      <c r="E62" s="233">
        <v>2</v>
      </c>
      <c r="F62" s="233">
        <f t="shared" si="2"/>
        <v>2</v>
      </c>
      <c r="G62" s="233">
        <v>2</v>
      </c>
      <c r="H62" s="233"/>
      <c r="I62" s="233"/>
      <c r="J62" s="233">
        <f t="shared" si="3"/>
        <v>0</v>
      </c>
    </row>
    <row r="63" spans="1:10" customFormat="1" x14ac:dyDescent="0.25">
      <c r="A63" s="542">
        <v>5</v>
      </c>
      <c r="B63" s="543" t="s">
        <v>87</v>
      </c>
      <c r="C63" s="423" t="s">
        <v>84</v>
      </c>
      <c r="D63" s="233"/>
      <c r="E63" s="233">
        <v>1</v>
      </c>
      <c r="F63" s="233">
        <f t="shared" si="2"/>
        <v>1</v>
      </c>
      <c r="G63" s="233">
        <v>1</v>
      </c>
      <c r="H63" s="233"/>
      <c r="I63" s="233"/>
      <c r="J63" s="233">
        <f t="shared" si="3"/>
        <v>0</v>
      </c>
    </row>
    <row r="64" spans="1:10" customFormat="1" x14ac:dyDescent="0.25">
      <c r="A64" s="542"/>
      <c r="B64" s="543"/>
      <c r="C64" s="423" t="s">
        <v>85</v>
      </c>
      <c r="D64" s="233">
        <v>12</v>
      </c>
      <c r="E64" s="233">
        <v>18</v>
      </c>
      <c r="F64" s="233">
        <f t="shared" si="2"/>
        <v>30</v>
      </c>
      <c r="G64" s="233">
        <v>21</v>
      </c>
      <c r="H64" s="233">
        <v>1</v>
      </c>
      <c r="I64" s="233"/>
      <c r="J64" s="233">
        <f t="shared" si="3"/>
        <v>8</v>
      </c>
    </row>
    <row r="65" spans="1:10" customFormat="1" x14ac:dyDescent="0.25">
      <c r="A65" s="542"/>
      <c r="B65" s="543"/>
      <c r="C65" s="423" t="s">
        <v>86</v>
      </c>
      <c r="D65" s="233">
        <v>5</v>
      </c>
      <c r="E65" s="233">
        <v>29</v>
      </c>
      <c r="F65" s="233">
        <f t="shared" si="2"/>
        <v>34</v>
      </c>
      <c r="G65" s="233">
        <v>21</v>
      </c>
      <c r="H65" s="233">
        <v>3</v>
      </c>
      <c r="I65" s="233"/>
      <c r="J65" s="233">
        <f t="shared" si="3"/>
        <v>10</v>
      </c>
    </row>
    <row r="66" spans="1:10" customFormat="1" x14ac:dyDescent="0.25">
      <c r="A66" s="542">
        <v>6</v>
      </c>
      <c r="B66" s="543" t="s">
        <v>28</v>
      </c>
      <c r="C66" s="423" t="s">
        <v>84</v>
      </c>
      <c r="D66" s="235">
        <v>6</v>
      </c>
      <c r="E66" s="235">
        <v>26</v>
      </c>
      <c r="F66" s="233">
        <f t="shared" si="2"/>
        <v>32</v>
      </c>
      <c r="G66" s="235">
        <v>12</v>
      </c>
      <c r="H66" s="235">
        <v>11</v>
      </c>
      <c r="I66" s="233"/>
      <c r="J66" s="233">
        <f t="shared" si="3"/>
        <v>9</v>
      </c>
    </row>
    <row r="67" spans="1:10" customFormat="1" x14ac:dyDescent="0.25">
      <c r="A67" s="542"/>
      <c r="B67" s="543"/>
      <c r="C67" s="423" t="s">
        <v>85</v>
      </c>
      <c r="D67" s="235">
        <v>18</v>
      </c>
      <c r="E67" s="235">
        <v>70</v>
      </c>
      <c r="F67" s="233">
        <f t="shared" si="2"/>
        <v>88</v>
      </c>
      <c r="G67" s="235">
        <v>24</v>
      </c>
      <c r="H67" s="235">
        <v>38</v>
      </c>
      <c r="I67" s="233"/>
      <c r="J67" s="233">
        <f t="shared" si="3"/>
        <v>26</v>
      </c>
    </row>
    <row r="68" spans="1:10" customFormat="1" x14ac:dyDescent="0.25">
      <c r="A68" s="542"/>
      <c r="B68" s="543"/>
      <c r="C68" s="423" t="s">
        <v>86</v>
      </c>
      <c r="D68" s="235">
        <v>39</v>
      </c>
      <c r="E68" s="235">
        <v>134</v>
      </c>
      <c r="F68" s="233">
        <f t="shared" si="2"/>
        <v>173</v>
      </c>
      <c r="G68" s="235">
        <v>91</v>
      </c>
      <c r="H68" s="235">
        <v>32</v>
      </c>
      <c r="I68" s="233"/>
      <c r="J68" s="233">
        <f t="shared" si="3"/>
        <v>50</v>
      </c>
    </row>
    <row r="69" spans="1:10" customFormat="1" x14ac:dyDescent="0.25">
      <c r="A69" s="542">
        <v>7</v>
      </c>
      <c r="B69" s="543" t="s">
        <v>33</v>
      </c>
      <c r="C69" s="423" t="s">
        <v>84</v>
      </c>
      <c r="D69" s="233">
        <v>7</v>
      </c>
      <c r="E69" s="233">
        <v>38</v>
      </c>
      <c r="F69" s="233">
        <f t="shared" si="2"/>
        <v>45</v>
      </c>
      <c r="G69" s="233">
        <v>30</v>
      </c>
      <c r="H69" s="233">
        <v>9</v>
      </c>
      <c r="I69" s="233"/>
      <c r="J69" s="233">
        <f t="shared" si="3"/>
        <v>6</v>
      </c>
    </row>
    <row r="70" spans="1:10" customFormat="1" x14ac:dyDescent="0.25">
      <c r="A70" s="542"/>
      <c r="B70" s="543"/>
      <c r="C70" s="423" t="s">
        <v>85</v>
      </c>
      <c r="D70" s="233">
        <v>28</v>
      </c>
      <c r="E70" s="233">
        <v>68</v>
      </c>
      <c r="F70" s="233">
        <f t="shared" si="2"/>
        <v>96</v>
      </c>
      <c r="G70" s="233">
        <v>28</v>
      </c>
      <c r="H70" s="233">
        <v>42</v>
      </c>
      <c r="I70" s="233"/>
      <c r="J70" s="233">
        <f t="shared" si="3"/>
        <v>26</v>
      </c>
    </row>
    <row r="71" spans="1:10" customFormat="1" x14ac:dyDescent="0.25">
      <c r="A71" s="542"/>
      <c r="B71" s="543"/>
      <c r="C71" s="423" t="s">
        <v>86</v>
      </c>
      <c r="D71" s="233">
        <v>67</v>
      </c>
      <c r="E71" s="233">
        <v>119</v>
      </c>
      <c r="F71" s="233">
        <f t="shared" si="2"/>
        <v>186</v>
      </c>
      <c r="G71" s="233">
        <v>94</v>
      </c>
      <c r="H71" s="233">
        <v>63</v>
      </c>
      <c r="I71" s="233"/>
      <c r="J71" s="233">
        <f t="shared" si="3"/>
        <v>29</v>
      </c>
    </row>
    <row r="72" spans="1:10" customFormat="1" x14ac:dyDescent="0.25">
      <c r="A72" s="542">
        <v>8</v>
      </c>
      <c r="B72" s="543" t="s">
        <v>38</v>
      </c>
      <c r="C72" s="423" t="s">
        <v>84</v>
      </c>
      <c r="D72" s="233">
        <v>1</v>
      </c>
      <c r="E72" s="233">
        <v>4</v>
      </c>
      <c r="F72" s="233">
        <f t="shared" si="2"/>
        <v>5</v>
      </c>
      <c r="G72" s="233">
        <v>4</v>
      </c>
      <c r="H72" s="233">
        <v>1</v>
      </c>
      <c r="I72" s="233"/>
      <c r="J72" s="233">
        <f t="shared" si="3"/>
        <v>0</v>
      </c>
    </row>
    <row r="73" spans="1:10" customFormat="1" x14ac:dyDescent="0.25">
      <c r="A73" s="542"/>
      <c r="B73" s="543"/>
      <c r="C73" s="423" t="s">
        <v>85</v>
      </c>
      <c r="D73" s="233"/>
      <c r="E73" s="233">
        <v>7</v>
      </c>
      <c r="F73" s="233">
        <f t="shared" si="2"/>
        <v>7</v>
      </c>
      <c r="G73" s="233">
        <v>6</v>
      </c>
      <c r="H73" s="233">
        <v>1</v>
      </c>
      <c r="I73" s="233"/>
      <c r="J73" s="233">
        <f t="shared" si="3"/>
        <v>0</v>
      </c>
    </row>
    <row r="74" spans="1:10" customFormat="1" x14ac:dyDescent="0.25">
      <c r="A74" s="542"/>
      <c r="B74" s="543"/>
      <c r="C74" s="423" t="s">
        <v>86</v>
      </c>
      <c r="D74" s="233">
        <v>1</v>
      </c>
      <c r="E74" s="233">
        <v>14</v>
      </c>
      <c r="F74" s="233">
        <f t="shared" si="2"/>
        <v>15</v>
      </c>
      <c r="G74" s="233">
        <v>11</v>
      </c>
      <c r="H74" s="233">
        <v>1</v>
      </c>
      <c r="I74" s="233"/>
      <c r="J74" s="233">
        <f t="shared" si="3"/>
        <v>3</v>
      </c>
    </row>
    <row r="75" spans="1:10" customFormat="1" x14ac:dyDescent="0.25">
      <c r="A75" s="542">
        <v>9</v>
      </c>
      <c r="B75" s="543" t="s">
        <v>88</v>
      </c>
      <c r="C75" s="423" t="s">
        <v>84</v>
      </c>
      <c r="D75" s="233"/>
      <c r="E75" s="233"/>
      <c r="F75" s="233">
        <f t="shared" si="2"/>
        <v>0</v>
      </c>
      <c r="G75" s="233"/>
      <c r="H75" s="233"/>
      <c r="I75" s="233"/>
      <c r="J75" s="233">
        <f t="shared" si="3"/>
        <v>0</v>
      </c>
    </row>
    <row r="76" spans="1:10" customFormat="1" x14ac:dyDescent="0.25">
      <c r="A76" s="542"/>
      <c r="B76" s="543"/>
      <c r="C76" s="423" t="s">
        <v>85</v>
      </c>
      <c r="D76" s="233"/>
      <c r="E76" s="233">
        <v>3</v>
      </c>
      <c r="F76" s="233">
        <f t="shared" si="2"/>
        <v>3</v>
      </c>
      <c r="G76" s="233"/>
      <c r="H76" s="233"/>
      <c r="I76" s="233"/>
      <c r="J76" s="233">
        <f t="shared" si="3"/>
        <v>3</v>
      </c>
    </row>
    <row r="77" spans="1:10" customFormat="1" x14ac:dyDescent="0.25">
      <c r="A77" s="542"/>
      <c r="B77" s="543"/>
      <c r="C77" s="423" t="s">
        <v>86</v>
      </c>
      <c r="D77" s="233">
        <v>2</v>
      </c>
      <c r="E77" s="233">
        <v>10</v>
      </c>
      <c r="F77" s="233">
        <f t="shared" si="2"/>
        <v>12</v>
      </c>
      <c r="G77" s="233">
        <v>9</v>
      </c>
      <c r="H77" s="233"/>
      <c r="I77" s="233"/>
      <c r="J77" s="233">
        <f t="shared" si="3"/>
        <v>3</v>
      </c>
    </row>
    <row r="78" spans="1:10" customFormat="1" x14ac:dyDescent="0.25">
      <c r="A78" s="542">
        <v>10</v>
      </c>
      <c r="B78" s="543" t="s">
        <v>89</v>
      </c>
      <c r="C78" s="423" t="s">
        <v>84</v>
      </c>
      <c r="D78" s="233">
        <v>2</v>
      </c>
      <c r="E78" s="233"/>
      <c r="F78" s="233">
        <f t="shared" si="2"/>
        <v>2</v>
      </c>
      <c r="G78" s="233">
        <v>2</v>
      </c>
      <c r="H78" s="233"/>
      <c r="I78" s="233"/>
      <c r="J78" s="233">
        <f t="shared" si="3"/>
        <v>0</v>
      </c>
    </row>
    <row r="79" spans="1:10" customFormat="1" x14ac:dyDescent="0.25">
      <c r="A79" s="542"/>
      <c r="B79" s="543"/>
      <c r="C79" s="423" t="s">
        <v>85</v>
      </c>
      <c r="D79" s="233"/>
      <c r="E79" s="233">
        <v>7</v>
      </c>
      <c r="F79" s="233">
        <f t="shared" si="2"/>
        <v>7</v>
      </c>
      <c r="G79" s="233">
        <v>4</v>
      </c>
      <c r="H79" s="233"/>
      <c r="I79" s="233"/>
      <c r="J79" s="233">
        <f t="shared" si="3"/>
        <v>3</v>
      </c>
    </row>
    <row r="80" spans="1:10" customFormat="1" x14ac:dyDescent="0.25">
      <c r="A80" s="542"/>
      <c r="B80" s="543"/>
      <c r="C80" s="423" t="s">
        <v>86</v>
      </c>
      <c r="D80" s="233">
        <v>1</v>
      </c>
      <c r="E80" s="233">
        <v>7</v>
      </c>
      <c r="F80" s="233">
        <f t="shared" si="2"/>
        <v>8</v>
      </c>
      <c r="G80" s="233">
        <v>8</v>
      </c>
      <c r="H80" s="233"/>
      <c r="I80" s="233"/>
      <c r="J80" s="233">
        <f t="shared" si="3"/>
        <v>0</v>
      </c>
    </row>
    <row r="81" spans="1:10" customFormat="1" x14ac:dyDescent="0.25">
      <c r="A81" s="542">
        <v>11</v>
      </c>
      <c r="B81" s="543" t="s">
        <v>90</v>
      </c>
      <c r="C81" s="423" t="s">
        <v>84</v>
      </c>
      <c r="D81" s="233"/>
      <c r="E81" s="233"/>
      <c r="F81" s="233">
        <f t="shared" si="2"/>
        <v>0</v>
      </c>
      <c r="G81" s="233"/>
      <c r="H81" s="233"/>
      <c r="I81" s="233"/>
      <c r="J81" s="233">
        <f t="shared" si="3"/>
        <v>0</v>
      </c>
    </row>
    <row r="82" spans="1:10" customFormat="1" x14ac:dyDescent="0.25">
      <c r="A82" s="542"/>
      <c r="B82" s="543"/>
      <c r="C82" s="423" t="s">
        <v>85</v>
      </c>
      <c r="D82" s="233">
        <v>2</v>
      </c>
      <c r="E82" s="233">
        <v>3</v>
      </c>
      <c r="F82" s="233">
        <f t="shared" si="2"/>
        <v>5</v>
      </c>
      <c r="G82" s="233">
        <v>1</v>
      </c>
      <c r="H82" s="233">
        <v>2</v>
      </c>
      <c r="I82" s="233"/>
      <c r="J82" s="233">
        <f t="shared" si="3"/>
        <v>2</v>
      </c>
    </row>
    <row r="83" spans="1:10" customFormat="1" x14ac:dyDescent="0.25">
      <c r="A83" s="542"/>
      <c r="B83" s="543"/>
      <c r="C83" s="423" t="s">
        <v>86</v>
      </c>
      <c r="D83" s="233">
        <v>1</v>
      </c>
      <c r="E83" s="233">
        <v>5</v>
      </c>
      <c r="F83" s="233">
        <f t="shared" si="2"/>
        <v>6</v>
      </c>
      <c r="G83" s="233">
        <v>2</v>
      </c>
      <c r="H83" s="233">
        <v>3</v>
      </c>
      <c r="I83" s="233"/>
      <c r="J83" s="233">
        <f t="shared" si="3"/>
        <v>1</v>
      </c>
    </row>
    <row r="84" spans="1:10" customFormat="1" x14ac:dyDescent="0.25">
      <c r="A84" s="542">
        <v>12</v>
      </c>
      <c r="B84" s="543" t="s">
        <v>91</v>
      </c>
      <c r="C84" s="423" t="s">
        <v>84</v>
      </c>
      <c r="D84" s="233">
        <v>2</v>
      </c>
      <c r="E84" s="233">
        <v>20</v>
      </c>
      <c r="F84" s="233">
        <f t="shared" si="2"/>
        <v>22</v>
      </c>
      <c r="G84" s="233">
        <v>8</v>
      </c>
      <c r="H84" s="233">
        <v>2</v>
      </c>
      <c r="I84" s="233"/>
      <c r="J84" s="233">
        <f t="shared" si="3"/>
        <v>12</v>
      </c>
    </row>
    <row r="85" spans="1:10" customFormat="1" x14ac:dyDescent="0.25">
      <c r="A85" s="542"/>
      <c r="B85" s="543"/>
      <c r="C85" s="423" t="s">
        <v>85</v>
      </c>
      <c r="D85" s="233">
        <v>5</v>
      </c>
      <c r="E85" s="233">
        <v>12</v>
      </c>
      <c r="F85" s="233">
        <f t="shared" si="2"/>
        <v>17</v>
      </c>
      <c r="G85" s="233">
        <v>12</v>
      </c>
      <c r="H85" s="233"/>
      <c r="I85" s="233"/>
      <c r="J85" s="233">
        <f t="shared" si="3"/>
        <v>5</v>
      </c>
    </row>
    <row r="86" spans="1:10" customFormat="1" x14ac:dyDescent="0.25">
      <c r="A86" s="542"/>
      <c r="B86" s="543"/>
      <c r="C86" s="423" t="s">
        <v>86</v>
      </c>
      <c r="D86" s="233">
        <v>31</v>
      </c>
      <c r="E86" s="233">
        <v>139</v>
      </c>
      <c r="F86" s="233">
        <f t="shared" si="2"/>
        <v>170</v>
      </c>
      <c r="G86" s="233">
        <v>119</v>
      </c>
      <c r="H86" s="233">
        <v>30</v>
      </c>
      <c r="I86" s="233"/>
      <c r="J86" s="233">
        <f t="shared" si="3"/>
        <v>21</v>
      </c>
    </row>
    <row r="87" spans="1:10" customFormat="1" x14ac:dyDescent="0.25">
      <c r="A87" s="542">
        <v>13</v>
      </c>
      <c r="B87" s="543" t="s">
        <v>52</v>
      </c>
      <c r="C87" s="423" t="s">
        <v>84</v>
      </c>
      <c r="D87" s="233">
        <v>5</v>
      </c>
      <c r="E87" s="233">
        <v>7</v>
      </c>
      <c r="F87" s="233">
        <f t="shared" si="2"/>
        <v>12</v>
      </c>
      <c r="G87" s="233">
        <v>7</v>
      </c>
      <c r="H87" s="233">
        <v>3</v>
      </c>
      <c r="I87" s="233"/>
      <c r="J87" s="233">
        <f t="shared" si="3"/>
        <v>2</v>
      </c>
    </row>
    <row r="88" spans="1:10" customFormat="1" x14ac:dyDescent="0.25">
      <c r="A88" s="542"/>
      <c r="B88" s="543"/>
      <c r="C88" s="423" t="s">
        <v>85</v>
      </c>
      <c r="D88" s="233">
        <v>15</v>
      </c>
      <c r="E88" s="233">
        <v>35</v>
      </c>
      <c r="F88" s="233">
        <f t="shared" si="2"/>
        <v>50</v>
      </c>
      <c r="G88" s="233">
        <v>33</v>
      </c>
      <c r="H88" s="233">
        <v>6</v>
      </c>
      <c r="I88" s="233"/>
      <c r="J88" s="233">
        <f t="shared" si="3"/>
        <v>11</v>
      </c>
    </row>
    <row r="89" spans="1:10" customFormat="1" x14ac:dyDescent="0.25">
      <c r="A89" s="542"/>
      <c r="B89" s="543"/>
      <c r="C89" s="423" t="s">
        <v>86</v>
      </c>
      <c r="D89" s="233">
        <v>8</v>
      </c>
      <c r="E89" s="233">
        <v>88</v>
      </c>
      <c r="F89" s="233">
        <f t="shared" si="2"/>
        <v>96</v>
      </c>
      <c r="G89" s="233">
        <v>68</v>
      </c>
      <c r="H89" s="233"/>
      <c r="I89" s="233"/>
      <c r="J89" s="233">
        <f t="shared" si="3"/>
        <v>28</v>
      </c>
    </row>
    <row r="95" spans="1:10" ht="20.25" x14ac:dyDescent="0.25">
      <c r="A95" s="544" t="s">
        <v>1232</v>
      </c>
      <c r="B95" s="545"/>
      <c r="C95" s="545"/>
      <c r="D95" s="545"/>
      <c r="E95" s="545"/>
      <c r="F95" s="545"/>
      <c r="G95" s="545"/>
      <c r="H95" s="545"/>
      <c r="I95" s="545"/>
      <c r="J95" s="546"/>
    </row>
    <row r="96" spans="1:10" ht="15" customHeight="1" x14ac:dyDescent="0.25">
      <c r="A96" s="547" t="s">
        <v>76</v>
      </c>
      <c r="B96" s="548" t="s">
        <v>1</v>
      </c>
      <c r="C96" s="548" t="s">
        <v>77</v>
      </c>
      <c r="D96" s="548" t="s">
        <v>78</v>
      </c>
      <c r="E96" s="548" t="s">
        <v>79</v>
      </c>
      <c r="F96" s="548" t="s">
        <v>719</v>
      </c>
      <c r="G96" s="548" t="s">
        <v>80</v>
      </c>
      <c r="H96" s="548" t="s">
        <v>81</v>
      </c>
      <c r="I96" s="549" t="s">
        <v>82</v>
      </c>
      <c r="J96" s="548" t="s">
        <v>139</v>
      </c>
    </row>
    <row r="97" spans="1:10" ht="15" x14ac:dyDescent="0.25">
      <c r="A97" s="547"/>
      <c r="B97" s="548"/>
      <c r="C97" s="548"/>
      <c r="D97" s="548"/>
      <c r="E97" s="548"/>
      <c r="F97" s="548"/>
      <c r="G97" s="548"/>
      <c r="H97" s="548"/>
      <c r="I97" s="549"/>
      <c r="J97" s="548"/>
    </row>
    <row r="98" spans="1:10" x14ac:dyDescent="0.25">
      <c r="A98" s="526">
        <v>1</v>
      </c>
      <c r="B98" s="527" t="s">
        <v>83</v>
      </c>
      <c r="C98" s="279" t="s">
        <v>84</v>
      </c>
      <c r="D98" s="126"/>
      <c r="E98" s="126"/>
      <c r="F98" s="126">
        <f>D98+E98</f>
        <v>0</v>
      </c>
      <c r="G98" s="126"/>
      <c r="H98" s="126"/>
      <c r="I98" s="126"/>
      <c r="J98" s="126">
        <f>F98-G98-H98</f>
        <v>0</v>
      </c>
    </row>
    <row r="99" spans="1:10" x14ac:dyDescent="0.25">
      <c r="A99" s="526"/>
      <c r="B99" s="527"/>
      <c r="C99" s="279" t="s">
        <v>85</v>
      </c>
      <c r="D99" s="126">
        <v>3</v>
      </c>
      <c r="E99" s="126">
        <v>1</v>
      </c>
      <c r="F99" s="126">
        <f t="shared" ref="F99:F136" si="4">D99+E99</f>
        <v>4</v>
      </c>
      <c r="G99" s="126">
        <v>3</v>
      </c>
      <c r="H99" s="126"/>
      <c r="I99" s="126"/>
      <c r="J99" s="126">
        <f t="shared" ref="J99:J136" si="5">F99-G99-H99</f>
        <v>1</v>
      </c>
    </row>
    <row r="100" spans="1:10" ht="17.25" customHeight="1" x14ac:dyDescent="0.25">
      <c r="A100" s="526"/>
      <c r="B100" s="527"/>
      <c r="C100" s="279" t="s">
        <v>86</v>
      </c>
      <c r="D100" s="126">
        <v>1</v>
      </c>
      <c r="E100" s="126">
        <v>1</v>
      </c>
      <c r="F100" s="126">
        <f t="shared" si="4"/>
        <v>2</v>
      </c>
      <c r="G100" s="126">
        <v>1</v>
      </c>
      <c r="H100" s="126"/>
      <c r="I100" s="126"/>
      <c r="J100" s="126">
        <f t="shared" si="5"/>
        <v>1</v>
      </c>
    </row>
    <row r="101" spans="1:10" x14ac:dyDescent="0.25">
      <c r="A101" s="526">
        <v>2</v>
      </c>
      <c r="B101" s="527" t="s">
        <v>20</v>
      </c>
      <c r="C101" s="279" t="s">
        <v>84</v>
      </c>
      <c r="D101" s="126"/>
      <c r="E101" s="126">
        <v>1</v>
      </c>
      <c r="F101" s="126">
        <f t="shared" si="4"/>
        <v>1</v>
      </c>
      <c r="G101" s="126">
        <v>1</v>
      </c>
      <c r="H101" s="126"/>
      <c r="I101" s="126"/>
      <c r="J101" s="126">
        <f t="shared" si="5"/>
        <v>0</v>
      </c>
    </row>
    <row r="102" spans="1:10" x14ac:dyDescent="0.25">
      <c r="A102" s="526"/>
      <c r="B102" s="527"/>
      <c r="C102" s="279" t="s">
        <v>85</v>
      </c>
      <c r="D102" s="126">
        <v>1</v>
      </c>
      <c r="E102" s="126">
        <v>9</v>
      </c>
      <c r="F102" s="126">
        <f t="shared" si="4"/>
        <v>10</v>
      </c>
      <c r="G102" s="126">
        <v>9</v>
      </c>
      <c r="H102" s="126"/>
      <c r="I102" s="126"/>
      <c r="J102" s="126">
        <f t="shared" si="5"/>
        <v>1</v>
      </c>
    </row>
    <row r="103" spans="1:10" x14ac:dyDescent="0.25">
      <c r="A103" s="526"/>
      <c r="B103" s="527"/>
      <c r="C103" s="279" t="s">
        <v>86</v>
      </c>
      <c r="D103" s="126"/>
      <c r="E103" s="126">
        <v>3</v>
      </c>
      <c r="F103" s="126">
        <f t="shared" si="4"/>
        <v>3</v>
      </c>
      <c r="G103" s="126"/>
      <c r="H103" s="126"/>
      <c r="I103" s="126"/>
      <c r="J103" s="126">
        <f t="shared" si="5"/>
        <v>3</v>
      </c>
    </row>
    <row r="104" spans="1:10" x14ac:dyDescent="0.25">
      <c r="A104" s="526">
        <v>3</v>
      </c>
      <c r="B104" s="527" t="s">
        <v>21</v>
      </c>
      <c r="C104" s="279" t="s">
        <v>84</v>
      </c>
      <c r="D104" s="126"/>
      <c r="E104" s="126">
        <v>2</v>
      </c>
      <c r="F104" s="126">
        <f t="shared" si="4"/>
        <v>2</v>
      </c>
      <c r="G104" s="126">
        <v>2</v>
      </c>
      <c r="H104" s="126"/>
      <c r="I104" s="126"/>
      <c r="J104" s="126">
        <f t="shared" si="5"/>
        <v>0</v>
      </c>
    </row>
    <row r="105" spans="1:10" x14ac:dyDescent="0.25">
      <c r="A105" s="526"/>
      <c r="B105" s="527"/>
      <c r="C105" s="279" t="s">
        <v>85</v>
      </c>
      <c r="D105" s="126">
        <v>1</v>
      </c>
      <c r="E105" s="126">
        <v>9</v>
      </c>
      <c r="F105" s="126">
        <f t="shared" si="4"/>
        <v>10</v>
      </c>
      <c r="G105" s="126">
        <v>5</v>
      </c>
      <c r="H105" s="126">
        <v>4</v>
      </c>
      <c r="I105" s="126"/>
      <c r="J105" s="126">
        <f t="shared" si="5"/>
        <v>1</v>
      </c>
    </row>
    <row r="106" spans="1:10" x14ac:dyDescent="0.25">
      <c r="A106" s="526"/>
      <c r="B106" s="527"/>
      <c r="C106" s="279" t="s">
        <v>86</v>
      </c>
      <c r="D106" s="126"/>
      <c r="E106" s="126">
        <v>15</v>
      </c>
      <c r="F106" s="126">
        <f t="shared" si="4"/>
        <v>15</v>
      </c>
      <c r="G106" s="126">
        <v>10</v>
      </c>
      <c r="H106" s="126">
        <v>3</v>
      </c>
      <c r="I106" s="126"/>
      <c r="J106" s="126">
        <f t="shared" si="5"/>
        <v>2</v>
      </c>
    </row>
    <row r="107" spans="1:10" x14ac:dyDescent="0.25">
      <c r="A107" s="526">
        <v>4</v>
      </c>
      <c r="B107" s="527" t="s">
        <v>23</v>
      </c>
      <c r="C107" s="279" t="s">
        <v>84</v>
      </c>
      <c r="D107" s="126"/>
      <c r="E107" s="126"/>
      <c r="F107" s="126">
        <f t="shared" si="4"/>
        <v>0</v>
      </c>
      <c r="G107" s="126"/>
      <c r="H107" s="126"/>
      <c r="I107" s="126"/>
      <c r="J107" s="126">
        <f t="shared" si="5"/>
        <v>0</v>
      </c>
    </row>
    <row r="108" spans="1:10" x14ac:dyDescent="0.25">
      <c r="A108" s="526"/>
      <c r="B108" s="527"/>
      <c r="C108" s="279" t="s">
        <v>85</v>
      </c>
      <c r="D108" s="126">
        <v>2</v>
      </c>
      <c r="E108" s="126">
        <v>14</v>
      </c>
      <c r="F108" s="126">
        <f t="shared" si="4"/>
        <v>16</v>
      </c>
      <c r="G108" s="126">
        <v>12</v>
      </c>
      <c r="H108" s="126">
        <v>3</v>
      </c>
      <c r="I108" s="126"/>
      <c r="J108" s="126">
        <f t="shared" si="5"/>
        <v>1</v>
      </c>
    </row>
    <row r="109" spans="1:10" x14ac:dyDescent="0.25">
      <c r="A109" s="526"/>
      <c r="B109" s="527"/>
      <c r="C109" s="279" t="s">
        <v>86</v>
      </c>
      <c r="D109" s="126"/>
      <c r="E109" s="126">
        <v>1</v>
      </c>
      <c r="F109" s="126">
        <f t="shared" si="4"/>
        <v>1</v>
      </c>
      <c r="G109" s="126">
        <v>1</v>
      </c>
      <c r="H109" s="126"/>
      <c r="I109" s="126"/>
      <c r="J109" s="126">
        <f t="shared" si="5"/>
        <v>0</v>
      </c>
    </row>
    <row r="110" spans="1:10" x14ac:dyDescent="0.25">
      <c r="A110" s="526">
        <v>5</v>
      </c>
      <c r="B110" s="527" t="s">
        <v>87</v>
      </c>
      <c r="C110" s="279" t="s">
        <v>84</v>
      </c>
      <c r="D110" s="126"/>
      <c r="E110" s="126"/>
      <c r="F110" s="126">
        <f t="shared" si="4"/>
        <v>0</v>
      </c>
      <c r="G110" s="126"/>
      <c r="H110" s="126"/>
      <c r="I110" s="126"/>
      <c r="J110" s="126">
        <f t="shared" si="5"/>
        <v>0</v>
      </c>
    </row>
    <row r="111" spans="1:10" x14ac:dyDescent="0.25">
      <c r="A111" s="526"/>
      <c r="B111" s="527"/>
      <c r="C111" s="279" t="s">
        <v>85</v>
      </c>
      <c r="D111" s="126">
        <v>5</v>
      </c>
      <c r="E111" s="126">
        <v>21</v>
      </c>
      <c r="F111" s="126">
        <f t="shared" si="4"/>
        <v>26</v>
      </c>
      <c r="G111" s="126">
        <v>12</v>
      </c>
      <c r="H111" s="126">
        <v>2</v>
      </c>
      <c r="I111" s="126"/>
      <c r="J111" s="126">
        <f t="shared" si="5"/>
        <v>12</v>
      </c>
    </row>
    <row r="112" spans="1:10" x14ac:dyDescent="0.25">
      <c r="A112" s="526"/>
      <c r="B112" s="527"/>
      <c r="C112" s="279" t="s">
        <v>86</v>
      </c>
      <c r="D112" s="126">
        <v>1</v>
      </c>
      <c r="E112" s="126">
        <v>26</v>
      </c>
      <c r="F112" s="126">
        <f t="shared" si="4"/>
        <v>27</v>
      </c>
      <c r="G112" s="126">
        <v>20</v>
      </c>
      <c r="H112" s="126">
        <v>2</v>
      </c>
      <c r="I112" s="126"/>
      <c r="J112" s="126">
        <f t="shared" si="5"/>
        <v>5</v>
      </c>
    </row>
    <row r="113" spans="1:10" x14ac:dyDescent="0.25">
      <c r="A113" s="526">
        <v>6</v>
      </c>
      <c r="B113" s="527" t="s">
        <v>28</v>
      </c>
      <c r="C113" s="279" t="s">
        <v>84</v>
      </c>
      <c r="D113" s="235">
        <v>9</v>
      </c>
      <c r="E113" s="235">
        <v>21</v>
      </c>
      <c r="F113" s="126">
        <f t="shared" si="4"/>
        <v>30</v>
      </c>
      <c r="G113" s="235">
        <v>15</v>
      </c>
      <c r="H113" s="235">
        <v>9</v>
      </c>
      <c r="I113" s="126"/>
      <c r="J113" s="126">
        <f t="shared" si="5"/>
        <v>6</v>
      </c>
    </row>
    <row r="114" spans="1:10" x14ac:dyDescent="0.25">
      <c r="A114" s="526"/>
      <c r="B114" s="527"/>
      <c r="C114" s="279" t="s">
        <v>85</v>
      </c>
      <c r="D114" s="235">
        <v>11</v>
      </c>
      <c r="E114" s="235">
        <v>52</v>
      </c>
      <c r="F114" s="126">
        <f t="shared" si="4"/>
        <v>63</v>
      </c>
      <c r="G114" s="235">
        <v>18</v>
      </c>
      <c r="H114" s="235">
        <v>27</v>
      </c>
      <c r="I114" s="126"/>
      <c r="J114" s="126">
        <f t="shared" si="5"/>
        <v>18</v>
      </c>
    </row>
    <row r="115" spans="1:10" x14ac:dyDescent="0.25">
      <c r="A115" s="526"/>
      <c r="B115" s="527"/>
      <c r="C115" s="279" t="s">
        <v>86</v>
      </c>
      <c r="D115" s="235">
        <v>25</v>
      </c>
      <c r="E115" s="235">
        <v>114</v>
      </c>
      <c r="F115" s="126">
        <f t="shared" si="4"/>
        <v>139</v>
      </c>
      <c r="G115" s="235">
        <v>68</v>
      </c>
      <c r="H115" s="235">
        <v>32</v>
      </c>
      <c r="I115" s="126"/>
      <c r="J115" s="126">
        <f t="shared" si="5"/>
        <v>39</v>
      </c>
    </row>
    <row r="116" spans="1:10" x14ac:dyDescent="0.25">
      <c r="A116" s="526">
        <v>7</v>
      </c>
      <c r="B116" s="527" t="s">
        <v>33</v>
      </c>
      <c r="C116" s="279" t="s">
        <v>84</v>
      </c>
      <c r="D116" s="126">
        <v>2</v>
      </c>
      <c r="E116" s="126">
        <v>61</v>
      </c>
      <c r="F116" s="126">
        <f t="shared" si="4"/>
        <v>63</v>
      </c>
      <c r="G116" s="126">
        <v>43</v>
      </c>
      <c r="H116" s="126">
        <v>13</v>
      </c>
      <c r="I116" s="126"/>
      <c r="J116" s="126">
        <f t="shared" si="5"/>
        <v>7</v>
      </c>
    </row>
    <row r="117" spans="1:10" x14ac:dyDescent="0.25">
      <c r="A117" s="526"/>
      <c r="B117" s="527"/>
      <c r="C117" s="279" t="s">
        <v>85</v>
      </c>
      <c r="D117" s="126">
        <v>16</v>
      </c>
      <c r="E117" s="126">
        <v>68</v>
      </c>
      <c r="F117" s="126">
        <f t="shared" si="4"/>
        <v>84</v>
      </c>
      <c r="G117" s="126">
        <v>32</v>
      </c>
      <c r="H117" s="126">
        <v>24</v>
      </c>
      <c r="I117" s="126"/>
      <c r="J117" s="126">
        <f t="shared" si="5"/>
        <v>28</v>
      </c>
    </row>
    <row r="118" spans="1:10" x14ac:dyDescent="0.25">
      <c r="A118" s="526"/>
      <c r="B118" s="527"/>
      <c r="C118" s="279" t="s">
        <v>86</v>
      </c>
      <c r="D118" s="126">
        <v>18</v>
      </c>
      <c r="E118" s="126">
        <v>181</v>
      </c>
      <c r="F118" s="126">
        <f t="shared" si="4"/>
        <v>199</v>
      </c>
      <c r="G118" s="126">
        <v>74</v>
      </c>
      <c r="H118" s="126">
        <v>58</v>
      </c>
      <c r="I118" s="126"/>
      <c r="J118" s="126">
        <f t="shared" si="5"/>
        <v>67</v>
      </c>
    </row>
    <row r="119" spans="1:10" x14ac:dyDescent="0.25">
      <c r="A119" s="526">
        <v>8</v>
      </c>
      <c r="B119" s="527" t="s">
        <v>38</v>
      </c>
      <c r="C119" s="279" t="s">
        <v>84</v>
      </c>
      <c r="D119" s="126">
        <v>0</v>
      </c>
      <c r="E119" s="126">
        <v>2</v>
      </c>
      <c r="F119" s="126">
        <f t="shared" si="4"/>
        <v>2</v>
      </c>
      <c r="G119" s="126">
        <v>0</v>
      </c>
      <c r="H119" s="126">
        <v>2</v>
      </c>
      <c r="I119" s="126"/>
      <c r="J119" s="126">
        <f t="shared" si="5"/>
        <v>0</v>
      </c>
    </row>
    <row r="120" spans="1:10" x14ac:dyDescent="0.25">
      <c r="A120" s="526"/>
      <c r="B120" s="527"/>
      <c r="C120" s="279" t="s">
        <v>85</v>
      </c>
      <c r="D120" s="126">
        <v>1</v>
      </c>
      <c r="E120" s="126">
        <v>12</v>
      </c>
      <c r="F120" s="126">
        <f t="shared" si="4"/>
        <v>13</v>
      </c>
      <c r="G120" s="126">
        <v>3</v>
      </c>
      <c r="H120" s="126">
        <v>9</v>
      </c>
      <c r="I120" s="126"/>
      <c r="J120" s="126">
        <f t="shared" si="5"/>
        <v>1</v>
      </c>
    </row>
    <row r="121" spans="1:10" x14ac:dyDescent="0.25">
      <c r="A121" s="526"/>
      <c r="B121" s="527"/>
      <c r="C121" s="279" t="s">
        <v>86</v>
      </c>
      <c r="D121" s="126">
        <v>8</v>
      </c>
      <c r="E121" s="126">
        <v>23</v>
      </c>
      <c r="F121" s="126">
        <f t="shared" si="4"/>
        <v>31</v>
      </c>
      <c r="G121" s="126">
        <v>14</v>
      </c>
      <c r="H121" s="126">
        <v>14</v>
      </c>
      <c r="I121" s="126"/>
      <c r="J121" s="126">
        <f t="shared" si="5"/>
        <v>3</v>
      </c>
    </row>
    <row r="122" spans="1:10" x14ac:dyDescent="0.25">
      <c r="A122" s="526">
        <v>9</v>
      </c>
      <c r="B122" s="527" t="s">
        <v>88</v>
      </c>
      <c r="C122" s="279" t="s">
        <v>84</v>
      </c>
      <c r="D122" s="126"/>
      <c r="E122" s="126">
        <v>1</v>
      </c>
      <c r="F122" s="126">
        <f t="shared" si="4"/>
        <v>1</v>
      </c>
      <c r="G122" s="126">
        <v>1</v>
      </c>
      <c r="H122" s="126"/>
      <c r="I122" s="126"/>
      <c r="J122" s="126">
        <f t="shared" si="5"/>
        <v>0</v>
      </c>
    </row>
    <row r="123" spans="1:10" x14ac:dyDescent="0.25">
      <c r="A123" s="526"/>
      <c r="B123" s="527"/>
      <c r="C123" s="279" t="s">
        <v>85</v>
      </c>
      <c r="D123" s="126"/>
      <c r="E123" s="126">
        <v>2</v>
      </c>
      <c r="F123" s="126">
        <f t="shared" si="4"/>
        <v>2</v>
      </c>
      <c r="G123" s="126">
        <v>2</v>
      </c>
      <c r="H123" s="126"/>
      <c r="I123" s="126"/>
      <c r="J123" s="126">
        <f t="shared" si="5"/>
        <v>0</v>
      </c>
    </row>
    <row r="124" spans="1:10" x14ac:dyDescent="0.25">
      <c r="A124" s="526"/>
      <c r="B124" s="527"/>
      <c r="C124" s="279" t="s">
        <v>86</v>
      </c>
      <c r="D124" s="126"/>
      <c r="E124" s="126">
        <v>7</v>
      </c>
      <c r="F124" s="126">
        <f t="shared" si="4"/>
        <v>7</v>
      </c>
      <c r="G124" s="126">
        <v>5</v>
      </c>
      <c r="H124" s="126"/>
      <c r="I124" s="126"/>
      <c r="J124" s="126">
        <f t="shared" si="5"/>
        <v>2</v>
      </c>
    </row>
    <row r="125" spans="1:10" x14ac:dyDescent="0.25">
      <c r="A125" s="526">
        <v>10</v>
      </c>
      <c r="B125" s="527" t="s">
        <v>89</v>
      </c>
      <c r="C125" s="279" t="s">
        <v>84</v>
      </c>
      <c r="D125" s="126"/>
      <c r="E125" s="126">
        <v>3</v>
      </c>
      <c r="F125" s="126">
        <f t="shared" si="4"/>
        <v>3</v>
      </c>
      <c r="G125" s="126">
        <v>1</v>
      </c>
      <c r="H125" s="126"/>
      <c r="I125" s="126"/>
      <c r="J125" s="126">
        <f t="shared" si="5"/>
        <v>2</v>
      </c>
    </row>
    <row r="126" spans="1:10" x14ac:dyDescent="0.25">
      <c r="A126" s="526"/>
      <c r="B126" s="527"/>
      <c r="C126" s="279" t="s">
        <v>85</v>
      </c>
      <c r="D126" s="126"/>
      <c r="E126" s="126">
        <v>1</v>
      </c>
      <c r="F126" s="126">
        <f t="shared" si="4"/>
        <v>1</v>
      </c>
      <c r="G126" s="126"/>
      <c r="H126" s="126">
        <v>1</v>
      </c>
      <c r="I126" s="126"/>
      <c r="J126" s="126">
        <f t="shared" si="5"/>
        <v>0</v>
      </c>
    </row>
    <row r="127" spans="1:10" x14ac:dyDescent="0.25">
      <c r="A127" s="526"/>
      <c r="B127" s="527"/>
      <c r="C127" s="279" t="s">
        <v>86</v>
      </c>
      <c r="D127" s="126">
        <v>2</v>
      </c>
      <c r="E127" s="126">
        <v>2</v>
      </c>
      <c r="F127" s="126">
        <f t="shared" si="4"/>
        <v>4</v>
      </c>
      <c r="G127" s="126">
        <v>3</v>
      </c>
      <c r="H127" s="126"/>
      <c r="I127" s="126"/>
      <c r="J127" s="126">
        <f t="shared" si="5"/>
        <v>1</v>
      </c>
    </row>
    <row r="128" spans="1:10" x14ac:dyDescent="0.25">
      <c r="A128" s="526">
        <v>11</v>
      </c>
      <c r="B128" s="527" t="s">
        <v>90</v>
      </c>
      <c r="C128" s="279" t="s">
        <v>84</v>
      </c>
      <c r="D128" s="126"/>
      <c r="E128" s="126">
        <v>1</v>
      </c>
      <c r="F128" s="126">
        <f t="shared" si="4"/>
        <v>1</v>
      </c>
      <c r="G128" s="126">
        <v>1</v>
      </c>
      <c r="H128" s="126"/>
      <c r="I128" s="126"/>
      <c r="J128" s="126">
        <f t="shared" si="5"/>
        <v>0</v>
      </c>
    </row>
    <row r="129" spans="1:10" x14ac:dyDescent="0.25">
      <c r="A129" s="526"/>
      <c r="B129" s="527"/>
      <c r="C129" s="279" t="s">
        <v>85</v>
      </c>
      <c r="D129" s="126"/>
      <c r="E129" s="126">
        <v>2</v>
      </c>
      <c r="F129" s="126">
        <f t="shared" si="4"/>
        <v>2</v>
      </c>
      <c r="G129" s="126"/>
      <c r="H129" s="126"/>
      <c r="I129" s="126"/>
      <c r="J129" s="126">
        <f t="shared" si="5"/>
        <v>2</v>
      </c>
    </row>
    <row r="130" spans="1:10" x14ac:dyDescent="0.25">
      <c r="A130" s="526"/>
      <c r="B130" s="527"/>
      <c r="C130" s="279" t="s">
        <v>86</v>
      </c>
      <c r="D130" s="126">
        <v>3</v>
      </c>
      <c r="E130" s="126">
        <v>10</v>
      </c>
      <c r="F130" s="126">
        <f t="shared" si="4"/>
        <v>13</v>
      </c>
      <c r="G130" s="126">
        <v>10</v>
      </c>
      <c r="H130" s="126">
        <v>2</v>
      </c>
      <c r="I130" s="126"/>
      <c r="J130" s="126">
        <f t="shared" si="5"/>
        <v>1</v>
      </c>
    </row>
    <row r="131" spans="1:10" x14ac:dyDescent="0.25">
      <c r="A131" s="526">
        <v>12</v>
      </c>
      <c r="B131" s="527" t="s">
        <v>91</v>
      </c>
      <c r="C131" s="279" t="s">
        <v>84</v>
      </c>
      <c r="D131" s="126">
        <v>4</v>
      </c>
      <c r="E131" s="126">
        <v>27</v>
      </c>
      <c r="F131" s="126">
        <f t="shared" si="4"/>
        <v>31</v>
      </c>
      <c r="G131" s="126">
        <v>23</v>
      </c>
      <c r="H131" s="126">
        <v>6</v>
      </c>
      <c r="I131" s="126"/>
      <c r="J131" s="126">
        <f t="shared" si="5"/>
        <v>2</v>
      </c>
    </row>
    <row r="132" spans="1:10" x14ac:dyDescent="0.25">
      <c r="A132" s="526"/>
      <c r="B132" s="527"/>
      <c r="C132" s="279" t="s">
        <v>85</v>
      </c>
      <c r="D132" s="126">
        <v>1</v>
      </c>
      <c r="E132" s="126">
        <v>12</v>
      </c>
      <c r="F132" s="126">
        <f t="shared" si="4"/>
        <v>13</v>
      </c>
      <c r="G132" s="126">
        <v>8</v>
      </c>
      <c r="H132" s="126"/>
      <c r="I132" s="126"/>
      <c r="J132" s="126">
        <f t="shared" si="5"/>
        <v>5</v>
      </c>
    </row>
    <row r="133" spans="1:10" x14ac:dyDescent="0.25">
      <c r="A133" s="526"/>
      <c r="B133" s="527"/>
      <c r="C133" s="279" t="s">
        <v>86</v>
      </c>
      <c r="D133" s="126">
        <v>8</v>
      </c>
      <c r="E133" s="126">
        <v>138</v>
      </c>
      <c r="F133" s="126">
        <f t="shared" si="4"/>
        <v>146</v>
      </c>
      <c r="G133" s="126">
        <v>86</v>
      </c>
      <c r="H133" s="126">
        <v>27</v>
      </c>
      <c r="I133" s="126"/>
      <c r="J133" s="126">
        <f t="shared" si="5"/>
        <v>33</v>
      </c>
    </row>
    <row r="134" spans="1:10" x14ac:dyDescent="0.25">
      <c r="A134" s="526">
        <v>13</v>
      </c>
      <c r="B134" s="527" t="s">
        <v>52</v>
      </c>
      <c r="C134" s="279" t="s">
        <v>84</v>
      </c>
      <c r="D134" s="126"/>
      <c r="E134" s="126">
        <v>12</v>
      </c>
      <c r="F134" s="126">
        <f t="shared" si="4"/>
        <v>12</v>
      </c>
      <c r="G134" s="126">
        <v>7</v>
      </c>
      <c r="H134" s="126"/>
      <c r="I134" s="126"/>
      <c r="J134" s="126">
        <f t="shared" si="5"/>
        <v>5</v>
      </c>
    </row>
    <row r="135" spans="1:10" x14ac:dyDescent="0.25">
      <c r="A135" s="526"/>
      <c r="B135" s="527"/>
      <c r="C135" s="279" t="s">
        <v>85</v>
      </c>
      <c r="D135" s="126">
        <v>4</v>
      </c>
      <c r="E135" s="126">
        <v>28</v>
      </c>
      <c r="F135" s="126">
        <f t="shared" si="4"/>
        <v>32</v>
      </c>
      <c r="G135" s="126">
        <v>14</v>
      </c>
      <c r="H135" s="126">
        <v>3</v>
      </c>
      <c r="I135" s="126"/>
      <c r="J135" s="126">
        <f t="shared" si="5"/>
        <v>15</v>
      </c>
    </row>
    <row r="136" spans="1:10" x14ac:dyDescent="0.25">
      <c r="A136" s="526"/>
      <c r="B136" s="527"/>
      <c r="C136" s="279" t="s">
        <v>86</v>
      </c>
      <c r="D136" s="126">
        <v>5</v>
      </c>
      <c r="E136" s="126">
        <v>88</v>
      </c>
      <c r="F136" s="126">
        <f t="shared" si="4"/>
        <v>93</v>
      </c>
      <c r="G136" s="126">
        <v>77</v>
      </c>
      <c r="H136" s="126">
        <v>9</v>
      </c>
      <c r="I136" s="126"/>
      <c r="J136" s="126">
        <f t="shared" si="5"/>
        <v>7</v>
      </c>
    </row>
    <row r="141" spans="1:10" ht="20.25" x14ac:dyDescent="0.25">
      <c r="A141" s="544" t="s">
        <v>1064</v>
      </c>
      <c r="B141" s="545"/>
      <c r="C141" s="545"/>
      <c r="D141" s="545"/>
      <c r="E141" s="545"/>
      <c r="F141" s="545"/>
      <c r="G141" s="545"/>
      <c r="H141" s="545"/>
      <c r="I141" s="545"/>
      <c r="J141" s="546"/>
    </row>
    <row r="142" spans="1:10" ht="15" customHeight="1" x14ac:dyDescent="0.25">
      <c r="A142" s="547" t="s">
        <v>76</v>
      </c>
      <c r="B142" s="548" t="s">
        <v>1</v>
      </c>
      <c r="C142" s="548" t="s">
        <v>77</v>
      </c>
      <c r="D142" s="548" t="s">
        <v>78</v>
      </c>
      <c r="E142" s="548" t="s">
        <v>79</v>
      </c>
      <c r="F142" s="548" t="s">
        <v>719</v>
      </c>
      <c r="G142" s="548" t="s">
        <v>80</v>
      </c>
      <c r="H142" s="548" t="s">
        <v>81</v>
      </c>
      <c r="I142" s="549" t="s">
        <v>82</v>
      </c>
      <c r="J142" s="548" t="s">
        <v>139</v>
      </c>
    </row>
    <row r="143" spans="1:10" ht="15" x14ac:dyDescent="0.25">
      <c r="A143" s="547"/>
      <c r="B143" s="548"/>
      <c r="C143" s="548"/>
      <c r="D143" s="548"/>
      <c r="E143" s="548"/>
      <c r="F143" s="548"/>
      <c r="G143" s="548"/>
      <c r="H143" s="548"/>
      <c r="I143" s="549"/>
      <c r="J143" s="548"/>
    </row>
    <row r="144" spans="1:10" x14ac:dyDescent="0.25">
      <c r="A144" s="526">
        <v>1</v>
      </c>
      <c r="B144" s="527" t="s">
        <v>83</v>
      </c>
      <c r="C144" s="279" t="s">
        <v>84</v>
      </c>
      <c r="D144" s="126"/>
      <c r="E144" s="126">
        <v>1</v>
      </c>
      <c r="F144" s="126">
        <f>D144+E144</f>
        <v>1</v>
      </c>
      <c r="G144" s="126">
        <v>1</v>
      </c>
      <c r="H144" s="126"/>
      <c r="I144" s="126"/>
      <c r="J144" s="126">
        <f>F144-G144-H144</f>
        <v>0</v>
      </c>
    </row>
    <row r="145" spans="1:10" x14ac:dyDescent="0.25">
      <c r="A145" s="526"/>
      <c r="B145" s="527"/>
      <c r="C145" s="279" t="s">
        <v>85</v>
      </c>
      <c r="D145" s="126"/>
      <c r="E145" s="126">
        <v>6</v>
      </c>
      <c r="F145" s="126">
        <f t="shared" ref="F145:F182" si="6">D145+E145</f>
        <v>6</v>
      </c>
      <c r="G145" s="126">
        <v>6</v>
      </c>
      <c r="H145" s="126"/>
      <c r="I145" s="126"/>
      <c r="J145" s="126">
        <f t="shared" ref="J145:J182" si="7">F145-G145-H145</f>
        <v>0</v>
      </c>
    </row>
    <row r="146" spans="1:10" ht="17.25" customHeight="1" x14ac:dyDescent="0.25">
      <c r="A146" s="526"/>
      <c r="B146" s="527"/>
      <c r="C146" s="279" t="s">
        <v>86</v>
      </c>
      <c r="D146" s="126"/>
      <c r="E146" s="126">
        <v>1</v>
      </c>
      <c r="F146" s="126">
        <f t="shared" si="6"/>
        <v>1</v>
      </c>
      <c r="G146" s="126"/>
      <c r="H146" s="126"/>
      <c r="I146" s="126"/>
      <c r="J146" s="126">
        <f t="shared" si="7"/>
        <v>1</v>
      </c>
    </row>
    <row r="147" spans="1:10" x14ac:dyDescent="0.25">
      <c r="A147" s="526">
        <v>2</v>
      </c>
      <c r="B147" s="527" t="s">
        <v>20</v>
      </c>
      <c r="C147" s="279" t="s">
        <v>84</v>
      </c>
      <c r="D147" s="126"/>
      <c r="E147" s="126">
        <v>1</v>
      </c>
      <c r="F147" s="126">
        <f t="shared" si="6"/>
        <v>1</v>
      </c>
      <c r="G147" s="126">
        <v>1</v>
      </c>
      <c r="H147" s="126"/>
      <c r="I147" s="126"/>
      <c r="J147" s="126">
        <f t="shared" si="7"/>
        <v>0</v>
      </c>
    </row>
    <row r="148" spans="1:10" x14ac:dyDescent="0.25">
      <c r="A148" s="526"/>
      <c r="B148" s="527"/>
      <c r="C148" s="279" t="s">
        <v>85</v>
      </c>
      <c r="D148" s="126"/>
      <c r="E148" s="126"/>
      <c r="F148" s="126">
        <f t="shared" si="6"/>
        <v>0</v>
      </c>
      <c r="G148" s="126"/>
      <c r="H148" s="126"/>
      <c r="I148" s="126"/>
      <c r="J148" s="126">
        <f t="shared" si="7"/>
        <v>0</v>
      </c>
    </row>
    <row r="149" spans="1:10" x14ac:dyDescent="0.25">
      <c r="A149" s="526"/>
      <c r="B149" s="527"/>
      <c r="C149" s="279" t="s">
        <v>86</v>
      </c>
      <c r="D149" s="126"/>
      <c r="E149" s="126">
        <v>2</v>
      </c>
      <c r="F149" s="126">
        <f t="shared" si="6"/>
        <v>2</v>
      </c>
      <c r="G149" s="126">
        <v>1</v>
      </c>
      <c r="H149" s="126">
        <v>1</v>
      </c>
      <c r="I149" s="126"/>
      <c r="J149" s="126">
        <f t="shared" si="7"/>
        <v>0</v>
      </c>
    </row>
    <row r="150" spans="1:10" x14ac:dyDescent="0.25">
      <c r="A150" s="526">
        <v>3</v>
      </c>
      <c r="B150" s="527" t="s">
        <v>21</v>
      </c>
      <c r="C150" s="279" t="s">
        <v>84</v>
      </c>
      <c r="D150" s="126"/>
      <c r="E150" s="126">
        <v>5</v>
      </c>
      <c r="F150" s="126">
        <f t="shared" si="6"/>
        <v>5</v>
      </c>
      <c r="G150" s="126">
        <v>5</v>
      </c>
      <c r="H150" s="126"/>
      <c r="I150" s="126"/>
      <c r="J150" s="126">
        <f t="shared" si="7"/>
        <v>0</v>
      </c>
    </row>
    <row r="151" spans="1:10" x14ac:dyDescent="0.25">
      <c r="A151" s="526"/>
      <c r="B151" s="527"/>
      <c r="C151" s="279" t="s">
        <v>85</v>
      </c>
      <c r="D151" s="126">
        <v>1</v>
      </c>
      <c r="E151" s="126">
        <v>4</v>
      </c>
      <c r="F151" s="126">
        <f t="shared" si="6"/>
        <v>5</v>
      </c>
      <c r="G151" s="126">
        <v>4</v>
      </c>
      <c r="H151" s="126"/>
      <c r="I151" s="126"/>
      <c r="J151" s="126">
        <f t="shared" si="7"/>
        <v>1</v>
      </c>
    </row>
    <row r="152" spans="1:10" x14ac:dyDescent="0.25">
      <c r="A152" s="526"/>
      <c r="B152" s="527"/>
      <c r="C152" s="279" t="s">
        <v>86</v>
      </c>
      <c r="D152" s="126">
        <v>1</v>
      </c>
      <c r="E152" s="126">
        <v>8</v>
      </c>
      <c r="F152" s="126">
        <f t="shared" si="6"/>
        <v>9</v>
      </c>
      <c r="G152" s="126">
        <v>9</v>
      </c>
      <c r="H152" s="126"/>
      <c r="I152" s="126"/>
      <c r="J152" s="126">
        <f t="shared" si="7"/>
        <v>0</v>
      </c>
    </row>
    <row r="153" spans="1:10" x14ac:dyDescent="0.25">
      <c r="A153" s="526">
        <v>4</v>
      </c>
      <c r="B153" s="527" t="s">
        <v>23</v>
      </c>
      <c r="C153" s="279" t="s">
        <v>84</v>
      </c>
      <c r="D153" s="126"/>
      <c r="E153" s="126"/>
      <c r="F153" s="126">
        <f t="shared" si="6"/>
        <v>0</v>
      </c>
      <c r="G153" s="126"/>
      <c r="H153" s="126"/>
      <c r="I153" s="126"/>
      <c r="J153" s="126">
        <f t="shared" si="7"/>
        <v>0</v>
      </c>
    </row>
    <row r="154" spans="1:10" x14ac:dyDescent="0.25">
      <c r="A154" s="526"/>
      <c r="B154" s="527"/>
      <c r="C154" s="279" t="s">
        <v>85</v>
      </c>
      <c r="D154" s="126">
        <v>1</v>
      </c>
      <c r="E154" s="126">
        <v>9</v>
      </c>
      <c r="F154" s="126">
        <f t="shared" si="6"/>
        <v>10</v>
      </c>
      <c r="G154" s="126">
        <v>6</v>
      </c>
      <c r="H154" s="126"/>
      <c r="I154" s="126">
        <v>2</v>
      </c>
      <c r="J154" s="126">
        <f t="shared" si="7"/>
        <v>4</v>
      </c>
    </row>
    <row r="155" spans="1:10" x14ac:dyDescent="0.25">
      <c r="A155" s="526"/>
      <c r="B155" s="527"/>
      <c r="C155" s="279" t="s">
        <v>86</v>
      </c>
      <c r="D155" s="126"/>
      <c r="E155" s="126">
        <v>1</v>
      </c>
      <c r="F155" s="126">
        <f t="shared" si="6"/>
        <v>1</v>
      </c>
      <c r="G155" s="126">
        <v>1</v>
      </c>
      <c r="H155" s="126"/>
      <c r="I155" s="126"/>
      <c r="J155" s="126">
        <f t="shared" si="7"/>
        <v>0</v>
      </c>
    </row>
    <row r="156" spans="1:10" x14ac:dyDescent="0.25">
      <c r="A156" s="526">
        <v>5</v>
      </c>
      <c r="B156" s="527" t="s">
        <v>87</v>
      </c>
      <c r="C156" s="279" t="s">
        <v>84</v>
      </c>
      <c r="D156" s="126"/>
      <c r="E156" s="126">
        <v>2</v>
      </c>
      <c r="F156" s="126">
        <f t="shared" si="6"/>
        <v>2</v>
      </c>
      <c r="G156" s="126">
        <v>2</v>
      </c>
      <c r="H156" s="126"/>
      <c r="I156" s="126"/>
      <c r="J156" s="126">
        <f t="shared" si="7"/>
        <v>0</v>
      </c>
    </row>
    <row r="157" spans="1:10" x14ac:dyDescent="0.25">
      <c r="A157" s="526"/>
      <c r="B157" s="527"/>
      <c r="C157" s="279" t="s">
        <v>85</v>
      </c>
      <c r="D157" s="126">
        <v>7</v>
      </c>
      <c r="E157" s="126">
        <v>32</v>
      </c>
      <c r="F157" s="126">
        <f t="shared" si="6"/>
        <v>39</v>
      </c>
      <c r="G157" s="126">
        <v>29</v>
      </c>
      <c r="H157" s="126">
        <v>5</v>
      </c>
      <c r="I157" s="126"/>
      <c r="J157" s="126">
        <f t="shared" si="7"/>
        <v>5</v>
      </c>
    </row>
    <row r="158" spans="1:10" x14ac:dyDescent="0.25">
      <c r="A158" s="526"/>
      <c r="B158" s="527"/>
      <c r="C158" s="279" t="s">
        <v>86</v>
      </c>
      <c r="D158" s="126">
        <v>2</v>
      </c>
      <c r="E158" s="126">
        <v>18</v>
      </c>
      <c r="F158" s="126">
        <f t="shared" si="6"/>
        <v>20</v>
      </c>
      <c r="G158" s="126">
        <v>16</v>
      </c>
      <c r="H158" s="126">
        <v>4</v>
      </c>
      <c r="I158" s="126"/>
      <c r="J158" s="126">
        <f t="shared" si="7"/>
        <v>0</v>
      </c>
    </row>
    <row r="159" spans="1:10" x14ac:dyDescent="0.25">
      <c r="A159" s="526">
        <v>6</v>
      </c>
      <c r="B159" s="527" t="s">
        <v>28</v>
      </c>
      <c r="C159" s="279" t="s">
        <v>84</v>
      </c>
      <c r="D159" s="235">
        <v>6</v>
      </c>
      <c r="E159" s="235">
        <v>31</v>
      </c>
      <c r="F159" s="126">
        <f t="shared" si="6"/>
        <v>37</v>
      </c>
      <c r="G159" s="235">
        <v>18</v>
      </c>
      <c r="H159" s="235">
        <v>10</v>
      </c>
      <c r="I159" s="126"/>
      <c r="J159" s="126">
        <f t="shared" si="7"/>
        <v>9</v>
      </c>
    </row>
    <row r="160" spans="1:10" x14ac:dyDescent="0.25">
      <c r="A160" s="526"/>
      <c r="B160" s="527"/>
      <c r="C160" s="279" t="s">
        <v>85</v>
      </c>
      <c r="D160" s="235">
        <v>11</v>
      </c>
      <c r="E160" s="235">
        <v>58</v>
      </c>
      <c r="F160" s="126">
        <f t="shared" si="6"/>
        <v>69</v>
      </c>
      <c r="G160" s="235">
        <v>33</v>
      </c>
      <c r="H160" s="235">
        <v>25</v>
      </c>
      <c r="I160" s="126"/>
      <c r="J160" s="126">
        <f t="shared" si="7"/>
        <v>11</v>
      </c>
    </row>
    <row r="161" spans="1:10" x14ac:dyDescent="0.25">
      <c r="A161" s="526"/>
      <c r="B161" s="527"/>
      <c r="C161" s="279" t="s">
        <v>86</v>
      </c>
      <c r="D161" s="235">
        <v>17</v>
      </c>
      <c r="E161" s="235">
        <v>98</v>
      </c>
      <c r="F161" s="126">
        <f t="shared" si="6"/>
        <v>115</v>
      </c>
      <c r="G161" s="235">
        <v>62</v>
      </c>
      <c r="H161" s="235">
        <v>28</v>
      </c>
      <c r="I161" s="126"/>
      <c r="J161" s="126">
        <f t="shared" si="7"/>
        <v>25</v>
      </c>
    </row>
    <row r="162" spans="1:10" x14ac:dyDescent="0.25">
      <c r="A162" s="526">
        <v>7</v>
      </c>
      <c r="B162" s="527" t="s">
        <v>33</v>
      </c>
      <c r="C162" s="279" t="s">
        <v>84</v>
      </c>
      <c r="D162" s="126">
        <v>1</v>
      </c>
      <c r="E162" s="126">
        <v>16</v>
      </c>
      <c r="F162" s="126">
        <f t="shared" si="6"/>
        <v>17</v>
      </c>
      <c r="G162" s="126">
        <v>13</v>
      </c>
      <c r="H162" s="126">
        <v>2</v>
      </c>
      <c r="I162" s="126"/>
      <c r="J162" s="126">
        <f t="shared" si="7"/>
        <v>2</v>
      </c>
    </row>
    <row r="163" spans="1:10" x14ac:dyDescent="0.25">
      <c r="A163" s="526"/>
      <c r="B163" s="527"/>
      <c r="C163" s="279" t="s">
        <v>85</v>
      </c>
      <c r="D163" s="126">
        <v>6</v>
      </c>
      <c r="E163" s="126">
        <v>36</v>
      </c>
      <c r="F163" s="126">
        <f t="shared" si="6"/>
        <v>42</v>
      </c>
      <c r="G163" s="126">
        <v>16</v>
      </c>
      <c r="H163" s="126">
        <v>10</v>
      </c>
      <c r="I163" s="126"/>
      <c r="J163" s="126">
        <f t="shared" si="7"/>
        <v>16</v>
      </c>
    </row>
    <row r="164" spans="1:10" x14ac:dyDescent="0.25">
      <c r="A164" s="526"/>
      <c r="B164" s="527"/>
      <c r="C164" s="279" t="s">
        <v>86</v>
      </c>
      <c r="D164" s="126">
        <v>8</v>
      </c>
      <c r="E164" s="126">
        <v>103</v>
      </c>
      <c r="F164" s="126">
        <f t="shared" si="6"/>
        <v>111</v>
      </c>
      <c r="G164" s="126">
        <v>49</v>
      </c>
      <c r="H164" s="126">
        <v>44</v>
      </c>
      <c r="I164" s="126"/>
      <c r="J164" s="126">
        <f t="shared" si="7"/>
        <v>18</v>
      </c>
    </row>
    <row r="165" spans="1:10" x14ac:dyDescent="0.25">
      <c r="A165" s="526">
        <v>8</v>
      </c>
      <c r="B165" s="527" t="s">
        <v>38</v>
      </c>
      <c r="C165" s="279" t="s">
        <v>84</v>
      </c>
      <c r="D165" s="126"/>
      <c r="E165" s="126">
        <v>1</v>
      </c>
      <c r="F165" s="126">
        <f t="shared" si="6"/>
        <v>1</v>
      </c>
      <c r="G165" s="126">
        <v>1</v>
      </c>
      <c r="H165" s="126"/>
      <c r="I165" s="126"/>
      <c r="J165" s="126">
        <f t="shared" si="7"/>
        <v>0</v>
      </c>
    </row>
    <row r="166" spans="1:10" x14ac:dyDescent="0.25">
      <c r="A166" s="526"/>
      <c r="B166" s="527"/>
      <c r="C166" s="279" t="s">
        <v>85</v>
      </c>
      <c r="D166" s="126">
        <v>1</v>
      </c>
      <c r="E166" s="126">
        <v>8</v>
      </c>
      <c r="F166" s="126">
        <f t="shared" si="6"/>
        <v>9</v>
      </c>
      <c r="G166" s="126">
        <v>8</v>
      </c>
      <c r="H166" s="126"/>
      <c r="I166" s="126"/>
      <c r="J166" s="126">
        <f t="shared" si="7"/>
        <v>1</v>
      </c>
    </row>
    <row r="167" spans="1:10" x14ac:dyDescent="0.25">
      <c r="A167" s="526"/>
      <c r="B167" s="527"/>
      <c r="C167" s="279" t="s">
        <v>86</v>
      </c>
      <c r="D167" s="126">
        <v>8</v>
      </c>
      <c r="E167" s="126">
        <v>19</v>
      </c>
      <c r="F167" s="126">
        <f t="shared" si="6"/>
        <v>27</v>
      </c>
      <c r="G167" s="126">
        <v>33</v>
      </c>
      <c r="H167" s="126">
        <v>4</v>
      </c>
      <c r="I167" s="126"/>
      <c r="J167" s="126">
        <f t="shared" si="7"/>
        <v>-10</v>
      </c>
    </row>
    <row r="168" spans="1:10" x14ac:dyDescent="0.25">
      <c r="A168" s="526">
        <v>9</v>
      </c>
      <c r="B168" s="527" t="s">
        <v>88</v>
      </c>
      <c r="C168" s="279" t="s">
        <v>84</v>
      </c>
      <c r="D168" s="126"/>
      <c r="E168" s="126">
        <v>1</v>
      </c>
      <c r="F168" s="126">
        <f t="shared" si="6"/>
        <v>1</v>
      </c>
      <c r="G168" s="126">
        <v>1</v>
      </c>
      <c r="H168" s="126"/>
      <c r="I168" s="126"/>
      <c r="J168" s="126">
        <f t="shared" si="7"/>
        <v>0</v>
      </c>
    </row>
    <row r="169" spans="1:10" x14ac:dyDescent="0.25">
      <c r="A169" s="526"/>
      <c r="B169" s="527"/>
      <c r="C169" s="279" t="s">
        <v>85</v>
      </c>
      <c r="D169" s="126"/>
      <c r="E169" s="126">
        <v>5</v>
      </c>
      <c r="F169" s="126">
        <f t="shared" si="6"/>
        <v>5</v>
      </c>
      <c r="G169" s="126">
        <v>4</v>
      </c>
      <c r="H169" s="126"/>
      <c r="I169" s="126"/>
      <c r="J169" s="126">
        <f t="shared" si="7"/>
        <v>1</v>
      </c>
    </row>
    <row r="170" spans="1:10" x14ac:dyDescent="0.25">
      <c r="A170" s="526"/>
      <c r="B170" s="527"/>
      <c r="C170" s="279" t="s">
        <v>86</v>
      </c>
      <c r="D170" s="126"/>
      <c r="E170" s="126">
        <v>7</v>
      </c>
      <c r="F170" s="126">
        <f t="shared" si="6"/>
        <v>7</v>
      </c>
      <c r="G170" s="126">
        <v>5</v>
      </c>
      <c r="H170" s="126"/>
      <c r="I170" s="126"/>
      <c r="J170" s="126">
        <f t="shared" si="7"/>
        <v>2</v>
      </c>
    </row>
    <row r="171" spans="1:10" x14ac:dyDescent="0.25">
      <c r="A171" s="526">
        <v>10</v>
      </c>
      <c r="B171" s="527" t="s">
        <v>89</v>
      </c>
      <c r="C171" s="279" t="s">
        <v>84</v>
      </c>
      <c r="D171" s="126"/>
      <c r="E171" s="126">
        <v>2</v>
      </c>
      <c r="F171" s="126">
        <f t="shared" si="6"/>
        <v>2</v>
      </c>
      <c r="G171" s="126">
        <v>2</v>
      </c>
      <c r="H171" s="126"/>
      <c r="I171" s="126"/>
      <c r="J171" s="126">
        <f t="shared" si="7"/>
        <v>0</v>
      </c>
    </row>
    <row r="172" spans="1:10" x14ac:dyDescent="0.25">
      <c r="A172" s="526"/>
      <c r="B172" s="527"/>
      <c r="C172" s="279" t="s">
        <v>85</v>
      </c>
      <c r="D172" s="126"/>
      <c r="E172" s="126">
        <v>1</v>
      </c>
      <c r="F172" s="126">
        <f t="shared" si="6"/>
        <v>1</v>
      </c>
      <c r="G172" s="126">
        <v>1</v>
      </c>
      <c r="H172" s="126"/>
      <c r="I172" s="126"/>
      <c r="J172" s="126">
        <f t="shared" si="7"/>
        <v>0</v>
      </c>
    </row>
    <row r="173" spans="1:10" x14ac:dyDescent="0.25">
      <c r="A173" s="526"/>
      <c r="B173" s="527"/>
      <c r="C173" s="279" t="s">
        <v>86</v>
      </c>
      <c r="D173" s="126"/>
      <c r="E173" s="126">
        <v>2</v>
      </c>
      <c r="F173" s="126">
        <f t="shared" si="6"/>
        <v>2</v>
      </c>
      <c r="G173" s="126"/>
      <c r="H173" s="126"/>
      <c r="I173" s="126"/>
      <c r="J173" s="126">
        <f t="shared" si="7"/>
        <v>2</v>
      </c>
    </row>
    <row r="174" spans="1:10" x14ac:dyDescent="0.25">
      <c r="A174" s="526">
        <v>11</v>
      </c>
      <c r="B174" s="527" t="s">
        <v>90</v>
      </c>
      <c r="C174" s="279" t="s">
        <v>84</v>
      </c>
      <c r="D174" s="126">
        <v>1</v>
      </c>
      <c r="E174" s="126"/>
      <c r="F174" s="126">
        <f t="shared" si="6"/>
        <v>1</v>
      </c>
      <c r="G174" s="126"/>
      <c r="H174" s="126">
        <v>1</v>
      </c>
      <c r="I174" s="126"/>
      <c r="J174" s="126">
        <f t="shared" si="7"/>
        <v>0</v>
      </c>
    </row>
    <row r="175" spans="1:10" x14ac:dyDescent="0.25">
      <c r="A175" s="526"/>
      <c r="B175" s="527"/>
      <c r="C175" s="279" t="s">
        <v>85</v>
      </c>
      <c r="D175" s="126">
        <v>1</v>
      </c>
      <c r="E175" s="126">
        <v>1</v>
      </c>
      <c r="F175" s="126">
        <f t="shared" si="6"/>
        <v>2</v>
      </c>
      <c r="G175" s="126">
        <v>1</v>
      </c>
      <c r="H175" s="126">
        <v>1</v>
      </c>
      <c r="I175" s="126"/>
      <c r="J175" s="126">
        <f t="shared" si="7"/>
        <v>0</v>
      </c>
    </row>
    <row r="176" spans="1:10" x14ac:dyDescent="0.25">
      <c r="A176" s="526"/>
      <c r="B176" s="527"/>
      <c r="C176" s="279" t="s">
        <v>86</v>
      </c>
      <c r="D176" s="126">
        <v>2</v>
      </c>
      <c r="E176" s="126">
        <v>4</v>
      </c>
      <c r="F176" s="126">
        <f t="shared" si="6"/>
        <v>6</v>
      </c>
      <c r="G176" s="126">
        <v>2</v>
      </c>
      <c r="H176" s="126">
        <v>1</v>
      </c>
      <c r="I176" s="126"/>
      <c r="J176" s="126">
        <f t="shared" si="7"/>
        <v>3</v>
      </c>
    </row>
    <row r="177" spans="1:10" x14ac:dyDescent="0.25">
      <c r="A177" s="526">
        <v>12</v>
      </c>
      <c r="B177" s="527" t="s">
        <v>91</v>
      </c>
      <c r="C177" s="279" t="s">
        <v>84</v>
      </c>
      <c r="D177" s="126">
        <v>3</v>
      </c>
      <c r="E177" s="126">
        <v>17</v>
      </c>
      <c r="F177" s="126">
        <f t="shared" si="6"/>
        <v>20</v>
      </c>
      <c r="G177" s="126">
        <v>15</v>
      </c>
      <c r="H177" s="126">
        <v>1</v>
      </c>
      <c r="I177" s="126"/>
      <c r="J177" s="126">
        <f t="shared" si="7"/>
        <v>4</v>
      </c>
    </row>
    <row r="178" spans="1:10" x14ac:dyDescent="0.25">
      <c r="A178" s="526"/>
      <c r="B178" s="527"/>
      <c r="C178" s="279" t="s">
        <v>85</v>
      </c>
      <c r="D178" s="126">
        <v>3</v>
      </c>
      <c r="E178" s="126">
        <v>9</v>
      </c>
      <c r="F178" s="126">
        <f t="shared" si="6"/>
        <v>12</v>
      </c>
      <c r="G178" s="126">
        <v>9</v>
      </c>
      <c r="H178" s="126"/>
      <c r="I178" s="126"/>
      <c r="J178" s="126">
        <f t="shared" si="7"/>
        <v>3</v>
      </c>
    </row>
    <row r="179" spans="1:10" x14ac:dyDescent="0.25">
      <c r="A179" s="526"/>
      <c r="B179" s="527"/>
      <c r="C179" s="279" t="s">
        <v>86</v>
      </c>
      <c r="D179" s="126">
        <v>12</v>
      </c>
      <c r="E179" s="126">
        <v>54</v>
      </c>
      <c r="F179" s="126">
        <f t="shared" si="6"/>
        <v>66</v>
      </c>
      <c r="G179" s="126">
        <v>24</v>
      </c>
      <c r="H179" s="126">
        <v>16</v>
      </c>
      <c r="I179" s="126"/>
      <c r="J179" s="126">
        <f t="shared" si="7"/>
        <v>26</v>
      </c>
    </row>
    <row r="180" spans="1:10" x14ac:dyDescent="0.25">
      <c r="A180" s="526">
        <v>13</v>
      </c>
      <c r="B180" s="527" t="s">
        <v>52</v>
      </c>
      <c r="C180" s="279" t="s">
        <v>84</v>
      </c>
      <c r="D180" s="126"/>
      <c r="E180" s="126">
        <v>4</v>
      </c>
      <c r="F180" s="126">
        <f t="shared" si="6"/>
        <v>4</v>
      </c>
      <c r="G180" s="126">
        <v>4</v>
      </c>
      <c r="H180" s="126"/>
      <c r="I180" s="126"/>
      <c r="J180" s="126">
        <f t="shared" si="7"/>
        <v>0</v>
      </c>
    </row>
    <row r="181" spans="1:10" x14ac:dyDescent="0.25">
      <c r="A181" s="526"/>
      <c r="B181" s="527"/>
      <c r="C181" s="279" t="s">
        <v>85</v>
      </c>
      <c r="D181" s="126">
        <v>5</v>
      </c>
      <c r="E181" s="126">
        <v>26</v>
      </c>
      <c r="F181" s="126">
        <f t="shared" si="6"/>
        <v>31</v>
      </c>
      <c r="G181" s="126">
        <v>23</v>
      </c>
      <c r="H181" s="126">
        <v>4</v>
      </c>
      <c r="I181" s="126"/>
      <c r="J181" s="126">
        <f t="shared" si="7"/>
        <v>4</v>
      </c>
    </row>
    <row r="182" spans="1:10" x14ac:dyDescent="0.25">
      <c r="A182" s="526"/>
      <c r="B182" s="527"/>
      <c r="C182" s="279" t="s">
        <v>86</v>
      </c>
      <c r="D182" s="126">
        <v>8</v>
      </c>
      <c r="E182" s="126">
        <v>51</v>
      </c>
      <c r="F182" s="126">
        <f t="shared" si="6"/>
        <v>59</v>
      </c>
      <c r="G182" s="126">
        <v>48</v>
      </c>
      <c r="H182" s="126">
        <v>6</v>
      </c>
      <c r="I182" s="126"/>
      <c r="J182" s="126">
        <f t="shared" si="7"/>
        <v>5</v>
      </c>
    </row>
    <row r="186" spans="1:10" ht="20.25" x14ac:dyDescent="0.25">
      <c r="A186" s="544" t="s">
        <v>779</v>
      </c>
      <c r="B186" s="545"/>
      <c r="C186" s="545"/>
      <c r="D186" s="545"/>
      <c r="E186" s="545"/>
      <c r="F186" s="545"/>
      <c r="G186" s="545"/>
      <c r="H186" s="545"/>
      <c r="I186" s="545"/>
      <c r="J186" s="546"/>
    </row>
    <row r="187" spans="1:10" ht="15" customHeight="1" x14ac:dyDescent="0.25">
      <c r="A187" s="547" t="s">
        <v>76</v>
      </c>
      <c r="B187" s="548" t="s">
        <v>1</v>
      </c>
      <c r="C187" s="548" t="s">
        <v>77</v>
      </c>
      <c r="D187" s="548" t="s">
        <v>78</v>
      </c>
      <c r="E187" s="548" t="s">
        <v>79</v>
      </c>
      <c r="F187" s="548" t="s">
        <v>719</v>
      </c>
      <c r="G187" s="548" t="s">
        <v>80</v>
      </c>
      <c r="H187" s="548" t="s">
        <v>81</v>
      </c>
      <c r="I187" s="549" t="s">
        <v>82</v>
      </c>
      <c r="J187" s="548" t="s">
        <v>139</v>
      </c>
    </row>
    <row r="188" spans="1:10" ht="15" x14ac:dyDescent="0.25">
      <c r="A188" s="547"/>
      <c r="B188" s="548"/>
      <c r="C188" s="548"/>
      <c r="D188" s="548"/>
      <c r="E188" s="548"/>
      <c r="F188" s="548"/>
      <c r="G188" s="548"/>
      <c r="H188" s="548"/>
      <c r="I188" s="549"/>
      <c r="J188" s="548"/>
    </row>
    <row r="189" spans="1:10" ht="15.75" x14ac:dyDescent="0.25">
      <c r="A189" s="526">
        <v>1</v>
      </c>
      <c r="B189" s="527" t="s">
        <v>83</v>
      </c>
      <c r="C189" s="255" t="s">
        <v>84</v>
      </c>
      <c r="D189" s="277">
        <v>2</v>
      </c>
      <c r="E189" s="277">
        <v>2</v>
      </c>
      <c r="F189" s="277">
        <f>D189+E189</f>
        <v>4</v>
      </c>
      <c r="G189" s="277">
        <v>3</v>
      </c>
      <c r="H189" s="277">
        <v>1</v>
      </c>
      <c r="I189" s="277"/>
      <c r="J189" s="277">
        <f>F189-G189-H189</f>
        <v>0</v>
      </c>
    </row>
    <row r="190" spans="1:10" ht="15.75" x14ac:dyDescent="0.25">
      <c r="A190" s="526"/>
      <c r="B190" s="527"/>
      <c r="C190" s="255" t="s">
        <v>85</v>
      </c>
      <c r="D190" s="277"/>
      <c r="E190" s="277">
        <v>2</v>
      </c>
      <c r="F190" s="277">
        <f t="shared" ref="F190:F206" si="8">D190+E190</f>
        <v>2</v>
      </c>
      <c r="G190" s="277">
        <v>2</v>
      </c>
      <c r="H190" s="277"/>
      <c r="I190" s="277"/>
      <c r="J190" s="277">
        <f t="shared" ref="J190:J227" si="9">F190-G190-H190</f>
        <v>0</v>
      </c>
    </row>
    <row r="191" spans="1:10" ht="17.25" customHeight="1" x14ac:dyDescent="0.25">
      <c r="A191" s="526"/>
      <c r="B191" s="527"/>
      <c r="C191" s="255" t="s">
        <v>86</v>
      </c>
      <c r="D191" s="277"/>
      <c r="E191" s="277"/>
      <c r="F191" s="277">
        <f t="shared" si="8"/>
        <v>0</v>
      </c>
      <c r="G191" s="277"/>
      <c r="H191" s="277"/>
      <c r="I191" s="277"/>
      <c r="J191" s="277">
        <f t="shared" si="9"/>
        <v>0</v>
      </c>
    </row>
    <row r="192" spans="1:10" ht="15.75" x14ac:dyDescent="0.25">
      <c r="A192" s="526">
        <v>2</v>
      </c>
      <c r="B192" s="527" t="s">
        <v>20</v>
      </c>
      <c r="C192" s="255" t="s">
        <v>84</v>
      </c>
      <c r="D192" s="277"/>
      <c r="E192" s="277"/>
      <c r="F192" s="277">
        <f t="shared" si="8"/>
        <v>0</v>
      </c>
      <c r="G192" s="277"/>
      <c r="H192" s="277"/>
      <c r="I192" s="277"/>
      <c r="J192" s="277">
        <f t="shared" si="9"/>
        <v>0</v>
      </c>
    </row>
    <row r="193" spans="1:10" ht="15.75" x14ac:dyDescent="0.25">
      <c r="A193" s="526"/>
      <c r="B193" s="527"/>
      <c r="C193" s="255" t="s">
        <v>85</v>
      </c>
      <c r="D193" s="277">
        <v>1</v>
      </c>
      <c r="E193" s="277">
        <v>3</v>
      </c>
      <c r="F193" s="277">
        <f t="shared" si="8"/>
        <v>4</v>
      </c>
      <c r="G193" s="277">
        <v>4</v>
      </c>
      <c r="H193" s="277"/>
      <c r="I193" s="277"/>
      <c r="J193" s="277">
        <f t="shared" si="9"/>
        <v>0</v>
      </c>
    </row>
    <row r="194" spans="1:10" ht="15.75" x14ac:dyDescent="0.25">
      <c r="A194" s="526"/>
      <c r="B194" s="527"/>
      <c r="C194" s="255" t="s">
        <v>86</v>
      </c>
      <c r="D194" s="277"/>
      <c r="E194" s="277"/>
      <c r="F194" s="277">
        <f t="shared" si="8"/>
        <v>0</v>
      </c>
      <c r="G194" s="277"/>
      <c r="H194" s="277"/>
      <c r="I194" s="277"/>
      <c r="J194" s="277">
        <f t="shared" si="9"/>
        <v>0</v>
      </c>
    </row>
    <row r="195" spans="1:10" ht="15.75" x14ac:dyDescent="0.25">
      <c r="A195" s="526">
        <v>3</v>
      </c>
      <c r="B195" s="527" t="s">
        <v>21</v>
      </c>
      <c r="C195" s="255" t="s">
        <v>84</v>
      </c>
      <c r="D195" s="277"/>
      <c r="E195" s="277">
        <v>3</v>
      </c>
      <c r="F195" s="277">
        <f t="shared" si="8"/>
        <v>3</v>
      </c>
      <c r="G195" s="277">
        <v>3</v>
      </c>
      <c r="H195" s="277"/>
      <c r="I195" s="277"/>
      <c r="J195" s="277">
        <f t="shared" si="9"/>
        <v>0</v>
      </c>
    </row>
    <row r="196" spans="1:10" ht="15.75" x14ac:dyDescent="0.25">
      <c r="A196" s="526"/>
      <c r="B196" s="527"/>
      <c r="C196" s="255" t="s">
        <v>85</v>
      </c>
      <c r="D196" s="277">
        <v>1</v>
      </c>
      <c r="E196" s="277">
        <v>5</v>
      </c>
      <c r="F196" s="277">
        <f t="shared" si="8"/>
        <v>6</v>
      </c>
      <c r="G196" s="277">
        <v>5</v>
      </c>
      <c r="H196" s="277"/>
      <c r="I196" s="277"/>
      <c r="J196" s="277">
        <f t="shared" si="9"/>
        <v>1</v>
      </c>
    </row>
    <row r="197" spans="1:10" ht="15.75" x14ac:dyDescent="0.25">
      <c r="A197" s="526"/>
      <c r="B197" s="527"/>
      <c r="C197" s="255" t="s">
        <v>86</v>
      </c>
      <c r="D197" s="277"/>
      <c r="E197" s="277">
        <v>6</v>
      </c>
      <c r="F197" s="277">
        <f t="shared" si="8"/>
        <v>6</v>
      </c>
      <c r="G197" s="277">
        <v>5</v>
      </c>
      <c r="H197" s="277"/>
      <c r="I197" s="277"/>
      <c r="J197" s="277">
        <f t="shared" si="9"/>
        <v>1</v>
      </c>
    </row>
    <row r="198" spans="1:10" ht="15.75" x14ac:dyDescent="0.25">
      <c r="A198" s="526">
        <v>4</v>
      </c>
      <c r="B198" s="527" t="s">
        <v>23</v>
      </c>
      <c r="C198" s="255" t="s">
        <v>84</v>
      </c>
      <c r="D198" s="277"/>
      <c r="E198" s="277">
        <v>1</v>
      </c>
      <c r="F198" s="277">
        <f t="shared" si="8"/>
        <v>1</v>
      </c>
      <c r="G198" s="277">
        <v>1</v>
      </c>
      <c r="H198" s="277"/>
      <c r="I198" s="277"/>
      <c r="J198" s="277">
        <f t="shared" si="9"/>
        <v>0</v>
      </c>
    </row>
    <row r="199" spans="1:10" ht="15.75" x14ac:dyDescent="0.25">
      <c r="A199" s="526"/>
      <c r="B199" s="527"/>
      <c r="C199" s="255" t="s">
        <v>85</v>
      </c>
      <c r="D199" s="277">
        <v>2</v>
      </c>
      <c r="E199" s="277">
        <v>11</v>
      </c>
      <c r="F199" s="277">
        <f t="shared" si="8"/>
        <v>13</v>
      </c>
      <c r="G199" s="277">
        <v>10</v>
      </c>
      <c r="H199" s="277"/>
      <c r="I199" s="277"/>
      <c r="J199" s="277">
        <f t="shared" si="9"/>
        <v>3</v>
      </c>
    </row>
    <row r="200" spans="1:10" ht="15.75" x14ac:dyDescent="0.25">
      <c r="A200" s="526"/>
      <c r="B200" s="527"/>
      <c r="C200" s="255" t="s">
        <v>86</v>
      </c>
      <c r="D200" s="277"/>
      <c r="E200" s="277">
        <v>1</v>
      </c>
      <c r="F200" s="277">
        <f t="shared" si="8"/>
        <v>1</v>
      </c>
      <c r="G200" s="277">
        <v>1</v>
      </c>
      <c r="H200" s="277"/>
      <c r="I200" s="277"/>
      <c r="J200" s="277">
        <f t="shared" si="9"/>
        <v>0</v>
      </c>
    </row>
    <row r="201" spans="1:10" ht="15.75" x14ac:dyDescent="0.25">
      <c r="A201" s="526">
        <v>5</v>
      </c>
      <c r="B201" s="527" t="s">
        <v>87</v>
      </c>
      <c r="C201" s="255" t="s">
        <v>84</v>
      </c>
      <c r="D201" s="277">
        <v>0</v>
      </c>
      <c r="E201" s="277">
        <v>2</v>
      </c>
      <c r="F201" s="277">
        <f t="shared" si="8"/>
        <v>2</v>
      </c>
      <c r="G201" s="277">
        <v>2</v>
      </c>
      <c r="H201" s="277"/>
      <c r="I201" s="277"/>
      <c r="J201" s="277">
        <f t="shared" si="9"/>
        <v>0</v>
      </c>
    </row>
    <row r="202" spans="1:10" ht="15.75" x14ac:dyDescent="0.25">
      <c r="A202" s="526"/>
      <c r="B202" s="527"/>
      <c r="C202" s="255" t="s">
        <v>85</v>
      </c>
      <c r="D202" s="277">
        <v>2</v>
      </c>
      <c r="E202" s="277">
        <v>15</v>
      </c>
      <c r="F202" s="277">
        <f t="shared" si="8"/>
        <v>17</v>
      </c>
      <c r="G202" s="277">
        <v>8</v>
      </c>
      <c r="H202" s="277">
        <v>1</v>
      </c>
      <c r="I202" s="277"/>
      <c r="J202" s="277">
        <f t="shared" si="9"/>
        <v>8</v>
      </c>
    </row>
    <row r="203" spans="1:10" ht="15.75" x14ac:dyDescent="0.25">
      <c r="A203" s="526"/>
      <c r="B203" s="527"/>
      <c r="C203" s="255" t="s">
        <v>86</v>
      </c>
      <c r="D203" s="277">
        <v>3</v>
      </c>
      <c r="E203" s="277">
        <v>13</v>
      </c>
      <c r="F203" s="277">
        <f t="shared" si="8"/>
        <v>16</v>
      </c>
      <c r="G203" s="277">
        <v>12</v>
      </c>
      <c r="H203" s="277"/>
      <c r="I203" s="277"/>
      <c r="J203" s="277">
        <f t="shared" si="9"/>
        <v>4</v>
      </c>
    </row>
    <row r="204" spans="1:10" ht="15.75" x14ac:dyDescent="0.25">
      <c r="A204" s="526">
        <v>6</v>
      </c>
      <c r="B204" s="527" t="s">
        <v>28</v>
      </c>
      <c r="C204" s="255" t="s">
        <v>84</v>
      </c>
      <c r="D204" s="277">
        <v>3</v>
      </c>
      <c r="E204" s="277">
        <v>24</v>
      </c>
      <c r="F204" s="277">
        <f t="shared" si="8"/>
        <v>27</v>
      </c>
      <c r="G204" s="277">
        <v>16</v>
      </c>
      <c r="H204" s="277">
        <v>5</v>
      </c>
      <c r="I204" s="277"/>
      <c r="J204" s="277">
        <f t="shared" si="9"/>
        <v>6</v>
      </c>
    </row>
    <row r="205" spans="1:10" ht="15.75" x14ac:dyDescent="0.25">
      <c r="A205" s="526"/>
      <c r="B205" s="527"/>
      <c r="C205" s="255" t="s">
        <v>85</v>
      </c>
      <c r="D205" s="277">
        <v>10</v>
      </c>
      <c r="E205" s="277">
        <v>52</v>
      </c>
      <c r="F205" s="277">
        <f t="shared" si="8"/>
        <v>62</v>
      </c>
      <c r="G205" s="277">
        <v>18</v>
      </c>
      <c r="H205" s="277">
        <v>33</v>
      </c>
      <c r="I205" s="277"/>
      <c r="J205" s="277">
        <f t="shared" si="9"/>
        <v>11</v>
      </c>
    </row>
    <row r="206" spans="1:10" ht="15.75" x14ac:dyDescent="0.25">
      <c r="A206" s="526"/>
      <c r="B206" s="527"/>
      <c r="C206" s="255" t="s">
        <v>86</v>
      </c>
      <c r="D206" s="277">
        <v>11</v>
      </c>
      <c r="E206" s="277">
        <v>83</v>
      </c>
      <c r="F206" s="277">
        <f t="shared" si="8"/>
        <v>94</v>
      </c>
      <c r="G206" s="277">
        <v>42</v>
      </c>
      <c r="H206" s="277">
        <v>35</v>
      </c>
      <c r="I206" s="277"/>
      <c r="J206" s="277">
        <f t="shared" si="9"/>
        <v>17</v>
      </c>
    </row>
    <row r="207" spans="1:10" ht="15.75" x14ac:dyDescent="0.25">
      <c r="A207" s="526">
        <v>7</v>
      </c>
      <c r="B207" s="527" t="s">
        <v>33</v>
      </c>
      <c r="C207" s="255" t="s">
        <v>84</v>
      </c>
      <c r="D207" s="277">
        <v>5</v>
      </c>
      <c r="E207" s="277">
        <v>20</v>
      </c>
      <c r="F207" s="277">
        <f>D207+E207</f>
        <v>25</v>
      </c>
      <c r="G207" s="277">
        <v>23</v>
      </c>
      <c r="H207" s="277">
        <v>0</v>
      </c>
      <c r="I207" s="277"/>
      <c r="J207" s="277">
        <f t="shared" si="9"/>
        <v>2</v>
      </c>
    </row>
    <row r="208" spans="1:10" ht="15.75" x14ac:dyDescent="0.25">
      <c r="A208" s="526"/>
      <c r="B208" s="527"/>
      <c r="C208" s="255" t="s">
        <v>85</v>
      </c>
      <c r="D208" s="277">
        <v>18</v>
      </c>
      <c r="E208" s="277">
        <v>56</v>
      </c>
      <c r="F208" s="277">
        <f t="shared" ref="F208:F227" si="10">D208+E208</f>
        <v>74</v>
      </c>
      <c r="G208" s="277">
        <v>53</v>
      </c>
      <c r="H208" s="277">
        <v>14</v>
      </c>
      <c r="I208" s="277"/>
      <c r="J208" s="277">
        <f t="shared" si="9"/>
        <v>7</v>
      </c>
    </row>
    <row r="209" spans="1:10" ht="15.75" x14ac:dyDescent="0.25">
      <c r="A209" s="526"/>
      <c r="B209" s="527"/>
      <c r="C209" s="255" t="s">
        <v>86</v>
      </c>
      <c r="D209" s="277">
        <v>5</v>
      </c>
      <c r="E209" s="277">
        <v>71</v>
      </c>
      <c r="F209" s="277">
        <f t="shared" si="10"/>
        <v>76</v>
      </c>
      <c r="G209" s="277">
        <v>38</v>
      </c>
      <c r="H209" s="277">
        <v>25</v>
      </c>
      <c r="I209" s="277"/>
      <c r="J209" s="277">
        <f t="shared" si="9"/>
        <v>13</v>
      </c>
    </row>
    <row r="210" spans="1:10" ht="15.75" x14ac:dyDescent="0.25">
      <c r="A210" s="526">
        <v>8</v>
      </c>
      <c r="B210" s="527" t="s">
        <v>38</v>
      </c>
      <c r="C210" s="255" t="s">
        <v>84</v>
      </c>
      <c r="D210" s="277"/>
      <c r="E210" s="277"/>
      <c r="F210" s="277">
        <f t="shared" si="10"/>
        <v>0</v>
      </c>
      <c r="G210" s="277"/>
      <c r="H210" s="277"/>
      <c r="I210" s="277"/>
      <c r="J210" s="277">
        <f t="shared" si="9"/>
        <v>0</v>
      </c>
    </row>
    <row r="211" spans="1:10" ht="15.75" x14ac:dyDescent="0.25">
      <c r="A211" s="526"/>
      <c r="B211" s="527"/>
      <c r="C211" s="255" t="s">
        <v>85</v>
      </c>
      <c r="D211" s="277"/>
      <c r="E211" s="277">
        <v>4</v>
      </c>
      <c r="F211" s="277">
        <f t="shared" si="10"/>
        <v>4</v>
      </c>
      <c r="G211" s="277">
        <v>3</v>
      </c>
      <c r="H211" s="277"/>
      <c r="I211" s="277"/>
      <c r="J211" s="277">
        <f t="shared" si="9"/>
        <v>1</v>
      </c>
    </row>
    <row r="212" spans="1:10" ht="15.75" x14ac:dyDescent="0.25">
      <c r="A212" s="526"/>
      <c r="B212" s="527"/>
      <c r="C212" s="255" t="s">
        <v>86</v>
      </c>
      <c r="D212" s="277">
        <v>5</v>
      </c>
      <c r="E212" s="277">
        <v>33</v>
      </c>
      <c r="F212" s="277">
        <f t="shared" si="10"/>
        <v>38</v>
      </c>
      <c r="G212" s="277">
        <v>30</v>
      </c>
      <c r="H212" s="277">
        <v>2</v>
      </c>
      <c r="I212" s="277"/>
      <c r="J212" s="277">
        <f t="shared" si="9"/>
        <v>6</v>
      </c>
    </row>
    <row r="213" spans="1:10" ht="15.75" x14ac:dyDescent="0.25">
      <c r="A213" s="526">
        <v>9</v>
      </c>
      <c r="B213" s="527" t="s">
        <v>88</v>
      </c>
      <c r="C213" s="255" t="s">
        <v>84</v>
      </c>
      <c r="D213" s="277">
        <v>1</v>
      </c>
      <c r="E213" s="277"/>
      <c r="F213" s="277">
        <f t="shared" si="10"/>
        <v>1</v>
      </c>
      <c r="G213" s="277">
        <v>1</v>
      </c>
      <c r="H213" s="277"/>
      <c r="I213" s="277"/>
      <c r="J213" s="277">
        <f t="shared" si="9"/>
        <v>0</v>
      </c>
    </row>
    <row r="214" spans="1:10" ht="15.75" x14ac:dyDescent="0.25">
      <c r="A214" s="526"/>
      <c r="B214" s="527"/>
      <c r="C214" s="255" t="s">
        <v>85</v>
      </c>
      <c r="D214" s="277"/>
      <c r="E214" s="277"/>
      <c r="F214" s="277">
        <f t="shared" si="10"/>
        <v>0</v>
      </c>
      <c r="G214" s="277"/>
      <c r="H214" s="277"/>
      <c r="I214" s="277"/>
      <c r="J214" s="277">
        <f t="shared" si="9"/>
        <v>0</v>
      </c>
    </row>
    <row r="215" spans="1:10" ht="15.75" x14ac:dyDescent="0.25">
      <c r="A215" s="526"/>
      <c r="B215" s="527"/>
      <c r="C215" s="255" t="s">
        <v>86</v>
      </c>
      <c r="D215" s="277"/>
      <c r="E215" s="277">
        <v>9</v>
      </c>
      <c r="F215" s="277">
        <f t="shared" si="10"/>
        <v>9</v>
      </c>
      <c r="G215" s="277">
        <v>6</v>
      </c>
      <c r="H215" s="277"/>
      <c r="I215" s="277"/>
      <c r="J215" s="277">
        <f t="shared" si="9"/>
        <v>3</v>
      </c>
    </row>
    <row r="216" spans="1:10" ht="15.75" x14ac:dyDescent="0.25">
      <c r="A216" s="526">
        <v>10</v>
      </c>
      <c r="B216" s="527" t="s">
        <v>89</v>
      </c>
      <c r="C216" s="255" t="s">
        <v>84</v>
      </c>
      <c r="D216" s="277"/>
      <c r="E216" s="277"/>
      <c r="F216" s="277">
        <f t="shared" si="10"/>
        <v>0</v>
      </c>
      <c r="G216" s="277"/>
      <c r="H216" s="277"/>
      <c r="I216" s="277"/>
      <c r="J216" s="277">
        <f t="shared" si="9"/>
        <v>0</v>
      </c>
    </row>
    <row r="217" spans="1:10" ht="15.75" x14ac:dyDescent="0.25">
      <c r="A217" s="526"/>
      <c r="B217" s="527"/>
      <c r="C217" s="255" t="s">
        <v>85</v>
      </c>
      <c r="D217" s="277"/>
      <c r="E217" s="277">
        <v>1</v>
      </c>
      <c r="F217" s="277">
        <f t="shared" si="10"/>
        <v>1</v>
      </c>
      <c r="G217" s="277">
        <v>1</v>
      </c>
      <c r="H217" s="277"/>
      <c r="I217" s="277"/>
      <c r="J217" s="277">
        <f t="shared" si="9"/>
        <v>0</v>
      </c>
    </row>
    <row r="218" spans="1:10" ht="15.75" x14ac:dyDescent="0.25">
      <c r="A218" s="526"/>
      <c r="B218" s="527"/>
      <c r="C218" s="255" t="s">
        <v>86</v>
      </c>
      <c r="D218" s="277"/>
      <c r="E218" s="277"/>
      <c r="F218" s="277">
        <f t="shared" si="10"/>
        <v>0</v>
      </c>
      <c r="G218" s="277"/>
      <c r="H218" s="277"/>
      <c r="I218" s="277"/>
      <c r="J218" s="277">
        <f t="shared" si="9"/>
        <v>0</v>
      </c>
    </row>
    <row r="219" spans="1:10" ht="15.75" x14ac:dyDescent="0.25">
      <c r="A219" s="526">
        <v>11</v>
      </c>
      <c r="B219" s="527" t="s">
        <v>90</v>
      </c>
      <c r="C219" s="255" t="s">
        <v>84</v>
      </c>
      <c r="D219" s="277"/>
      <c r="E219" s="277">
        <v>1</v>
      </c>
      <c r="F219" s="277">
        <f t="shared" si="10"/>
        <v>1</v>
      </c>
      <c r="G219" s="277"/>
      <c r="H219" s="277"/>
      <c r="I219" s="277"/>
      <c r="J219" s="277">
        <f t="shared" si="9"/>
        <v>1</v>
      </c>
    </row>
    <row r="220" spans="1:10" ht="15.75" x14ac:dyDescent="0.25">
      <c r="A220" s="526"/>
      <c r="B220" s="527"/>
      <c r="C220" s="255" t="s">
        <v>85</v>
      </c>
      <c r="D220" s="277">
        <v>1</v>
      </c>
      <c r="E220" s="277">
        <v>2</v>
      </c>
      <c r="F220" s="277">
        <f t="shared" si="10"/>
        <v>3</v>
      </c>
      <c r="G220" s="277">
        <v>2</v>
      </c>
      <c r="H220" s="277"/>
      <c r="I220" s="277"/>
      <c r="J220" s="277">
        <f t="shared" si="9"/>
        <v>1</v>
      </c>
    </row>
    <row r="221" spans="1:10" ht="15.75" x14ac:dyDescent="0.25">
      <c r="A221" s="526"/>
      <c r="B221" s="527"/>
      <c r="C221" s="255" t="s">
        <v>86</v>
      </c>
      <c r="D221" s="277"/>
      <c r="E221" s="277">
        <v>3</v>
      </c>
      <c r="F221" s="277">
        <f t="shared" si="10"/>
        <v>3</v>
      </c>
      <c r="G221" s="277"/>
      <c r="H221" s="277">
        <v>1</v>
      </c>
      <c r="I221" s="277"/>
      <c r="J221" s="277">
        <f t="shared" si="9"/>
        <v>2</v>
      </c>
    </row>
    <row r="222" spans="1:10" ht="15.75" x14ac:dyDescent="0.25">
      <c r="A222" s="526">
        <v>12</v>
      </c>
      <c r="B222" s="527" t="s">
        <v>91</v>
      </c>
      <c r="C222" s="255" t="s">
        <v>84</v>
      </c>
      <c r="D222" s="277">
        <v>9</v>
      </c>
      <c r="E222" s="277">
        <v>17</v>
      </c>
      <c r="F222" s="277">
        <f t="shared" si="10"/>
        <v>26</v>
      </c>
      <c r="G222" s="277">
        <v>17</v>
      </c>
      <c r="H222" s="277">
        <v>3</v>
      </c>
      <c r="I222" s="277"/>
      <c r="J222" s="277">
        <f t="shared" si="9"/>
        <v>6</v>
      </c>
    </row>
    <row r="223" spans="1:10" ht="15.75" x14ac:dyDescent="0.25">
      <c r="A223" s="526"/>
      <c r="B223" s="527"/>
      <c r="C223" s="255" t="s">
        <v>85</v>
      </c>
      <c r="D223" s="277">
        <v>8</v>
      </c>
      <c r="E223" s="277">
        <v>6</v>
      </c>
      <c r="F223" s="277">
        <f t="shared" si="10"/>
        <v>14</v>
      </c>
      <c r="G223" s="277">
        <v>10</v>
      </c>
      <c r="H223" s="277">
        <v>1</v>
      </c>
      <c r="I223" s="277"/>
      <c r="J223" s="277">
        <f t="shared" si="9"/>
        <v>3</v>
      </c>
    </row>
    <row r="224" spans="1:10" ht="15.75" x14ac:dyDescent="0.25">
      <c r="A224" s="526"/>
      <c r="B224" s="527"/>
      <c r="C224" s="255" t="s">
        <v>86</v>
      </c>
      <c r="D224" s="277">
        <v>40</v>
      </c>
      <c r="E224" s="277">
        <v>56</v>
      </c>
      <c r="F224" s="277">
        <f t="shared" si="10"/>
        <v>96</v>
      </c>
      <c r="G224" s="277">
        <v>59</v>
      </c>
      <c r="H224" s="277">
        <v>24</v>
      </c>
      <c r="I224" s="277"/>
      <c r="J224" s="277">
        <f t="shared" si="9"/>
        <v>13</v>
      </c>
    </row>
    <row r="225" spans="1:10" ht="15.75" x14ac:dyDescent="0.25">
      <c r="A225" s="526">
        <v>13</v>
      </c>
      <c r="B225" s="527" t="s">
        <v>52</v>
      </c>
      <c r="C225" s="255" t="s">
        <v>84</v>
      </c>
      <c r="D225" s="277">
        <v>2</v>
      </c>
      <c r="E225" s="277">
        <v>3</v>
      </c>
      <c r="F225" s="277">
        <f t="shared" si="10"/>
        <v>5</v>
      </c>
      <c r="G225" s="277">
        <v>3</v>
      </c>
      <c r="H225" s="277">
        <v>2</v>
      </c>
      <c r="I225" s="277"/>
      <c r="J225" s="277">
        <f t="shared" si="9"/>
        <v>0</v>
      </c>
    </row>
    <row r="226" spans="1:10" ht="15.75" x14ac:dyDescent="0.25">
      <c r="A226" s="526"/>
      <c r="B226" s="527"/>
      <c r="C226" s="255" t="s">
        <v>85</v>
      </c>
      <c r="D226" s="277">
        <v>4</v>
      </c>
      <c r="E226" s="277">
        <v>18</v>
      </c>
      <c r="F226" s="277">
        <f t="shared" si="10"/>
        <v>22</v>
      </c>
      <c r="G226" s="277">
        <v>16</v>
      </c>
      <c r="H226" s="277">
        <v>3</v>
      </c>
      <c r="I226" s="277"/>
      <c r="J226" s="277">
        <f t="shared" si="9"/>
        <v>3</v>
      </c>
    </row>
    <row r="227" spans="1:10" ht="15.75" x14ac:dyDescent="0.25">
      <c r="A227" s="526"/>
      <c r="B227" s="527"/>
      <c r="C227" s="255" t="s">
        <v>86</v>
      </c>
      <c r="D227" s="277">
        <v>8</v>
      </c>
      <c r="E227" s="277">
        <v>45</v>
      </c>
      <c r="F227" s="277">
        <f t="shared" si="10"/>
        <v>53</v>
      </c>
      <c r="G227" s="277">
        <v>30</v>
      </c>
      <c r="H227" s="277">
        <v>16</v>
      </c>
      <c r="I227" s="277"/>
      <c r="J227" s="277">
        <f t="shared" si="9"/>
        <v>7</v>
      </c>
    </row>
  </sheetData>
  <mergeCells count="185">
    <mergeCell ref="A35:A37"/>
    <mergeCell ref="B35:B37"/>
    <mergeCell ref="A38:A40"/>
    <mergeCell ref="B38:B40"/>
    <mergeCell ref="A41:A43"/>
    <mergeCell ref="B41:B43"/>
    <mergeCell ref="A20:A22"/>
    <mergeCell ref="B20:B22"/>
    <mergeCell ref="A23:A25"/>
    <mergeCell ref="B23:B25"/>
    <mergeCell ref="A26:A28"/>
    <mergeCell ref="B26:B28"/>
    <mergeCell ref="A29:A31"/>
    <mergeCell ref="B29:B31"/>
    <mergeCell ref="A32:A34"/>
    <mergeCell ref="B32:B34"/>
    <mergeCell ref="A5:A7"/>
    <mergeCell ref="B5:B7"/>
    <mergeCell ref="A8:A10"/>
    <mergeCell ref="B8:B10"/>
    <mergeCell ref="A11:A13"/>
    <mergeCell ref="B11:B13"/>
    <mergeCell ref="A14:A16"/>
    <mergeCell ref="B14:B16"/>
    <mergeCell ref="A17:A19"/>
    <mergeCell ref="B17:B19"/>
    <mergeCell ref="A2:J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A141:J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A153:A155"/>
    <mergeCell ref="B153:B155"/>
    <mergeCell ref="A156:A158"/>
    <mergeCell ref="B156:B158"/>
    <mergeCell ref="A174:A176"/>
    <mergeCell ref="B174:B176"/>
    <mergeCell ref="A144:A146"/>
    <mergeCell ref="B144:B146"/>
    <mergeCell ref="A147:A149"/>
    <mergeCell ref="B147:B149"/>
    <mergeCell ref="A150:A152"/>
    <mergeCell ref="B150:B152"/>
    <mergeCell ref="A177:A179"/>
    <mergeCell ref="B177:B179"/>
    <mergeCell ref="A180:A182"/>
    <mergeCell ref="B180:B182"/>
    <mergeCell ref="A159:A161"/>
    <mergeCell ref="B159:B161"/>
    <mergeCell ref="A162:A164"/>
    <mergeCell ref="B162:B164"/>
    <mergeCell ref="A165:A167"/>
    <mergeCell ref="B165:B167"/>
    <mergeCell ref="A168:A170"/>
    <mergeCell ref="B168:B170"/>
    <mergeCell ref="A171:A173"/>
    <mergeCell ref="B171:B173"/>
    <mergeCell ref="A186:J186"/>
    <mergeCell ref="A187:A188"/>
    <mergeCell ref="B187:B188"/>
    <mergeCell ref="C187:C188"/>
    <mergeCell ref="D187:D188"/>
    <mergeCell ref="E187:E188"/>
    <mergeCell ref="F187:F188"/>
    <mergeCell ref="G187:G188"/>
    <mergeCell ref="H187:H188"/>
    <mergeCell ref="I187:I188"/>
    <mergeCell ref="J187:J188"/>
    <mergeCell ref="A198:A200"/>
    <mergeCell ref="B198:B200"/>
    <mergeCell ref="A201:A203"/>
    <mergeCell ref="B201:B203"/>
    <mergeCell ref="A204:A206"/>
    <mergeCell ref="B204:B206"/>
    <mergeCell ref="A189:A191"/>
    <mergeCell ref="B189:B191"/>
    <mergeCell ref="A192:A194"/>
    <mergeCell ref="B192:B194"/>
    <mergeCell ref="A195:A197"/>
    <mergeCell ref="B195:B197"/>
    <mergeCell ref="A225:A227"/>
    <mergeCell ref="B225:B227"/>
    <mergeCell ref="A216:A218"/>
    <mergeCell ref="B216:B218"/>
    <mergeCell ref="A219:A221"/>
    <mergeCell ref="B219:B221"/>
    <mergeCell ref="A222:A224"/>
    <mergeCell ref="B222:B224"/>
    <mergeCell ref="A207:A209"/>
    <mergeCell ref="B207:B209"/>
    <mergeCell ref="A210:A212"/>
    <mergeCell ref="B210:B212"/>
    <mergeCell ref="A213:A215"/>
    <mergeCell ref="B213:B215"/>
    <mergeCell ref="A95:J95"/>
    <mergeCell ref="A96:A97"/>
    <mergeCell ref="B96:B97"/>
    <mergeCell ref="C96:C97"/>
    <mergeCell ref="D96:D97"/>
    <mergeCell ref="E96:E97"/>
    <mergeCell ref="F96:F97"/>
    <mergeCell ref="G96:G97"/>
    <mergeCell ref="H96:H97"/>
    <mergeCell ref="I96:I97"/>
    <mergeCell ref="J96:J97"/>
    <mergeCell ref="A107:A109"/>
    <mergeCell ref="B107:B109"/>
    <mergeCell ref="A110:A112"/>
    <mergeCell ref="B110:B112"/>
    <mergeCell ref="A113:A115"/>
    <mergeCell ref="B113:B115"/>
    <mergeCell ref="A98:A100"/>
    <mergeCell ref="B98:B100"/>
    <mergeCell ref="A101:A103"/>
    <mergeCell ref="B101:B103"/>
    <mergeCell ref="A104:A106"/>
    <mergeCell ref="B104:B106"/>
    <mergeCell ref="A134:A136"/>
    <mergeCell ref="B134:B136"/>
    <mergeCell ref="A125:A127"/>
    <mergeCell ref="B125:B127"/>
    <mergeCell ref="A128:A130"/>
    <mergeCell ref="B128:B130"/>
    <mergeCell ref="A131:A133"/>
    <mergeCell ref="B131:B133"/>
    <mergeCell ref="A116:A118"/>
    <mergeCell ref="B116:B118"/>
    <mergeCell ref="A119:A121"/>
    <mergeCell ref="B119:B121"/>
    <mergeCell ref="A122:A124"/>
    <mergeCell ref="B122:B124"/>
    <mergeCell ref="A48:J48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J49:J50"/>
    <mergeCell ref="A51:A53"/>
    <mergeCell ref="B51:B53"/>
    <mergeCell ref="A54:A56"/>
    <mergeCell ref="B54:B56"/>
    <mergeCell ref="A57:A59"/>
    <mergeCell ref="B57:B59"/>
    <mergeCell ref="A60:A62"/>
    <mergeCell ref="B60:B62"/>
    <mergeCell ref="A63:A65"/>
    <mergeCell ref="B63:B65"/>
    <mergeCell ref="A81:A83"/>
    <mergeCell ref="B81:B83"/>
    <mergeCell ref="A84:A86"/>
    <mergeCell ref="B84:B86"/>
    <mergeCell ref="A87:A89"/>
    <mergeCell ref="B87:B89"/>
    <mergeCell ref="A66:A68"/>
    <mergeCell ref="B66:B68"/>
    <mergeCell ref="A69:A71"/>
    <mergeCell ref="B69:B71"/>
    <mergeCell ref="A72:A74"/>
    <mergeCell ref="B72:B74"/>
    <mergeCell ref="A75:A77"/>
    <mergeCell ref="B75:B77"/>
    <mergeCell ref="A78:A80"/>
    <mergeCell ref="B78:B80"/>
  </mergeCells>
  <pageMargins left="0.74803149606299213" right="0.15748031496062992" top="0.23622047244094491" bottom="0.19685039370078741" header="0.19685039370078741" footer="0.19685039370078741"/>
  <pageSetup paperSize="9" scale="85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13"/>
  <sheetViews>
    <sheetView topLeftCell="A6" workbookViewId="0">
      <selection activeCell="L27" sqref="L26:L27"/>
    </sheetView>
  </sheetViews>
  <sheetFormatPr defaultColWidth="9.140625" defaultRowHeight="15" x14ac:dyDescent="0.25"/>
  <cols>
    <col min="1" max="1" width="6.85546875" style="2" bestFit="1" customWidth="1"/>
    <col min="2" max="2" width="6.7109375" style="2" customWidth="1"/>
    <col min="3" max="3" width="7.85546875" style="3" customWidth="1"/>
    <col min="4" max="4" width="9.140625" style="3" customWidth="1"/>
    <col min="5" max="5" width="6.5703125" style="3" customWidth="1"/>
    <col min="6" max="6" width="14.7109375" style="3" customWidth="1"/>
    <col min="7" max="7" width="21.42578125" style="3" customWidth="1"/>
    <col min="8" max="8" width="19.42578125" style="3" customWidth="1"/>
    <col min="9" max="9" width="8.7109375" style="3" customWidth="1"/>
    <col min="10" max="10" width="9.85546875" style="3" customWidth="1"/>
    <col min="11" max="12" width="9.5703125" style="3" customWidth="1"/>
    <col min="13" max="13" width="6.28515625" style="3" customWidth="1"/>
    <col min="14" max="14" width="5.7109375" style="3" customWidth="1"/>
    <col min="15" max="16384" width="9.140625" style="2"/>
  </cols>
  <sheetData>
    <row r="1" spans="1:14" ht="34.5" customHeight="1" x14ac:dyDescent="0.25">
      <c r="A1" s="572" t="s">
        <v>359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4"/>
      <c r="N1" s="23"/>
    </row>
    <row r="2" spans="1:14" ht="60.75" hidden="1" x14ac:dyDescent="0.25">
      <c r="A2" s="68"/>
      <c r="B2" s="34" t="s">
        <v>306</v>
      </c>
      <c r="C2" s="54">
        <v>751</v>
      </c>
      <c r="D2" s="54">
        <v>1</v>
      </c>
      <c r="E2" s="54">
        <v>750</v>
      </c>
      <c r="F2" s="53">
        <v>75208129</v>
      </c>
      <c r="G2" s="54">
        <v>504993695</v>
      </c>
      <c r="H2" s="54">
        <v>1</v>
      </c>
      <c r="I2" s="54">
        <v>26</v>
      </c>
      <c r="J2" s="54">
        <v>52</v>
      </c>
      <c r="K2" s="54">
        <v>11</v>
      </c>
      <c r="L2" s="54">
        <v>4</v>
      </c>
      <c r="M2" s="54">
        <v>9</v>
      </c>
      <c r="N2" s="23"/>
    </row>
    <row r="3" spans="1:14" ht="28.5" customHeight="1" x14ac:dyDescent="0.25">
      <c r="A3" s="68"/>
      <c r="B3" s="575" t="s">
        <v>0</v>
      </c>
      <c r="C3" s="575" t="s">
        <v>92</v>
      </c>
      <c r="D3" s="575" t="s">
        <v>357</v>
      </c>
      <c r="E3" s="575" t="s">
        <v>358</v>
      </c>
      <c r="F3" s="575" t="s">
        <v>356</v>
      </c>
      <c r="G3" s="575" t="s">
        <v>96</v>
      </c>
      <c r="H3" s="575" t="s">
        <v>97</v>
      </c>
      <c r="I3" s="575" t="s">
        <v>11</v>
      </c>
      <c r="J3" s="575"/>
      <c r="K3" s="575" t="s">
        <v>98</v>
      </c>
      <c r="L3" s="575"/>
      <c r="M3" s="575" t="s">
        <v>13</v>
      </c>
      <c r="N3" s="575"/>
    </row>
    <row r="4" spans="1:14" ht="54.75" customHeight="1" x14ac:dyDescent="0.25">
      <c r="A4" s="68"/>
      <c r="B4" s="578"/>
      <c r="C4" s="578"/>
      <c r="D4" s="578"/>
      <c r="E4" s="578"/>
      <c r="F4" s="578"/>
      <c r="G4" s="578"/>
      <c r="H4" s="578"/>
      <c r="I4" s="129" t="s">
        <v>14</v>
      </c>
      <c r="J4" s="129" t="s">
        <v>99</v>
      </c>
      <c r="K4" s="129" t="s">
        <v>14</v>
      </c>
      <c r="L4" s="129" t="s">
        <v>99</v>
      </c>
      <c r="M4" s="129" t="s">
        <v>14</v>
      </c>
      <c r="N4" s="129" t="s">
        <v>99</v>
      </c>
    </row>
    <row r="5" spans="1:14" ht="23.25" customHeight="1" x14ac:dyDescent="0.25">
      <c r="A5" s="68"/>
      <c r="B5" s="34">
        <v>1</v>
      </c>
      <c r="C5" s="34">
        <v>2001</v>
      </c>
      <c r="D5" s="34">
        <v>630</v>
      </c>
      <c r="E5" s="34"/>
      <c r="F5" s="34"/>
      <c r="G5" s="295">
        <v>41218334</v>
      </c>
      <c r="H5" s="295">
        <v>200760665</v>
      </c>
      <c r="I5" s="131">
        <v>100</v>
      </c>
      <c r="J5" s="131">
        <v>30</v>
      </c>
      <c r="K5" s="131">
        <v>249</v>
      </c>
      <c r="L5" s="131">
        <v>47</v>
      </c>
      <c r="M5" s="34"/>
      <c r="N5" s="34"/>
    </row>
    <row r="6" spans="1:14" ht="23.25" customHeight="1" x14ac:dyDescent="0.25">
      <c r="A6" s="68"/>
      <c r="B6" s="34">
        <v>2</v>
      </c>
      <c r="C6" s="34">
        <v>2002</v>
      </c>
      <c r="D6" s="34">
        <v>620</v>
      </c>
      <c r="E6" s="34"/>
      <c r="F6" s="34"/>
      <c r="G6" s="295">
        <v>23165150</v>
      </c>
      <c r="H6" s="295">
        <v>134534950</v>
      </c>
      <c r="I6" s="131">
        <v>148</v>
      </c>
      <c r="J6" s="131">
        <v>44</v>
      </c>
      <c r="K6" s="131">
        <v>291</v>
      </c>
      <c r="L6" s="131">
        <v>76</v>
      </c>
      <c r="M6" s="34"/>
      <c r="N6" s="34"/>
    </row>
    <row r="7" spans="1:14" ht="23.25" customHeight="1" x14ac:dyDescent="0.25">
      <c r="A7" s="68"/>
      <c r="B7" s="34">
        <v>3</v>
      </c>
      <c r="C7" s="34">
        <v>2003</v>
      </c>
      <c r="D7" s="34">
        <v>694</v>
      </c>
      <c r="E7" s="34"/>
      <c r="F7" s="34"/>
      <c r="G7" s="295">
        <v>25391950</v>
      </c>
      <c r="H7" s="295">
        <v>553798300</v>
      </c>
      <c r="I7" s="131">
        <v>64</v>
      </c>
      <c r="J7" s="131">
        <v>81</v>
      </c>
      <c r="K7" s="131">
        <v>395</v>
      </c>
      <c r="L7" s="131">
        <v>48</v>
      </c>
      <c r="M7" s="34"/>
      <c r="N7" s="34"/>
    </row>
    <row r="8" spans="1:14" ht="23.25" customHeight="1" x14ac:dyDescent="0.25">
      <c r="A8" s="68"/>
      <c r="B8" s="34">
        <v>4</v>
      </c>
      <c r="C8" s="34">
        <v>2004</v>
      </c>
      <c r="D8" s="34">
        <v>823</v>
      </c>
      <c r="E8" s="34"/>
      <c r="F8" s="34"/>
      <c r="G8" s="295">
        <v>47914460</v>
      </c>
      <c r="H8" s="295">
        <v>186677940</v>
      </c>
      <c r="I8" s="131">
        <v>254</v>
      </c>
      <c r="J8" s="131">
        <v>28</v>
      </c>
      <c r="K8" s="131">
        <v>626</v>
      </c>
      <c r="L8" s="131">
        <v>42</v>
      </c>
      <c r="M8" s="34"/>
      <c r="N8" s="34"/>
    </row>
    <row r="9" spans="1:14" ht="23.25" customHeight="1" x14ac:dyDescent="0.25">
      <c r="A9" s="68"/>
      <c r="B9" s="34">
        <v>5</v>
      </c>
      <c r="C9" s="34">
        <v>2005</v>
      </c>
      <c r="D9" s="34">
        <v>301</v>
      </c>
      <c r="E9" s="34"/>
      <c r="F9" s="34"/>
      <c r="G9" s="295">
        <v>128791020</v>
      </c>
      <c r="H9" s="295">
        <v>572140092</v>
      </c>
      <c r="I9" s="131">
        <v>180</v>
      </c>
      <c r="J9" s="131">
        <v>205</v>
      </c>
      <c r="K9" s="131">
        <v>758</v>
      </c>
      <c r="L9" s="131">
        <v>89</v>
      </c>
      <c r="M9" s="34"/>
      <c r="N9" s="34"/>
    </row>
    <row r="10" spans="1:14" ht="23.25" customHeight="1" x14ac:dyDescent="0.25">
      <c r="A10" s="68"/>
      <c r="B10" s="34">
        <v>6</v>
      </c>
      <c r="C10" s="34">
        <v>2006</v>
      </c>
      <c r="D10" s="34">
        <v>1008</v>
      </c>
      <c r="E10" s="34"/>
      <c r="F10" s="34"/>
      <c r="G10" s="295">
        <v>179275181</v>
      </c>
      <c r="H10" s="295">
        <v>622775019</v>
      </c>
      <c r="I10" s="131">
        <v>242</v>
      </c>
      <c r="J10" s="131">
        <v>48</v>
      </c>
      <c r="K10" s="131">
        <v>1074</v>
      </c>
      <c r="L10" s="131">
        <v>65</v>
      </c>
      <c r="M10" s="34"/>
      <c r="N10" s="34"/>
    </row>
    <row r="11" spans="1:14" ht="23.25" customHeight="1" x14ac:dyDescent="0.25">
      <c r="A11" s="68"/>
      <c r="B11" s="34">
        <v>7</v>
      </c>
      <c r="C11" s="34">
        <v>2007</v>
      </c>
      <c r="D11" s="34">
        <v>1318</v>
      </c>
      <c r="E11" s="34"/>
      <c r="F11" s="34"/>
      <c r="G11" s="295">
        <v>112298650</v>
      </c>
      <c r="H11" s="295">
        <v>894194050</v>
      </c>
      <c r="I11" s="131">
        <v>300</v>
      </c>
      <c r="J11" s="131">
        <v>66</v>
      </c>
      <c r="K11" s="131">
        <v>1095</v>
      </c>
      <c r="L11" s="131">
        <v>77</v>
      </c>
      <c r="M11" s="34"/>
      <c r="N11" s="34"/>
    </row>
    <row r="12" spans="1:14" ht="23.25" customHeight="1" x14ac:dyDescent="0.25">
      <c r="A12" s="68"/>
      <c r="B12" s="34">
        <v>8</v>
      </c>
      <c r="C12" s="34">
        <v>2008</v>
      </c>
      <c r="D12" s="34">
        <v>1492</v>
      </c>
      <c r="E12" s="34"/>
      <c r="F12" s="34"/>
      <c r="G12" s="295">
        <v>126696755</v>
      </c>
      <c r="H12" s="295">
        <v>638621795</v>
      </c>
      <c r="I12" s="131">
        <v>369</v>
      </c>
      <c r="J12" s="131">
        <v>46</v>
      </c>
      <c r="K12" s="131">
        <v>1154</v>
      </c>
      <c r="L12" s="131">
        <v>62</v>
      </c>
      <c r="M12" s="34"/>
      <c r="N12" s="34"/>
    </row>
    <row r="13" spans="1:14" ht="23.25" customHeight="1" x14ac:dyDescent="0.25">
      <c r="A13" s="68"/>
      <c r="B13" s="34">
        <v>9</v>
      </c>
      <c r="C13" s="34">
        <v>2009</v>
      </c>
      <c r="D13" s="34">
        <v>2244</v>
      </c>
      <c r="E13" s="34"/>
      <c r="F13" s="34"/>
      <c r="G13" s="295">
        <v>396733628</v>
      </c>
      <c r="H13" s="295">
        <v>1272298136</v>
      </c>
      <c r="I13" s="131">
        <v>174</v>
      </c>
      <c r="J13" s="131">
        <v>442</v>
      </c>
      <c r="K13" s="131">
        <v>765</v>
      </c>
      <c r="L13" s="131">
        <v>140</v>
      </c>
      <c r="M13" s="34"/>
      <c r="N13" s="34"/>
    </row>
    <row r="14" spans="1:14" ht="23.25" customHeight="1" x14ac:dyDescent="0.25">
      <c r="A14" s="68"/>
      <c r="B14" s="34">
        <v>10</v>
      </c>
      <c r="C14" s="34">
        <v>2010</v>
      </c>
      <c r="D14" s="34">
        <v>2135</v>
      </c>
      <c r="E14" s="34"/>
      <c r="F14" s="34"/>
      <c r="G14" s="295">
        <v>365323942</v>
      </c>
      <c r="H14" s="295">
        <v>1220434766</v>
      </c>
      <c r="I14" s="131">
        <v>157</v>
      </c>
      <c r="J14" s="131">
        <v>171</v>
      </c>
      <c r="K14" s="131">
        <v>1008</v>
      </c>
      <c r="L14" s="131">
        <v>128</v>
      </c>
      <c r="M14" s="34"/>
      <c r="N14" s="34"/>
    </row>
    <row r="15" spans="1:14" ht="23.25" customHeight="1" x14ac:dyDescent="0.25">
      <c r="A15" s="68"/>
      <c r="B15" s="34">
        <v>11</v>
      </c>
      <c r="C15" s="34">
        <v>2011</v>
      </c>
      <c r="D15" s="34">
        <v>1580</v>
      </c>
      <c r="E15" s="34"/>
      <c r="F15" s="34"/>
      <c r="G15" s="295">
        <v>337315419</v>
      </c>
      <c r="H15" s="295">
        <v>1835270334</v>
      </c>
      <c r="I15" s="131">
        <v>179</v>
      </c>
      <c r="J15" s="131">
        <v>60</v>
      </c>
      <c r="K15" s="131">
        <v>549</v>
      </c>
      <c r="L15" s="131">
        <v>67</v>
      </c>
      <c r="M15" s="34"/>
      <c r="N15" s="34"/>
    </row>
    <row r="16" spans="1:14" ht="23.25" customHeight="1" x14ac:dyDescent="0.25">
      <c r="A16" s="68"/>
      <c r="B16" s="34">
        <v>12</v>
      </c>
      <c r="C16" s="34">
        <v>2012</v>
      </c>
      <c r="D16" s="34">
        <v>3314</v>
      </c>
      <c r="E16" s="34"/>
      <c r="F16" s="34"/>
      <c r="G16" s="295">
        <v>530515745</v>
      </c>
      <c r="H16" s="295">
        <v>2147483647</v>
      </c>
      <c r="I16" s="131">
        <v>254</v>
      </c>
      <c r="J16" s="131">
        <v>97</v>
      </c>
      <c r="K16" s="131">
        <v>419</v>
      </c>
      <c r="L16" s="131">
        <v>84</v>
      </c>
      <c r="M16" s="34"/>
      <c r="N16" s="34"/>
    </row>
    <row r="17" spans="1:14" ht="23.25" customHeight="1" x14ac:dyDescent="0.25">
      <c r="A17" s="68"/>
      <c r="B17" s="34">
        <v>13</v>
      </c>
      <c r="C17" s="34">
        <v>2013</v>
      </c>
      <c r="D17" s="34">
        <v>1701</v>
      </c>
      <c r="E17" s="34"/>
      <c r="F17" s="34"/>
      <c r="G17" s="295">
        <v>465444117</v>
      </c>
      <c r="H17" s="295">
        <v>2001916174</v>
      </c>
      <c r="I17" s="131">
        <v>249</v>
      </c>
      <c r="J17" s="131">
        <v>51</v>
      </c>
      <c r="K17" s="131">
        <v>627</v>
      </c>
      <c r="L17" s="131">
        <v>51</v>
      </c>
      <c r="M17" s="34"/>
      <c r="N17" s="34"/>
    </row>
    <row r="18" spans="1:14" ht="23.25" customHeight="1" x14ac:dyDescent="0.25">
      <c r="A18" s="68"/>
      <c r="B18" s="34">
        <v>14</v>
      </c>
      <c r="C18" s="34">
        <v>2014</v>
      </c>
      <c r="D18" s="34">
        <v>1821</v>
      </c>
      <c r="E18" s="34"/>
      <c r="F18" s="34"/>
      <c r="G18" s="295">
        <v>490920881</v>
      </c>
      <c r="H18" s="295">
        <v>1774776695</v>
      </c>
      <c r="I18" s="131">
        <v>222</v>
      </c>
      <c r="J18" s="131">
        <v>129</v>
      </c>
      <c r="K18" s="131">
        <v>519</v>
      </c>
      <c r="L18" s="131">
        <v>150</v>
      </c>
      <c r="M18" s="34"/>
      <c r="N18" s="34"/>
    </row>
    <row r="19" spans="1:14" ht="23.25" customHeight="1" x14ac:dyDescent="0.25">
      <c r="A19" s="68"/>
      <c r="B19" s="34">
        <v>15</v>
      </c>
      <c r="C19" s="34">
        <v>2015</v>
      </c>
      <c r="D19" s="34">
        <v>1922</v>
      </c>
      <c r="E19" s="34"/>
      <c r="F19" s="34"/>
      <c r="G19" s="295">
        <v>391046611</v>
      </c>
      <c r="H19" s="295">
        <v>2147483647</v>
      </c>
      <c r="I19" s="131">
        <v>279</v>
      </c>
      <c r="J19" s="131">
        <v>50</v>
      </c>
      <c r="K19" s="131">
        <v>580</v>
      </c>
      <c r="L19" s="131">
        <v>85</v>
      </c>
      <c r="M19" s="34"/>
      <c r="N19" s="34"/>
    </row>
    <row r="20" spans="1:14" ht="23.25" customHeight="1" x14ac:dyDescent="0.25">
      <c r="A20" s="68"/>
      <c r="B20" s="34">
        <v>16</v>
      </c>
      <c r="C20" s="54">
        <v>2016</v>
      </c>
      <c r="D20" s="54">
        <v>2890</v>
      </c>
      <c r="E20" s="54">
        <v>14</v>
      </c>
      <c r="F20" s="54">
        <f>D20-E20</f>
        <v>2876</v>
      </c>
      <c r="G20" s="295">
        <v>570369073</v>
      </c>
      <c r="H20" s="54" t="s">
        <v>1313</v>
      </c>
      <c r="I20" s="54">
        <v>12</v>
      </c>
      <c r="J20" s="54">
        <v>37</v>
      </c>
      <c r="K20" s="54">
        <v>385</v>
      </c>
      <c r="L20" s="54" t="s">
        <v>18</v>
      </c>
      <c r="M20" s="54" t="s">
        <v>18</v>
      </c>
      <c r="N20" s="54" t="s">
        <v>18</v>
      </c>
    </row>
    <row r="21" spans="1:14" ht="23.25" customHeight="1" x14ac:dyDescent="0.25">
      <c r="A21" s="68"/>
      <c r="B21" s="34">
        <v>17</v>
      </c>
      <c r="C21" s="54">
        <v>2017</v>
      </c>
      <c r="D21" s="54">
        <v>2011</v>
      </c>
      <c r="E21" s="54">
        <v>7</v>
      </c>
      <c r="F21" s="54">
        <f>D21-E21</f>
        <v>2004</v>
      </c>
      <c r="G21" s="54" t="s">
        <v>1314</v>
      </c>
      <c r="H21" s="54" t="s">
        <v>1312</v>
      </c>
      <c r="I21" s="54">
        <v>5</v>
      </c>
      <c r="J21" s="54">
        <v>22</v>
      </c>
      <c r="K21" s="54">
        <v>55</v>
      </c>
      <c r="L21" s="54">
        <v>39</v>
      </c>
      <c r="M21" s="54">
        <v>20</v>
      </c>
      <c r="N21" s="54">
        <v>2</v>
      </c>
    </row>
    <row r="22" spans="1:14" ht="23.25" customHeight="1" x14ac:dyDescent="0.25">
      <c r="A22" s="68"/>
      <c r="B22" s="34">
        <v>18</v>
      </c>
      <c r="C22" s="54">
        <v>2018</v>
      </c>
      <c r="D22" s="54">
        <v>2483</v>
      </c>
      <c r="E22" s="54">
        <v>3</v>
      </c>
      <c r="F22" s="54">
        <f>D22-E22</f>
        <v>2480</v>
      </c>
      <c r="G22" s="54" t="s">
        <v>1310</v>
      </c>
      <c r="H22" s="54" t="s">
        <v>1311</v>
      </c>
      <c r="I22" s="54">
        <v>6</v>
      </c>
      <c r="J22" s="54">
        <v>28</v>
      </c>
      <c r="K22" s="54">
        <v>137</v>
      </c>
      <c r="L22" s="54">
        <v>81</v>
      </c>
      <c r="M22" s="54">
        <v>12</v>
      </c>
      <c r="N22" s="54">
        <v>41</v>
      </c>
    </row>
    <row r="23" spans="1:14" ht="23.25" customHeight="1" x14ac:dyDescent="0.25">
      <c r="A23" s="68"/>
      <c r="B23" s="34">
        <v>19</v>
      </c>
      <c r="C23" s="54">
        <v>2019</v>
      </c>
      <c r="D23" s="54">
        <v>2651</v>
      </c>
      <c r="E23" s="54">
        <v>1</v>
      </c>
      <c r="F23" s="54">
        <f>D23-E23</f>
        <v>2650</v>
      </c>
      <c r="G23" s="295">
        <v>173952520</v>
      </c>
      <c r="H23" s="295">
        <v>1679152831</v>
      </c>
      <c r="I23" s="54">
        <v>5</v>
      </c>
      <c r="J23" s="54">
        <v>35</v>
      </c>
      <c r="K23" s="54">
        <v>191</v>
      </c>
      <c r="L23" s="54">
        <v>171</v>
      </c>
      <c r="M23" s="54">
        <v>16</v>
      </c>
      <c r="N23" s="54">
        <v>10</v>
      </c>
    </row>
    <row r="24" spans="1:14" ht="23.25" customHeight="1" x14ac:dyDescent="0.25">
      <c r="A24" s="68"/>
      <c r="B24" s="34">
        <v>20</v>
      </c>
      <c r="C24" s="54">
        <v>2020</v>
      </c>
      <c r="D24" s="54">
        <v>1572</v>
      </c>
      <c r="E24" s="54">
        <v>1</v>
      </c>
      <c r="F24" s="54">
        <f>D24-E24</f>
        <v>1571</v>
      </c>
      <c r="G24" s="295">
        <v>142738380</v>
      </c>
      <c r="H24" s="295">
        <v>1096488036</v>
      </c>
      <c r="I24" s="54">
        <v>2</v>
      </c>
      <c r="J24" s="54">
        <v>19</v>
      </c>
      <c r="K24" s="54">
        <v>201</v>
      </c>
      <c r="L24" s="54">
        <v>42</v>
      </c>
      <c r="M24" s="54">
        <v>48</v>
      </c>
      <c r="N24" s="54">
        <v>2</v>
      </c>
    </row>
    <row r="25" spans="1:14" ht="36" customHeight="1" x14ac:dyDescent="0.25">
      <c r="A25" s="68"/>
      <c r="B25" s="34">
        <v>21</v>
      </c>
      <c r="C25" s="54" t="s">
        <v>298</v>
      </c>
      <c r="D25" s="54">
        <v>2248</v>
      </c>
      <c r="E25" s="54">
        <v>2</v>
      </c>
      <c r="F25" s="54">
        <v>2246</v>
      </c>
      <c r="G25" s="295">
        <v>238815375</v>
      </c>
      <c r="H25" s="295">
        <v>3043482910</v>
      </c>
      <c r="I25" s="54">
        <v>9</v>
      </c>
      <c r="J25" s="54">
        <v>36</v>
      </c>
      <c r="K25" s="54">
        <v>30</v>
      </c>
      <c r="L25" s="54">
        <v>1</v>
      </c>
      <c r="M25" s="54">
        <v>8</v>
      </c>
      <c r="N25" s="54">
        <v>8</v>
      </c>
    </row>
    <row r="26" spans="1:14" ht="23.25" customHeight="1" x14ac:dyDescent="0.25">
      <c r="A26" s="68"/>
      <c r="B26" s="34">
        <v>22</v>
      </c>
      <c r="C26" s="34">
        <v>2022</v>
      </c>
      <c r="D26" s="54">
        <v>1829</v>
      </c>
      <c r="E26" s="54">
        <v>5</v>
      </c>
      <c r="F26" s="54">
        <v>1824</v>
      </c>
      <c r="G26" s="295">
        <v>189347372</v>
      </c>
      <c r="H26" s="295">
        <v>1251121415</v>
      </c>
      <c r="I26" s="54">
        <v>3</v>
      </c>
      <c r="J26" s="54">
        <v>41</v>
      </c>
      <c r="K26" s="54">
        <v>58</v>
      </c>
      <c r="L26" s="54">
        <v>12</v>
      </c>
      <c r="M26" s="54">
        <v>58</v>
      </c>
      <c r="N26" s="54">
        <v>16</v>
      </c>
    </row>
    <row r="27" spans="1:14" ht="23.25" x14ac:dyDescent="0.25">
      <c r="A27" s="68"/>
      <c r="B27" s="63"/>
      <c r="C27" s="56"/>
      <c r="D27" s="56"/>
      <c r="E27" s="56"/>
      <c r="F27" s="55"/>
      <c r="G27" s="56"/>
      <c r="H27" s="56"/>
      <c r="I27" s="56"/>
      <c r="J27" s="56"/>
      <c r="K27" s="56"/>
      <c r="L27" s="56"/>
      <c r="M27" s="56"/>
      <c r="N27" s="23"/>
    </row>
    <row r="28" spans="1:14" ht="23.25" x14ac:dyDescent="0.25">
      <c r="A28" s="68"/>
      <c r="B28" s="63"/>
      <c r="C28" s="56"/>
      <c r="D28" s="56"/>
      <c r="E28" s="56"/>
      <c r="F28" s="55"/>
      <c r="G28" s="56"/>
      <c r="H28" s="56"/>
      <c r="I28" s="56"/>
      <c r="J28" s="56"/>
      <c r="K28" s="56"/>
      <c r="L28" s="56"/>
      <c r="M28" s="56"/>
      <c r="N28" s="23"/>
    </row>
    <row r="29" spans="1:14" ht="46.15" customHeight="1" x14ac:dyDescent="0.25">
      <c r="A29" s="590"/>
      <c r="B29" s="590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23"/>
    </row>
    <row r="30" spans="1:14" s="4" customFormat="1" ht="20.25" x14ac:dyDescent="0.2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23"/>
    </row>
    <row r="31" spans="1:14" s="4" customFormat="1" ht="30" customHeight="1" x14ac:dyDescent="0.25">
      <c r="A31" s="40"/>
      <c r="B31" s="591" t="s">
        <v>321</v>
      </c>
      <c r="C31" s="592"/>
      <c r="D31" s="592"/>
      <c r="E31" s="592"/>
      <c r="F31" s="592"/>
      <c r="G31" s="592"/>
      <c r="H31" s="592"/>
      <c r="I31" s="592"/>
      <c r="J31" s="592"/>
      <c r="K31" s="592"/>
      <c r="L31" s="592"/>
      <c r="M31" s="592"/>
      <c r="N31" s="593"/>
    </row>
    <row r="32" spans="1:14" s="4" customFormat="1" ht="20.25" x14ac:dyDescent="0.25">
      <c r="A32" s="40"/>
      <c r="B32" s="528" t="s">
        <v>0</v>
      </c>
      <c r="C32" s="528" t="s">
        <v>92</v>
      </c>
      <c r="D32" s="528" t="s">
        <v>3</v>
      </c>
      <c r="E32" s="528" t="s">
        <v>4</v>
      </c>
      <c r="F32" s="528" t="s">
        <v>194</v>
      </c>
      <c r="G32" s="528" t="s">
        <v>9</v>
      </c>
      <c r="H32" s="528" t="s">
        <v>10</v>
      </c>
      <c r="I32" s="528" t="s">
        <v>11</v>
      </c>
      <c r="J32" s="528"/>
      <c r="K32" s="528" t="s">
        <v>12</v>
      </c>
      <c r="L32" s="528"/>
      <c r="M32" s="528" t="s">
        <v>13</v>
      </c>
      <c r="N32" s="528"/>
    </row>
    <row r="33" spans="1:14" s="4" customFormat="1" ht="33" customHeight="1" x14ac:dyDescent="0.25">
      <c r="A33" s="40"/>
      <c r="B33" s="528"/>
      <c r="C33" s="528"/>
      <c r="D33" s="528"/>
      <c r="E33" s="528"/>
      <c r="F33" s="528"/>
      <c r="G33" s="528"/>
      <c r="H33" s="528"/>
      <c r="I33" s="35" t="s">
        <v>14</v>
      </c>
      <c r="J33" s="35" t="s">
        <v>15</v>
      </c>
      <c r="K33" s="35" t="s">
        <v>14</v>
      </c>
      <c r="L33" s="35" t="s">
        <v>15</v>
      </c>
      <c r="M33" s="35" t="s">
        <v>14</v>
      </c>
      <c r="N33" s="35" t="s">
        <v>15</v>
      </c>
    </row>
    <row r="34" spans="1:14" s="4" customFormat="1" ht="37.15" customHeight="1" x14ac:dyDescent="0.25">
      <c r="A34" s="40"/>
      <c r="B34" s="57">
        <v>1</v>
      </c>
      <c r="C34" s="57">
        <v>2018</v>
      </c>
      <c r="D34" s="57">
        <v>514</v>
      </c>
      <c r="E34" s="57">
        <v>2</v>
      </c>
      <c r="F34" s="57">
        <v>512</v>
      </c>
      <c r="G34" s="57" t="s">
        <v>18</v>
      </c>
      <c r="H34" s="57" t="s">
        <v>18</v>
      </c>
      <c r="I34" s="57" t="s">
        <v>18</v>
      </c>
      <c r="J34" s="57" t="s">
        <v>18</v>
      </c>
      <c r="K34" s="57" t="s">
        <v>18</v>
      </c>
      <c r="L34" s="57" t="s">
        <v>18</v>
      </c>
      <c r="M34" s="57" t="s">
        <v>18</v>
      </c>
      <c r="N34" s="58" t="s">
        <v>18</v>
      </c>
    </row>
    <row r="35" spans="1:14" s="4" customFormat="1" ht="37.15" customHeight="1" x14ac:dyDescent="0.25">
      <c r="A35" s="40"/>
      <c r="B35" s="57">
        <v>2</v>
      </c>
      <c r="C35" s="57">
        <v>2019</v>
      </c>
      <c r="D35" s="57">
        <v>575</v>
      </c>
      <c r="E35" s="57" t="s">
        <v>18</v>
      </c>
      <c r="F35" s="57">
        <v>575</v>
      </c>
      <c r="G35" s="57" t="s">
        <v>18</v>
      </c>
      <c r="H35" s="57" t="s">
        <v>18</v>
      </c>
      <c r="I35" s="57" t="s">
        <v>18</v>
      </c>
      <c r="J35" s="57">
        <v>1</v>
      </c>
      <c r="K35" s="57" t="s">
        <v>18</v>
      </c>
      <c r="L35" s="57" t="s">
        <v>18</v>
      </c>
      <c r="M35" s="57" t="s">
        <v>18</v>
      </c>
      <c r="N35" s="58" t="s">
        <v>18</v>
      </c>
    </row>
    <row r="36" spans="1:14" s="4" customFormat="1" ht="37.15" customHeight="1" x14ac:dyDescent="0.25">
      <c r="A36" s="40"/>
      <c r="B36" s="57">
        <v>3</v>
      </c>
      <c r="C36" s="57">
        <v>2020</v>
      </c>
      <c r="D36" s="57">
        <v>380</v>
      </c>
      <c r="E36" s="57" t="s">
        <v>18</v>
      </c>
      <c r="F36" s="57">
        <v>380</v>
      </c>
      <c r="G36" s="57" t="s">
        <v>18</v>
      </c>
      <c r="H36" s="57" t="s">
        <v>18</v>
      </c>
      <c r="I36" s="57" t="s">
        <v>18</v>
      </c>
      <c r="J36" s="57" t="s">
        <v>18</v>
      </c>
      <c r="K36" s="57" t="s">
        <v>18</v>
      </c>
      <c r="L36" s="57" t="s">
        <v>18</v>
      </c>
      <c r="M36" s="57" t="s">
        <v>18</v>
      </c>
      <c r="N36" s="58" t="s">
        <v>18</v>
      </c>
    </row>
    <row r="37" spans="1:14" s="4" customFormat="1" ht="53.45" customHeight="1" x14ac:dyDescent="0.25">
      <c r="A37" s="64"/>
      <c r="B37" s="57">
        <v>4</v>
      </c>
      <c r="C37" s="57" t="s">
        <v>298</v>
      </c>
      <c r="D37" s="57">
        <v>935</v>
      </c>
      <c r="E37" s="57" t="s">
        <v>18</v>
      </c>
      <c r="F37" s="57">
        <v>935</v>
      </c>
      <c r="G37" s="57">
        <v>10566400</v>
      </c>
      <c r="H37" s="57"/>
      <c r="I37" s="57">
        <v>1</v>
      </c>
      <c r="J37" s="57" t="s">
        <v>18</v>
      </c>
      <c r="K37" s="57" t="s">
        <v>18</v>
      </c>
      <c r="L37" s="57" t="s">
        <v>18</v>
      </c>
      <c r="M37" s="57">
        <v>1</v>
      </c>
      <c r="N37" s="58">
        <v>1</v>
      </c>
    </row>
    <row r="38" spans="1:14" s="4" customFormat="1" ht="37.15" customHeight="1" x14ac:dyDescent="0.25">
      <c r="A38" s="64"/>
      <c r="B38" s="94">
        <v>5</v>
      </c>
      <c r="C38" s="94">
        <v>2022</v>
      </c>
      <c r="D38" s="94">
        <v>670</v>
      </c>
      <c r="E38" s="57" t="s">
        <v>18</v>
      </c>
      <c r="F38" s="94">
        <v>670</v>
      </c>
      <c r="G38" s="62">
        <v>6319600</v>
      </c>
      <c r="H38" s="62">
        <v>246245400</v>
      </c>
      <c r="I38" s="57">
        <v>1</v>
      </c>
      <c r="J38" s="94">
        <v>1</v>
      </c>
      <c r="K38" s="57">
        <v>0</v>
      </c>
      <c r="L38" s="57">
        <v>0</v>
      </c>
      <c r="M38" s="94">
        <v>1</v>
      </c>
      <c r="N38" s="95">
        <v>2</v>
      </c>
    </row>
    <row r="39" spans="1:14" s="4" customFormat="1" ht="37.15" customHeight="1" x14ac:dyDescent="0.25">
      <c r="A39" s="96"/>
      <c r="B39" s="576" t="s">
        <v>60</v>
      </c>
      <c r="C39" s="577"/>
      <c r="D39" s="100">
        <f t="shared" ref="D39:N39" si="0">SUM(D34:D38)</f>
        <v>3074</v>
      </c>
      <c r="E39" s="100">
        <f t="shared" si="0"/>
        <v>2</v>
      </c>
      <c r="F39" s="100">
        <f t="shared" si="0"/>
        <v>3072</v>
      </c>
      <c r="G39" s="101">
        <f t="shared" si="0"/>
        <v>16886000</v>
      </c>
      <c r="H39" s="101">
        <f t="shared" si="0"/>
        <v>246245400</v>
      </c>
      <c r="I39" s="102">
        <f t="shared" si="0"/>
        <v>2</v>
      </c>
      <c r="J39" s="100">
        <f t="shared" si="0"/>
        <v>2</v>
      </c>
      <c r="K39" s="102">
        <f t="shared" si="0"/>
        <v>0</v>
      </c>
      <c r="L39" s="102">
        <f t="shared" si="0"/>
        <v>0</v>
      </c>
      <c r="M39" s="100">
        <f t="shared" si="0"/>
        <v>2</v>
      </c>
      <c r="N39" s="103">
        <f t="shared" si="0"/>
        <v>3</v>
      </c>
    </row>
    <row r="40" spans="1:14" s="4" customFormat="1" ht="37.15" customHeight="1" x14ac:dyDescent="0.25">
      <c r="A40" s="96"/>
      <c r="B40" s="97"/>
      <c r="C40" s="97"/>
      <c r="D40" s="97"/>
      <c r="E40" s="97"/>
      <c r="F40" s="97"/>
      <c r="G40" s="3"/>
      <c r="H40" s="3"/>
      <c r="I40" s="98"/>
      <c r="J40" s="97"/>
      <c r="K40" s="98"/>
      <c r="L40" s="98"/>
      <c r="M40" s="97"/>
      <c r="N40" s="99"/>
    </row>
    <row r="41" spans="1:14" ht="2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59"/>
    </row>
    <row r="42" spans="1:14" ht="42.75" customHeight="1" x14ac:dyDescent="0.25">
      <c r="A42" s="4"/>
      <c r="B42" s="589" t="s">
        <v>323</v>
      </c>
      <c r="C42" s="589"/>
      <c r="D42" s="589"/>
      <c r="E42" s="589"/>
      <c r="F42" s="589"/>
      <c r="G42" s="589"/>
      <c r="H42" s="589"/>
      <c r="I42" s="589"/>
      <c r="J42" s="589"/>
      <c r="K42" s="589"/>
      <c r="L42" s="589"/>
      <c r="M42" s="4"/>
      <c r="N42" s="59"/>
    </row>
    <row r="43" spans="1:14" ht="21" x14ac:dyDescent="0.25">
      <c r="A43" s="4"/>
      <c r="B43" s="515" t="s">
        <v>92</v>
      </c>
      <c r="C43" s="528" t="s">
        <v>3</v>
      </c>
      <c r="D43" s="528" t="s">
        <v>4</v>
      </c>
      <c r="E43" s="528" t="s">
        <v>5</v>
      </c>
      <c r="F43" s="528" t="s">
        <v>62</v>
      </c>
      <c r="G43" s="528" t="s">
        <v>11</v>
      </c>
      <c r="H43" s="528"/>
      <c r="I43" s="528" t="s">
        <v>12</v>
      </c>
      <c r="J43" s="528"/>
      <c r="K43" s="528" t="s">
        <v>13</v>
      </c>
      <c r="L43" s="528"/>
      <c r="M43" s="4"/>
      <c r="N43" s="59"/>
    </row>
    <row r="44" spans="1:14" ht="30.75" customHeight="1" x14ac:dyDescent="0.25">
      <c r="A44" s="4"/>
      <c r="B44" s="516"/>
      <c r="C44" s="528"/>
      <c r="D44" s="528"/>
      <c r="E44" s="528"/>
      <c r="F44" s="528"/>
      <c r="G44" s="35" t="s">
        <v>14</v>
      </c>
      <c r="H44" s="35" t="s">
        <v>15</v>
      </c>
      <c r="I44" s="35" t="s">
        <v>14</v>
      </c>
      <c r="J44" s="35" t="s">
        <v>15</v>
      </c>
      <c r="K44" s="35" t="s">
        <v>14</v>
      </c>
      <c r="L44" s="35" t="s">
        <v>15</v>
      </c>
      <c r="M44" s="4"/>
      <c r="N44" s="59"/>
    </row>
    <row r="45" spans="1:14" ht="30.75" customHeight="1" x14ac:dyDescent="0.25">
      <c r="A45" s="4"/>
      <c r="B45" s="34">
        <v>2017</v>
      </c>
      <c r="C45" s="34">
        <v>341</v>
      </c>
      <c r="D45" s="34"/>
      <c r="E45" s="34">
        <v>341</v>
      </c>
      <c r="F45" s="34"/>
      <c r="G45" s="34">
        <v>45</v>
      </c>
      <c r="H45" s="34">
        <v>12</v>
      </c>
      <c r="I45" s="34">
        <v>250</v>
      </c>
      <c r="J45" s="34">
        <v>21</v>
      </c>
      <c r="K45" s="34">
        <v>130</v>
      </c>
      <c r="L45" s="34">
        <v>5</v>
      </c>
      <c r="M45" s="4"/>
      <c r="N45" s="59"/>
    </row>
    <row r="46" spans="1:14" ht="36" customHeight="1" x14ac:dyDescent="0.25">
      <c r="A46" s="4"/>
      <c r="B46" s="34">
        <v>2018</v>
      </c>
      <c r="C46" s="34">
        <v>396</v>
      </c>
      <c r="D46" s="34" t="s">
        <v>18</v>
      </c>
      <c r="E46" s="34">
        <v>396</v>
      </c>
      <c r="F46" s="34" t="s">
        <v>18</v>
      </c>
      <c r="G46" s="34">
        <v>271</v>
      </c>
      <c r="H46" s="34" t="s">
        <v>18</v>
      </c>
      <c r="I46" s="34" t="s">
        <v>18</v>
      </c>
      <c r="J46" s="34">
        <v>244</v>
      </c>
      <c r="K46" s="34">
        <v>0</v>
      </c>
      <c r="L46" s="34" t="s">
        <v>18</v>
      </c>
      <c r="M46" s="4"/>
      <c r="N46" s="59"/>
    </row>
    <row r="47" spans="1:14" ht="36" customHeight="1" x14ac:dyDescent="0.25">
      <c r="A47" s="4"/>
      <c r="B47" s="34">
        <v>2019</v>
      </c>
      <c r="C47" s="34">
        <v>337</v>
      </c>
      <c r="D47" s="34" t="s">
        <v>18</v>
      </c>
      <c r="E47" s="34">
        <v>337</v>
      </c>
      <c r="F47" s="34" t="s">
        <v>18</v>
      </c>
      <c r="G47" s="34">
        <v>58</v>
      </c>
      <c r="H47" s="34">
        <v>10</v>
      </c>
      <c r="I47" s="34">
        <v>400</v>
      </c>
      <c r="J47" s="34">
        <v>17</v>
      </c>
      <c r="K47" s="34">
        <v>31</v>
      </c>
      <c r="L47" s="34" t="s">
        <v>18</v>
      </c>
      <c r="M47" s="4"/>
      <c r="N47" s="59"/>
    </row>
    <row r="48" spans="1:14" ht="36" customHeight="1" x14ac:dyDescent="0.25">
      <c r="A48" s="4"/>
      <c r="B48" s="34">
        <v>2020</v>
      </c>
      <c r="C48" s="34">
        <v>321</v>
      </c>
      <c r="D48" s="34" t="s">
        <v>18</v>
      </c>
      <c r="E48" s="34">
        <v>321</v>
      </c>
      <c r="F48" s="34" t="s">
        <v>18</v>
      </c>
      <c r="G48" s="34">
        <v>102</v>
      </c>
      <c r="H48" s="34">
        <v>23</v>
      </c>
      <c r="I48" s="34">
        <v>220</v>
      </c>
      <c r="J48" s="34">
        <v>87</v>
      </c>
      <c r="K48" s="34">
        <v>46</v>
      </c>
      <c r="L48" s="34">
        <v>5</v>
      </c>
      <c r="M48" s="4"/>
      <c r="N48" s="59"/>
    </row>
    <row r="49" spans="1:14" ht="36" customHeight="1" x14ac:dyDescent="0.25">
      <c r="A49" s="4"/>
      <c r="B49" s="34" t="s">
        <v>298</v>
      </c>
      <c r="C49" s="34">
        <v>476</v>
      </c>
      <c r="D49" s="34" t="s">
        <v>18</v>
      </c>
      <c r="E49" s="34">
        <v>476</v>
      </c>
      <c r="F49" s="34" t="s">
        <v>18</v>
      </c>
      <c r="G49" s="34">
        <v>199</v>
      </c>
      <c r="H49" s="34">
        <v>4</v>
      </c>
      <c r="I49" s="34">
        <v>268</v>
      </c>
      <c r="J49" s="34">
        <v>29</v>
      </c>
      <c r="K49" s="34">
        <v>149</v>
      </c>
      <c r="L49" s="34">
        <v>59</v>
      </c>
      <c r="M49" s="4"/>
      <c r="N49" s="59"/>
    </row>
    <row r="50" spans="1:14" ht="79.5" hidden="1" customHeight="1" x14ac:dyDescent="0.25">
      <c r="A50" s="4"/>
      <c r="B50" s="34">
        <v>2022</v>
      </c>
      <c r="C50" s="34">
        <v>101</v>
      </c>
      <c r="D50" s="34"/>
      <c r="E50" s="34">
        <v>101</v>
      </c>
      <c r="F50" s="34" t="s">
        <v>18</v>
      </c>
      <c r="G50" s="34">
        <v>48</v>
      </c>
      <c r="H50" s="34">
        <v>0</v>
      </c>
      <c r="I50" s="34">
        <v>56</v>
      </c>
      <c r="J50" s="34">
        <v>13</v>
      </c>
      <c r="K50" s="34">
        <v>67</v>
      </c>
      <c r="L50" s="34">
        <v>4</v>
      </c>
      <c r="M50" s="4"/>
      <c r="N50" s="59"/>
    </row>
    <row r="51" spans="1:14" ht="36" customHeight="1" x14ac:dyDescent="0.25">
      <c r="A51" s="4"/>
      <c r="B51" s="35">
        <v>2022</v>
      </c>
      <c r="C51" s="104">
        <v>464</v>
      </c>
      <c r="D51" s="35"/>
      <c r="E51" s="34">
        <v>464</v>
      </c>
      <c r="F51" s="34" t="s">
        <v>18</v>
      </c>
      <c r="G51" s="34">
        <v>170</v>
      </c>
      <c r="H51" s="34">
        <v>35</v>
      </c>
      <c r="I51" s="34">
        <v>184</v>
      </c>
      <c r="J51" s="34">
        <v>18</v>
      </c>
      <c r="K51" s="34">
        <v>303</v>
      </c>
      <c r="L51" s="34">
        <v>69</v>
      </c>
      <c r="M51" s="4"/>
      <c r="N51" s="59"/>
    </row>
    <row r="52" spans="1:14" ht="36" customHeight="1" x14ac:dyDescent="0.25">
      <c r="A52" s="4"/>
      <c r="B52" s="35" t="s">
        <v>60</v>
      </c>
      <c r="C52" s="104">
        <f>SUM(C45:C51)</f>
        <v>2436</v>
      </c>
      <c r="D52" s="35"/>
      <c r="E52" s="34">
        <f>SUM(E45:E51)</f>
        <v>2436</v>
      </c>
      <c r="F52" s="34"/>
      <c r="G52" s="34">
        <f t="shared" ref="G52:L52" si="1">SUM(G45:G51)</f>
        <v>893</v>
      </c>
      <c r="H52" s="34">
        <f t="shared" si="1"/>
        <v>84</v>
      </c>
      <c r="I52" s="34">
        <f t="shared" si="1"/>
        <v>1378</v>
      </c>
      <c r="J52" s="34">
        <f t="shared" si="1"/>
        <v>429</v>
      </c>
      <c r="K52" s="34">
        <f t="shared" si="1"/>
        <v>726</v>
      </c>
      <c r="L52" s="34">
        <f t="shared" si="1"/>
        <v>142</v>
      </c>
      <c r="M52" s="4"/>
      <c r="N52" s="59"/>
    </row>
    <row r="53" spans="1:14" ht="36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59"/>
    </row>
    <row r="54" spans="1:14" ht="30" customHeight="1" x14ac:dyDescent="0.25">
      <c r="A54" s="1"/>
      <c r="B54" s="566" t="s">
        <v>103</v>
      </c>
      <c r="C54" s="582"/>
      <c r="D54" s="582"/>
      <c r="E54" s="582"/>
      <c r="F54" s="582"/>
      <c r="G54" s="582"/>
      <c r="H54" s="582"/>
      <c r="I54" s="582"/>
      <c r="J54" s="582"/>
      <c r="K54" s="582"/>
      <c r="L54" s="582"/>
      <c r="M54" s="582"/>
      <c r="N54" s="567"/>
    </row>
    <row r="55" spans="1:14" ht="60.75" customHeight="1" x14ac:dyDescent="0.25">
      <c r="A55" s="1" t="s">
        <v>0</v>
      </c>
      <c r="B55" s="1" t="s">
        <v>104</v>
      </c>
      <c r="C55" s="13"/>
      <c r="D55" s="13" t="s">
        <v>93</v>
      </c>
      <c r="E55" s="13" t="s">
        <v>94</v>
      </c>
      <c r="F55" s="13" t="s">
        <v>95</v>
      </c>
      <c r="G55" s="13" t="s">
        <v>105</v>
      </c>
      <c r="H55" s="13" t="s">
        <v>106</v>
      </c>
      <c r="I55" s="13" t="s">
        <v>107</v>
      </c>
      <c r="J55" s="13" t="s">
        <v>99</v>
      </c>
      <c r="K55" s="13" t="s">
        <v>107</v>
      </c>
      <c r="L55" s="13" t="s">
        <v>99</v>
      </c>
      <c r="M55" s="13" t="s">
        <v>107</v>
      </c>
      <c r="N55" s="13" t="s">
        <v>99</v>
      </c>
    </row>
    <row r="56" spans="1:14" ht="40.5" x14ac:dyDescent="0.25">
      <c r="A56" s="9">
        <v>1</v>
      </c>
      <c r="B56" s="9" t="s">
        <v>108</v>
      </c>
      <c r="C56" s="11" t="s">
        <v>60</v>
      </c>
      <c r="D56" s="11">
        <v>125</v>
      </c>
      <c r="E56" s="11" t="s">
        <v>18</v>
      </c>
      <c r="F56" s="11">
        <v>125</v>
      </c>
      <c r="G56" s="11">
        <v>7923700</v>
      </c>
      <c r="H56" s="11">
        <v>56991800</v>
      </c>
      <c r="I56" s="11" t="s">
        <v>18</v>
      </c>
      <c r="J56" s="11">
        <v>5</v>
      </c>
      <c r="K56" s="11">
        <v>2</v>
      </c>
      <c r="L56" s="11" t="s">
        <v>18</v>
      </c>
      <c r="M56" s="11">
        <v>3</v>
      </c>
      <c r="N56" s="11">
        <v>2</v>
      </c>
    </row>
    <row r="57" spans="1:14" ht="40.5" x14ac:dyDescent="0.25">
      <c r="A57" s="9">
        <v>2</v>
      </c>
      <c r="B57" s="9" t="s">
        <v>109</v>
      </c>
      <c r="C57" s="11" t="s">
        <v>60</v>
      </c>
      <c r="D57" s="11">
        <v>134</v>
      </c>
      <c r="E57" s="11" t="s">
        <v>18</v>
      </c>
      <c r="F57" s="11">
        <v>134</v>
      </c>
      <c r="G57" s="11">
        <v>15138510</v>
      </c>
      <c r="H57" s="11">
        <v>66415190</v>
      </c>
      <c r="I57" s="11">
        <v>1</v>
      </c>
      <c r="J57" s="11" t="s">
        <v>18</v>
      </c>
      <c r="K57" s="11" t="s">
        <v>18</v>
      </c>
      <c r="L57" s="11">
        <v>22</v>
      </c>
      <c r="M57" s="11" t="s">
        <v>18</v>
      </c>
      <c r="N57" s="11">
        <v>1</v>
      </c>
    </row>
    <row r="58" spans="1:14" ht="20.25" x14ac:dyDescent="0.25">
      <c r="A58" s="9">
        <v>3</v>
      </c>
      <c r="B58" s="9" t="s">
        <v>110</v>
      </c>
      <c r="C58" s="11" t="s">
        <v>60</v>
      </c>
      <c r="D58" s="11">
        <v>309</v>
      </c>
      <c r="E58" s="11" t="s">
        <v>18</v>
      </c>
      <c r="F58" s="11">
        <v>309</v>
      </c>
      <c r="G58" s="11">
        <v>24457800</v>
      </c>
      <c r="H58" s="11">
        <v>146339200</v>
      </c>
      <c r="I58" s="11">
        <v>1</v>
      </c>
      <c r="J58" s="11">
        <v>10</v>
      </c>
      <c r="K58" s="11">
        <v>30</v>
      </c>
      <c r="L58" s="11" t="s">
        <v>18</v>
      </c>
      <c r="M58" s="11">
        <v>1</v>
      </c>
      <c r="N58" s="11">
        <v>2</v>
      </c>
    </row>
    <row r="59" spans="1:14" ht="20.25" x14ac:dyDescent="0.25">
      <c r="A59" s="9">
        <v>4</v>
      </c>
      <c r="B59" s="9" t="s">
        <v>111</v>
      </c>
      <c r="C59" s="11" t="s">
        <v>60</v>
      </c>
      <c r="D59" s="11">
        <v>446</v>
      </c>
      <c r="E59" s="11" t="s">
        <v>18</v>
      </c>
      <c r="F59" s="11">
        <v>446</v>
      </c>
      <c r="G59" s="11">
        <v>26522750</v>
      </c>
      <c r="H59" s="11">
        <v>309075850</v>
      </c>
      <c r="I59" s="11">
        <v>3</v>
      </c>
      <c r="J59" s="11">
        <v>5</v>
      </c>
      <c r="K59" s="11">
        <v>21</v>
      </c>
      <c r="L59" s="11" t="s">
        <v>18</v>
      </c>
      <c r="M59" s="11">
        <v>1</v>
      </c>
      <c r="N59" s="11">
        <v>4</v>
      </c>
    </row>
    <row r="60" spans="1:14" ht="20.25" x14ac:dyDescent="0.25">
      <c r="A60" s="9">
        <v>5</v>
      </c>
      <c r="B60" s="9" t="s">
        <v>112</v>
      </c>
      <c r="C60" s="11" t="s">
        <v>60</v>
      </c>
      <c r="D60" s="11">
        <v>724</v>
      </c>
      <c r="E60" s="11">
        <v>2</v>
      </c>
      <c r="F60" s="11">
        <v>722</v>
      </c>
      <c r="G60" s="11">
        <v>57840400</v>
      </c>
      <c r="H60" s="11">
        <v>156533100</v>
      </c>
      <c r="I60" s="11" t="s">
        <v>18</v>
      </c>
      <c r="J60" s="11">
        <v>3</v>
      </c>
      <c r="K60" s="11">
        <v>1</v>
      </c>
      <c r="L60" s="11">
        <v>10</v>
      </c>
      <c r="M60" s="11">
        <v>1</v>
      </c>
      <c r="N60" s="11">
        <v>30</v>
      </c>
    </row>
    <row r="61" spans="1:14" ht="20.25" x14ac:dyDescent="0.25">
      <c r="A61" s="9">
        <v>6</v>
      </c>
      <c r="B61" s="9" t="s">
        <v>113</v>
      </c>
      <c r="C61" s="11" t="s">
        <v>60</v>
      </c>
      <c r="D61" s="11">
        <v>127</v>
      </c>
      <c r="E61" s="11" t="s">
        <v>18</v>
      </c>
      <c r="F61" s="11">
        <v>127</v>
      </c>
      <c r="G61" s="11">
        <v>8752600</v>
      </c>
      <c r="H61" s="11">
        <v>41073500</v>
      </c>
      <c r="I61" s="11" t="s">
        <v>18</v>
      </c>
      <c r="J61" s="11" t="s">
        <v>18</v>
      </c>
      <c r="K61" s="11">
        <v>8</v>
      </c>
      <c r="L61" s="11" t="s">
        <v>18</v>
      </c>
      <c r="M61" s="11">
        <v>4</v>
      </c>
      <c r="N61" s="11" t="s">
        <v>18</v>
      </c>
    </row>
    <row r="62" spans="1:14" ht="20.25" x14ac:dyDescent="0.25">
      <c r="A62" s="9">
        <v>7</v>
      </c>
      <c r="B62" s="9" t="s">
        <v>114</v>
      </c>
      <c r="C62" s="11" t="s">
        <v>60</v>
      </c>
      <c r="D62" s="11">
        <v>72</v>
      </c>
      <c r="E62" s="11">
        <v>1</v>
      </c>
      <c r="F62" s="11">
        <v>71</v>
      </c>
      <c r="G62" s="11">
        <v>5997000</v>
      </c>
      <c r="H62" s="11">
        <v>42315800</v>
      </c>
      <c r="I62" s="11" t="s">
        <v>18</v>
      </c>
      <c r="J62" s="11">
        <v>4</v>
      </c>
      <c r="K62" s="11">
        <v>34</v>
      </c>
      <c r="L62" s="11">
        <v>1</v>
      </c>
      <c r="M62" s="11" t="s">
        <v>18</v>
      </c>
      <c r="N62" s="11" t="s">
        <v>18</v>
      </c>
    </row>
    <row r="63" spans="1:14" ht="40.5" x14ac:dyDescent="0.25">
      <c r="A63" s="9">
        <v>8</v>
      </c>
      <c r="B63" s="9" t="s">
        <v>115</v>
      </c>
      <c r="C63" s="11" t="s">
        <v>60</v>
      </c>
      <c r="D63" s="11">
        <v>73</v>
      </c>
      <c r="E63" s="11" t="s">
        <v>18</v>
      </c>
      <c r="F63" s="11">
        <v>73</v>
      </c>
      <c r="G63" s="11">
        <v>6813200</v>
      </c>
      <c r="H63" s="11">
        <v>27844800</v>
      </c>
      <c r="I63" s="11" t="s">
        <v>18</v>
      </c>
      <c r="J63" s="11" t="s">
        <v>18</v>
      </c>
      <c r="K63" s="11">
        <v>5</v>
      </c>
      <c r="L63" s="11" t="s">
        <v>18</v>
      </c>
      <c r="M63" s="11" t="s">
        <v>18</v>
      </c>
      <c r="N63" s="11" t="s">
        <v>18</v>
      </c>
    </row>
    <row r="64" spans="1:14" ht="40.5" x14ac:dyDescent="0.25">
      <c r="A64" s="9">
        <v>9</v>
      </c>
      <c r="B64" s="9" t="s">
        <v>116</v>
      </c>
      <c r="C64" s="11" t="s">
        <v>60</v>
      </c>
      <c r="D64" s="11">
        <v>66</v>
      </c>
      <c r="E64" s="11" t="s">
        <v>18</v>
      </c>
      <c r="F64" s="11">
        <v>66</v>
      </c>
      <c r="G64" s="11">
        <v>6622700</v>
      </c>
      <c r="H64" s="11">
        <v>22578300</v>
      </c>
      <c r="I64" s="11" t="s">
        <v>18</v>
      </c>
      <c r="J64" s="11" t="s">
        <v>18</v>
      </c>
      <c r="K64" s="11">
        <v>14</v>
      </c>
      <c r="L64" s="11" t="s">
        <v>18</v>
      </c>
      <c r="M64" s="11" t="s">
        <v>18</v>
      </c>
      <c r="N64" s="11">
        <v>2</v>
      </c>
    </row>
    <row r="65" spans="1:14" ht="40.5" x14ac:dyDescent="0.25">
      <c r="A65" s="9">
        <v>10</v>
      </c>
      <c r="B65" s="9" t="s">
        <v>117</v>
      </c>
      <c r="C65" s="11" t="s">
        <v>60</v>
      </c>
      <c r="D65" s="11">
        <v>128</v>
      </c>
      <c r="E65" s="11" t="s">
        <v>18</v>
      </c>
      <c r="F65" s="11">
        <v>128</v>
      </c>
      <c r="G65" s="11">
        <v>28532485</v>
      </c>
      <c r="H65" s="11">
        <v>65678987</v>
      </c>
      <c r="I65" s="11" t="s">
        <v>18</v>
      </c>
      <c r="J65" s="11" t="s">
        <v>18</v>
      </c>
      <c r="K65" s="11">
        <v>8</v>
      </c>
      <c r="L65" s="11">
        <v>20</v>
      </c>
      <c r="M65" s="11" t="s">
        <v>18</v>
      </c>
      <c r="N65" s="11" t="s">
        <v>18</v>
      </c>
    </row>
    <row r="66" spans="1:14" ht="40.5" x14ac:dyDescent="0.25">
      <c r="A66" s="9">
        <v>11</v>
      </c>
      <c r="B66" s="9" t="s">
        <v>118</v>
      </c>
      <c r="C66" s="11" t="s">
        <v>60</v>
      </c>
      <c r="D66" s="11">
        <v>149</v>
      </c>
      <c r="E66" s="11" t="s">
        <v>18</v>
      </c>
      <c r="F66" s="11">
        <v>149</v>
      </c>
      <c r="G66" s="11">
        <v>22495200</v>
      </c>
      <c r="H66" s="11">
        <v>72535300</v>
      </c>
      <c r="I66" s="11" t="s">
        <v>18</v>
      </c>
      <c r="J66" s="11" t="s">
        <v>18</v>
      </c>
      <c r="K66" s="11" t="s">
        <v>18</v>
      </c>
      <c r="L66" s="11" t="s">
        <v>18</v>
      </c>
      <c r="M66" s="11" t="s">
        <v>18</v>
      </c>
      <c r="N66" s="11" t="s">
        <v>18</v>
      </c>
    </row>
    <row r="67" spans="1:14" ht="40.5" x14ac:dyDescent="0.25">
      <c r="A67" s="9">
        <v>12</v>
      </c>
      <c r="B67" s="9" t="s">
        <v>119</v>
      </c>
      <c r="C67" s="11" t="s">
        <v>60</v>
      </c>
      <c r="D67" s="11">
        <v>130</v>
      </c>
      <c r="E67" s="11" t="s">
        <v>18</v>
      </c>
      <c r="F67" s="11">
        <v>130</v>
      </c>
      <c r="G67" s="11">
        <v>13493200</v>
      </c>
      <c r="H67" s="11">
        <v>66230800</v>
      </c>
      <c r="I67" s="11">
        <v>1</v>
      </c>
      <c r="J67" s="11">
        <v>1</v>
      </c>
      <c r="K67" s="11">
        <v>14</v>
      </c>
      <c r="L67" s="11">
        <v>28</v>
      </c>
      <c r="M67" s="11">
        <v>2</v>
      </c>
      <c r="N67" s="11" t="s">
        <v>18</v>
      </c>
    </row>
    <row r="68" spans="1:14" ht="20.25" x14ac:dyDescent="0.25">
      <c r="A68" s="9"/>
      <c r="B68" s="9" t="s">
        <v>102</v>
      </c>
      <c r="C68" s="11" t="s">
        <v>60</v>
      </c>
      <c r="D68" s="11">
        <f t="shared" ref="D68:M68" si="2">SUM(D56:D67)</f>
        <v>2483</v>
      </c>
      <c r="E68" s="11">
        <f t="shared" si="2"/>
        <v>3</v>
      </c>
      <c r="F68" s="11">
        <f t="shared" si="2"/>
        <v>2480</v>
      </c>
      <c r="G68" s="11">
        <f t="shared" si="2"/>
        <v>224589545</v>
      </c>
      <c r="H68" s="11">
        <f t="shared" si="2"/>
        <v>1073612627</v>
      </c>
      <c r="I68" s="11">
        <f t="shared" si="2"/>
        <v>6</v>
      </c>
      <c r="J68" s="11">
        <f t="shared" si="2"/>
        <v>28</v>
      </c>
      <c r="K68" s="11">
        <f t="shared" si="2"/>
        <v>137</v>
      </c>
      <c r="L68" s="11">
        <f t="shared" si="2"/>
        <v>81</v>
      </c>
      <c r="M68" s="11">
        <f t="shared" si="2"/>
        <v>12</v>
      </c>
      <c r="N68" s="11">
        <f>SUM(N56:N67)</f>
        <v>41</v>
      </c>
    </row>
    <row r="69" spans="1:14" ht="20.25" x14ac:dyDescent="0.25">
      <c r="A69" s="9"/>
      <c r="B69" s="9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21" customHeight="1" x14ac:dyDescent="0.25">
      <c r="A70" s="1"/>
      <c r="B70" s="586" t="s">
        <v>120</v>
      </c>
      <c r="C70" s="587"/>
      <c r="D70" s="587"/>
      <c r="E70" s="587"/>
      <c r="F70" s="587"/>
      <c r="G70" s="587"/>
      <c r="H70" s="587"/>
      <c r="I70" s="587"/>
      <c r="J70" s="587"/>
      <c r="K70" s="587"/>
      <c r="L70" s="587"/>
      <c r="M70" s="587"/>
      <c r="N70" s="588"/>
    </row>
    <row r="71" spans="1:14" ht="40.5" x14ac:dyDescent="0.25">
      <c r="A71" s="1"/>
      <c r="B71" s="10" t="s">
        <v>121</v>
      </c>
      <c r="C71" s="5" t="s">
        <v>92</v>
      </c>
      <c r="D71" s="5" t="s">
        <v>93</v>
      </c>
      <c r="E71" s="5" t="s">
        <v>94</v>
      </c>
      <c r="F71" s="5" t="s">
        <v>95</v>
      </c>
      <c r="G71" s="5" t="s">
        <v>105</v>
      </c>
      <c r="H71" s="5" t="s">
        <v>106</v>
      </c>
      <c r="I71" s="5" t="s">
        <v>107</v>
      </c>
      <c r="J71" s="5" t="s">
        <v>99</v>
      </c>
      <c r="K71" s="5" t="s">
        <v>107</v>
      </c>
      <c r="L71" s="5" t="s">
        <v>99</v>
      </c>
      <c r="M71" s="5" t="s">
        <v>107</v>
      </c>
      <c r="N71" s="5" t="s">
        <v>99</v>
      </c>
    </row>
    <row r="72" spans="1:14" ht="20.25" x14ac:dyDescent="0.25">
      <c r="A72" s="9"/>
      <c r="B72" s="9">
        <v>1</v>
      </c>
      <c r="C72" s="11">
        <v>2018</v>
      </c>
      <c r="D72" s="11">
        <v>2483</v>
      </c>
      <c r="E72" s="11">
        <v>3</v>
      </c>
      <c r="F72" s="11">
        <v>2480</v>
      </c>
      <c r="G72" s="11" t="s">
        <v>100</v>
      </c>
      <c r="H72" s="11" t="s">
        <v>101</v>
      </c>
      <c r="I72" s="11">
        <v>6</v>
      </c>
      <c r="J72" s="11">
        <v>28</v>
      </c>
      <c r="K72" s="11">
        <v>137</v>
      </c>
      <c r="L72" s="11">
        <v>81</v>
      </c>
      <c r="M72" s="11">
        <v>12</v>
      </c>
      <c r="N72" s="11">
        <v>41</v>
      </c>
    </row>
    <row r="73" spans="1:14" ht="20.25" x14ac:dyDescent="0.25">
      <c r="A73" s="1"/>
      <c r="B73" s="1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</row>
    <row r="74" spans="1:14" ht="20.25" x14ac:dyDescent="0.25">
      <c r="A74" s="1"/>
      <c r="B74" s="1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</row>
    <row r="75" spans="1:14" ht="26.25" customHeight="1" x14ac:dyDescent="0.25">
      <c r="A75" s="1"/>
      <c r="B75" s="543" t="s">
        <v>122</v>
      </c>
      <c r="C75" s="543"/>
      <c r="D75" s="543"/>
      <c r="E75" s="543"/>
      <c r="F75" s="543"/>
      <c r="G75" s="543"/>
      <c r="H75" s="543"/>
      <c r="I75" s="543"/>
      <c r="J75" s="543"/>
      <c r="K75" s="543"/>
      <c r="L75" s="543"/>
      <c r="M75" s="543"/>
      <c r="N75" s="13"/>
    </row>
    <row r="76" spans="1:14" ht="20.25" x14ac:dyDescent="0.25">
      <c r="A76" s="543" t="s">
        <v>0</v>
      </c>
      <c r="B76" s="543" t="s">
        <v>1</v>
      </c>
      <c r="C76" s="480" t="s">
        <v>2</v>
      </c>
      <c r="D76" s="480" t="s">
        <v>3</v>
      </c>
      <c r="E76" s="480" t="s">
        <v>4</v>
      </c>
      <c r="F76" s="480" t="s">
        <v>5</v>
      </c>
      <c r="G76" s="480" t="s">
        <v>62</v>
      </c>
      <c r="H76" s="480" t="s">
        <v>11</v>
      </c>
      <c r="I76" s="480"/>
      <c r="J76" s="480" t="s">
        <v>12</v>
      </c>
      <c r="K76" s="480"/>
      <c r="L76" s="480" t="s">
        <v>13</v>
      </c>
      <c r="M76" s="480"/>
      <c r="N76" s="13"/>
    </row>
    <row r="77" spans="1:14" ht="20.25" x14ac:dyDescent="0.25">
      <c r="A77" s="543"/>
      <c r="B77" s="543"/>
      <c r="C77" s="480"/>
      <c r="D77" s="480"/>
      <c r="E77" s="480"/>
      <c r="F77" s="480"/>
      <c r="G77" s="480"/>
      <c r="H77" s="13" t="s">
        <v>14</v>
      </c>
      <c r="I77" s="13" t="s">
        <v>15</v>
      </c>
      <c r="J77" s="13" t="s">
        <v>14</v>
      </c>
      <c r="K77" s="13" t="s">
        <v>15</v>
      </c>
      <c r="L77" s="13" t="s">
        <v>14</v>
      </c>
      <c r="M77" s="13" t="s">
        <v>15</v>
      </c>
      <c r="N77" s="13"/>
    </row>
    <row r="78" spans="1:14" ht="40.5" x14ac:dyDescent="0.25">
      <c r="A78" s="9">
        <v>1</v>
      </c>
      <c r="B78" s="9" t="s">
        <v>123</v>
      </c>
      <c r="C78" s="11" t="s">
        <v>60</v>
      </c>
      <c r="D78" s="11">
        <v>5</v>
      </c>
      <c r="E78" s="11" t="s">
        <v>18</v>
      </c>
      <c r="F78" s="11">
        <v>5</v>
      </c>
      <c r="G78" s="11"/>
      <c r="H78" s="11">
        <v>4</v>
      </c>
      <c r="I78" s="11" t="s">
        <v>18</v>
      </c>
      <c r="J78" s="11">
        <v>14</v>
      </c>
      <c r="K78" s="11">
        <v>1</v>
      </c>
      <c r="L78" s="11" t="s">
        <v>18</v>
      </c>
      <c r="M78" s="11" t="s">
        <v>18</v>
      </c>
      <c r="N78" s="11"/>
    </row>
    <row r="79" spans="1:14" ht="40.5" x14ac:dyDescent="0.25">
      <c r="A79" s="9">
        <v>2</v>
      </c>
      <c r="B79" s="9" t="s">
        <v>124</v>
      </c>
      <c r="C79" s="11" t="s">
        <v>60</v>
      </c>
      <c r="D79" s="11">
        <v>22</v>
      </c>
      <c r="E79" s="11" t="s">
        <v>18</v>
      </c>
      <c r="F79" s="11">
        <v>30</v>
      </c>
      <c r="G79" s="11"/>
      <c r="H79" s="11">
        <v>23</v>
      </c>
      <c r="I79" s="11" t="s">
        <v>18</v>
      </c>
      <c r="J79" s="11">
        <v>18</v>
      </c>
      <c r="K79" s="11" t="s">
        <v>18</v>
      </c>
      <c r="L79" s="11" t="s">
        <v>18</v>
      </c>
      <c r="M79" s="11" t="s">
        <v>18</v>
      </c>
      <c r="N79" s="11"/>
    </row>
    <row r="80" spans="1:14" ht="60.75" x14ac:dyDescent="0.25">
      <c r="A80" s="9">
        <v>3</v>
      </c>
      <c r="B80" s="9" t="s">
        <v>21</v>
      </c>
      <c r="C80" s="11" t="s">
        <v>60</v>
      </c>
      <c r="D80" s="11">
        <v>41</v>
      </c>
      <c r="E80" s="11" t="s">
        <v>18</v>
      </c>
      <c r="F80" s="11">
        <v>41</v>
      </c>
      <c r="G80" s="11"/>
      <c r="H80" s="11">
        <v>7</v>
      </c>
      <c r="I80" s="11" t="s">
        <v>18</v>
      </c>
      <c r="J80" s="11">
        <v>27</v>
      </c>
      <c r="K80" s="11" t="s">
        <v>18</v>
      </c>
      <c r="L80" s="11" t="s">
        <v>18</v>
      </c>
      <c r="M80" s="11" t="s">
        <v>18</v>
      </c>
      <c r="N80" s="11"/>
    </row>
    <row r="81" spans="1:14" ht="40.5" x14ac:dyDescent="0.25">
      <c r="A81" s="9">
        <v>4</v>
      </c>
      <c r="B81" s="9" t="s">
        <v>125</v>
      </c>
      <c r="C81" s="11"/>
      <c r="D81" s="11">
        <v>37</v>
      </c>
      <c r="E81" s="11"/>
      <c r="F81" s="11">
        <v>37</v>
      </c>
      <c r="G81" s="11"/>
      <c r="H81" s="11">
        <v>71</v>
      </c>
      <c r="I81" s="11"/>
      <c r="J81" s="11">
        <v>196</v>
      </c>
      <c r="K81" s="11">
        <v>5</v>
      </c>
      <c r="L81" s="11"/>
      <c r="M81" s="11"/>
      <c r="N81" s="11"/>
    </row>
    <row r="82" spans="1:14" ht="20.25" x14ac:dyDescent="0.25">
      <c r="A82" s="9">
        <v>5</v>
      </c>
      <c r="B82" s="9" t="s">
        <v>126</v>
      </c>
      <c r="C82" s="11"/>
      <c r="D82" s="11">
        <v>44</v>
      </c>
      <c r="E82" s="11" t="s">
        <v>18</v>
      </c>
      <c r="F82" s="11">
        <v>44</v>
      </c>
      <c r="G82" s="11"/>
      <c r="H82" s="11">
        <v>32</v>
      </c>
      <c r="I82" s="11" t="s">
        <v>18</v>
      </c>
      <c r="J82" s="11">
        <v>142</v>
      </c>
      <c r="K82" s="11">
        <v>12</v>
      </c>
      <c r="L82" s="11" t="s">
        <v>18</v>
      </c>
      <c r="M82" s="11" t="s">
        <v>18</v>
      </c>
      <c r="N82" s="11"/>
    </row>
    <row r="83" spans="1:14" ht="40.5" x14ac:dyDescent="0.25">
      <c r="A83" s="9">
        <v>6</v>
      </c>
      <c r="B83" s="9" t="s">
        <v>28</v>
      </c>
      <c r="C83" s="11"/>
      <c r="D83" s="11">
        <v>17</v>
      </c>
      <c r="E83" s="11" t="s">
        <v>18</v>
      </c>
      <c r="F83" s="11">
        <v>17</v>
      </c>
      <c r="G83" s="11"/>
      <c r="H83" s="11">
        <v>1</v>
      </c>
      <c r="I83" s="11" t="s">
        <v>18</v>
      </c>
      <c r="J83" s="11">
        <v>14</v>
      </c>
      <c r="K83" s="11">
        <v>8</v>
      </c>
      <c r="L83" s="11" t="s">
        <v>18</v>
      </c>
      <c r="M83" s="11" t="s">
        <v>18</v>
      </c>
      <c r="N83" s="11"/>
    </row>
    <row r="84" spans="1:14" ht="40.5" x14ac:dyDescent="0.25">
      <c r="A84" s="9">
        <v>7</v>
      </c>
      <c r="B84" s="9" t="s">
        <v>127</v>
      </c>
      <c r="C84" s="11"/>
      <c r="D84" s="11">
        <v>56</v>
      </c>
      <c r="E84" s="11" t="s">
        <v>18</v>
      </c>
      <c r="F84" s="11">
        <v>56</v>
      </c>
      <c r="G84" s="11"/>
      <c r="H84" s="11">
        <v>25</v>
      </c>
      <c r="I84" s="11" t="s">
        <v>18</v>
      </c>
      <c r="J84" s="11">
        <v>92</v>
      </c>
      <c r="K84" s="11">
        <v>10</v>
      </c>
      <c r="L84" s="11" t="s">
        <v>18</v>
      </c>
      <c r="M84" s="11" t="s">
        <v>18</v>
      </c>
      <c r="N84" s="11"/>
    </row>
    <row r="85" spans="1:14" ht="40.5" x14ac:dyDescent="0.25">
      <c r="A85" s="9">
        <v>8</v>
      </c>
      <c r="B85" s="9" t="s">
        <v>38</v>
      </c>
      <c r="C85" s="11"/>
      <c r="D85" s="11">
        <v>17</v>
      </c>
      <c r="E85" s="11" t="s">
        <v>18</v>
      </c>
      <c r="F85" s="11">
        <v>17</v>
      </c>
      <c r="G85" s="11"/>
      <c r="H85" s="11">
        <v>6</v>
      </c>
      <c r="I85" s="11" t="s">
        <v>18</v>
      </c>
      <c r="J85" s="11">
        <v>14</v>
      </c>
      <c r="K85" s="11" t="s">
        <v>18</v>
      </c>
      <c r="L85" s="11" t="s">
        <v>18</v>
      </c>
      <c r="M85" s="11" t="s">
        <v>18</v>
      </c>
      <c r="N85" s="11"/>
    </row>
    <row r="86" spans="1:14" ht="40.5" x14ac:dyDescent="0.25">
      <c r="A86" s="9">
        <v>9</v>
      </c>
      <c r="B86" s="9" t="s">
        <v>88</v>
      </c>
      <c r="C86" s="11"/>
      <c r="D86" s="11">
        <v>19</v>
      </c>
      <c r="E86" s="11" t="s">
        <v>18</v>
      </c>
      <c r="F86" s="11">
        <v>19</v>
      </c>
      <c r="G86" s="11"/>
      <c r="H86" s="11">
        <v>7</v>
      </c>
      <c r="I86" s="11" t="s">
        <v>18</v>
      </c>
      <c r="J86" s="11">
        <v>18</v>
      </c>
      <c r="K86" s="11" t="s">
        <v>18</v>
      </c>
      <c r="L86" s="11"/>
      <c r="M86" s="11" t="s">
        <v>18</v>
      </c>
      <c r="N86" s="11"/>
    </row>
    <row r="87" spans="1:14" ht="40.5" x14ac:dyDescent="0.25">
      <c r="A87" s="9">
        <v>10</v>
      </c>
      <c r="B87" s="9" t="s">
        <v>89</v>
      </c>
      <c r="C87" s="11"/>
      <c r="D87" s="11">
        <v>53</v>
      </c>
      <c r="E87" s="11" t="s">
        <v>18</v>
      </c>
      <c r="F87" s="11">
        <v>53</v>
      </c>
      <c r="G87" s="11"/>
      <c r="H87" s="11">
        <v>38</v>
      </c>
      <c r="I87" s="11" t="s">
        <v>18</v>
      </c>
      <c r="J87" s="11">
        <v>89</v>
      </c>
      <c r="K87" s="11" t="s">
        <v>18</v>
      </c>
      <c r="L87" s="11" t="s">
        <v>18</v>
      </c>
      <c r="M87" s="11" t="s">
        <v>18</v>
      </c>
      <c r="N87" s="11"/>
    </row>
    <row r="88" spans="1:14" ht="40.5" x14ac:dyDescent="0.25">
      <c r="A88" s="9">
        <v>11</v>
      </c>
      <c r="B88" s="9" t="s">
        <v>46</v>
      </c>
      <c r="C88" s="11"/>
      <c r="D88" s="11">
        <v>9</v>
      </c>
      <c r="E88" s="11" t="s">
        <v>18</v>
      </c>
      <c r="F88" s="11">
        <v>9</v>
      </c>
      <c r="G88" s="11"/>
      <c r="H88" s="11">
        <v>4</v>
      </c>
      <c r="I88" s="11" t="s">
        <v>18</v>
      </c>
      <c r="J88" s="11">
        <v>7</v>
      </c>
      <c r="K88" s="11" t="s">
        <v>18</v>
      </c>
      <c r="L88" s="11" t="s">
        <v>18</v>
      </c>
      <c r="M88" s="11" t="s">
        <v>18</v>
      </c>
      <c r="N88" s="11"/>
    </row>
    <row r="89" spans="1:14" ht="40.5" x14ac:dyDescent="0.25">
      <c r="A89" s="9">
        <v>12</v>
      </c>
      <c r="B89" s="9" t="s">
        <v>91</v>
      </c>
      <c r="C89" s="11"/>
      <c r="D89" s="11">
        <v>61</v>
      </c>
      <c r="E89" s="11" t="s">
        <v>18</v>
      </c>
      <c r="F89" s="11">
        <v>61</v>
      </c>
      <c r="G89" s="11"/>
      <c r="H89" s="11">
        <v>50</v>
      </c>
      <c r="I89" s="11" t="s">
        <v>18</v>
      </c>
      <c r="J89" s="11">
        <v>69</v>
      </c>
      <c r="K89" s="11">
        <v>8</v>
      </c>
      <c r="L89" s="11" t="s">
        <v>18</v>
      </c>
      <c r="M89" s="11" t="s">
        <v>18</v>
      </c>
      <c r="N89" s="11"/>
    </row>
    <row r="90" spans="1:14" ht="60.75" x14ac:dyDescent="0.25">
      <c r="A90" s="9">
        <v>13</v>
      </c>
      <c r="B90" s="9" t="s">
        <v>52</v>
      </c>
      <c r="C90" s="11"/>
      <c r="D90" s="11">
        <v>15</v>
      </c>
      <c r="E90" s="11" t="s">
        <v>18</v>
      </c>
      <c r="F90" s="11">
        <v>15</v>
      </c>
      <c r="G90" s="11"/>
      <c r="H90" s="11">
        <v>3</v>
      </c>
      <c r="I90" s="11" t="s">
        <v>18</v>
      </c>
      <c r="J90" s="11">
        <v>607</v>
      </c>
      <c r="K90" s="11">
        <v>200</v>
      </c>
      <c r="L90" s="11" t="s">
        <v>18</v>
      </c>
      <c r="M90" s="11" t="s">
        <v>18</v>
      </c>
      <c r="N90" s="11"/>
    </row>
    <row r="91" spans="1:14" ht="20.25" x14ac:dyDescent="0.25">
      <c r="A91" s="9"/>
      <c r="B91" s="9" t="s">
        <v>60</v>
      </c>
      <c r="C91" s="11"/>
      <c r="D91" s="11">
        <f>SUM(D78:D90)</f>
        <v>396</v>
      </c>
      <c r="E91" s="11"/>
      <c r="F91" s="11">
        <f>SUM(F78:F90)</f>
        <v>404</v>
      </c>
      <c r="G91" s="11"/>
      <c r="H91" s="11">
        <f>SUM(H78:H90)</f>
        <v>271</v>
      </c>
      <c r="I91" s="11"/>
      <c r="J91" s="11">
        <f>SUM(J78:J90)</f>
        <v>1307</v>
      </c>
      <c r="K91" s="11">
        <f>SUM(K78:K90)</f>
        <v>244</v>
      </c>
      <c r="L91" s="11" t="s">
        <v>18</v>
      </c>
      <c r="M91" s="11"/>
      <c r="N91" s="11"/>
    </row>
    <row r="92" spans="1:14" ht="20.25" x14ac:dyDescent="0.25">
      <c r="A92" s="16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</row>
    <row r="93" spans="1:14" ht="20.25" x14ac:dyDescent="0.25">
      <c r="A93" s="16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</row>
    <row r="94" spans="1:14" ht="20.25" x14ac:dyDescent="0.25">
      <c r="A94" s="16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</row>
    <row r="95" spans="1:14" ht="20.25" x14ac:dyDescent="0.25">
      <c r="A95" s="16"/>
      <c r="B95" s="16"/>
      <c r="C95" s="17"/>
      <c r="D95" s="17"/>
      <c r="E95" s="17"/>
      <c r="F95" s="17"/>
      <c r="G95" s="17"/>
      <c r="H95" s="17" t="s">
        <v>128</v>
      </c>
      <c r="I95" s="17"/>
      <c r="J95" s="17"/>
      <c r="K95" s="17"/>
      <c r="L95" s="17"/>
      <c r="M95" s="17"/>
      <c r="N95" s="17"/>
    </row>
    <row r="96" spans="1:14" ht="20.25" x14ac:dyDescent="0.25">
      <c r="A96" s="16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</row>
    <row r="97" spans="1:14" ht="22.9" customHeight="1" x14ac:dyDescent="0.25">
      <c r="A97" s="583" t="s">
        <v>129</v>
      </c>
      <c r="B97" s="584"/>
      <c r="C97" s="584"/>
      <c r="D97" s="584"/>
      <c r="E97" s="584"/>
      <c r="F97" s="584"/>
      <c r="G97" s="584"/>
      <c r="H97" s="584"/>
      <c r="I97" s="584"/>
      <c r="J97" s="584"/>
      <c r="K97" s="584"/>
      <c r="L97" s="584"/>
      <c r="M97" s="584"/>
      <c r="N97" s="585"/>
    </row>
    <row r="98" spans="1:14" ht="21" customHeight="1" x14ac:dyDescent="0.25">
      <c r="A98" s="571" t="s">
        <v>0</v>
      </c>
      <c r="B98" s="571" t="s">
        <v>1</v>
      </c>
      <c r="C98" s="557" t="s">
        <v>2</v>
      </c>
      <c r="D98" s="557" t="s">
        <v>3</v>
      </c>
      <c r="E98" s="557" t="s">
        <v>4</v>
      </c>
      <c r="F98" s="557" t="s">
        <v>5</v>
      </c>
      <c r="G98" s="557" t="s">
        <v>9</v>
      </c>
      <c r="H98" s="557" t="s">
        <v>10</v>
      </c>
      <c r="I98" s="557" t="s">
        <v>11</v>
      </c>
      <c r="J98" s="557"/>
      <c r="K98" s="557" t="s">
        <v>12</v>
      </c>
      <c r="L98" s="557"/>
      <c r="M98" s="566" t="s">
        <v>13</v>
      </c>
      <c r="N98" s="567"/>
    </row>
    <row r="99" spans="1:14" ht="20.25" x14ac:dyDescent="0.25">
      <c r="A99" s="571"/>
      <c r="B99" s="571"/>
      <c r="C99" s="557"/>
      <c r="D99" s="557"/>
      <c r="E99" s="557"/>
      <c r="F99" s="557"/>
      <c r="G99" s="557"/>
      <c r="H99" s="557"/>
      <c r="I99" s="5" t="s">
        <v>14</v>
      </c>
      <c r="J99" s="5" t="s">
        <v>15</v>
      </c>
      <c r="K99" s="5" t="s">
        <v>14</v>
      </c>
      <c r="L99" s="5" t="s">
        <v>15</v>
      </c>
      <c r="M99" s="5" t="s">
        <v>14</v>
      </c>
      <c r="N99" s="5" t="s">
        <v>15</v>
      </c>
    </row>
    <row r="100" spans="1:14" ht="40.5" x14ac:dyDescent="0.25">
      <c r="A100" s="9">
        <v>1</v>
      </c>
      <c r="B100" s="9" t="s">
        <v>108</v>
      </c>
      <c r="C100" s="11" t="s">
        <v>60</v>
      </c>
      <c r="D100" s="11">
        <v>122</v>
      </c>
      <c r="E100" s="11"/>
      <c r="F100" s="11">
        <v>122</v>
      </c>
      <c r="G100" s="11">
        <v>14831038</v>
      </c>
      <c r="H100" s="11">
        <v>55843862</v>
      </c>
      <c r="I100" s="11" t="s">
        <v>18</v>
      </c>
      <c r="J100" s="11" t="s">
        <v>18</v>
      </c>
      <c r="K100" s="11">
        <v>78</v>
      </c>
      <c r="L100" s="11">
        <v>66</v>
      </c>
      <c r="M100" s="11"/>
      <c r="N100" s="11"/>
    </row>
    <row r="101" spans="1:14" ht="40.5" x14ac:dyDescent="0.25">
      <c r="A101" s="9">
        <v>2</v>
      </c>
      <c r="B101" s="9" t="s">
        <v>109</v>
      </c>
      <c r="C101" s="11" t="s">
        <v>60</v>
      </c>
      <c r="D101" s="11">
        <v>71</v>
      </c>
      <c r="E101" s="11"/>
      <c r="F101" s="11">
        <v>71</v>
      </c>
      <c r="G101" s="11">
        <v>11197000</v>
      </c>
      <c r="H101" s="11">
        <v>141419900</v>
      </c>
      <c r="I101" s="11">
        <v>1</v>
      </c>
      <c r="J101" s="11">
        <v>6</v>
      </c>
      <c r="K101" s="11">
        <v>2</v>
      </c>
      <c r="L101" s="11">
        <v>65</v>
      </c>
      <c r="M101" s="11"/>
      <c r="N101" s="11"/>
    </row>
    <row r="102" spans="1:14" ht="20.25" x14ac:dyDescent="0.25">
      <c r="A102" s="9">
        <v>3</v>
      </c>
      <c r="B102" s="9" t="s">
        <v>110</v>
      </c>
      <c r="C102" s="11" t="s">
        <v>60</v>
      </c>
      <c r="D102" s="11">
        <v>140</v>
      </c>
      <c r="E102" s="11"/>
      <c r="F102" s="11">
        <v>140</v>
      </c>
      <c r="G102" s="11">
        <v>14693000</v>
      </c>
      <c r="H102" s="11">
        <v>66155000</v>
      </c>
      <c r="I102" s="11"/>
      <c r="J102" s="11"/>
      <c r="K102" s="11">
        <v>25</v>
      </c>
      <c r="L102" s="11">
        <v>3</v>
      </c>
      <c r="M102" s="11">
        <v>1</v>
      </c>
      <c r="N102" s="11">
        <v>1</v>
      </c>
    </row>
    <row r="103" spans="1:14" ht="20.25" x14ac:dyDescent="0.25">
      <c r="A103" s="9">
        <v>4</v>
      </c>
      <c r="B103" s="9" t="s">
        <v>111</v>
      </c>
      <c r="C103" s="11" t="s">
        <v>60</v>
      </c>
      <c r="D103" s="11">
        <v>396</v>
      </c>
      <c r="E103" s="11"/>
      <c r="F103" s="11">
        <v>396</v>
      </c>
      <c r="G103" s="11">
        <v>28550000</v>
      </c>
      <c r="H103" s="11">
        <v>167653000</v>
      </c>
      <c r="I103" s="11" t="s">
        <v>18</v>
      </c>
      <c r="J103" s="11">
        <v>10</v>
      </c>
      <c r="K103" s="11">
        <v>8</v>
      </c>
      <c r="L103" s="11">
        <v>9</v>
      </c>
      <c r="M103" s="11">
        <v>2</v>
      </c>
      <c r="N103" s="11">
        <v>3</v>
      </c>
    </row>
    <row r="104" spans="1:14" ht="20.25" x14ac:dyDescent="0.25">
      <c r="A104" s="9">
        <v>5</v>
      </c>
      <c r="B104" s="9" t="s">
        <v>130</v>
      </c>
      <c r="C104" s="11" t="s">
        <v>60</v>
      </c>
      <c r="D104" s="11">
        <v>940</v>
      </c>
      <c r="E104" s="11">
        <v>1</v>
      </c>
      <c r="F104" s="11">
        <v>939</v>
      </c>
      <c r="G104" s="11">
        <v>42378443</v>
      </c>
      <c r="H104" s="11">
        <v>725559997</v>
      </c>
      <c r="I104" s="11">
        <v>2</v>
      </c>
      <c r="J104" s="11">
        <v>9</v>
      </c>
      <c r="K104" s="11">
        <v>39</v>
      </c>
      <c r="L104" s="11">
        <v>19</v>
      </c>
      <c r="M104" s="11">
        <v>3</v>
      </c>
      <c r="N104" s="11">
        <v>6</v>
      </c>
    </row>
    <row r="105" spans="1:14" ht="20.25" x14ac:dyDescent="0.25">
      <c r="A105" s="9">
        <v>6</v>
      </c>
      <c r="B105" s="9" t="s">
        <v>131</v>
      </c>
      <c r="C105" s="11" t="s">
        <v>60</v>
      </c>
      <c r="D105" s="11">
        <v>383</v>
      </c>
      <c r="E105" s="11"/>
      <c r="F105" s="11">
        <v>383</v>
      </c>
      <c r="G105" s="11">
        <v>15744494</v>
      </c>
      <c r="H105" s="11">
        <v>125593496</v>
      </c>
      <c r="I105" s="11"/>
      <c r="J105" s="11"/>
      <c r="K105" s="11">
        <v>9</v>
      </c>
      <c r="L105" s="11">
        <v>8</v>
      </c>
      <c r="M105" s="11">
        <v>4</v>
      </c>
      <c r="N105" s="11"/>
    </row>
    <row r="106" spans="1:14" ht="20.25" x14ac:dyDescent="0.25">
      <c r="A106" s="9">
        <v>7</v>
      </c>
      <c r="B106" s="9" t="s">
        <v>114</v>
      </c>
      <c r="C106" s="11"/>
      <c r="D106" s="11">
        <v>74</v>
      </c>
      <c r="E106" s="11"/>
      <c r="F106" s="11">
        <v>74</v>
      </c>
      <c r="G106" s="11">
        <v>5786285</v>
      </c>
      <c r="H106" s="11">
        <v>91435715</v>
      </c>
      <c r="I106" s="11"/>
      <c r="J106" s="11">
        <v>9</v>
      </c>
      <c r="K106" s="11">
        <v>1</v>
      </c>
      <c r="L106" s="11">
        <v>1</v>
      </c>
      <c r="M106" s="11">
        <v>1</v>
      </c>
      <c r="N106" s="11"/>
    </row>
    <row r="107" spans="1:14" ht="40.5" x14ac:dyDescent="0.25">
      <c r="A107" s="9">
        <v>8</v>
      </c>
      <c r="B107" s="9" t="s">
        <v>115</v>
      </c>
      <c r="C107" s="11"/>
      <c r="D107" s="11">
        <v>62</v>
      </c>
      <c r="E107" s="11"/>
      <c r="F107" s="11">
        <v>62</v>
      </c>
      <c r="G107" s="11">
        <v>8516150</v>
      </c>
      <c r="H107" s="11">
        <v>67693850</v>
      </c>
      <c r="I107" s="11"/>
      <c r="J107" s="11">
        <v>1</v>
      </c>
      <c r="K107" s="11"/>
      <c r="L107" s="11"/>
      <c r="M107" s="11"/>
      <c r="N107" s="11"/>
    </row>
    <row r="108" spans="1:14" ht="40.5" x14ac:dyDescent="0.25">
      <c r="A108" s="9">
        <v>9</v>
      </c>
      <c r="B108" s="9" t="s">
        <v>116</v>
      </c>
      <c r="C108" s="11"/>
      <c r="D108" s="11">
        <v>66</v>
      </c>
      <c r="E108" s="11"/>
      <c r="F108" s="11">
        <v>66</v>
      </c>
      <c r="G108" s="11">
        <v>5825200</v>
      </c>
      <c r="H108" s="11">
        <v>64195800</v>
      </c>
      <c r="I108" s="11"/>
      <c r="J108" s="11"/>
      <c r="K108" s="11">
        <v>2</v>
      </c>
      <c r="L108" s="11"/>
      <c r="M108" s="11"/>
      <c r="N108" s="11"/>
    </row>
    <row r="109" spans="1:14" ht="40.5" x14ac:dyDescent="0.25">
      <c r="A109" s="9">
        <v>10</v>
      </c>
      <c r="B109" s="9" t="s">
        <v>132</v>
      </c>
      <c r="C109" s="11"/>
      <c r="D109" s="11">
        <v>147</v>
      </c>
      <c r="E109" s="11" t="s">
        <v>133</v>
      </c>
      <c r="F109" s="11">
        <v>147</v>
      </c>
      <c r="G109" s="11">
        <v>7492605</v>
      </c>
      <c r="H109" s="11">
        <v>60398558</v>
      </c>
      <c r="I109" s="11"/>
      <c r="J109" s="11"/>
      <c r="K109" s="11">
        <v>7</v>
      </c>
      <c r="L109" s="11"/>
      <c r="M109" s="11">
        <v>4</v>
      </c>
      <c r="N109" s="11"/>
    </row>
    <row r="110" spans="1:14" ht="40.5" x14ac:dyDescent="0.25">
      <c r="A110" s="9">
        <v>11</v>
      </c>
      <c r="B110" s="9" t="s">
        <v>134</v>
      </c>
      <c r="C110" s="11"/>
      <c r="D110" s="11">
        <v>143</v>
      </c>
      <c r="E110" s="11"/>
      <c r="F110" s="11">
        <v>143</v>
      </c>
      <c r="G110" s="11">
        <v>11062305</v>
      </c>
      <c r="H110" s="11">
        <v>62931808</v>
      </c>
      <c r="I110" s="11"/>
      <c r="J110" s="11"/>
      <c r="K110" s="11">
        <v>4</v>
      </c>
      <c r="L110" s="11"/>
      <c r="M110" s="11">
        <v>1</v>
      </c>
      <c r="N110" s="11"/>
    </row>
    <row r="111" spans="1:14" ht="40.5" x14ac:dyDescent="0.25">
      <c r="A111" s="9">
        <v>12</v>
      </c>
      <c r="B111" s="9" t="s">
        <v>119</v>
      </c>
      <c r="C111" s="11"/>
      <c r="D111" s="11">
        <v>107</v>
      </c>
      <c r="E111" s="11"/>
      <c r="F111" s="11">
        <v>107</v>
      </c>
      <c r="G111" s="11">
        <v>7876000</v>
      </c>
      <c r="H111" s="11">
        <v>50271845</v>
      </c>
      <c r="I111" s="11">
        <v>2</v>
      </c>
      <c r="J111" s="11"/>
      <c r="K111" s="11">
        <v>16</v>
      </c>
      <c r="L111" s="11"/>
      <c r="M111" s="11"/>
      <c r="N111" s="11"/>
    </row>
    <row r="112" spans="1:14" ht="20.25" x14ac:dyDescent="0.25">
      <c r="A112" s="9"/>
      <c r="B112" s="9" t="s">
        <v>60</v>
      </c>
      <c r="C112" s="11"/>
      <c r="D112" s="11">
        <f t="shared" ref="D112:N112" si="3">SUM(D100:D111)</f>
        <v>2651</v>
      </c>
      <c r="E112" s="11">
        <f t="shared" si="3"/>
        <v>1</v>
      </c>
      <c r="F112" s="11">
        <f t="shared" si="3"/>
        <v>2650</v>
      </c>
      <c r="G112" s="11">
        <f t="shared" si="3"/>
        <v>173952520</v>
      </c>
      <c r="H112" s="11">
        <f t="shared" si="3"/>
        <v>1679152831</v>
      </c>
      <c r="I112" s="11">
        <f t="shared" si="3"/>
        <v>5</v>
      </c>
      <c r="J112" s="11">
        <f t="shared" si="3"/>
        <v>35</v>
      </c>
      <c r="K112" s="11">
        <f t="shared" si="3"/>
        <v>191</v>
      </c>
      <c r="L112" s="11">
        <f t="shared" si="3"/>
        <v>171</v>
      </c>
      <c r="M112" s="11">
        <f t="shared" si="3"/>
        <v>16</v>
      </c>
      <c r="N112" s="11">
        <f t="shared" si="3"/>
        <v>10</v>
      </c>
    </row>
    <row r="113" spans="1:14" ht="20.25" x14ac:dyDescent="0.25">
      <c r="A113" s="16"/>
      <c r="B113" s="1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</row>
    <row r="114" spans="1:14" ht="20.25" x14ac:dyDescent="0.25">
      <c r="A114" s="16"/>
      <c r="B114" s="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</row>
    <row r="115" spans="1:14" s="15" customFormat="1" ht="20.25" x14ac:dyDescent="0.25">
      <c r="A115" s="16"/>
      <c r="B115" s="1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</row>
    <row r="116" spans="1:14" ht="20.25" x14ac:dyDescent="0.25">
      <c r="A116" s="570" t="s">
        <v>135</v>
      </c>
      <c r="B116" s="570"/>
      <c r="C116" s="570"/>
      <c r="D116" s="570"/>
      <c r="E116" s="570"/>
      <c r="F116" s="570"/>
      <c r="G116" s="570"/>
      <c r="H116" s="570"/>
      <c r="I116" s="570"/>
      <c r="J116" s="570"/>
      <c r="K116" s="570"/>
      <c r="L116" s="570"/>
      <c r="M116" s="570"/>
      <c r="N116" s="14"/>
    </row>
    <row r="117" spans="1:14" ht="20.25" x14ac:dyDescent="0.25">
      <c r="A117" s="571" t="s">
        <v>0</v>
      </c>
      <c r="B117" s="571" t="s">
        <v>1</v>
      </c>
      <c r="C117" s="5"/>
      <c r="D117" s="557" t="s">
        <v>3</v>
      </c>
      <c r="E117" s="557" t="s">
        <v>4</v>
      </c>
      <c r="F117" s="557" t="s">
        <v>5</v>
      </c>
      <c r="G117" s="557" t="s">
        <v>62</v>
      </c>
      <c r="H117" s="557" t="s">
        <v>11</v>
      </c>
      <c r="I117" s="557"/>
      <c r="J117" s="557" t="s">
        <v>12</v>
      </c>
      <c r="K117" s="557"/>
      <c r="L117" s="557" t="s">
        <v>13</v>
      </c>
      <c r="M117" s="557"/>
      <c r="N117" s="13"/>
    </row>
    <row r="118" spans="1:14" ht="20.25" x14ac:dyDescent="0.25">
      <c r="A118" s="571"/>
      <c r="B118" s="571"/>
      <c r="C118" s="5"/>
      <c r="D118" s="557"/>
      <c r="E118" s="557"/>
      <c r="F118" s="557"/>
      <c r="G118" s="557"/>
      <c r="H118" s="5" t="s">
        <v>14</v>
      </c>
      <c r="I118" s="5" t="s">
        <v>15</v>
      </c>
      <c r="J118" s="5" t="s">
        <v>14</v>
      </c>
      <c r="K118" s="5" t="s">
        <v>15</v>
      </c>
      <c r="L118" s="5" t="s">
        <v>14</v>
      </c>
      <c r="M118" s="5" t="s">
        <v>15</v>
      </c>
      <c r="N118" s="13"/>
    </row>
    <row r="119" spans="1:14" ht="20.25" x14ac:dyDescent="0.25">
      <c r="A119" s="9">
        <v>1</v>
      </c>
      <c r="B119" s="9" t="s">
        <v>18</v>
      </c>
      <c r="C119" s="11"/>
      <c r="D119" s="11">
        <v>337</v>
      </c>
      <c r="E119" s="11" t="s">
        <v>18</v>
      </c>
      <c r="F119" s="11">
        <v>337</v>
      </c>
      <c r="G119" s="11" t="s">
        <v>18</v>
      </c>
      <c r="H119" s="11">
        <v>58</v>
      </c>
      <c r="I119" s="11">
        <v>10</v>
      </c>
      <c r="J119" s="11">
        <v>400</v>
      </c>
      <c r="K119" s="11">
        <v>17</v>
      </c>
      <c r="L119" s="11">
        <v>31</v>
      </c>
      <c r="M119" s="11"/>
      <c r="N119" s="11"/>
    </row>
    <row r="120" spans="1:14" ht="20.25" x14ac:dyDescent="0.25">
      <c r="A120" s="1"/>
      <c r="B120" s="1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</row>
    <row r="121" spans="1:14" ht="21" customHeight="1" x14ac:dyDescent="0.25">
      <c r="A121" s="566" t="s">
        <v>136</v>
      </c>
      <c r="B121" s="582"/>
      <c r="C121" s="582"/>
      <c r="D121" s="582"/>
      <c r="E121" s="582"/>
      <c r="F121" s="582"/>
      <c r="G121" s="582"/>
      <c r="H121" s="582"/>
      <c r="I121" s="582"/>
      <c r="J121" s="582"/>
      <c r="K121" s="582"/>
      <c r="L121" s="582"/>
      <c r="M121" s="582"/>
      <c r="N121" s="567"/>
    </row>
    <row r="122" spans="1:14" ht="21" customHeight="1" x14ac:dyDescent="0.25">
      <c r="A122" s="543" t="s">
        <v>0</v>
      </c>
      <c r="B122" s="543" t="s">
        <v>1</v>
      </c>
      <c r="C122" s="480" t="s">
        <v>2</v>
      </c>
      <c r="D122" s="480" t="s">
        <v>3</v>
      </c>
      <c r="E122" s="480" t="s">
        <v>4</v>
      </c>
      <c r="F122" s="480" t="s">
        <v>5</v>
      </c>
      <c r="G122" s="480" t="s">
        <v>9</v>
      </c>
      <c r="H122" s="480" t="s">
        <v>10</v>
      </c>
      <c r="I122" s="480" t="s">
        <v>11</v>
      </c>
      <c r="J122" s="480"/>
      <c r="K122" s="480" t="s">
        <v>12</v>
      </c>
      <c r="L122" s="480"/>
      <c r="M122" s="475" t="s">
        <v>13</v>
      </c>
      <c r="N122" s="477"/>
    </row>
    <row r="123" spans="1:14" ht="20.25" x14ac:dyDescent="0.25">
      <c r="A123" s="543"/>
      <c r="B123" s="543"/>
      <c r="C123" s="480"/>
      <c r="D123" s="480"/>
      <c r="E123" s="480"/>
      <c r="F123" s="480"/>
      <c r="G123" s="480"/>
      <c r="H123" s="480"/>
      <c r="I123" s="13" t="s">
        <v>14</v>
      </c>
      <c r="J123" s="13" t="s">
        <v>15</v>
      </c>
      <c r="K123" s="13" t="s">
        <v>14</v>
      </c>
      <c r="L123" s="13" t="s">
        <v>15</v>
      </c>
      <c r="M123" s="13" t="s">
        <v>14</v>
      </c>
      <c r="N123" s="13" t="s">
        <v>15</v>
      </c>
    </row>
    <row r="124" spans="1:14" ht="40.5" x14ac:dyDescent="0.25">
      <c r="A124" s="11">
        <v>1</v>
      </c>
      <c r="B124" s="9" t="s">
        <v>108</v>
      </c>
      <c r="C124" s="11" t="s">
        <v>60</v>
      </c>
      <c r="D124" s="11">
        <v>79</v>
      </c>
      <c r="E124" s="11"/>
      <c r="F124" s="11">
        <v>79</v>
      </c>
      <c r="G124" s="11">
        <v>10187500</v>
      </c>
      <c r="H124" s="11">
        <v>66187500</v>
      </c>
      <c r="I124" s="11" t="s">
        <v>18</v>
      </c>
      <c r="J124" s="11" t="s">
        <v>18</v>
      </c>
      <c r="K124" s="11">
        <v>1</v>
      </c>
      <c r="L124" s="11">
        <v>9</v>
      </c>
      <c r="M124" s="11" t="s">
        <v>18</v>
      </c>
      <c r="N124" s="11" t="s">
        <v>18</v>
      </c>
    </row>
    <row r="125" spans="1:14" ht="40.5" x14ac:dyDescent="0.25">
      <c r="A125" s="11">
        <v>2</v>
      </c>
      <c r="B125" s="9" t="s">
        <v>109</v>
      </c>
      <c r="C125" s="11" t="s">
        <v>60</v>
      </c>
      <c r="D125" s="11">
        <v>116</v>
      </c>
      <c r="E125" s="11"/>
      <c r="F125" s="11">
        <v>116</v>
      </c>
      <c r="G125" s="11">
        <v>8096000</v>
      </c>
      <c r="H125" s="11">
        <v>66238000</v>
      </c>
      <c r="I125" s="11" t="s">
        <v>18</v>
      </c>
      <c r="J125" s="11">
        <v>7</v>
      </c>
      <c r="K125" s="11">
        <v>7</v>
      </c>
      <c r="L125" s="11"/>
      <c r="M125" s="11">
        <v>1</v>
      </c>
      <c r="N125" s="11" t="s">
        <v>18</v>
      </c>
    </row>
    <row r="126" spans="1:14" ht="20.25" x14ac:dyDescent="0.25">
      <c r="A126" s="11">
        <v>3</v>
      </c>
      <c r="B126" s="9" t="s">
        <v>110</v>
      </c>
      <c r="C126" s="11" t="s">
        <v>60</v>
      </c>
      <c r="D126" s="11">
        <v>103</v>
      </c>
      <c r="E126" s="11"/>
      <c r="F126" s="11">
        <v>103</v>
      </c>
      <c r="G126" s="11">
        <v>7443000</v>
      </c>
      <c r="H126" s="11">
        <v>41947000</v>
      </c>
      <c r="I126" s="11" t="s">
        <v>18</v>
      </c>
      <c r="J126" s="11">
        <v>4</v>
      </c>
      <c r="K126" s="11">
        <v>7</v>
      </c>
      <c r="L126" s="11">
        <v>4</v>
      </c>
      <c r="M126" s="11" t="s">
        <v>18</v>
      </c>
      <c r="N126" s="11" t="s">
        <v>18</v>
      </c>
    </row>
    <row r="127" spans="1:14" ht="20.25" x14ac:dyDescent="0.25">
      <c r="A127" s="11">
        <v>4</v>
      </c>
      <c r="B127" s="9" t="s">
        <v>111</v>
      </c>
      <c r="C127" s="11" t="s">
        <v>60</v>
      </c>
      <c r="D127" s="11">
        <v>183</v>
      </c>
      <c r="E127" s="11"/>
      <c r="F127" s="11">
        <v>183</v>
      </c>
      <c r="G127" s="11">
        <v>13342500</v>
      </c>
      <c r="H127" s="11">
        <v>74466000</v>
      </c>
      <c r="I127" s="11" t="s">
        <v>18</v>
      </c>
      <c r="J127" s="11">
        <v>1</v>
      </c>
      <c r="K127" s="11" t="s">
        <v>18</v>
      </c>
      <c r="L127" s="11">
        <v>1</v>
      </c>
      <c r="M127" s="11" t="s">
        <v>18</v>
      </c>
      <c r="N127" s="11" t="s">
        <v>18</v>
      </c>
    </row>
    <row r="128" spans="1:14" ht="20.25" x14ac:dyDescent="0.25">
      <c r="A128" s="11">
        <v>5</v>
      </c>
      <c r="B128" s="9" t="s">
        <v>130</v>
      </c>
      <c r="C128" s="11" t="s">
        <v>60</v>
      </c>
      <c r="D128" s="11">
        <v>204</v>
      </c>
      <c r="E128" s="11"/>
      <c r="F128" s="11">
        <v>204</v>
      </c>
      <c r="G128" s="11">
        <v>16699661</v>
      </c>
      <c r="H128" s="11">
        <v>111002339</v>
      </c>
      <c r="I128" s="11" t="s">
        <v>18</v>
      </c>
      <c r="J128" s="11">
        <v>4</v>
      </c>
      <c r="K128" s="11">
        <v>10</v>
      </c>
      <c r="L128" s="11">
        <v>15</v>
      </c>
      <c r="M128" s="11">
        <v>21</v>
      </c>
      <c r="N128" s="11">
        <v>2</v>
      </c>
    </row>
    <row r="129" spans="1:14" ht="20.25" x14ac:dyDescent="0.25">
      <c r="A129" s="11">
        <v>6</v>
      </c>
      <c r="B129" s="9" t="s">
        <v>131</v>
      </c>
      <c r="C129" s="11" t="s">
        <v>60</v>
      </c>
      <c r="D129" s="11">
        <v>92</v>
      </c>
      <c r="E129" s="11"/>
      <c r="F129" s="11">
        <v>92</v>
      </c>
      <c r="G129" s="11">
        <v>3849500</v>
      </c>
      <c r="H129" s="11">
        <v>63657500</v>
      </c>
      <c r="I129" s="11" t="s">
        <v>18</v>
      </c>
      <c r="J129" s="11" t="s">
        <v>137</v>
      </c>
      <c r="K129" s="11"/>
      <c r="L129" s="11">
        <v>4</v>
      </c>
      <c r="M129" s="11" t="s">
        <v>18</v>
      </c>
      <c r="N129" s="11" t="s">
        <v>18</v>
      </c>
    </row>
    <row r="130" spans="1:14" ht="20.25" x14ac:dyDescent="0.25">
      <c r="A130" s="11">
        <v>7</v>
      </c>
      <c r="B130" s="9" t="s">
        <v>114</v>
      </c>
      <c r="C130" s="11"/>
      <c r="D130" s="11">
        <v>57</v>
      </c>
      <c r="E130" s="11"/>
      <c r="F130" s="11">
        <v>57</v>
      </c>
      <c r="G130" s="11">
        <v>5515500</v>
      </c>
      <c r="H130" s="11">
        <v>46742000</v>
      </c>
      <c r="I130" s="11" t="s">
        <v>18</v>
      </c>
      <c r="J130" s="11" t="s">
        <v>137</v>
      </c>
      <c r="K130" s="11">
        <v>1</v>
      </c>
      <c r="L130" s="11">
        <v>3</v>
      </c>
      <c r="M130" s="11" t="s">
        <v>18</v>
      </c>
      <c r="N130" s="11" t="s">
        <v>18</v>
      </c>
    </row>
    <row r="131" spans="1:14" ht="40.5" x14ac:dyDescent="0.25">
      <c r="A131" s="11">
        <v>8</v>
      </c>
      <c r="B131" s="9" t="s">
        <v>115</v>
      </c>
      <c r="C131" s="11"/>
      <c r="D131" s="11">
        <v>52</v>
      </c>
      <c r="E131" s="11"/>
      <c r="F131" s="11">
        <v>52</v>
      </c>
      <c r="G131" s="11">
        <v>5178300</v>
      </c>
      <c r="H131" s="11">
        <v>29708200</v>
      </c>
      <c r="I131" s="11" t="s">
        <v>18</v>
      </c>
      <c r="J131" s="11" t="s">
        <v>137</v>
      </c>
      <c r="K131" s="11" t="s">
        <v>18</v>
      </c>
      <c r="L131" s="11" t="s">
        <v>137</v>
      </c>
      <c r="M131" s="11" t="s">
        <v>18</v>
      </c>
      <c r="N131" s="11" t="s">
        <v>18</v>
      </c>
    </row>
    <row r="132" spans="1:14" ht="40.5" x14ac:dyDescent="0.25">
      <c r="A132" s="11">
        <v>9</v>
      </c>
      <c r="B132" s="9" t="s">
        <v>116</v>
      </c>
      <c r="C132" s="11"/>
      <c r="D132" s="11">
        <v>64</v>
      </c>
      <c r="E132" s="11"/>
      <c r="F132" s="11">
        <v>64</v>
      </c>
      <c r="G132" s="11">
        <v>6322500</v>
      </c>
      <c r="H132" s="11">
        <v>167274500</v>
      </c>
      <c r="I132" s="11" t="s">
        <v>18</v>
      </c>
      <c r="J132" s="11">
        <v>2</v>
      </c>
      <c r="K132" s="11">
        <v>3</v>
      </c>
      <c r="L132" s="11">
        <v>2</v>
      </c>
      <c r="M132" s="11"/>
      <c r="N132" s="11" t="s">
        <v>18</v>
      </c>
    </row>
    <row r="133" spans="1:14" ht="40.5" x14ac:dyDescent="0.25">
      <c r="A133" s="11">
        <v>10</v>
      </c>
      <c r="B133" s="9" t="s">
        <v>117</v>
      </c>
      <c r="C133" s="11"/>
      <c r="D133" s="11">
        <v>176</v>
      </c>
      <c r="E133" s="11">
        <v>1</v>
      </c>
      <c r="F133" s="11">
        <v>175</v>
      </c>
      <c r="G133" s="11">
        <v>8666500</v>
      </c>
      <c r="H133" s="11">
        <v>106654500</v>
      </c>
      <c r="I133" s="11"/>
      <c r="J133" s="11"/>
      <c r="K133" s="11">
        <v>3</v>
      </c>
      <c r="L133" s="11"/>
      <c r="M133" s="11">
        <v>3</v>
      </c>
      <c r="N133" s="11"/>
    </row>
    <row r="134" spans="1:14" ht="40.5" x14ac:dyDescent="0.25">
      <c r="A134" s="11">
        <v>11</v>
      </c>
      <c r="B134" s="9" t="s">
        <v>134</v>
      </c>
      <c r="C134" s="11"/>
      <c r="D134" s="11">
        <v>318</v>
      </c>
      <c r="E134" s="11"/>
      <c r="F134" s="11">
        <v>318</v>
      </c>
      <c r="G134" s="11">
        <v>16445419</v>
      </c>
      <c r="H134" s="11">
        <v>186254997</v>
      </c>
      <c r="I134" s="11">
        <v>2</v>
      </c>
      <c r="J134" s="11">
        <v>1</v>
      </c>
      <c r="K134" s="11">
        <v>7</v>
      </c>
      <c r="L134" s="11">
        <v>4</v>
      </c>
      <c r="M134" s="11">
        <v>2</v>
      </c>
      <c r="N134" s="11"/>
    </row>
    <row r="135" spans="1:14" ht="40.5" x14ac:dyDescent="0.25">
      <c r="A135" s="11">
        <v>12</v>
      </c>
      <c r="B135" s="9" t="s">
        <v>119</v>
      </c>
      <c r="C135" s="11"/>
      <c r="D135" s="11">
        <v>128</v>
      </c>
      <c r="E135" s="11"/>
      <c r="F135" s="11">
        <v>128</v>
      </c>
      <c r="G135" s="11">
        <v>40992000</v>
      </c>
      <c r="H135" s="11">
        <v>136355500</v>
      </c>
      <c r="I135" s="11"/>
      <c r="J135" s="11"/>
      <c r="K135" s="11">
        <v>162</v>
      </c>
      <c r="L135" s="11"/>
      <c r="M135" s="11">
        <v>1</v>
      </c>
      <c r="N135" s="11"/>
    </row>
    <row r="136" spans="1:14" ht="20.25" x14ac:dyDescent="0.25">
      <c r="A136" s="11"/>
      <c r="B136" s="9" t="s">
        <v>60</v>
      </c>
      <c r="C136" s="11"/>
      <c r="D136" s="11">
        <f t="shared" ref="D136:N136" si="4">SUM(D124:D135)</f>
        <v>1572</v>
      </c>
      <c r="E136" s="11">
        <f t="shared" si="4"/>
        <v>1</v>
      </c>
      <c r="F136" s="11">
        <f t="shared" si="4"/>
        <v>1571</v>
      </c>
      <c r="G136" s="11">
        <f t="shared" si="4"/>
        <v>142738380</v>
      </c>
      <c r="H136" s="11">
        <f t="shared" si="4"/>
        <v>1096488036</v>
      </c>
      <c r="I136" s="11">
        <f t="shared" si="4"/>
        <v>2</v>
      </c>
      <c r="J136" s="11">
        <f t="shared" si="4"/>
        <v>19</v>
      </c>
      <c r="K136" s="11">
        <f t="shared" si="4"/>
        <v>201</v>
      </c>
      <c r="L136" s="11">
        <f t="shared" si="4"/>
        <v>42</v>
      </c>
      <c r="M136" s="11">
        <f t="shared" si="4"/>
        <v>28</v>
      </c>
      <c r="N136" s="11">
        <f t="shared" si="4"/>
        <v>2</v>
      </c>
    </row>
    <row r="137" spans="1:14" ht="30.75" customHeight="1" x14ac:dyDescent="0.25">
      <c r="A137" s="579" t="s">
        <v>138</v>
      </c>
      <c r="B137" s="580"/>
      <c r="C137" s="580"/>
      <c r="D137" s="580"/>
      <c r="E137" s="580"/>
      <c r="F137" s="580"/>
      <c r="G137" s="580"/>
      <c r="H137" s="580"/>
      <c r="I137" s="580"/>
      <c r="J137" s="580"/>
      <c r="K137" s="580"/>
      <c r="L137" s="580"/>
      <c r="M137" s="580"/>
      <c r="N137" s="581"/>
    </row>
    <row r="138" spans="1:14" ht="21" customHeight="1" x14ac:dyDescent="0.25">
      <c r="A138" s="543" t="s">
        <v>0</v>
      </c>
      <c r="B138" s="543" t="s">
        <v>1</v>
      </c>
      <c r="C138" s="480" t="s">
        <v>2</v>
      </c>
      <c r="D138" s="480" t="s">
        <v>3</v>
      </c>
      <c r="E138" s="480" t="s">
        <v>4</v>
      </c>
      <c r="F138" s="480" t="s">
        <v>5</v>
      </c>
      <c r="G138" s="480" t="s">
        <v>9</v>
      </c>
      <c r="H138" s="480" t="s">
        <v>10</v>
      </c>
      <c r="I138" s="480" t="s">
        <v>11</v>
      </c>
      <c r="J138" s="480"/>
      <c r="K138" s="480" t="s">
        <v>12</v>
      </c>
      <c r="L138" s="480"/>
      <c r="M138" s="475" t="s">
        <v>13</v>
      </c>
      <c r="N138" s="477"/>
    </row>
    <row r="139" spans="1:14" ht="20.25" x14ac:dyDescent="0.25">
      <c r="A139" s="543"/>
      <c r="B139" s="543"/>
      <c r="C139" s="480"/>
      <c r="D139" s="480"/>
      <c r="E139" s="480"/>
      <c r="F139" s="480"/>
      <c r="G139" s="480"/>
      <c r="H139" s="480"/>
      <c r="I139" s="13" t="s">
        <v>14</v>
      </c>
      <c r="J139" s="13" t="s">
        <v>15</v>
      </c>
      <c r="K139" s="13" t="s">
        <v>14</v>
      </c>
      <c r="L139" s="13" t="s">
        <v>15</v>
      </c>
      <c r="M139" s="13" t="s">
        <v>14</v>
      </c>
      <c r="N139" s="13" t="s">
        <v>15</v>
      </c>
    </row>
    <row r="140" spans="1:14" ht="40.5" x14ac:dyDescent="0.25">
      <c r="A140" s="12">
        <v>1</v>
      </c>
      <c r="B140" s="9" t="s">
        <v>108</v>
      </c>
      <c r="C140" s="11"/>
      <c r="D140" s="11">
        <v>29</v>
      </c>
      <c r="E140" s="11"/>
      <c r="F140" s="11">
        <v>29</v>
      </c>
      <c r="G140" s="11" t="s">
        <v>18</v>
      </c>
      <c r="H140" s="11" t="s">
        <v>18</v>
      </c>
      <c r="I140" s="11">
        <v>1</v>
      </c>
      <c r="J140" s="11">
        <v>1</v>
      </c>
      <c r="K140" s="11">
        <v>7</v>
      </c>
      <c r="L140" s="11">
        <v>7</v>
      </c>
      <c r="M140" s="11">
        <v>1</v>
      </c>
      <c r="N140" s="11"/>
    </row>
    <row r="141" spans="1:14" ht="40.5" x14ac:dyDescent="0.25">
      <c r="A141" s="12">
        <v>2</v>
      </c>
      <c r="B141" s="9" t="s">
        <v>109</v>
      </c>
      <c r="C141" s="11"/>
      <c r="D141" s="11">
        <v>26</v>
      </c>
      <c r="E141" s="11"/>
      <c r="F141" s="11">
        <v>26</v>
      </c>
      <c r="G141" s="11" t="s">
        <v>18</v>
      </c>
      <c r="H141" s="11" t="s">
        <v>18</v>
      </c>
      <c r="I141" s="11">
        <v>18</v>
      </c>
      <c r="J141" s="11">
        <v>2</v>
      </c>
      <c r="K141" s="11">
        <v>12</v>
      </c>
      <c r="L141" s="11">
        <v>5</v>
      </c>
      <c r="M141" s="11"/>
      <c r="N141" s="11"/>
    </row>
    <row r="142" spans="1:14" ht="20.25" x14ac:dyDescent="0.25">
      <c r="A142" s="12">
        <v>3</v>
      </c>
      <c r="B142" s="9" t="s">
        <v>110</v>
      </c>
      <c r="C142" s="11"/>
      <c r="D142" s="11">
        <v>16</v>
      </c>
      <c r="E142" s="11"/>
      <c r="F142" s="11">
        <v>16</v>
      </c>
      <c r="G142" s="11" t="s">
        <v>18</v>
      </c>
      <c r="H142" s="11" t="s">
        <v>18</v>
      </c>
      <c r="I142" s="11">
        <v>10</v>
      </c>
      <c r="J142" s="11"/>
      <c r="K142" s="11">
        <v>15</v>
      </c>
      <c r="L142" s="11">
        <v>3</v>
      </c>
      <c r="M142" s="11"/>
      <c r="N142" s="11"/>
    </row>
    <row r="143" spans="1:14" ht="20.25" x14ac:dyDescent="0.25">
      <c r="A143" s="12">
        <v>4</v>
      </c>
      <c r="B143" s="9" t="s">
        <v>111</v>
      </c>
      <c r="C143" s="11"/>
      <c r="D143" s="11">
        <v>17</v>
      </c>
      <c r="E143" s="11"/>
      <c r="F143" s="11">
        <v>17</v>
      </c>
      <c r="G143" s="11" t="s">
        <v>18</v>
      </c>
      <c r="H143" s="11" t="s">
        <v>18</v>
      </c>
      <c r="I143" s="11">
        <v>2</v>
      </c>
      <c r="J143" s="11"/>
      <c r="K143" s="11">
        <v>3</v>
      </c>
      <c r="L143" s="11">
        <v>9</v>
      </c>
      <c r="M143" s="11"/>
      <c r="N143" s="11"/>
    </row>
    <row r="144" spans="1:14" ht="20.25" x14ac:dyDescent="0.25">
      <c r="A144" s="12">
        <v>5</v>
      </c>
      <c r="B144" s="9" t="s">
        <v>130</v>
      </c>
      <c r="C144" s="11"/>
      <c r="D144" s="11">
        <v>37</v>
      </c>
      <c r="E144" s="11"/>
      <c r="F144" s="11">
        <v>37</v>
      </c>
      <c r="G144" s="11" t="s">
        <v>18</v>
      </c>
      <c r="H144" s="11" t="s">
        <v>18</v>
      </c>
      <c r="I144" s="11">
        <v>19</v>
      </c>
      <c r="J144" s="11">
        <v>11</v>
      </c>
      <c r="K144" s="11">
        <v>24</v>
      </c>
      <c r="L144" s="11">
        <v>14</v>
      </c>
      <c r="M144" s="11">
        <v>2</v>
      </c>
      <c r="N144" s="11"/>
    </row>
    <row r="145" spans="1:14" ht="20.25" x14ac:dyDescent="0.25">
      <c r="A145" s="12">
        <v>6</v>
      </c>
      <c r="B145" s="9" t="s">
        <v>131</v>
      </c>
      <c r="C145" s="11"/>
      <c r="D145" s="11">
        <v>27</v>
      </c>
      <c r="E145" s="11"/>
      <c r="F145" s="11">
        <v>27</v>
      </c>
      <c r="G145" s="11" t="s">
        <v>18</v>
      </c>
      <c r="H145" s="11" t="s">
        <v>18</v>
      </c>
      <c r="I145" s="11">
        <v>10</v>
      </c>
      <c r="J145" s="11"/>
      <c r="K145" s="11">
        <v>26</v>
      </c>
      <c r="L145" s="11">
        <v>1</v>
      </c>
      <c r="M145" s="11">
        <v>4</v>
      </c>
      <c r="N145" s="11"/>
    </row>
    <row r="146" spans="1:14" ht="20.25" x14ac:dyDescent="0.25">
      <c r="A146" s="12">
        <v>7</v>
      </c>
      <c r="B146" s="9" t="s">
        <v>114</v>
      </c>
      <c r="C146" s="11"/>
      <c r="D146" s="11">
        <v>17</v>
      </c>
      <c r="E146" s="11"/>
      <c r="F146" s="11">
        <v>17</v>
      </c>
      <c r="G146" s="11" t="s">
        <v>18</v>
      </c>
      <c r="H146" s="11" t="s">
        <v>18</v>
      </c>
      <c r="I146" s="11">
        <v>2</v>
      </c>
      <c r="J146" s="11"/>
      <c r="K146" s="11">
        <v>3</v>
      </c>
      <c r="L146" s="11">
        <v>9</v>
      </c>
      <c r="M146" s="11"/>
      <c r="N146" s="11"/>
    </row>
    <row r="147" spans="1:14" ht="40.5" x14ac:dyDescent="0.25">
      <c r="A147" s="12">
        <v>8</v>
      </c>
      <c r="B147" s="9" t="s">
        <v>115</v>
      </c>
      <c r="C147" s="11"/>
      <c r="D147" s="11">
        <v>49</v>
      </c>
      <c r="E147" s="11"/>
      <c r="F147" s="11">
        <v>49</v>
      </c>
      <c r="G147" s="11" t="s">
        <v>18</v>
      </c>
      <c r="H147" s="11" t="s">
        <v>18</v>
      </c>
      <c r="I147" s="11">
        <v>11</v>
      </c>
      <c r="J147" s="11">
        <v>1</v>
      </c>
      <c r="K147" s="11">
        <v>13</v>
      </c>
      <c r="L147" s="11">
        <v>12</v>
      </c>
      <c r="M147" s="11">
        <v>1</v>
      </c>
      <c r="N147" s="11">
        <v>1</v>
      </c>
    </row>
    <row r="148" spans="1:14" ht="40.5" x14ac:dyDescent="0.25">
      <c r="A148" s="12">
        <v>9</v>
      </c>
      <c r="B148" s="9" t="s">
        <v>116</v>
      </c>
      <c r="C148" s="11"/>
      <c r="D148" s="11">
        <v>21</v>
      </c>
      <c r="E148" s="11"/>
      <c r="F148" s="11">
        <v>21</v>
      </c>
      <c r="G148" s="11" t="s">
        <v>18</v>
      </c>
      <c r="H148" s="11" t="s">
        <v>18</v>
      </c>
      <c r="I148" s="11">
        <v>4</v>
      </c>
      <c r="J148" s="11">
        <v>1</v>
      </c>
      <c r="K148" s="11">
        <v>17</v>
      </c>
      <c r="L148" s="11">
        <v>4</v>
      </c>
      <c r="M148" s="11">
        <v>3</v>
      </c>
      <c r="N148" s="11">
        <v>1</v>
      </c>
    </row>
    <row r="149" spans="1:14" ht="40.5" x14ac:dyDescent="0.25">
      <c r="A149" s="12">
        <v>10</v>
      </c>
      <c r="B149" s="9" t="s">
        <v>117</v>
      </c>
      <c r="C149" s="11"/>
      <c r="D149" s="11">
        <v>31</v>
      </c>
      <c r="E149" s="11"/>
      <c r="F149" s="11">
        <v>31</v>
      </c>
      <c r="G149" s="11" t="s">
        <v>18</v>
      </c>
      <c r="H149" s="11" t="s">
        <v>18</v>
      </c>
      <c r="I149" s="11">
        <v>11</v>
      </c>
      <c r="J149" s="11">
        <v>4</v>
      </c>
      <c r="K149" s="11">
        <v>10</v>
      </c>
      <c r="L149" s="11">
        <v>16</v>
      </c>
      <c r="M149" s="11">
        <v>4</v>
      </c>
      <c r="N149" s="11">
        <v>1</v>
      </c>
    </row>
    <row r="150" spans="1:14" ht="40.5" x14ac:dyDescent="0.25">
      <c r="A150" s="12">
        <v>11</v>
      </c>
      <c r="B150" s="9" t="s">
        <v>118</v>
      </c>
      <c r="C150" s="11"/>
      <c r="D150" s="11">
        <v>29</v>
      </c>
      <c r="E150" s="11"/>
      <c r="F150" s="11">
        <v>29</v>
      </c>
      <c r="G150" s="11" t="s">
        <v>18</v>
      </c>
      <c r="H150" s="11" t="s">
        <v>18</v>
      </c>
      <c r="I150" s="11">
        <v>11</v>
      </c>
      <c r="J150" s="11">
        <v>1</v>
      </c>
      <c r="K150" s="11">
        <v>78</v>
      </c>
      <c r="L150" s="11">
        <v>3</v>
      </c>
      <c r="M150" s="11">
        <v>30</v>
      </c>
      <c r="N150" s="11"/>
    </row>
    <row r="151" spans="1:14" ht="40.5" x14ac:dyDescent="0.25">
      <c r="A151" s="12">
        <v>12</v>
      </c>
      <c r="B151" s="9" t="s">
        <v>119</v>
      </c>
      <c r="C151" s="11"/>
      <c r="D151" s="11">
        <v>22</v>
      </c>
      <c r="E151" s="11"/>
      <c r="F151" s="11">
        <v>22</v>
      </c>
      <c r="G151" s="11" t="s">
        <v>18</v>
      </c>
      <c r="H151" s="11" t="s">
        <v>18</v>
      </c>
      <c r="I151" s="11">
        <v>3</v>
      </c>
      <c r="J151" s="11">
        <v>2</v>
      </c>
      <c r="K151" s="11">
        <v>12</v>
      </c>
      <c r="L151" s="11">
        <v>4</v>
      </c>
      <c r="M151" s="11">
        <v>1</v>
      </c>
      <c r="N151" s="11">
        <v>2</v>
      </c>
    </row>
    <row r="152" spans="1:14" ht="20.25" x14ac:dyDescent="0.25">
      <c r="A152" s="12">
        <v>13</v>
      </c>
      <c r="B152" s="9" t="s">
        <v>60</v>
      </c>
      <c r="C152" s="11"/>
      <c r="D152" s="11">
        <f>SUM(D140:D151)</f>
        <v>321</v>
      </c>
      <c r="E152" s="11"/>
      <c r="F152" s="11">
        <f>SUM(F140:F151)</f>
        <v>321</v>
      </c>
      <c r="G152" s="11" t="s">
        <v>18</v>
      </c>
      <c r="H152" s="11" t="s">
        <v>18</v>
      </c>
      <c r="I152" s="11">
        <f t="shared" ref="I152:N152" si="5">SUM(I140:I151)</f>
        <v>102</v>
      </c>
      <c r="J152" s="11">
        <f t="shared" si="5"/>
        <v>23</v>
      </c>
      <c r="K152" s="11">
        <f t="shared" si="5"/>
        <v>220</v>
      </c>
      <c r="L152" s="11">
        <f t="shared" si="5"/>
        <v>87</v>
      </c>
      <c r="M152" s="11">
        <f t="shared" si="5"/>
        <v>46</v>
      </c>
      <c r="N152" s="11">
        <f t="shared" si="5"/>
        <v>5</v>
      </c>
    </row>
    <row r="156" spans="1:14" ht="49.15" customHeight="1" x14ac:dyDescent="0.25">
      <c r="B156" s="565" t="s">
        <v>284</v>
      </c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</row>
    <row r="157" spans="1:14" ht="18.75" x14ac:dyDescent="0.25">
      <c r="B157" s="538" t="s">
        <v>0</v>
      </c>
      <c r="C157" s="538" t="s">
        <v>1</v>
      </c>
      <c r="D157" s="562">
        <v>2</v>
      </c>
      <c r="E157" s="538" t="s">
        <v>3</v>
      </c>
      <c r="F157" s="538" t="s">
        <v>4</v>
      </c>
      <c r="G157" s="538" t="s">
        <v>5</v>
      </c>
      <c r="H157" s="538" t="s">
        <v>6</v>
      </c>
      <c r="I157" s="562" t="s">
        <v>7</v>
      </c>
      <c r="J157" s="562" t="s">
        <v>8</v>
      </c>
      <c r="K157" s="538" t="s">
        <v>9</v>
      </c>
      <c r="L157" s="538" t="s">
        <v>10</v>
      </c>
      <c r="M157" s="538" t="s">
        <v>11</v>
      </c>
      <c r="N157" s="538"/>
    </row>
    <row r="158" spans="1:14" ht="47.45" customHeight="1" x14ac:dyDescent="0.25">
      <c r="B158" s="538"/>
      <c r="C158" s="538"/>
      <c r="D158" s="562"/>
      <c r="E158" s="538"/>
      <c r="F158" s="538"/>
      <c r="G158" s="538"/>
      <c r="H158" s="538"/>
      <c r="I158" s="562"/>
      <c r="J158" s="562"/>
      <c r="K158" s="538"/>
      <c r="L158" s="538"/>
      <c r="M158" s="47" t="s">
        <v>14</v>
      </c>
      <c r="N158" s="47" t="s">
        <v>15</v>
      </c>
    </row>
    <row r="159" spans="1:14" ht="29.45" customHeight="1" x14ac:dyDescent="0.25">
      <c r="B159" s="36"/>
      <c r="C159" s="36"/>
      <c r="D159" s="45" t="s">
        <v>271</v>
      </c>
      <c r="E159" s="36">
        <v>99</v>
      </c>
      <c r="F159" s="36"/>
      <c r="G159" s="36">
        <v>99</v>
      </c>
      <c r="H159" s="28"/>
      <c r="I159" s="28"/>
      <c r="J159" s="28"/>
      <c r="K159" s="49">
        <v>8867000</v>
      </c>
      <c r="L159" s="49">
        <v>47474500</v>
      </c>
      <c r="M159" s="36"/>
      <c r="N159" s="36"/>
    </row>
    <row r="160" spans="1:14" ht="29.45" customHeight="1" x14ac:dyDescent="0.25">
      <c r="B160" s="36"/>
      <c r="C160" s="36"/>
      <c r="D160" s="45" t="s">
        <v>272</v>
      </c>
      <c r="E160" s="36">
        <v>163</v>
      </c>
      <c r="F160" s="36">
        <v>0</v>
      </c>
      <c r="G160" s="36">
        <v>163</v>
      </c>
      <c r="H160" s="28"/>
      <c r="I160" s="28"/>
      <c r="J160" s="28"/>
      <c r="K160" s="49">
        <v>10088500</v>
      </c>
      <c r="L160" s="49">
        <v>181382500</v>
      </c>
      <c r="M160" s="36">
        <v>2</v>
      </c>
      <c r="N160" s="36"/>
    </row>
    <row r="161" spans="2:14" ht="29.45" customHeight="1" x14ac:dyDescent="0.25">
      <c r="B161" s="36"/>
      <c r="C161" s="36"/>
      <c r="D161" s="45" t="s">
        <v>273</v>
      </c>
      <c r="E161" s="36">
        <v>324</v>
      </c>
      <c r="F161" s="36"/>
      <c r="G161" s="36">
        <v>324</v>
      </c>
      <c r="H161" s="28"/>
      <c r="I161" s="28"/>
      <c r="J161" s="28"/>
      <c r="K161" s="49">
        <v>84882500</v>
      </c>
      <c r="L161" s="49">
        <v>250805600</v>
      </c>
      <c r="M161" s="36"/>
      <c r="N161" s="36">
        <v>15</v>
      </c>
    </row>
    <row r="162" spans="2:14" ht="29.45" customHeight="1" x14ac:dyDescent="0.25">
      <c r="B162" s="36"/>
      <c r="C162" s="36"/>
      <c r="D162" s="45" t="s">
        <v>274</v>
      </c>
      <c r="E162" s="36">
        <v>918</v>
      </c>
      <c r="F162" s="36"/>
      <c r="G162" s="36">
        <v>918</v>
      </c>
      <c r="H162" s="28"/>
      <c r="I162" s="29"/>
      <c r="J162" s="29"/>
      <c r="K162" s="49">
        <v>65077400</v>
      </c>
      <c r="L162" s="49">
        <v>1696283285</v>
      </c>
      <c r="M162" s="36">
        <v>1</v>
      </c>
      <c r="N162" s="36">
        <v>18</v>
      </c>
    </row>
    <row r="163" spans="2:14" ht="29.45" customHeight="1" x14ac:dyDescent="0.25">
      <c r="B163" s="36"/>
      <c r="C163" s="36"/>
      <c r="D163" s="45" t="s">
        <v>275</v>
      </c>
      <c r="E163" s="36">
        <v>152</v>
      </c>
      <c r="F163" s="36"/>
      <c r="G163" s="36">
        <v>152</v>
      </c>
      <c r="H163" s="28"/>
      <c r="I163" s="29"/>
      <c r="J163" s="29"/>
      <c r="K163" s="49">
        <v>9503500</v>
      </c>
      <c r="L163" s="49">
        <v>67150500</v>
      </c>
      <c r="M163" s="36"/>
      <c r="N163" s="36">
        <v>2</v>
      </c>
    </row>
    <row r="164" spans="2:14" ht="21" x14ac:dyDescent="0.25">
      <c r="B164" s="36"/>
      <c r="C164" s="36"/>
      <c r="D164" s="45" t="s">
        <v>276</v>
      </c>
      <c r="E164" s="36">
        <v>78</v>
      </c>
      <c r="F164" s="36">
        <v>0</v>
      </c>
      <c r="G164" s="36">
        <v>78</v>
      </c>
      <c r="H164" s="28"/>
      <c r="I164" s="29"/>
      <c r="J164" s="29"/>
      <c r="K164" s="49">
        <v>8375500</v>
      </c>
      <c r="L164" s="49">
        <v>130839500</v>
      </c>
      <c r="M164" s="36"/>
      <c r="N164" s="36"/>
    </row>
    <row r="165" spans="2:14" ht="21" x14ac:dyDescent="0.25">
      <c r="B165" s="36"/>
      <c r="C165" s="36"/>
      <c r="D165" s="45" t="s">
        <v>277</v>
      </c>
      <c r="E165" s="36">
        <v>81</v>
      </c>
      <c r="F165" s="36">
        <v>0</v>
      </c>
      <c r="G165" s="36">
        <v>81</v>
      </c>
      <c r="H165" s="28"/>
      <c r="I165" s="29"/>
      <c r="J165" s="29"/>
      <c r="K165" s="49">
        <v>10464576</v>
      </c>
      <c r="L165" s="49">
        <v>59043424</v>
      </c>
      <c r="M165" s="36">
        <v>0</v>
      </c>
      <c r="N165" s="36">
        <v>0</v>
      </c>
    </row>
    <row r="166" spans="2:14" ht="21" x14ac:dyDescent="0.25">
      <c r="B166" s="36"/>
      <c r="C166" s="36"/>
      <c r="D166" s="45" t="s">
        <v>278</v>
      </c>
      <c r="E166" s="36">
        <v>22</v>
      </c>
      <c r="F166" s="36">
        <v>0</v>
      </c>
      <c r="G166" s="36">
        <v>22</v>
      </c>
      <c r="H166" s="28"/>
      <c r="I166" s="29"/>
      <c r="J166" s="29"/>
      <c r="K166" s="49">
        <v>968000</v>
      </c>
      <c r="L166" s="49">
        <v>12480000</v>
      </c>
      <c r="M166" s="36">
        <v>0</v>
      </c>
      <c r="N166" s="36">
        <v>0</v>
      </c>
    </row>
    <row r="167" spans="2:14" ht="21" x14ac:dyDescent="0.25">
      <c r="B167" s="36"/>
      <c r="C167" s="36"/>
      <c r="D167" s="45" t="s">
        <v>279</v>
      </c>
      <c r="E167" s="36">
        <v>61</v>
      </c>
      <c r="F167" s="36">
        <v>1</v>
      </c>
      <c r="G167" s="36">
        <v>60</v>
      </c>
      <c r="H167" s="28"/>
      <c r="I167" s="29"/>
      <c r="J167" s="29"/>
      <c r="K167" s="49">
        <v>10340499</v>
      </c>
      <c r="L167" s="49">
        <v>136701001</v>
      </c>
      <c r="M167" s="36">
        <v>1</v>
      </c>
      <c r="N167" s="36">
        <v>3</v>
      </c>
    </row>
    <row r="168" spans="2:14" ht="21" x14ac:dyDescent="0.25">
      <c r="B168" s="36"/>
      <c r="C168" s="36"/>
      <c r="D168" s="45" t="s">
        <v>280</v>
      </c>
      <c r="E168" s="36">
        <v>94</v>
      </c>
      <c r="F168" s="36">
        <v>0</v>
      </c>
      <c r="G168" s="36">
        <v>94</v>
      </c>
      <c r="H168" s="28"/>
      <c r="I168" s="29"/>
      <c r="J168" s="29"/>
      <c r="K168" s="49">
        <v>6776000</v>
      </c>
      <c r="L168" s="49">
        <v>222188500</v>
      </c>
      <c r="M168" s="36">
        <v>0</v>
      </c>
      <c r="N168" s="36">
        <v>0</v>
      </c>
    </row>
    <row r="169" spans="2:14" ht="21" x14ac:dyDescent="0.25">
      <c r="B169" s="36"/>
      <c r="C169" s="36"/>
      <c r="D169" s="45" t="s">
        <v>281</v>
      </c>
      <c r="E169" s="36">
        <v>168</v>
      </c>
      <c r="F169" s="36">
        <v>0</v>
      </c>
      <c r="G169" s="36">
        <v>168</v>
      </c>
      <c r="H169" s="28"/>
      <c r="I169" s="29"/>
      <c r="J169" s="29"/>
      <c r="K169" s="49">
        <v>11568400</v>
      </c>
      <c r="L169" s="49">
        <v>168213100</v>
      </c>
      <c r="M169" s="36">
        <v>2</v>
      </c>
      <c r="N169" s="36">
        <v>0</v>
      </c>
    </row>
    <row r="170" spans="2:14" ht="21" x14ac:dyDescent="0.25">
      <c r="B170" s="36"/>
      <c r="C170" s="36"/>
      <c r="D170" s="45" t="s">
        <v>282</v>
      </c>
      <c r="E170" s="36">
        <v>88</v>
      </c>
      <c r="F170" s="36">
        <v>1</v>
      </c>
      <c r="G170" s="36">
        <v>87</v>
      </c>
      <c r="H170" s="28"/>
      <c r="I170" s="29"/>
      <c r="J170" s="29"/>
      <c r="K170" s="49">
        <v>11903500</v>
      </c>
      <c r="L170" s="49">
        <v>70921000</v>
      </c>
      <c r="M170" s="36">
        <v>0</v>
      </c>
      <c r="N170" s="36">
        <v>2</v>
      </c>
    </row>
    <row r="171" spans="2:14" ht="42" x14ac:dyDescent="0.25">
      <c r="B171" s="36"/>
      <c r="C171" s="36"/>
      <c r="D171" s="45" t="s">
        <v>283</v>
      </c>
      <c r="E171" s="46">
        <f>SUM(E159:E170)</f>
        <v>2248</v>
      </c>
      <c r="F171" s="46">
        <f t="shared" ref="F171:N171" si="6">SUM(F159:F170)</f>
        <v>2</v>
      </c>
      <c r="G171" s="46">
        <f t="shared" si="6"/>
        <v>2246</v>
      </c>
      <c r="H171" s="46">
        <f t="shared" si="6"/>
        <v>0</v>
      </c>
      <c r="I171" s="46">
        <f t="shared" si="6"/>
        <v>0</v>
      </c>
      <c r="J171" s="46">
        <f t="shared" si="6"/>
        <v>0</v>
      </c>
      <c r="K171" s="50">
        <f t="shared" si="6"/>
        <v>238815375</v>
      </c>
      <c r="L171" s="50">
        <f t="shared" si="6"/>
        <v>3043482910</v>
      </c>
      <c r="M171" s="46">
        <f t="shared" si="6"/>
        <v>6</v>
      </c>
      <c r="N171" s="46">
        <f t="shared" si="6"/>
        <v>40</v>
      </c>
    </row>
    <row r="174" spans="2:14" ht="37.5" customHeight="1" x14ac:dyDescent="0.25">
      <c r="B174" s="568" t="s">
        <v>297</v>
      </c>
      <c r="C174" s="569"/>
      <c r="D174" s="569"/>
      <c r="E174" s="569"/>
      <c r="F174" s="569"/>
      <c r="G174" s="569"/>
      <c r="H174" s="569"/>
      <c r="I174" s="569"/>
      <c r="J174" s="569"/>
      <c r="K174" s="569"/>
      <c r="L174" s="569"/>
      <c r="M174" s="569"/>
      <c r="N174" s="569"/>
    </row>
    <row r="175" spans="2:14" ht="40.5" x14ac:dyDescent="0.25">
      <c r="B175" s="564" t="s">
        <v>0</v>
      </c>
      <c r="C175" s="561" t="s">
        <v>1</v>
      </c>
      <c r="D175" s="561" t="s">
        <v>2</v>
      </c>
      <c r="E175" s="561" t="s">
        <v>3</v>
      </c>
      <c r="F175" s="561" t="s">
        <v>61</v>
      </c>
      <c r="G175" s="561"/>
      <c r="H175" s="561"/>
      <c r="I175" s="562" t="s">
        <v>62</v>
      </c>
      <c r="J175" s="561" t="s">
        <v>11</v>
      </c>
      <c r="K175" s="561"/>
      <c r="L175" s="561" t="s">
        <v>13</v>
      </c>
      <c r="M175" s="561"/>
      <c r="N175" s="9" t="s">
        <v>12</v>
      </c>
    </row>
    <row r="176" spans="2:14" ht="43.5" customHeight="1" x14ac:dyDescent="0.25">
      <c r="B176" s="564"/>
      <c r="C176" s="561"/>
      <c r="D176" s="561"/>
      <c r="E176" s="561"/>
      <c r="F176" s="9" t="s">
        <v>63</v>
      </c>
      <c r="G176" s="9" t="s">
        <v>64</v>
      </c>
      <c r="H176" s="9" t="s">
        <v>65</v>
      </c>
      <c r="I176" s="562"/>
      <c r="J176" s="9" t="s">
        <v>14</v>
      </c>
      <c r="K176" s="9" t="s">
        <v>15</v>
      </c>
      <c r="L176" s="9" t="s">
        <v>14</v>
      </c>
      <c r="M176" s="9" t="s">
        <v>15</v>
      </c>
      <c r="N176" s="9" t="s">
        <v>14</v>
      </c>
    </row>
    <row r="177" spans="2:14" ht="20.25" x14ac:dyDescent="0.25">
      <c r="B177" s="12">
        <v>1</v>
      </c>
      <c r="C177" s="12">
        <v>2</v>
      </c>
      <c r="D177" s="12"/>
      <c r="E177" s="12">
        <v>3</v>
      </c>
      <c r="F177" s="12">
        <v>4</v>
      </c>
      <c r="G177" s="12">
        <v>5</v>
      </c>
      <c r="H177" s="12">
        <v>6</v>
      </c>
      <c r="I177" s="48">
        <v>7</v>
      </c>
      <c r="J177" s="12">
        <v>8</v>
      </c>
      <c r="K177" s="12">
        <v>9</v>
      </c>
      <c r="L177" s="12">
        <v>10</v>
      </c>
      <c r="M177" s="12">
        <v>11</v>
      </c>
      <c r="N177" s="12">
        <v>12</v>
      </c>
    </row>
    <row r="178" spans="2:14" ht="18.75" x14ac:dyDescent="0.25">
      <c r="B178" s="22"/>
      <c r="C178" s="51" t="s">
        <v>285</v>
      </c>
      <c r="D178" s="22"/>
      <c r="E178" s="22">
        <v>14</v>
      </c>
      <c r="F178" s="22">
        <v>1</v>
      </c>
      <c r="G178" s="22">
        <v>7</v>
      </c>
      <c r="H178" s="22">
        <v>6</v>
      </c>
      <c r="I178" s="52"/>
      <c r="J178" s="22">
        <v>8</v>
      </c>
      <c r="K178" s="22"/>
      <c r="L178" s="22">
        <v>7</v>
      </c>
      <c r="M178" s="22">
        <v>1</v>
      </c>
      <c r="N178" s="22">
        <v>4</v>
      </c>
    </row>
    <row r="179" spans="2:14" ht="18.75" x14ac:dyDescent="0.25">
      <c r="B179" s="22"/>
      <c r="C179" s="51" t="s">
        <v>286</v>
      </c>
      <c r="D179" s="22"/>
      <c r="E179" s="22">
        <v>30</v>
      </c>
      <c r="F179" s="22">
        <v>16</v>
      </c>
      <c r="G179" s="22">
        <v>5</v>
      </c>
      <c r="H179" s="22">
        <v>9</v>
      </c>
      <c r="I179" s="52"/>
      <c r="J179" s="22">
        <v>64</v>
      </c>
      <c r="K179" s="22"/>
      <c r="L179" s="22">
        <v>24</v>
      </c>
      <c r="M179" s="22"/>
      <c r="N179" s="22">
        <v>13</v>
      </c>
    </row>
    <row r="180" spans="2:14" ht="18.75" x14ac:dyDescent="0.25">
      <c r="B180" s="22"/>
      <c r="C180" s="51" t="s">
        <v>287</v>
      </c>
      <c r="D180" s="22"/>
      <c r="E180" s="22">
        <v>19</v>
      </c>
      <c r="F180" s="22"/>
      <c r="G180" s="22">
        <v>12</v>
      </c>
      <c r="H180" s="22">
        <v>7</v>
      </c>
      <c r="I180" s="52"/>
      <c r="J180" s="22">
        <v>10</v>
      </c>
      <c r="K180" s="22"/>
      <c r="L180" s="22">
        <v>16</v>
      </c>
      <c r="M180" s="22"/>
      <c r="N180" s="22">
        <v>7</v>
      </c>
    </row>
    <row r="181" spans="2:14" ht="18.75" x14ac:dyDescent="0.25">
      <c r="B181" s="22"/>
      <c r="C181" s="51" t="s">
        <v>288</v>
      </c>
      <c r="D181" s="22"/>
      <c r="E181" s="22">
        <v>22</v>
      </c>
      <c r="F181" s="22">
        <v>3</v>
      </c>
      <c r="G181" s="22">
        <v>5</v>
      </c>
      <c r="H181" s="22">
        <v>14</v>
      </c>
      <c r="I181" s="52"/>
      <c r="J181" s="22">
        <v>16</v>
      </c>
      <c r="K181" s="22">
        <v>1</v>
      </c>
      <c r="L181" s="22">
        <v>16</v>
      </c>
      <c r="M181" s="22"/>
      <c r="N181" s="22">
        <v>9</v>
      </c>
    </row>
    <row r="182" spans="2:14" ht="18.75" x14ac:dyDescent="0.25">
      <c r="B182" s="22"/>
      <c r="C182" s="51" t="s">
        <v>289</v>
      </c>
      <c r="D182" s="22"/>
      <c r="E182" s="22">
        <v>31</v>
      </c>
      <c r="F182" s="22">
        <v>6</v>
      </c>
      <c r="G182" s="22">
        <v>13</v>
      </c>
      <c r="H182" s="22">
        <v>13</v>
      </c>
      <c r="I182" s="52"/>
      <c r="J182" s="22">
        <v>10</v>
      </c>
      <c r="K182" s="22">
        <v>2</v>
      </c>
      <c r="L182" s="22">
        <v>18</v>
      </c>
      <c r="M182" s="22">
        <v>6</v>
      </c>
      <c r="N182" s="22"/>
    </row>
    <row r="183" spans="2:14" ht="18.75" x14ac:dyDescent="0.25">
      <c r="B183" s="22"/>
      <c r="C183" s="51" t="s">
        <v>290</v>
      </c>
      <c r="D183" s="22"/>
      <c r="E183" s="22">
        <v>57</v>
      </c>
      <c r="F183" s="22">
        <v>4</v>
      </c>
      <c r="G183" s="22">
        <v>16</v>
      </c>
      <c r="H183" s="22">
        <v>38</v>
      </c>
      <c r="I183" s="52">
        <v>0</v>
      </c>
      <c r="J183" s="22">
        <v>7</v>
      </c>
      <c r="K183" s="22">
        <v>0</v>
      </c>
      <c r="L183" s="22">
        <v>10</v>
      </c>
      <c r="M183" s="22">
        <v>1</v>
      </c>
      <c r="N183" s="22">
        <v>68</v>
      </c>
    </row>
    <row r="184" spans="2:14" ht="18.75" x14ac:dyDescent="0.25">
      <c r="B184" s="22"/>
      <c r="C184" s="51" t="s">
        <v>291</v>
      </c>
      <c r="D184" s="22"/>
      <c r="E184" s="22">
        <v>69</v>
      </c>
      <c r="F184" s="22">
        <v>16</v>
      </c>
      <c r="G184" s="22">
        <v>29</v>
      </c>
      <c r="H184" s="22">
        <v>24</v>
      </c>
      <c r="I184" s="52"/>
      <c r="J184" s="22">
        <v>15</v>
      </c>
      <c r="K184" s="22">
        <v>0</v>
      </c>
      <c r="L184" s="22">
        <v>8</v>
      </c>
      <c r="M184" s="22">
        <v>1</v>
      </c>
      <c r="N184" s="22">
        <v>60</v>
      </c>
    </row>
    <row r="185" spans="2:14" ht="18.75" x14ac:dyDescent="0.25">
      <c r="B185" s="22"/>
      <c r="C185" s="51" t="s">
        <v>292</v>
      </c>
      <c r="D185" s="22"/>
      <c r="E185" s="22">
        <v>48</v>
      </c>
      <c r="F185" s="22">
        <v>0</v>
      </c>
      <c r="G185" s="22">
        <v>3</v>
      </c>
      <c r="H185" s="22">
        <v>45</v>
      </c>
      <c r="I185" s="52"/>
      <c r="J185" s="22">
        <v>5</v>
      </c>
      <c r="K185" s="22">
        <v>0</v>
      </c>
      <c r="L185" s="22">
        <v>21</v>
      </c>
      <c r="M185" s="22">
        <v>9</v>
      </c>
      <c r="N185" s="22">
        <v>7</v>
      </c>
    </row>
    <row r="186" spans="2:14" ht="18.75" x14ac:dyDescent="0.25">
      <c r="B186" s="22"/>
      <c r="C186" s="51" t="s">
        <v>293</v>
      </c>
      <c r="D186" s="22"/>
      <c r="E186" s="22">
        <v>40</v>
      </c>
      <c r="F186" s="22">
        <v>0</v>
      </c>
      <c r="G186" s="22">
        <v>11</v>
      </c>
      <c r="H186" s="22">
        <v>29</v>
      </c>
      <c r="I186" s="52"/>
      <c r="J186" s="22">
        <v>17</v>
      </c>
      <c r="K186" s="22">
        <v>0</v>
      </c>
      <c r="L186" s="22">
        <v>9</v>
      </c>
      <c r="M186" s="22">
        <v>4</v>
      </c>
      <c r="N186" s="22">
        <v>9</v>
      </c>
    </row>
    <row r="187" spans="2:14" ht="18.75" x14ac:dyDescent="0.25">
      <c r="B187" s="22"/>
      <c r="C187" s="51" t="s">
        <v>294</v>
      </c>
      <c r="D187" s="22"/>
      <c r="E187" s="22">
        <v>100</v>
      </c>
      <c r="F187" s="22">
        <v>20</v>
      </c>
      <c r="G187" s="22">
        <v>30</v>
      </c>
      <c r="H187" s="22">
        <v>59</v>
      </c>
      <c r="I187" s="52"/>
      <c r="J187" s="22">
        <v>28</v>
      </c>
      <c r="K187" s="22">
        <v>1</v>
      </c>
      <c r="L187" s="22">
        <v>11</v>
      </c>
      <c r="M187" s="22">
        <v>29</v>
      </c>
      <c r="N187" s="22">
        <v>56</v>
      </c>
    </row>
    <row r="188" spans="2:14" ht="18.75" x14ac:dyDescent="0.25">
      <c r="B188" s="22"/>
      <c r="C188" s="51" t="s">
        <v>295</v>
      </c>
      <c r="D188" s="22"/>
      <c r="E188" s="22">
        <v>25</v>
      </c>
      <c r="F188" s="22">
        <v>0</v>
      </c>
      <c r="G188" s="22">
        <v>8</v>
      </c>
      <c r="H188" s="22">
        <v>17</v>
      </c>
      <c r="I188" s="52"/>
      <c r="J188" s="22">
        <v>11</v>
      </c>
      <c r="K188" s="22">
        <v>0</v>
      </c>
      <c r="L188" s="22">
        <v>2</v>
      </c>
      <c r="M188" s="22">
        <v>5</v>
      </c>
      <c r="N188" s="22">
        <v>17</v>
      </c>
    </row>
    <row r="189" spans="2:14" ht="18.75" x14ac:dyDescent="0.25">
      <c r="B189" s="22"/>
      <c r="C189" s="51" t="s">
        <v>296</v>
      </c>
      <c r="D189" s="22"/>
      <c r="E189" s="22">
        <v>21</v>
      </c>
      <c r="F189" s="22">
        <v>0</v>
      </c>
      <c r="G189" s="22">
        <v>8</v>
      </c>
      <c r="H189" s="22">
        <v>13</v>
      </c>
      <c r="I189" s="52"/>
      <c r="J189" s="22">
        <v>8</v>
      </c>
      <c r="K189" s="22">
        <v>0</v>
      </c>
      <c r="L189" s="22">
        <v>7</v>
      </c>
      <c r="M189" s="22">
        <v>3</v>
      </c>
      <c r="N189" s="22">
        <v>18</v>
      </c>
    </row>
    <row r="190" spans="2:14" ht="23.25" customHeight="1" x14ac:dyDescent="0.25">
      <c r="B190" s="22"/>
      <c r="C190" s="51" t="s">
        <v>283</v>
      </c>
      <c r="D190" s="22"/>
      <c r="E190" s="22">
        <f>SUM(E178:E189)</f>
        <v>476</v>
      </c>
      <c r="F190" s="22">
        <f t="shared" ref="F190:N190" si="7">SUM(F178:F189)</f>
        <v>66</v>
      </c>
      <c r="G190" s="22">
        <f t="shared" si="7"/>
        <v>147</v>
      </c>
      <c r="H190" s="22">
        <f t="shared" si="7"/>
        <v>274</v>
      </c>
      <c r="I190" s="22">
        <f t="shared" si="7"/>
        <v>0</v>
      </c>
      <c r="J190" s="22">
        <f t="shared" si="7"/>
        <v>199</v>
      </c>
      <c r="K190" s="22">
        <f t="shared" si="7"/>
        <v>4</v>
      </c>
      <c r="L190" s="22">
        <f t="shared" si="7"/>
        <v>149</v>
      </c>
      <c r="M190" s="22">
        <f t="shared" si="7"/>
        <v>59</v>
      </c>
      <c r="N190" s="22">
        <f t="shared" si="7"/>
        <v>268</v>
      </c>
    </row>
    <row r="193" spans="1:16" ht="51" customHeight="1" x14ac:dyDescent="0.25">
      <c r="A193" s="1"/>
      <c r="B193" s="542" t="s">
        <v>195</v>
      </c>
      <c r="C193" s="542"/>
      <c r="D193" s="542"/>
      <c r="E193" s="542"/>
      <c r="F193" s="542"/>
      <c r="G193" s="542"/>
      <c r="H193" s="542"/>
      <c r="I193" s="542"/>
      <c r="J193" s="542"/>
      <c r="K193" s="542"/>
      <c r="L193" s="542"/>
      <c r="M193" s="2"/>
      <c r="N193" s="31"/>
    </row>
    <row r="194" spans="1:16" ht="21" x14ac:dyDescent="0.25">
      <c r="A194" s="543" t="s">
        <v>0</v>
      </c>
      <c r="B194" s="543" t="s">
        <v>92</v>
      </c>
      <c r="C194" s="480" t="s">
        <v>3</v>
      </c>
      <c r="D194" s="480" t="s">
        <v>4</v>
      </c>
      <c r="E194" s="480" t="s">
        <v>5</v>
      </c>
      <c r="F194" s="480" t="s">
        <v>62</v>
      </c>
      <c r="G194" s="480" t="s">
        <v>11</v>
      </c>
      <c r="H194" s="480"/>
      <c r="I194" s="480" t="s">
        <v>12</v>
      </c>
      <c r="J194" s="480"/>
      <c r="K194" s="480" t="s">
        <v>13</v>
      </c>
      <c r="L194" s="480"/>
      <c r="M194" s="2"/>
      <c r="N194" s="31"/>
    </row>
    <row r="195" spans="1:16" ht="30" customHeight="1" x14ac:dyDescent="0.25">
      <c r="A195" s="543"/>
      <c r="B195" s="543"/>
      <c r="C195" s="480"/>
      <c r="D195" s="480"/>
      <c r="E195" s="480"/>
      <c r="F195" s="480"/>
      <c r="G195" s="13" t="s">
        <v>14</v>
      </c>
      <c r="H195" s="13" t="s">
        <v>15</v>
      </c>
      <c r="I195" s="13" t="s">
        <v>14</v>
      </c>
      <c r="J195" s="13" t="s">
        <v>15</v>
      </c>
      <c r="K195" s="13" t="s">
        <v>14</v>
      </c>
      <c r="L195" s="13" t="s">
        <v>15</v>
      </c>
      <c r="M195" s="2"/>
      <c r="N195" s="31"/>
    </row>
    <row r="196" spans="1:16" ht="37.5" customHeight="1" x14ac:dyDescent="0.25">
      <c r="A196" s="30">
        <v>1</v>
      </c>
      <c r="B196" s="30">
        <v>2018</v>
      </c>
      <c r="C196" s="30">
        <v>396</v>
      </c>
      <c r="D196" s="13" t="s">
        <v>18</v>
      </c>
      <c r="E196" s="30">
        <v>396</v>
      </c>
      <c r="F196" s="13" t="s">
        <v>18</v>
      </c>
      <c r="G196" s="30">
        <v>271</v>
      </c>
      <c r="H196" s="13" t="s">
        <v>18</v>
      </c>
      <c r="I196" s="13" t="s">
        <v>18</v>
      </c>
      <c r="J196" s="30">
        <v>244</v>
      </c>
      <c r="K196" s="30">
        <v>0</v>
      </c>
      <c r="L196" s="13" t="s">
        <v>18</v>
      </c>
      <c r="M196" s="2"/>
      <c r="N196" s="31"/>
    </row>
    <row r="197" spans="1:16" ht="37.5" customHeight="1" x14ac:dyDescent="0.25">
      <c r="A197" s="30">
        <v>2</v>
      </c>
      <c r="B197" s="30">
        <v>2019</v>
      </c>
      <c r="C197" s="30">
        <v>337</v>
      </c>
      <c r="D197" s="13" t="s">
        <v>18</v>
      </c>
      <c r="E197" s="30">
        <v>337</v>
      </c>
      <c r="F197" s="13" t="s">
        <v>18</v>
      </c>
      <c r="G197" s="30">
        <v>58</v>
      </c>
      <c r="H197" s="30">
        <v>10</v>
      </c>
      <c r="I197" s="30">
        <v>400</v>
      </c>
      <c r="J197" s="30">
        <v>17</v>
      </c>
      <c r="K197" s="30">
        <v>31</v>
      </c>
      <c r="L197" s="13" t="s">
        <v>18</v>
      </c>
      <c r="M197" s="2"/>
      <c r="N197" s="31"/>
    </row>
    <row r="198" spans="1:16" ht="37.5" customHeight="1" x14ac:dyDescent="0.25">
      <c r="A198" s="30">
        <v>3</v>
      </c>
      <c r="B198" s="30">
        <v>2020</v>
      </c>
      <c r="C198" s="30">
        <v>321</v>
      </c>
      <c r="D198" s="13" t="s">
        <v>18</v>
      </c>
      <c r="E198" s="30">
        <v>321</v>
      </c>
      <c r="F198" s="13" t="s">
        <v>18</v>
      </c>
      <c r="G198" s="30">
        <v>102</v>
      </c>
      <c r="H198" s="30">
        <v>23</v>
      </c>
      <c r="I198" s="30">
        <v>220</v>
      </c>
      <c r="J198" s="30">
        <v>87</v>
      </c>
      <c r="K198" s="30">
        <v>46</v>
      </c>
      <c r="L198" s="30">
        <v>5</v>
      </c>
      <c r="M198" s="2"/>
      <c r="N198" s="31"/>
    </row>
    <row r="199" spans="1:16" ht="43.9" customHeight="1" x14ac:dyDescent="0.25">
      <c r="A199" s="30">
        <v>4</v>
      </c>
      <c r="B199" s="13" t="s">
        <v>298</v>
      </c>
      <c r="C199" s="22">
        <v>476</v>
      </c>
      <c r="D199" s="22">
        <f>SUM(D187:D198)</f>
        <v>0</v>
      </c>
      <c r="E199" s="22">
        <v>476</v>
      </c>
      <c r="F199" s="22"/>
      <c r="G199" s="22">
        <v>199</v>
      </c>
      <c r="H199" s="22">
        <v>4</v>
      </c>
      <c r="I199" s="22">
        <v>268</v>
      </c>
      <c r="J199" s="22">
        <v>29</v>
      </c>
      <c r="K199" s="22">
        <v>149</v>
      </c>
      <c r="L199" s="22">
        <v>59</v>
      </c>
      <c r="M199" s="22">
        <f>SUM(M187:M198)</f>
        <v>96</v>
      </c>
      <c r="N199" s="31"/>
    </row>
    <row r="200" spans="1:16" ht="40.15" customHeight="1" x14ac:dyDescent="0.25">
      <c r="A200" s="30">
        <v>5</v>
      </c>
      <c r="B200" s="13" t="s">
        <v>102</v>
      </c>
      <c r="C200" s="30">
        <f>SUM(C196:C199)</f>
        <v>1530</v>
      </c>
      <c r="D200" s="13" t="s">
        <v>18</v>
      </c>
      <c r="E200" s="32">
        <f>SUM(E196:E199)</f>
        <v>1530</v>
      </c>
      <c r="F200" s="13" t="s">
        <v>18</v>
      </c>
      <c r="G200" s="32">
        <f t="shared" ref="G200:L200" si="8">SUM(G196:G199)</f>
        <v>630</v>
      </c>
      <c r="H200" s="32">
        <f t="shared" si="8"/>
        <v>37</v>
      </c>
      <c r="I200" s="32">
        <f t="shared" si="8"/>
        <v>888</v>
      </c>
      <c r="J200" s="32">
        <f t="shared" si="8"/>
        <v>377</v>
      </c>
      <c r="K200" s="32">
        <f t="shared" si="8"/>
        <v>226</v>
      </c>
      <c r="L200" s="32">
        <f t="shared" si="8"/>
        <v>64</v>
      </c>
      <c r="M200" s="2"/>
      <c r="N200" s="31"/>
    </row>
    <row r="202" spans="1:16" ht="62.25" customHeight="1" x14ac:dyDescent="0.25">
      <c r="B202" s="563" t="s">
        <v>299</v>
      </c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</row>
    <row r="203" spans="1:16" ht="31.5" customHeight="1" x14ac:dyDescent="0.25">
      <c r="B203" s="559" t="s">
        <v>322</v>
      </c>
      <c r="C203" s="559"/>
      <c r="D203" s="559"/>
      <c r="E203" s="559"/>
      <c r="F203" s="559"/>
      <c r="G203" s="559"/>
      <c r="H203" s="559"/>
      <c r="I203" s="559"/>
      <c r="J203" s="559"/>
      <c r="K203" s="559"/>
      <c r="L203" s="559"/>
      <c r="M203" s="559"/>
      <c r="N203" s="559"/>
    </row>
    <row r="204" spans="1:16" ht="30" customHeight="1" x14ac:dyDescent="0.25">
      <c r="B204" s="558" t="s">
        <v>182</v>
      </c>
      <c r="C204" s="528" t="s">
        <v>3</v>
      </c>
      <c r="D204" s="528" t="s">
        <v>4</v>
      </c>
      <c r="E204" s="528" t="s">
        <v>5</v>
      </c>
      <c r="F204" s="528" t="s">
        <v>6</v>
      </c>
      <c r="G204" s="558" t="s">
        <v>7</v>
      </c>
      <c r="H204" s="558" t="s">
        <v>8</v>
      </c>
      <c r="I204" s="528" t="s">
        <v>9</v>
      </c>
      <c r="J204" s="528" t="s">
        <v>183</v>
      </c>
      <c r="K204" s="528" t="s">
        <v>11</v>
      </c>
      <c r="L204" s="528"/>
      <c r="M204" s="528" t="s">
        <v>300</v>
      </c>
      <c r="N204" s="528"/>
      <c r="O204" s="528" t="s">
        <v>12</v>
      </c>
      <c r="P204" s="528"/>
    </row>
    <row r="205" spans="1:16" ht="30" customHeight="1" x14ac:dyDescent="0.25">
      <c r="B205" s="558"/>
      <c r="C205" s="528"/>
      <c r="D205" s="528"/>
      <c r="E205" s="528"/>
      <c r="F205" s="528"/>
      <c r="G205" s="558"/>
      <c r="H205" s="558"/>
      <c r="I205" s="528"/>
      <c r="J205" s="528"/>
      <c r="K205" s="35" t="s">
        <v>14</v>
      </c>
      <c r="L205" s="35" t="s">
        <v>15</v>
      </c>
      <c r="M205" s="35" t="s">
        <v>14</v>
      </c>
      <c r="N205" s="35" t="s">
        <v>15</v>
      </c>
      <c r="O205" s="35" t="s">
        <v>14</v>
      </c>
      <c r="P205" s="35" t="s">
        <v>15</v>
      </c>
    </row>
    <row r="206" spans="1:16" ht="30" customHeight="1" x14ac:dyDescent="0.25">
      <c r="B206" s="92">
        <v>3</v>
      </c>
      <c r="C206" s="35">
        <v>4</v>
      </c>
      <c r="D206" s="35">
        <v>5</v>
      </c>
      <c r="E206" s="35">
        <v>6</v>
      </c>
      <c r="F206" s="35">
        <v>7</v>
      </c>
      <c r="G206" s="35">
        <v>8</v>
      </c>
      <c r="H206" s="35">
        <v>9</v>
      </c>
      <c r="I206" s="35">
        <v>10</v>
      </c>
      <c r="J206" s="35">
        <v>11</v>
      </c>
      <c r="K206" s="35">
        <v>12</v>
      </c>
      <c r="L206" s="35">
        <v>13</v>
      </c>
      <c r="M206" s="35">
        <v>14</v>
      </c>
      <c r="N206" s="35">
        <v>15</v>
      </c>
      <c r="O206" s="35">
        <v>16</v>
      </c>
      <c r="P206" s="35">
        <v>17</v>
      </c>
    </row>
    <row r="207" spans="1:16" ht="30" customHeight="1" x14ac:dyDescent="0.25">
      <c r="B207" s="92" t="s">
        <v>196</v>
      </c>
      <c r="C207" s="35">
        <v>90</v>
      </c>
      <c r="D207" s="35">
        <v>0</v>
      </c>
      <c r="E207" s="35">
        <v>90</v>
      </c>
      <c r="F207" s="35">
        <v>0</v>
      </c>
      <c r="G207" s="35">
        <v>0</v>
      </c>
      <c r="H207" s="35">
        <v>2293000</v>
      </c>
      <c r="I207" s="35">
        <v>12796000</v>
      </c>
      <c r="J207" s="35">
        <v>84752000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5">
        <v>0</v>
      </c>
    </row>
    <row r="208" spans="1:16" ht="30" customHeight="1" x14ac:dyDescent="0.25">
      <c r="B208" s="92" t="s">
        <v>193</v>
      </c>
      <c r="C208" s="35">
        <v>77</v>
      </c>
      <c r="D208" s="35">
        <v>0</v>
      </c>
      <c r="E208" s="35">
        <v>77</v>
      </c>
      <c r="F208" s="35">
        <v>0</v>
      </c>
      <c r="G208" s="35">
        <v>0</v>
      </c>
      <c r="H208" s="35">
        <v>0</v>
      </c>
      <c r="I208" s="35">
        <v>7403398</v>
      </c>
      <c r="J208" s="35">
        <v>56066026</v>
      </c>
      <c r="K208" s="35">
        <v>1</v>
      </c>
      <c r="L208" s="35">
        <v>3</v>
      </c>
      <c r="M208" s="35">
        <v>1</v>
      </c>
      <c r="N208" s="35">
        <v>2</v>
      </c>
      <c r="O208" s="35">
        <v>1</v>
      </c>
      <c r="P208" s="35">
        <v>4</v>
      </c>
    </row>
    <row r="209" spans="2:16" ht="30" customHeight="1" x14ac:dyDescent="0.25">
      <c r="B209" s="92" t="s">
        <v>307</v>
      </c>
      <c r="C209" s="35">
        <v>165</v>
      </c>
      <c r="D209" s="35">
        <v>0</v>
      </c>
      <c r="E209" s="35">
        <v>165</v>
      </c>
      <c r="F209" s="35">
        <v>0</v>
      </c>
      <c r="G209" s="35">
        <v>0</v>
      </c>
      <c r="H209" s="35">
        <v>0</v>
      </c>
      <c r="I209" s="35">
        <v>11138994</v>
      </c>
      <c r="J209" s="35">
        <v>179688306</v>
      </c>
      <c r="K209" s="35">
        <v>0</v>
      </c>
      <c r="L209" s="35">
        <v>0</v>
      </c>
      <c r="M209" s="35">
        <v>1</v>
      </c>
      <c r="N209" s="35">
        <v>0</v>
      </c>
      <c r="O209" s="35">
        <v>0</v>
      </c>
      <c r="P209" s="35">
        <v>0</v>
      </c>
    </row>
    <row r="210" spans="2:16" ht="30" customHeight="1" x14ac:dyDescent="0.25">
      <c r="B210" s="92" t="s">
        <v>111</v>
      </c>
      <c r="C210" s="35">
        <v>498</v>
      </c>
      <c r="D210" s="35">
        <v>1</v>
      </c>
      <c r="E210" s="35">
        <v>497</v>
      </c>
      <c r="F210" s="35">
        <v>0</v>
      </c>
      <c r="G210" s="35">
        <v>0</v>
      </c>
      <c r="H210" s="35">
        <v>0</v>
      </c>
      <c r="I210" s="35">
        <v>48807737</v>
      </c>
      <c r="J210" s="35">
        <v>220412863</v>
      </c>
      <c r="K210" s="35">
        <v>0</v>
      </c>
      <c r="L210" s="35">
        <v>23</v>
      </c>
      <c r="M210" s="35">
        <v>50</v>
      </c>
      <c r="N210" s="35">
        <v>9</v>
      </c>
      <c r="O210" s="35">
        <v>30</v>
      </c>
      <c r="P210" s="35">
        <v>5</v>
      </c>
    </row>
    <row r="211" spans="2:16" ht="30" customHeight="1" x14ac:dyDescent="0.25">
      <c r="B211" s="92" t="s">
        <v>130</v>
      </c>
      <c r="C211" s="35">
        <v>219</v>
      </c>
      <c r="D211" s="35">
        <v>0</v>
      </c>
      <c r="E211" s="35">
        <v>219</v>
      </c>
      <c r="F211" s="35">
        <v>0</v>
      </c>
      <c r="G211" s="35">
        <v>0</v>
      </c>
      <c r="H211" s="35">
        <v>20000</v>
      </c>
      <c r="I211" s="35">
        <v>22237843</v>
      </c>
      <c r="J211" s="35">
        <v>99887246</v>
      </c>
      <c r="K211" s="35">
        <v>0</v>
      </c>
      <c r="L211" s="35">
        <v>1</v>
      </c>
      <c r="M211" s="35">
        <v>1</v>
      </c>
      <c r="N211" s="35">
        <v>0</v>
      </c>
      <c r="O211" s="35">
        <v>25</v>
      </c>
      <c r="P211" s="35">
        <v>0</v>
      </c>
    </row>
    <row r="212" spans="2:16" ht="30" customHeight="1" x14ac:dyDescent="0.25">
      <c r="B212" s="92" t="s">
        <v>131</v>
      </c>
      <c r="C212" s="35">
        <v>227</v>
      </c>
      <c r="D212" s="35">
        <v>1</v>
      </c>
      <c r="E212" s="35">
        <v>226</v>
      </c>
      <c r="F212" s="35">
        <v>0</v>
      </c>
      <c r="G212" s="35">
        <v>0</v>
      </c>
      <c r="H212" s="35">
        <v>60000</v>
      </c>
      <c r="I212" s="35">
        <v>19881500</v>
      </c>
      <c r="J212" s="35">
        <v>123788500</v>
      </c>
      <c r="K212" s="35">
        <v>0</v>
      </c>
      <c r="L212" s="35">
        <v>10</v>
      </c>
      <c r="M212" s="35">
        <v>0</v>
      </c>
      <c r="N212" s="35">
        <v>1</v>
      </c>
      <c r="O212" s="35">
        <v>0</v>
      </c>
      <c r="P212" s="35">
        <v>5</v>
      </c>
    </row>
    <row r="213" spans="2:16" ht="30" customHeight="1" x14ac:dyDescent="0.25">
      <c r="B213" s="92" t="s">
        <v>114</v>
      </c>
      <c r="C213" s="35">
        <v>82</v>
      </c>
      <c r="D213" s="35">
        <v>2</v>
      </c>
      <c r="E213" s="35">
        <v>80</v>
      </c>
      <c r="F213" s="35">
        <v>0</v>
      </c>
      <c r="G213" s="35">
        <v>0</v>
      </c>
      <c r="H213" s="35">
        <v>0</v>
      </c>
      <c r="I213" s="35">
        <v>7985200</v>
      </c>
      <c r="J213" s="35">
        <v>69559300</v>
      </c>
      <c r="K213" s="35">
        <v>0</v>
      </c>
      <c r="L213" s="35">
        <v>4</v>
      </c>
      <c r="M213" s="35">
        <v>1</v>
      </c>
      <c r="N213" s="35">
        <v>0</v>
      </c>
      <c r="O213" s="35">
        <v>0</v>
      </c>
      <c r="P213" s="35">
        <v>0</v>
      </c>
    </row>
    <row r="214" spans="2:16" ht="30" customHeight="1" x14ac:dyDescent="0.25">
      <c r="B214" s="92" t="s">
        <v>115</v>
      </c>
      <c r="C214" s="35">
        <v>72</v>
      </c>
      <c r="D214" s="35">
        <v>1</v>
      </c>
      <c r="E214" s="35">
        <v>71</v>
      </c>
      <c r="F214" s="35">
        <v>0</v>
      </c>
      <c r="G214" s="35">
        <v>0</v>
      </c>
      <c r="H214" s="35">
        <v>0</v>
      </c>
      <c r="I214" s="35">
        <v>8452500</v>
      </c>
      <c r="J214" s="35">
        <v>90427500</v>
      </c>
      <c r="K214" s="35">
        <v>0</v>
      </c>
      <c r="L214" s="35">
        <v>0</v>
      </c>
      <c r="M214" s="35">
        <v>2</v>
      </c>
      <c r="N214" s="35">
        <v>0</v>
      </c>
      <c r="O214" s="35">
        <v>0</v>
      </c>
      <c r="P214" s="35">
        <v>0</v>
      </c>
    </row>
    <row r="215" spans="2:16" ht="30" customHeight="1" x14ac:dyDescent="0.25">
      <c r="B215" s="92" t="s">
        <v>116</v>
      </c>
      <c r="C215" s="35">
        <v>46</v>
      </c>
      <c r="D215" s="35">
        <v>0</v>
      </c>
      <c r="E215" s="35">
        <v>46</v>
      </c>
      <c r="F215" s="35">
        <v>0</v>
      </c>
      <c r="G215" s="35">
        <v>0</v>
      </c>
      <c r="H215" s="35">
        <v>0</v>
      </c>
      <c r="I215" s="35">
        <v>6252300</v>
      </c>
      <c r="J215" s="35">
        <v>24071000</v>
      </c>
      <c r="K215" s="35">
        <v>0</v>
      </c>
      <c r="L215" s="35">
        <v>0</v>
      </c>
      <c r="M215" s="35">
        <v>0</v>
      </c>
      <c r="N215" s="35">
        <v>0</v>
      </c>
      <c r="O215" s="35">
        <v>0</v>
      </c>
      <c r="P215" s="35">
        <v>0</v>
      </c>
    </row>
    <row r="216" spans="2:16" ht="30" customHeight="1" x14ac:dyDescent="0.25">
      <c r="B216" s="92" t="s">
        <v>117</v>
      </c>
      <c r="C216" s="35">
        <v>130</v>
      </c>
      <c r="D216" s="35">
        <v>0</v>
      </c>
      <c r="E216" s="35">
        <v>130</v>
      </c>
      <c r="F216" s="35">
        <v>0</v>
      </c>
      <c r="G216" s="35">
        <v>0</v>
      </c>
      <c r="H216" s="35">
        <v>400000</v>
      </c>
      <c r="I216" s="35">
        <v>20247900</v>
      </c>
      <c r="J216" s="35">
        <v>111475870</v>
      </c>
      <c r="K216" s="35">
        <v>0</v>
      </c>
      <c r="L216" s="35">
        <v>0</v>
      </c>
      <c r="M216" s="35">
        <v>0</v>
      </c>
      <c r="N216" s="35">
        <v>0</v>
      </c>
      <c r="O216" s="35">
        <v>0</v>
      </c>
      <c r="P216" s="35">
        <v>0</v>
      </c>
    </row>
    <row r="217" spans="2:16" ht="30" customHeight="1" x14ac:dyDescent="0.25">
      <c r="B217" s="92" t="s">
        <v>134</v>
      </c>
      <c r="C217" s="35">
        <v>86</v>
      </c>
      <c r="D217" s="35">
        <v>0</v>
      </c>
      <c r="E217" s="35">
        <v>86</v>
      </c>
      <c r="F217" s="35">
        <v>0</v>
      </c>
      <c r="G217" s="35">
        <v>0</v>
      </c>
      <c r="H217" s="35">
        <v>0</v>
      </c>
      <c r="I217" s="35">
        <v>5500500</v>
      </c>
      <c r="J217" s="35">
        <v>32769500</v>
      </c>
      <c r="K217" s="35">
        <v>2</v>
      </c>
      <c r="L217" s="35">
        <v>0</v>
      </c>
      <c r="M217" s="35">
        <v>0</v>
      </c>
      <c r="N217" s="35">
        <v>0</v>
      </c>
      <c r="O217" s="35">
        <v>2</v>
      </c>
      <c r="P217" s="35">
        <v>0</v>
      </c>
    </row>
    <row r="218" spans="2:16" ht="30" customHeight="1" x14ac:dyDescent="0.25">
      <c r="B218" s="92" t="s">
        <v>318</v>
      </c>
      <c r="C218" s="35">
        <v>137</v>
      </c>
      <c r="D218" s="35">
        <v>0</v>
      </c>
      <c r="E218" s="35">
        <v>137</v>
      </c>
      <c r="F218" s="35">
        <v>0</v>
      </c>
      <c r="G218" s="35">
        <v>0</v>
      </c>
      <c r="H218" s="35">
        <v>0</v>
      </c>
      <c r="I218" s="35">
        <v>18643500</v>
      </c>
      <c r="J218" s="35">
        <v>158223304</v>
      </c>
      <c r="K218" s="35">
        <v>0</v>
      </c>
      <c r="L218" s="35">
        <v>0</v>
      </c>
      <c r="M218" s="35">
        <v>2</v>
      </c>
      <c r="N218" s="35">
        <v>0</v>
      </c>
      <c r="O218" s="35">
        <v>0</v>
      </c>
      <c r="P218" s="35">
        <v>2</v>
      </c>
    </row>
    <row r="219" spans="2:16" ht="30" customHeight="1" x14ac:dyDescent="0.25">
      <c r="B219" s="109" t="s">
        <v>60</v>
      </c>
      <c r="C219" s="108">
        <f>SUM(C207:C218)</f>
        <v>1829</v>
      </c>
      <c r="D219" s="108">
        <f t="shared" ref="D219:P219" si="9">SUM(D207:D218)</f>
        <v>5</v>
      </c>
      <c r="E219" s="108">
        <f t="shared" si="9"/>
        <v>1824</v>
      </c>
      <c r="F219" s="108">
        <f t="shared" si="9"/>
        <v>0</v>
      </c>
      <c r="G219" s="108">
        <f t="shared" si="9"/>
        <v>0</v>
      </c>
      <c r="H219" s="108">
        <f t="shared" si="9"/>
        <v>2773000</v>
      </c>
      <c r="I219" s="108">
        <f t="shared" si="9"/>
        <v>189347372</v>
      </c>
      <c r="J219" s="108">
        <f t="shared" si="9"/>
        <v>1251121415</v>
      </c>
      <c r="K219" s="108">
        <f t="shared" si="9"/>
        <v>3</v>
      </c>
      <c r="L219" s="108">
        <f t="shared" si="9"/>
        <v>41</v>
      </c>
      <c r="M219" s="108">
        <f t="shared" si="9"/>
        <v>58</v>
      </c>
      <c r="N219" s="108">
        <f t="shared" si="9"/>
        <v>12</v>
      </c>
      <c r="O219" s="108">
        <f t="shared" si="9"/>
        <v>58</v>
      </c>
      <c r="P219" s="108">
        <f t="shared" si="9"/>
        <v>16</v>
      </c>
    </row>
    <row r="220" spans="2:16" ht="21" x14ac:dyDescent="0.25">
      <c r="B220" s="31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31"/>
      <c r="P220" s="31"/>
    </row>
    <row r="221" spans="2:16" ht="50.25" customHeight="1" x14ac:dyDescent="0.25">
      <c r="B221" s="560" t="s">
        <v>324</v>
      </c>
      <c r="C221" s="560"/>
      <c r="D221" s="560"/>
      <c r="E221" s="560"/>
      <c r="F221" s="560"/>
      <c r="G221" s="560"/>
      <c r="H221" s="560"/>
      <c r="I221" s="560"/>
      <c r="J221" s="560"/>
      <c r="K221" s="560"/>
      <c r="L221" s="560"/>
      <c r="M221" s="560"/>
      <c r="N221" s="560"/>
      <c r="O221" s="31"/>
      <c r="P221" s="31"/>
    </row>
    <row r="222" spans="2:16" ht="21" x14ac:dyDescent="0.25">
      <c r="B222" s="558" t="s">
        <v>2</v>
      </c>
      <c r="C222" s="528" t="s">
        <v>3</v>
      </c>
      <c r="D222" s="528" t="s">
        <v>4</v>
      </c>
      <c r="E222" s="528" t="s">
        <v>5</v>
      </c>
      <c r="F222" s="528" t="s">
        <v>73</v>
      </c>
      <c r="G222" s="528" t="s">
        <v>9</v>
      </c>
      <c r="H222" s="528" t="s">
        <v>10</v>
      </c>
      <c r="I222" s="528" t="s">
        <v>11</v>
      </c>
      <c r="J222" s="528"/>
      <c r="K222" s="528" t="s">
        <v>12</v>
      </c>
      <c r="L222" s="528"/>
      <c r="M222" s="528" t="s">
        <v>13</v>
      </c>
      <c r="N222" s="528"/>
      <c r="O222" s="31"/>
      <c r="P222" s="31"/>
    </row>
    <row r="223" spans="2:16" ht="60.75" customHeight="1" x14ac:dyDescent="0.25">
      <c r="B223" s="558"/>
      <c r="C223" s="528"/>
      <c r="D223" s="528"/>
      <c r="E223" s="528"/>
      <c r="F223" s="528"/>
      <c r="G223" s="528"/>
      <c r="H223" s="528"/>
      <c r="I223" s="35" t="s">
        <v>14</v>
      </c>
      <c r="J223" s="35" t="s">
        <v>15</v>
      </c>
      <c r="K223" s="35" t="s">
        <v>14</v>
      </c>
      <c r="L223" s="35" t="s">
        <v>15</v>
      </c>
      <c r="M223" s="35" t="s">
        <v>14</v>
      </c>
      <c r="N223" s="35" t="s">
        <v>15</v>
      </c>
      <c r="O223" s="31"/>
      <c r="P223" s="31"/>
    </row>
    <row r="224" spans="2:16" ht="32.25" customHeight="1" x14ac:dyDescent="0.3">
      <c r="B224" s="105" t="s">
        <v>301</v>
      </c>
      <c r="C224" s="36">
        <v>3</v>
      </c>
      <c r="D224" s="36"/>
      <c r="E224" s="36">
        <v>3</v>
      </c>
      <c r="F224" s="106" t="s">
        <v>304</v>
      </c>
      <c r="G224" s="36">
        <v>10000</v>
      </c>
      <c r="H224" s="36">
        <v>20000</v>
      </c>
      <c r="I224" s="36">
        <v>0</v>
      </c>
      <c r="J224" s="36">
        <v>0</v>
      </c>
      <c r="K224" s="36">
        <v>0</v>
      </c>
      <c r="L224" s="36">
        <v>0</v>
      </c>
      <c r="M224" s="36">
        <v>0</v>
      </c>
      <c r="N224" s="36">
        <v>0</v>
      </c>
      <c r="O224" s="31"/>
      <c r="P224" s="31"/>
    </row>
    <row r="225" spans="2:16" ht="32.25" customHeight="1" x14ac:dyDescent="0.3">
      <c r="B225" s="105" t="s">
        <v>302</v>
      </c>
      <c r="C225" s="36">
        <v>3</v>
      </c>
      <c r="D225" s="36"/>
      <c r="E225" s="36">
        <v>3</v>
      </c>
      <c r="F225" s="106" t="s">
        <v>304</v>
      </c>
      <c r="G225" s="36">
        <v>20000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  <c r="M225" s="36">
        <v>0</v>
      </c>
      <c r="N225" s="36">
        <v>0</v>
      </c>
      <c r="O225" s="31"/>
      <c r="P225" s="31"/>
    </row>
    <row r="226" spans="2:16" ht="32.25" customHeight="1" x14ac:dyDescent="0.3">
      <c r="B226" s="105" t="s">
        <v>303</v>
      </c>
      <c r="C226" s="36">
        <v>67</v>
      </c>
      <c r="D226" s="36"/>
      <c r="E226" s="36">
        <v>67</v>
      </c>
      <c r="F226" s="106" t="s">
        <v>304</v>
      </c>
      <c r="G226" s="36">
        <v>138500</v>
      </c>
      <c r="H226" s="36">
        <v>9240000</v>
      </c>
      <c r="I226" s="36">
        <v>0</v>
      </c>
      <c r="J226" s="36">
        <v>0</v>
      </c>
      <c r="K226" s="36">
        <v>0</v>
      </c>
      <c r="L226" s="36">
        <v>0</v>
      </c>
      <c r="M226" s="36">
        <v>2</v>
      </c>
      <c r="N226" s="36">
        <v>0</v>
      </c>
      <c r="O226" s="31"/>
      <c r="P226" s="31"/>
    </row>
    <row r="227" spans="2:16" ht="32.25" customHeight="1" x14ac:dyDescent="0.3">
      <c r="B227" s="105" t="s">
        <v>319</v>
      </c>
      <c r="C227" s="36">
        <v>369</v>
      </c>
      <c r="D227" s="36"/>
      <c r="E227" s="36">
        <v>369</v>
      </c>
      <c r="F227" s="36"/>
      <c r="G227" s="36">
        <v>4327600</v>
      </c>
      <c r="H227" s="36">
        <v>178187900</v>
      </c>
      <c r="I227" s="36">
        <v>0</v>
      </c>
      <c r="J227" s="36">
        <v>0</v>
      </c>
      <c r="K227" s="36">
        <v>0</v>
      </c>
      <c r="L227" s="36">
        <v>0</v>
      </c>
      <c r="M227" s="36">
        <v>0</v>
      </c>
      <c r="N227" s="36">
        <v>0</v>
      </c>
      <c r="O227" s="31"/>
      <c r="P227" s="31"/>
    </row>
    <row r="228" spans="2:16" ht="32.25" customHeight="1" x14ac:dyDescent="0.3">
      <c r="B228" s="105" t="s">
        <v>130</v>
      </c>
      <c r="C228" s="36">
        <v>91</v>
      </c>
      <c r="D228" s="36"/>
      <c r="E228" s="36">
        <v>91</v>
      </c>
      <c r="F228" s="36"/>
      <c r="G228" s="36">
        <v>170500</v>
      </c>
      <c r="H228" s="36">
        <v>16617500</v>
      </c>
      <c r="I228" s="36">
        <v>0</v>
      </c>
      <c r="J228" s="36">
        <v>0</v>
      </c>
      <c r="K228" s="36">
        <v>0</v>
      </c>
      <c r="L228" s="36">
        <v>0</v>
      </c>
      <c r="M228" s="36">
        <v>0</v>
      </c>
      <c r="N228" s="36">
        <v>0</v>
      </c>
      <c r="O228" s="31"/>
      <c r="P228" s="31"/>
    </row>
    <row r="229" spans="2:16" ht="32.25" customHeight="1" x14ac:dyDescent="0.3">
      <c r="B229" s="105" t="s">
        <v>131</v>
      </c>
      <c r="C229" s="36">
        <v>123</v>
      </c>
      <c r="D229" s="36">
        <v>0</v>
      </c>
      <c r="E229" s="36">
        <v>123</v>
      </c>
      <c r="F229" s="36">
        <v>0</v>
      </c>
      <c r="G229" s="36">
        <v>402000</v>
      </c>
      <c r="H229" s="36">
        <v>34832000</v>
      </c>
      <c r="I229" s="36">
        <v>0</v>
      </c>
      <c r="J229" s="36">
        <v>0</v>
      </c>
      <c r="K229" s="36">
        <v>0</v>
      </c>
      <c r="L229" s="36">
        <v>0</v>
      </c>
      <c r="M229" s="36">
        <v>0</v>
      </c>
      <c r="N229" s="36">
        <v>0</v>
      </c>
      <c r="O229" s="31"/>
      <c r="P229" s="31"/>
    </row>
    <row r="230" spans="2:16" ht="32.25" customHeight="1" x14ac:dyDescent="0.3">
      <c r="B230" s="105" t="s">
        <v>114</v>
      </c>
      <c r="C230" s="36">
        <v>1</v>
      </c>
      <c r="D230" s="36">
        <v>0</v>
      </c>
      <c r="E230" s="36">
        <v>1</v>
      </c>
      <c r="F230" s="36">
        <v>0</v>
      </c>
      <c r="G230" s="36">
        <v>0</v>
      </c>
      <c r="H230" s="36">
        <v>0</v>
      </c>
      <c r="I230" s="36">
        <v>0</v>
      </c>
      <c r="J230" s="36">
        <v>0</v>
      </c>
      <c r="K230" s="36">
        <v>0</v>
      </c>
      <c r="L230" s="36">
        <v>0</v>
      </c>
      <c r="M230" s="36">
        <v>0</v>
      </c>
      <c r="N230" s="36">
        <v>0</v>
      </c>
      <c r="O230" s="31"/>
      <c r="P230" s="31"/>
    </row>
    <row r="231" spans="2:16" ht="32.25" customHeight="1" x14ac:dyDescent="0.3">
      <c r="B231" s="105" t="s">
        <v>115</v>
      </c>
      <c r="C231" s="36">
        <v>0</v>
      </c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1"/>
      <c r="P231" s="31"/>
    </row>
    <row r="232" spans="2:16" ht="32.25" customHeight="1" x14ac:dyDescent="0.3">
      <c r="B232" s="105" t="s">
        <v>116</v>
      </c>
      <c r="C232" s="36">
        <v>0</v>
      </c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1"/>
      <c r="P232" s="31"/>
    </row>
    <row r="233" spans="2:16" ht="32.25" customHeight="1" x14ac:dyDescent="0.3">
      <c r="B233" s="105" t="s">
        <v>117</v>
      </c>
      <c r="C233" s="36">
        <v>1</v>
      </c>
      <c r="D233" s="36"/>
      <c r="E233" s="36">
        <v>1</v>
      </c>
      <c r="F233" s="36"/>
      <c r="G233" s="36"/>
      <c r="H233" s="36"/>
      <c r="I233" s="36"/>
      <c r="J233" s="36"/>
      <c r="K233" s="36"/>
      <c r="L233" s="36"/>
      <c r="M233" s="36"/>
      <c r="N233" s="36"/>
      <c r="O233" s="31"/>
      <c r="P233" s="31"/>
    </row>
    <row r="234" spans="2:16" ht="32.25" customHeight="1" x14ac:dyDescent="0.3">
      <c r="B234" s="105" t="s">
        <v>134</v>
      </c>
      <c r="C234" s="36">
        <v>1</v>
      </c>
      <c r="D234" s="36">
        <v>0</v>
      </c>
      <c r="E234" s="36">
        <v>1</v>
      </c>
      <c r="F234" s="36">
        <v>0</v>
      </c>
      <c r="G234" s="36">
        <v>1000000</v>
      </c>
      <c r="H234" s="36">
        <v>999000</v>
      </c>
      <c r="I234" s="36">
        <v>0</v>
      </c>
      <c r="J234" s="36">
        <v>0</v>
      </c>
      <c r="K234" s="36">
        <v>0</v>
      </c>
      <c r="L234" s="36">
        <v>0</v>
      </c>
      <c r="M234" s="36">
        <v>0</v>
      </c>
      <c r="N234" s="36">
        <v>0</v>
      </c>
      <c r="O234" s="31"/>
      <c r="P234" s="31"/>
    </row>
    <row r="235" spans="2:16" ht="32.25" customHeight="1" x14ac:dyDescent="0.3">
      <c r="B235" s="105" t="s">
        <v>318</v>
      </c>
      <c r="C235" s="36">
        <v>11</v>
      </c>
      <c r="D235" s="36">
        <v>0</v>
      </c>
      <c r="E235" s="36">
        <v>11</v>
      </c>
      <c r="F235" s="36">
        <v>0</v>
      </c>
      <c r="G235" s="36">
        <v>251000</v>
      </c>
      <c r="H235" s="36">
        <v>6349000</v>
      </c>
      <c r="I235" s="36">
        <v>0</v>
      </c>
      <c r="J235" s="36">
        <v>0</v>
      </c>
      <c r="K235" s="36">
        <v>0</v>
      </c>
      <c r="L235" s="36">
        <v>0</v>
      </c>
      <c r="M235" s="36">
        <v>0</v>
      </c>
      <c r="N235" s="36">
        <v>0</v>
      </c>
      <c r="O235" s="31"/>
      <c r="P235" s="31"/>
    </row>
    <row r="236" spans="2:16" ht="32.25" customHeight="1" x14ac:dyDescent="0.3">
      <c r="B236" s="107" t="s">
        <v>102</v>
      </c>
      <c r="C236" s="108">
        <f>SUM(C224:C235)</f>
        <v>670</v>
      </c>
      <c r="D236" s="108">
        <f t="shared" ref="D236:N236" si="10">SUM(D224:D235)</f>
        <v>0</v>
      </c>
      <c r="E236" s="108">
        <f t="shared" si="10"/>
        <v>670</v>
      </c>
      <c r="F236" s="108">
        <f t="shared" si="10"/>
        <v>0</v>
      </c>
      <c r="G236" s="108">
        <f t="shared" si="10"/>
        <v>6319600</v>
      </c>
      <c r="H236" s="108">
        <f t="shared" si="10"/>
        <v>246245400</v>
      </c>
      <c r="I236" s="108">
        <f t="shared" si="10"/>
        <v>0</v>
      </c>
      <c r="J236" s="108">
        <f t="shared" si="10"/>
        <v>0</v>
      </c>
      <c r="K236" s="108">
        <f t="shared" si="10"/>
        <v>0</v>
      </c>
      <c r="L236" s="108">
        <f t="shared" si="10"/>
        <v>0</v>
      </c>
      <c r="M236" s="108">
        <f t="shared" si="10"/>
        <v>2</v>
      </c>
      <c r="N236" s="108">
        <f t="shared" si="10"/>
        <v>0</v>
      </c>
      <c r="O236" s="31"/>
      <c r="P236" s="31"/>
    </row>
    <row r="237" spans="2:16" s="4" customFormat="1" ht="32.25" customHeight="1" x14ac:dyDescent="0.3">
      <c r="B237" s="114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59"/>
      <c r="P237" s="59"/>
    </row>
    <row r="238" spans="2:16" ht="47.25" customHeight="1" x14ac:dyDescent="0.25">
      <c r="B238" s="555" t="s">
        <v>325</v>
      </c>
      <c r="C238" s="556"/>
      <c r="D238" s="556"/>
      <c r="E238" s="556"/>
      <c r="F238" s="556"/>
      <c r="G238" s="556"/>
      <c r="H238" s="556"/>
      <c r="I238" s="556"/>
      <c r="J238" s="556"/>
      <c r="K238" s="556"/>
      <c r="L238" s="556"/>
      <c r="M238" s="556"/>
      <c r="N238" s="556"/>
    </row>
    <row r="239" spans="2:16" ht="20.25" x14ac:dyDescent="0.25">
      <c r="B239" s="527" t="s">
        <v>1</v>
      </c>
      <c r="C239" s="527" t="s">
        <v>2</v>
      </c>
      <c r="D239" s="527" t="s">
        <v>3</v>
      </c>
      <c r="E239" s="528" t="s">
        <v>61</v>
      </c>
      <c r="F239" s="528"/>
      <c r="G239" s="528"/>
      <c r="H239" s="528" t="s">
        <v>62</v>
      </c>
      <c r="I239" s="527" t="s">
        <v>11</v>
      </c>
      <c r="J239" s="527"/>
      <c r="K239" s="527" t="s">
        <v>13</v>
      </c>
      <c r="L239" s="527"/>
      <c r="M239" s="527" t="s">
        <v>12</v>
      </c>
      <c r="N239" s="527"/>
    </row>
    <row r="240" spans="2:16" ht="40.5" x14ac:dyDescent="0.25">
      <c r="B240" s="527"/>
      <c r="C240" s="527"/>
      <c r="D240" s="527"/>
      <c r="E240" s="40" t="s">
        <v>63</v>
      </c>
      <c r="F240" s="40" t="s">
        <v>64</v>
      </c>
      <c r="G240" s="40" t="s">
        <v>65</v>
      </c>
      <c r="H240" s="528"/>
      <c r="I240" s="40" t="s">
        <v>14</v>
      </c>
      <c r="J240" s="40" t="s">
        <v>15</v>
      </c>
      <c r="K240" s="40" t="s">
        <v>14</v>
      </c>
      <c r="L240" s="40" t="s">
        <v>15</v>
      </c>
      <c r="M240" s="40" t="s">
        <v>14</v>
      </c>
      <c r="N240" s="40" t="s">
        <v>15</v>
      </c>
    </row>
    <row r="241" spans="2:14" ht="20.25" x14ac:dyDescent="0.25">
      <c r="B241" s="34">
        <v>2</v>
      </c>
      <c r="C241" s="34"/>
      <c r="D241" s="34">
        <v>3</v>
      </c>
      <c r="E241" s="34">
        <v>4</v>
      </c>
      <c r="F241" s="34">
        <v>5</v>
      </c>
      <c r="G241" s="34">
        <v>6</v>
      </c>
      <c r="H241" s="93">
        <v>7</v>
      </c>
      <c r="I241" s="34">
        <v>8</v>
      </c>
      <c r="J241" s="34">
        <v>9</v>
      </c>
      <c r="K241" s="34">
        <v>10</v>
      </c>
      <c r="L241" s="34">
        <v>11</v>
      </c>
      <c r="M241" s="34">
        <v>12</v>
      </c>
      <c r="N241" s="34">
        <v>13</v>
      </c>
    </row>
    <row r="242" spans="2:14" ht="28.5" customHeight="1" x14ac:dyDescent="0.3">
      <c r="B242" s="87" t="s">
        <v>196</v>
      </c>
      <c r="C242" s="37"/>
      <c r="D242" s="69">
        <v>24</v>
      </c>
      <c r="E242" s="69">
        <v>0</v>
      </c>
      <c r="F242" s="69">
        <v>11</v>
      </c>
      <c r="G242" s="69">
        <v>13</v>
      </c>
      <c r="H242" s="110"/>
      <c r="I242" s="69">
        <v>6</v>
      </c>
      <c r="J242" s="69">
        <v>0</v>
      </c>
      <c r="K242" s="69">
        <v>14</v>
      </c>
      <c r="L242" s="69">
        <v>2</v>
      </c>
      <c r="M242" s="69">
        <v>9</v>
      </c>
      <c r="N242" s="69">
        <v>5</v>
      </c>
    </row>
    <row r="243" spans="2:14" ht="28.5" customHeight="1" x14ac:dyDescent="0.3">
      <c r="B243" s="87" t="s">
        <v>193</v>
      </c>
      <c r="C243" s="37"/>
      <c r="D243" s="69">
        <v>23</v>
      </c>
      <c r="E243" s="69">
        <v>0</v>
      </c>
      <c r="F243" s="69">
        <v>7</v>
      </c>
      <c r="G243" s="69">
        <v>16</v>
      </c>
      <c r="H243" s="110"/>
      <c r="I243" s="69">
        <v>21</v>
      </c>
      <c r="J243" s="69">
        <v>0</v>
      </c>
      <c r="K243" s="69">
        <v>9</v>
      </c>
      <c r="L243" s="69">
        <v>0</v>
      </c>
      <c r="M243" s="69">
        <v>7</v>
      </c>
      <c r="N243" s="69">
        <v>0</v>
      </c>
    </row>
    <row r="244" spans="2:14" ht="28.5" customHeight="1" x14ac:dyDescent="0.3">
      <c r="B244" s="87" t="s">
        <v>307</v>
      </c>
      <c r="C244" s="37"/>
      <c r="D244" s="69">
        <v>21</v>
      </c>
      <c r="E244" s="69">
        <v>1</v>
      </c>
      <c r="F244" s="69">
        <v>8</v>
      </c>
      <c r="G244" s="69">
        <v>12</v>
      </c>
      <c r="H244" s="110"/>
      <c r="I244" s="69">
        <v>9</v>
      </c>
      <c r="J244" s="69">
        <v>0</v>
      </c>
      <c r="K244" s="69">
        <v>16</v>
      </c>
      <c r="L244" s="69">
        <v>1</v>
      </c>
      <c r="M244" s="69">
        <v>16</v>
      </c>
      <c r="N244" s="69">
        <v>5</v>
      </c>
    </row>
    <row r="245" spans="2:14" ht="28.5" customHeight="1" x14ac:dyDescent="0.3">
      <c r="B245" s="87" t="s">
        <v>111</v>
      </c>
      <c r="C245" s="37"/>
      <c r="D245" s="69">
        <v>35</v>
      </c>
      <c r="E245" s="69">
        <v>3</v>
      </c>
      <c r="F245" s="69">
        <v>11</v>
      </c>
      <c r="G245" s="69">
        <v>21</v>
      </c>
      <c r="H245" s="110"/>
      <c r="I245" s="69">
        <v>13</v>
      </c>
      <c r="J245" s="69">
        <v>0</v>
      </c>
      <c r="K245" s="69">
        <v>28</v>
      </c>
      <c r="L245" s="69">
        <v>1</v>
      </c>
      <c r="M245" s="69">
        <v>24</v>
      </c>
      <c r="N245" s="69">
        <v>2</v>
      </c>
    </row>
    <row r="246" spans="2:14" ht="28.5" customHeight="1" x14ac:dyDescent="0.3">
      <c r="B246" s="87" t="s">
        <v>112</v>
      </c>
      <c r="C246" s="37"/>
      <c r="D246" s="69">
        <v>61</v>
      </c>
      <c r="E246" s="69">
        <v>0</v>
      </c>
      <c r="F246" s="69">
        <v>9</v>
      </c>
      <c r="G246" s="69">
        <v>52</v>
      </c>
      <c r="H246" s="69"/>
      <c r="I246" s="69">
        <v>14</v>
      </c>
      <c r="J246" s="69">
        <v>0</v>
      </c>
      <c r="K246" s="69">
        <v>12</v>
      </c>
      <c r="L246" s="69">
        <v>0</v>
      </c>
      <c r="M246" s="69">
        <v>22</v>
      </c>
      <c r="N246" s="69">
        <v>7</v>
      </c>
    </row>
    <row r="247" spans="2:14" ht="28.5" customHeight="1" x14ac:dyDescent="0.3">
      <c r="B247" s="87" t="s">
        <v>131</v>
      </c>
      <c r="C247" s="37"/>
      <c r="D247" s="69">
        <v>41</v>
      </c>
      <c r="E247" s="69">
        <v>0</v>
      </c>
      <c r="F247" s="69">
        <v>13</v>
      </c>
      <c r="G247" s="69">
        <v>28</v>
      </c>
      <c r="H247" s="110"/>
      <c r="I247" s="69">
        <v>14</v>
      </c>
      <c r="J247" s="69">
        <v>27</v>
      </c>
      <c r="K247" s="69">
        <v>31</v>
      </c>
      <c r="L247" s="69">
        <v>2</v>
      </c>
      <c r="M247" s="69">
        <v>26</v>
      </c>
      <c r="N247" s="69">
        <v>4</v>
      </c>
    </row>
    <row r="248" spans="2:14" ht="28.5" customHeight="1" x14ac:dyDescent="0.3">
      <c r="B248" s="87" t="s">
        <v>114</v>
      </c>
      <c r="C248" s="37"/>
      <c r="D248" s="69">
        <v>66</v>
      </c>
      <c r="E248" s="69">
        <v>0</v>
      </c>
      <c r="F248" s="69">
        <v>23</v>
      </c>
      <c r="G248" s="69">
        <v>43</v>
      </c>
      <c r="H248" s="110"/>
      <c r="I248" s="69">
        <v>27</v>
      </c>
      <c r="J248" s="69">
        <v>0</v>
      </c>
      <c r="K248" s="69">
        <v>19</v>
      </c>
      <c r="L248" s="69">
        <v>2</v>
      </c>
      <c r="M248" s="69">
        <v>26</v>
      </c>
      <c r="N248" s="69">
        <v>10</v>
      </c>
    </row>
    <row r="249" spans="2:14" ht="28.5" customHeight="1" x14ac:dyDescent="0.3">
      <c r="B249" s="87" t="s">
        <v>115</v>
      </c>
      <c r="C249" s="37"/>
      <c r="D249" s="69">
        <v>70</v>
      </c>
      <c r="E249" s="69">
        <v>2</v>
      </c>
      <c r="F249" s="69">
        <v>21</v>
      </c>
      <c r="G249" s="69">
        <v>47</v>
      </c>
      <c r="H249" s="110"/>
      <c r="I249" s="69">
        <v>8</v>
      </c>
      <c r="J249" s="69">
        <v>6</v>
      </c>
      <c r="K249" s="69">
        <v>8</v>
      </c>
      <c r="L249" s="69">
        <v>4</v>
      </c>
      <c r="M249" s="69">
        <v>108</v>
      </c>
      <c r="N249" s="69">
        <v>13</v>
      </c>
    </row>
    <row r="250" spans="2:14" ht="28.5" customHeight="1" x14ac:dyDescent="0.3">
      <c r="B250" s="87" t="s">
        <v>116</v>
      </c>
      <c r="C250" s="37"/>
      <c r="D250" s="69">
        <v>46</v>
      </c>
      <c r="E250" s="69">
        <v>9</v>
      </c>
      <c r="F250" s="69">
        <v>6</v>
      </c>
      <c r="G250" s="69">
        <v>31</v>
      </c>
      <c r="H250" s="110"/>
      <c r="I250" s="69">
        <v>6</v>
      </c>
      <c r="J250" s="69">
        <v>2</v>
      </c>
      <c r="K250" s="69">
        <v>12</v>
      </c>
      <c r="L250" s="69">
        <v>0</v>
      </c>
      <c r="M250" s="69">
        <v>10</v>
      </c>
      <c r="N250" s="69">
        <v>10</v>
      </c>
    </row>
    <row r="251" spans="2:14" ht="28.5" customHeight="1" x14ac:dyDescent="0.3">
      <c r="B251" s="87" t="s">
        <v>117</v>
      </c>
      <c r="C251" s="37"/>
      <c r="D251" s="69">
        <v>37</v>
      </c>
      <c r="E251" s="69">
        <v>7</v>
      </c>
      <c r="F251" s="69">
        <v>13</v>
      </c>
      <c r="G251" s="69">
        <v>17</v>
      </c>
      <c r="H251" s="110"/>
      <c r="I251" s="69">
        <v>38</v>
      </c>
      <c r="J251" s="69">
        <v>0</v>
      </c>
      <c r="K251" s="69">
        <v>25</v>
      </c>
      <c r="L251" s="69">
        <v>0</v>
      </c>
      <c r="M251" s="69">
        <v>28</v>
      </c>
      <c r="N251" s="69">
        <v>4</v>
      </c>
    </row>
    <row r="252" spans="2:14" ht="28.5" customHeight="1" x14ac:dyDescent="0.3">
      <c r="B252" s="87" t="s">
        <v>134</v>
      </c>
      <c r="C252" s="37"/>
      <c r="D252" s="69">
        <v>18</v>
      </c>
      <c r="E252" s="69">
        <v>0</v>
      </c>
      <c r="F252" s="69">
        <v>3</v>
      </c>
      <c r="G252" s="69">
        <v>15</v>
      </c>
      <c r="H252" s="110"/>
      <c r="I252" s="69">
        <v>5</v>
      </c>
      <c r="J252" s="69">
        <v>0</v>
      </c>
      <c r="K252" s="69">
        <v>3</v>
      </c>
      <c r="L252" s="69">
        <v>1</v>
      </c>
      <c r="M252" s="69">
        <v>10</v>
      </c>
      <c r="N252" s="69">
        <v>4</v>
      </c>
    </row>
    <row r="253" spans="2:14" ht="28.5" customHeight="1" x14ac:dyDescent="0.3">
      <c r="B253" s="87" t="s">
        <v>318</v>
      </c>
      <c r="C253" s="37"/>
      <c r="D253" s="69">
        <v>22</v>
      </c>
      <c r="E253" s="69">
        <v>0</v>
      </c>
      <c r="F253" s="69">
        <v>8</v>
      </c>
      <c r="G253" s="69">
        <v>14</v>
      </c>
      <c r="H253" s="69"/>
      <c r="I253" s="69">
        <v>9</v>
      </c>
      <c r="J253" s="69">
        <v>0</v>
      </c>
      <c r="K253" s="69">
        <v>7</v>
      </c>
      <c r="L253" s="69">
        <v>5</v>
      </c>
      <c r="M253" s="69">
        <v>17</v>
      </c>
      <c r="N253" s="69">
        <v>5</v>
      </c>
    </row>
    <row r="254" spans="2:14" ht="28.5" customHeight="1" x14ac:dyDescent="0.3">
      <c r="B254" s="111" t="s">
        <v>102</v>
      </c>
      <c r="C254" s="112"/>
      <c r="D254" s="113">
        <f>SUM(D242:D253)</f>
        <v>464</v>
      </c>
      <c r="E254" s="113">
        <f t="shared" ref="E254:N254" si="11">SUM(E242:E253)</f>
        <v>22</v>
      </c>
      <c r="F254" s="113">
        <f t="shared" si="11"/>
        <v>133</v>
      </c>
      <c r="G254" s="113">
        <f t="shared" si="11"/>
        <v>309</v>
      </c>
      <c r="H254" s="113"/>
      <c r="I254" s="113">
        <f t="shared" si="11"/>
        <v>170</v>
      </c>
      <c r="J254" s="113">
        <f t="shared" si="11"/>
        <v>35</v>
      </c>
      <c r="K254" s="113">
        <f t="shared" si="11"/>
        <v>184</v>
      </c>
      <c r="L254" s="113">
        <f t="shared" si="11"/>
        <v>18</v>
      </c>
      <c r="M254" s="113">
        <f t="shared" si="11"/>
        <v>303</v>
      </c>
      <c r="N254" s="113">
        <f t="shared" si="11"/>
        <v>69</v>
      </c>
    </row>
    <row r="256" spans="2:14" ht="20.25" x14ac:dyDescent="0.25">
      <c r="E256" s="553" t="s">
        <v>331</v>
      </c>
      <c r="F256" s="554"/>
      <c r="G256" s="554"/>
      <c r="H256" s="554"/>
      <c r="I256" s="554"/>
      <c r="J256" s="554"/>
      <c r="K256" s="554"/>
    </row>
    <row r="257" spans="5:11" ht="142.5" thickBot="1" x14ac:dyDescent="0.3">
      <c r="E257" s="117" t="s">
        <v>149</v>
      </c>
      <c r="F257" s="118" t="s">
        <v>326</v>
      </c>
      <c r="G257" s="118" t="s">
        <v>327</v>
      </c>
      <c r="H257" s="118" t="s">
        <v>328</v>
      </c>
      <c r="I257" s="118" t="s">
        <v>329</v>
      </c>
      <c r="J257" s="118" t="s">
        <v>330</v>
      </c>
      <c r="K257" s="118" t="s">
        <v>206</v>
      </c>
    </row>
    <row r="258" spans="5:11" ht="17.25" customHeight="1" x14ac:dyDescent="0.25">
      <c r="E258" s="119">
        <v>1</v>
      </c>
      <c r="F258" s="120">
        <v>2</v>
      </c>
      <c r="G258" s="120">
        <v>3</v>
      </c>
      <c r="H258" s="120">
        <v>4</v>
      </c>
      <c r="I258" s="120">
        <v>5</v>
      </c>
      <c r="J258" s="120">
        <v>6</v>
      </c>
      <c r="K258" s="120">
        <v>7</v>
      </c>
    </row>
    <row r="259" spans="5:11" ht="24.75" customHeight="1" x14ac:dyDescent="0.3">
      <c r="E259" s="121">
        <v>1</v>
      </c>
      <c r="F259" s="122" t="s">
        <v>123</v>
      </c>
      <c r="G259" s="123">
        <v>18860</v>
      </c>
      <c r="H259" s="123">
        <v>0</v>
      </c>
      <c r="I259" s="123">
        <v>52305</v>
      </c>
      <c r="J259" s="123">
        <v>0</v>
      </c>
      <c r="K259" s="123">
        <v>71165</v>
      </c>
    </row>
    <row r="260" spans="5:11" ht="24.75" customHeight="1" x14ac:dyDescent="0.3">
      <c r="E260" s="69">
        <v>2</v>
      </c>
      <c r="F260" s="89" t="s">
        <v>124</v>
      </c>
      <c r="G260" s="116">
        <v>3220</v>
      </c>
      <c r="H260" s="116">
        <v>50</v>
      </c>
      <c r="I260" s="116">
        <v>0</v>
      </c>
      <c r="J260" s="116">
        <v>0</v>
      </c>
      <c r="K260" s="116">
        <v>3270</v>
      </c>
    </row>
    <row r="261" spans="5:11" ht="24.75" customHeight="1" x14ac:dyDescent="0.3">
      <c r="E261" s="69">
        <v>3</v>
      </c>
      <c r="F261" s="89" t="s">
        <v>21</v>
      </c>
      <c r="G261" s="116">
        <v>47390</v>
      </c>
      <c r="H261" s="116">
        <v>400</v>
      </c>
      <c r="I261" s="116">
        <v>80585</v>
      </c>
      <c r="J261" s="116">
        <v>0</v>
      </c>
      <c r="K261" s="116">
        <v>128375</v>
      </c>
    </row>
    <row r="262" spans="5:11" ht="24.75" customHeight="1" x14ac:dyDescent="0.3">
      <c r="E262" s="69">
        <v>4</v>
      </c>
      <c r="F262" s="89" t="s">
        <v>125</v>
      </c>
      <c r="G262" s="116">
        <v>5880</v>
      </c>
      <c r="H262" s="116">
        <v>0</v>
      </c>
      <c r="I262" s="116">
        <v>8632</v>
      </c>
      <c r="J262" s="116">
        <v>0</v>
      </c>
      <c r="K262" s="116">
        <v>14512</v>
      </c>
    </row>
    <row r="263" spans="5:11" ht="24.75" customHeight="1" x14ac:dyDescent="0.3">
      <c r="E263" s="32">
        <v>5</v>
      </c>
      <c r="F263" s="89" t="s">
        <v>126</v>
      </c>
      <c r="G263" s="116">
        <v>40756</v>
      </c>
      <c r="H263" s="116">
        <v>0</v>
      </c>
      <c r="I263" s="116">
        <v>139330</v>
      </c>
      <c r="J263" s="116">
        <v>0</v>
      </c>
      <c r="K263" s="116">
        <v>180086</v>
      </c>
    </row>
    <row r="264" spans="5:11" ht="24.75" customHeight="1" x14ac:dyDescent="0.3">
      <c r="E264" s="69">
        <v>6</v>
      </c>
      <c r="F264" s="89" t="s">
        <v>28</v>
      </c>
      <c r="G264" s="116">
        <v>405578</v>
      </c>
      <c r="H264" s="116">
        <v>1700</v>
      </c>
      <c r="I264" s="116">
        <v>233711</v>
      </c>
      <c r="J264" s="116">
        <v>204522</v>
      </c>
      <c r="K264" s="116">
        <v>845511</v>
      </c>
    </row>
    <row r="265" spans="5:11" ht="24.75" customHeight="1" x14ac:dyDescent="0.3">
      <c r="E265" s="69">
        <v>7</v>
      </c>
      <c r="F265" s="89" t="s">
        <v>127</v>
      </c>
      <c r="G265" s="116">
        <v>264905</v>
      </c>
      <c r="H265" s="116">
        <v>515</v>
      </c>
      <c r="I265" s="116">
        <v>300776</v>
      </c>
      <c r="J265" s="116">
        <v>12885</v>
      </c>
      <c r="K265" s="116">
        <v>579081</v>
      </c>
    </row>
    <row r="266" spans="5:11" ht="24.75" customHeight="1" x14ac:dyDescent="0.3">
      <c r="E266" s="69">
        <v>8</v>
      </c>
      <c r="F266" s="89" t="s">
        <v>38</v>
      </c>
      <c r="G266" s="116">
        <v>18320</v>
      </c>
      <c r="H266" s="116">
        <v>125</v>
      </c>
      <c r="I266" s="116">
        <v>0</v>
      </c>
      <c r="J266" s="116">
        <v>0</v>
      </c>
      <c r="K266" s="116">
        <v>18445</v>
      </c>
    </row>
    <row r="267" spans="5:11" ht="24.75" customHeight="1" x14ac:dyDescent="0.3">
      <c r="E267" s="32">
        <v>9</v>
      </c>
      <c r="F267" s="89" t="s">
        <v>88</v>
      </c>
      <c r="G267" s="116">
        <v>5990</v>
      </c>
      <c r="H267" s="116">
        <v>150</v>
      </c>
      <c r="I267" s="116">
        <v>102087</v>
      </c>
      <c r="J267" s="116">
        <v>0</v>
      </c>
      <c r="K267" s="116">
        <v>108227</v>
      </c>
    </row>
    <row r="268" spans="5:11" ht="24.75" customHeight="1" x14ac:dyDescent="0.3">
      <c r="E268" s="69">
        <v>10</v>
      </c>
      <c r="F268" s="89" t="s">
        <v>89</v>
      </c>
      <c r="G268" s="116">
        <v>6920</v>
      </c>
      <c r="H268" s="116">
        <v>0</v>
      </c>
      <c r="I268" s="116">
        <v>0</v>
      </c>
      <c r="J268" s="116">
        <v>0</v>
      </c>
      <c r="K268" s="116">
        <v>6920</v>
      </c>
    </row>
    <row r="269" spans="5:11" ht="24.75" customHeight="1" x14ac:dyDescent="0.3">
      <c r="E269" s="69">
        <v>11</v>
      </c>
      <c r="F269" s="89" t="s">
        <v>46</v>
      </c>
      <c r="G269" s="116">
        <v>10670</v>
      </c>
      <c r="H269" s="116">
        <v>150</v>
      </c>
      <c r="I269" s="116">
        <v>40813</v>
      </c>
      <c r="J269" s="116">
        <v>0</v>
      </c>
      <c r="K269" s="116">
        <v>51633</v>
      </c>
    </row>
    <row r="270" spans="5:11" ht="24.75" customHeight="1" x14ac:dyDescent="0.3">
      <c r="E270" s="69">
        <v>12</v>
      </c>
      <c r="F270" s="89" t="s">
        <v>91</v>
      </c>
      <c r="G270" s="116">
        <v>187465</v>
      </c>
      <c r="H270" s="116">
        <v>450</v>
      </c>
      <c r="I270" s="116">
        <v>124026</v>
      </c>
      <c r="J270" s="116">
        <v>0</v>
      </c>
      <c r="K270" s="116">
        <v>311941</v>
      </c>
    </row>
    <row r="271" spans="5:11" ht="24.75" customHeight="1" x14ac:dyDescent="0.3">
      <c r="E271" s="32">
        <v>13</v>
      </c>
      <c r="F271" s="89" t="s">
        <v>52</v>
      </c>
      <c r="G271" s="116">
        <v>654760</v>
      </c>
      <c r="H271" s="116">
        <v>630</v>
      </c>
      <c r="I271" s="116">
        <v>131048</v>
      </c>
      <c r="J271" s="116">
        <v>382480</v>
      </c>
      <c r="K271" s="116">
        <v>1168918</v>
      </c>
    </row>
    <row r="272" spans="5:11" ht="24.75" customHeight="1" x14ac:dyDescent="0.35">
      <c r="E272" s="37"/>
      <c r="F272" s="124" t="s">
        <v>60</v>
      </c>
      <c r="G272" s="125">
        <f>SUM(G259:G271)</f>
        <v>1670714</v>
      </c>
      <c r="H272" s="125">
        <f>SUM(H259:H271)</f>
        <v>4170</v>
      </c>
      <c r="I272" s="125">
        <f>SUM(I259:I271)</f>
        <v>1213313</v>
      </c>
      <c r="J272" s="125">
        <f>SUM(J259:J271)</f>
        <v>599887</v>
      </c>
      <c r="K272" s="125">
        <f>SUM(K259:K271)</f>
        <v>3488084</v>
      </c>
    </row>
    <row r="276" spans="2:7" ht="18.75" x14ac:dyDescent="0.25">
      <c r="B276" s="550" t="s">
        <v>333</v>
      </c>
      <c r="C276" s="551"/>
      <c r="D276" s="551"/>
      <c r="E276" s="551"/>
      <c r="F276" s="551"/>
      <c r="G276" s="552"/>
    </row>
    <row r="277" spans="2:7" ht="20.25" x14ac:dyDescent="0.25">
      <c r="B277" s="528" t="s">
        <v>152</v>
      </c>
      <c r="C277" s="528" t="s">
        <v>153</v>
      </c>
      <c r="D277" s="528" t="s">
        <v>155</v>
      </c>
      <c r="E277" s="528"/>
      <c r="F277" s="528"/>
      <c r="G277" s="528" t="s">
        <v>332</v>
      </c>
    </row>
    <row r="278" spans="2:7" ht="101.25" x14ac:dyDescent="0.25">
      <c r="B278" s="528"/>
      <c r="C278" s="528"/>
      <c r="D278" s="35" t="s">
        <v>157</v>
      </c>
      <c r="E278" s="35" t="s">
        <v>158</v>
      </c>
      <c r="F278" s="35" t="s">
        <v>159</v>
      </c>
      <c r="G278" s="528"/>
    </row>
    <row r="279" spans="2:7" ht="18.75" x14ac:dyDescent="0.25">
      <c r="B279" s="93">
        <v>1</v>
      </c>
      <c r="C279" s="90" t="s">
        <v>270</v>
      </c>
      <c r="D279" s="93">
        <v>0</v>
      </c>
      <c r="E279" s="93">
        <v>0</v>
      </c>
      <c r="F279" s="93">
        <v>1</v>
      </c>
      <c r="G279" s="88">
        <f>SUM(D279:F279)</f>
        <v>1</v>
      </c>
    </row>
    <row r="280" spans="2:7" ht="18.75" x14ac:dyDescent="0.25">
      <c r="B280" s="93">
        <v>2</v>
      </c>
      <c r="C280" s="90" t="s">
        <v>160</v>
      </c>
      <c r="D280" s="93">
        <v>0</v>
      </c>
      <c r="E280" s="93">
        <v>0</v>
      </c>
      <c r="F280" s="93">
        <v>4</v>
      </c>
      <c r="G280" s="88">
        <f t="shared" ref="G280:G285" si="12">SUM(D280:F280)</f>
        <v>4</v>
      </c>
    </row>
    <row r="281" spans="2:7" ht="31.5" x14ac:dyDescent="0.25">
      <c r="B281" s="93">
        <v>3</v>
      </c>
      <c r="C281" s="90" t="s">
        <v>190</v>
      </c>
      <c r="D281" s="93">
        <v>1</v>
      </c>
      <c r="E281" s="93">
        <v>0</v>
      </c>
      <c r="F281" s="93">
        <v>0</v>
      </c>
      <c r="G281" s="88">
        <f t="shared" si="12"/>
        <v>1</v>
      </c>
    </row>
    <row r="282" spans="2:7" ht="18.75" x14ac:dyDescent="0.25">
      <c r="B282" s="93">
        <v>4</v>
      </c>
      <c r="C282" s="90" t="s">
        <v>180</v>
      </c>
      <c r="D282" s="93">
        <v>0</v>
      </c>
      <c r="E282" s="93">
        <v>0</v>
      </c>
      <c r="F282" s="93">
        <v>0</v>
      </c>
      <c r="G282" s="88">
        <f t="shared" si="12"/>
        <v>0</v>
      </c>
    </row>
    <row r="283" spans="2:7" ht="18.75" x14ac:dyDescent="0.25">
      <c r="B283" s="126">
        <v>5</v>
      </c>
      <c r="C283" s="90" t="s">
        <v>181</v>
      </c>
      <c r="D283" s="93">
        <v>1</v>
      </c>
      <c r="E283" s="93">
        <v>2</v>
      </c>
      <c r="F283" s="93">
        <v>0</v>
      </c>
      <c r="G283" s="88">
        <f t="shared" si="12"/>
        <v>3</v>
      </c>
    </row>
    <row r="284" spans="2:7" ht="18.75" x14ac:dyDescent="0.25">
      <c r="B284" s="93">
        <v>6</v>
      </c>
      <c r="C284" s="90" t="s">
        <v>161</v>
      </c>
      <c r="D284" s="93">
        <v>0</v>
      </c>
      <c r="E284" s="93">
        <v>24</v>
      </c>
      <c r="F284" s="93">
        <v>22</v>
      </c>
      <c r="G284" s="88">
        <f t="shared" si="12"/>
        <v>46</v>
      </c>
    </row>
    <row r="285" spans="2:7" ht="18.75" x14ac:dyDescent="0.25">
      <c r="B285" s="93">
        <v>7</v>
      </c>
      <c r="C285" s="90" t="s">
        <v>162</v>
      </c>
      <c r="D285" s="93">
        <v>0</v>
      </c>
      <c r="E285" s="93">
        <v>5</v>
      </c>
      <c r="F285" s="93">
        <v>49</v>
      </c>
      <c r="G285" s="88">
        <f t="shared" si="12"/>
        <v>54</v>
      </c>
    </row>
    <row r="286" spans="2:7" ht="31.5" x14ac:dyDescent="0.3">
      <c r="B286" s="91"/>
      <c r="C286" s="90" t="s">
        <v>283</v>
      </c>
      <c r="D286" s="88">
        <f>SUM(D279:D285)</f>
        <v>2</v>
      </c>
      <c r="E286" s="88">
        <f>SUM(E279:E285)</f>
        <v>31</v>
      </c>
      <c r="F286" s="88">
        <f>SUM(F279:F285)</f>
        <v>76</v>
      </c>
      <c r="G286" s="88">
        <f>SUM(G279:G285)</f>
        <v>109</v>
      </c>
    </row>
    <row r="290" spans="2:14" ht="63" x14ac:dyDescent="0.25">
      <c r="B290" s="289" t="s">
        <v>1309</v>
      </c>
      <c r="C290" s="290" t="s">
        <v>346</v>
      </c>
      <c r="D290" s="290" t="s">
        <v>347</v>
      </c>
      <c r="E290" s="290" t="s">
        <v>348</v>
      </c>
      <c r="F290" s="290" t="s">
        <v>334</v>
      </c>
      <c r="G290" s="290" t="s">
        <v>349</v>
      </c>
      <c r="H290" s="290" t="s">
        <v>350</v>
      </c>
      <c r="I290" s="290" t="s">
        <v>351</v>
      </c>
      <c r="J290" s="290" t="s">
        <v>352</v>
      </c>
      <c r="K290" s="290" t="s">
        <v>353</v>
      </c>
      <c r="L290" s="290" t="s">
        <v>354</v>
      </c>
    </row>
    <row r="291" spans="2:14" ht="15.75" x14ac:dyDescent="0.25">
      <c r="B291" s="291">
        <v>1</v>
      </c>
      <c r="C291" s="130">
        <v>2000</v>
      </c>
      <c r="D291" s="130">
        <v>475</v>
      </c>
      <c r="E291" s="130">
        <v>77</v>
      </c>
      <c r="F291" s="130">
        <v>552</v>
      </c>
      <c r="G291" s="294">
        <v>244069900</v>
      </c>
      <c r="H291" s="294">
        <v>38287400</v>
      </c>
      <c r="I291" s="130">
        <v>328</v>
      </c>
      <c r="J291" s="130">
        <v>44</v>
      </c>
      <c r="K291" s="130">
        <v>166</v>
      </c>
      <c r="L291" s="130">
        <v>50</v>
      </c>
    </row>
    <row r="292" spans="2:14" ht="15.75" x14ac:dyDescent="0.25">
      <c r="B292" s="292">
        <v>2</v>
      </c>
      <c r="C292" s="293">
        <v>2001</v>
      </c>
      <c r="D292" s="293">
        <v>630</v>
      </c>
      <c r="E292" s="293">
        <v>50</v>
      </c>
      <c r="F292" s="293">
        <v>680</v>
      </c>
      <c r="G292" s="294">
        <v>200760665</v>
      </c>
      <c r="H292" s="294">
        <v>41218334</v>
      </c>
      <c r="I292" s="293">
        <v>249</v>
      </c>
      <c r="J292" s="293">
        <v>47</v>
      </c>
      <c r="K292" s="293">
        <v>100</v>
      </c>
      <c r="L292" s="293">
        <v>30</v>
      </c>
    </row>
    <row r="293" spans="2:14" ht="15.75" x14ac:dyDescent="0.25">
      <c r="B293" s="291">
        <v>3</v>
      </c>
      <c r="C293" s="130">
        <v>2002</v>
      </c>
      <c r="D293" s="130">
        <v>620</v>
      </c>
      <c r="E293" s="130">
        <v>86</v>
      </c>
      <c r="F293" s="130">
        <v>706</v>
      </c>
      <c r="G293" s="294">
        <v>134534950</v>
      </c>
      <c r="H293" s="294">
        <v>23165150</v>
      </c>
      <c r="I293" s="130">
        <v>291</v>
      </c>
      <c r="J293" s="130">
        <v>76</v>
      </c>
      <c r="K293" s="130">
        <v>148</v>
      </c>
      <c r="L293" s="130">
        <v>44</v>
      </c>
    </row>
    <row r="294" spans="2:14" ht="15.75" x14ac:dyDescent="0.25">
      <c r="B294" s="292">
        <v>4</v>
      </c>
      <c r="C294" s="293">
        <v>2003</v>
      </c>
      <c r="D294" s="293">
        <v>694</v>
      </c>
      <c r="E294" s="293">
        <v>96</v>
      </c>
      <c r="F294" s="293">
        <v>790</v>
      </c>
      <c r="G294" s="294">
        <v>553798300</v>
      </c>
      <c r="H294" s="294">
        <v>25391950</v>
      </c>
      <c r="I294" s="293">
        <v>395</v>
      </c>
      <c r="J294" s="293">
        <v>48</v>
      </c>
      <c r="K294" s="293">
        <v>64</v>
      </c>
      <c r="L294" s="293">
        <v>81</v>
      </c>
    </row>
    <row r="295" spans="2:14" ht="15.75" x14ac:dyDescent="0.25">
      <c r="B295" s="291">
        <v>5</v>
      </c>
      <c r="C295" s="130">
        <v>2004</v>
      </c>
      <c r="D295" s="130">
        <v>823</v>
      </c>
      <c r="E295" s="130">
        <v>181</v>
      </c>
      <c r="F295" s="130">
        <v>1011</v>
      </c>
      <c r="G295" s="294">
        <v>186677940</v>
      </c>
      <c r="H295" s="294">
        <v>47914460</v>
      </c>
      <c r="I295" s="130">
        <v>626</v>
      </c>
      <c r="J295" s="130">
        <v>42</v>
      </c>
      <c r="K295" s="130">
        <v>254</v>
      </c>
      <c r="L295" s="130">
        <v>28</v>
      </c>
    </row>
    <row r="296" spans="2:14" ht="15.75" x14ac:dyDescent="0.25">
      <c r="B296" s="292">
        <v>6</v>
      </c>
      <c r="C296" s="293">
        <v>2005</v>
      </c>
      <c r="D296" s="293">
        <v>301</v>
      </c>
      <c r="E296" s="293">
        <v>181</v>
      </c>
      <c r="F296" s="293">
        <v>1482</v>
      </c>
      <c r="G296" s="294">
        <v>572140092</v>
      </c>
      <c r="H296" s="294">
        <v>128791020</v>
      </c>
      <c r="I296" s="293">
        <v>758</v>
      </c>
      <c r="J296" s="293">
        <v>89</v>
      </c>
      <c r="K296" s="293">
        <v>180</v>
      </c>
      <c r="L296" s="293">
        <v>205</v>
      </c>
    </row>
    <row r="297" spans="2:14" ht="15.75" x14ac:dyDescent="0.25">
      <c r="B297" s="291">
        <v>7</v>
      </c>
      <c r="C297" s="130">
        <v>2006</v>
      </c>
      <c r="D297" s="130">
        <v>1008</v>
      </c>
      <c r="E297" s="130">
        <v>237</v>
      </c>
      <c r="F297" s="130">
        <v>1245</v>
      </c>
      <c r="G297" s="294">
        <v>622775019</v>
      </c>
      <c r="H297" s="294">
        <v>179275181</v>
      </c>
      <c r="I297" s="130">
        <v>1074</v>
      </c>
      <c r="J297" s="130">
        <v>65</v>
      </c>
      <c r="K297" s="130">
        <v>242</v>
      </c>
      <c r="L297" s="130">
        <v>48</v>
      </c>
      <c r="N297" s="3" t="s">
        <v>355</v>
      </c>
    </row>
    <row r="298" spans="2:14" ht="15.75" x14ac:dyDescent="0.25">
      <c r="B298" s="292">
        <v>8</v>
      </c>
      <c r="C298" s="293">
        <v>2007</v>
      </c>
      <c r="D298" s="293">
        <v>1318</v>
      </c>
      <c r="E298" s="293">
        <v>286</v>
      </c>
      <c r="F298" s="293">
        <v>1604</v>
      </c>
      <c r="G298" s="294">
        <v>894194050</v>
      </c>
      <c r="H298" s="294">
        <v>112298650</v>
      </c>
      <c r="I298" s="293">
        <v>1095</v>
      </c>
      <c r="J298" s="293">
        <v>77</v>
      </c>
      <c r="K298" s="293">
        <v>300</v>
      </c>
      <c r="L298" s="293">
        <v>66</v>
      </c>
    </row>
    <row r="299" spans="2:14" ht="15.75" x14ac:dyDescent="0.25">
      <c r="B299" s="291">
        <v>9</v>
      </c>
      <c r="C299" s="130">
        <v>2008</v>
      </c>
      <c r="D299" s="130">
        <v>1492</v>
      </c>
      <c r="E299" s="130">
        <v>260</v>
      </c>
      <c r="F299" s="130">
        <v>1752</v>
      </c>
      <c r="G299" s="294">
        <v>638621795</v>
      </c>
      <c r="H299" s="294">
        <v>126696755</v>
      </c>
      <c r="I299" s="130">
        <v>1154</v>
      </c>
      <c r="J299" s="130">
        <v>62</v>
      </c>
      <c r="K299" s="130">
        <v>369</v>
      </c>
      <c r="L299" s="130">
        <v>46</v>
      </c>
    </row>
    <row r="300" spans="2:14" ht="15.75" x14ac:dyDescent="0.25">
      <c r="B300" s="292">
        <v>10</v>
      </c>
      <c r="C300" s="293">
        <v>2009</v>
      </c>
      <c r="D300" s="293">
        <v>2244</v>
      </c>
      <c r="E300" s="293">
        <v>229</v>
      </c>
      <c r="F300" s="293">
        <v>2473</v>
      </c>
      <c r="G300" s="294">
        <v>1272298136</v>
      </c>
      <c r="H300" s="294">
        <v>396733628</v>
      </c>
      <c r="I300" s="293">
        <v>765</v>
      </c>
      <c r="J300" s="293">
        <v>140</v>
      </c>
      <c r="K300" s="293">
        <v>174</v>
      </c>
      <c r="L300" s="293">
        <v>442</v>
      </c>
    </row>
    <row r="301" spans="2:14" ht="15.75" x14ac:dyDescent="0.25">
      <c r="B301" s="291">
        <v>11</v>
      </c>
      <c r="C301" s="130">
        <v>2010</v>
      </c>
      <c r="D301" s="130">
        <v>2135</v>
      </c>
      <c r="E301" s="130">
        <v>232</v>
      </c>
      <c r="F301" s="130">
        <v>2367</v>
      </c>
      <c r="G301" s="294">
        <v>1220434766</v>
      </c>
      <c r="H301" s="294">
        <v>365323942</v>
      </c>
      <c r="I301" s="130">
        <v>1008</v>
      </c>
      <c r="J301" s="130">
        <v>128</v>
      </c>
      <c r="K301" s="130">
        <v>157</v>
      </c>
      <c r="L301" s="130">
        <v>171</v>
      </c>
    </row>
    <row r="302" spans="2:14" ht="15.75" x14ac:dyDescent="0.25">
      <c r="B302" s="292">
        <v>12</v>
      </c>
      <c r="C302" s="293">
        <v>2011</v>
      </c>
      <c r="D302" s="293">
        <v>1580</v>
      </c>
      <c r="E302" s="293">
        <v>191</v>
      </c>
      <c r="F302" s="293">
        <v>1771</v>
      </c>
      <c r="G302" s="294">
        <v>1835270334</v>
      </c>
      <c r="H302" s="294">
        <v>337315419</v>
      </c>
      <c r="I302" s="293">
        <v>549</v>
      </c>
      <c r="J302" s="293">
        <v>67</v>
      </c>
      <c r="K302" s="293">
        <v>179</v>
      </c>
      <c r="L302" s="293">
        <v>60</v>
      </c>
    </row>
    <row r="303" spans="2:14" ht="15.75" x14ac:dyDescent="0.25">
      <c r="B303" s="291">
        <v>13</v>
      </c>
      <c r="C303" s="130">
        <v>2012</v>
      </c>
      <c r="D303" s="130">
        <v>3314</v>
      </c>
      <c r="E303" s="130">
        <v>199</v>
      </c>
      <c r="F303" s="130">
        <v>3513</v>
      </c>
      <c r="G303" s="294">
        <v>2147483647</v>
      </c>
      <c r="H303" s="294">
        <v>530515745</v>
      </c>
      <c r="I303" s="130">
        <v>419</v>
      </c>
      <c r="J303" s="130">
        <v>84</v>
      </c>
      <c r="K303" s="130">
        <v>254</v>
      </c>
      <c r="L303" s="130">
        <v>97</v>
      </c>
    </row>
    <row r="304" spans="2:14" ht="15.75" x14ac:dyDescent="0.25">
      <c r="B304" s="292">
        <v>14</v>
      </c>
      <c r="C304" s="293">
        <v>2013</v>
      </c>
      <c r="D304" s="293">
        <v>1701</v>
      </c>
      <c r="E304" s="293">
        <v>255</v>
      </c>
      <c r="F304" s="293">
        <v>1956</v>
      </c>
      <c r="G304" s="294">
        <v>2001916174</v>
      </c>
      <c r="H304" s="294">
        <v>465444117</v>
      </c>
      <c r="I304" s="293">
        <v>627</v>
      </c>
      <c r="J304" s="293">
        <v>51</v>
      </c>
      <c r="K304" s="293">
        <v>249</v>
      </c>
      <c r="L304" s="293">
        <v>51</v>
      </c>
    </row>
    <row r="305" spans="2:12" ht="15.75" x14ac:dyDescent="0.25">
      <c r="B305" s="291">
        <v>15</v>
      </c>
      <c r="C305" s="130">
        <v>2014</v>
      </c>
      <c r="D305" s="130">
        <v>1821</v>
      </c>
      <c r="E305" s="130">
        <v>266</v>
      </c>
      <c r="F305" s="130">
        <v>2087</v>
      </c>
      <c r="G305" s="294">
        <v>1774776695</v>
      </c>
      <c r="H305" s="294">
        <v>490920881</v>
      </c>
      <c r="I305" s="130">
        <v>519</v>
      </c>
      <c r="J305" s="130">
        <v>150</v>
      </c>
      <c r="K305" s="130">
        <v>222</v>
      </c>
      <c r="L305" s="130">
        <v>129</v>
      </c>
    </row>
    <row r="306" spans="2:12" ht="15.75" x14ac:dyDescent="0.25">
      <c r="B306" s="292">
        <v>16</v>
      </c>
      <c r="C306" s="293">
        <v>2015</v>
      </c>
      <c r="D306" s="293">
        <v>1922</v>
      </c>
      <c r="E306" s="293">
        <v>293</v>
      </c>
      <c r="F306" s="293">
        <v>2215</v>
      </c>
      <c r="G306" s="294">
        <v>2147483647</v>
      </c>
      <c r="H306" s="294">
        <v>391046611</v>
      </c>
      <c r="I306" s="293">
        <v>580</v>
      </c>
      <c r="J306" s="293">
        <v>85</v>
      </c>
      <c r="K306" s="293">
        <v>279</v>
      </c>
      <c r="L306" s="293">
        <v>50</v>
      </c>
    </row>
    <row r="307" spans="2:12" ht="15.75" x14ac:dyDescent="0.25">
      <c r="B307" s="291">
        <v>17</v>
      </c>
      <c r="C307" s="130">
        <v>2016</v>
      </c>
      <c r="D307" s="130">
        <v>2890</v>
      </c>
      <c r="E307" s="130">
        <v>297</v>
      </c>
      <c r="F307" s="130">
        <v>3187</v>
      </c>
      <c r="G307" s="294">
        <v>1703698112</v>
      </c>
      <c r="H307" s="294">
        <v>570369073</v>
      </c>
      <c r="I307" s="130">
        <v>958</v>
      </c>
      <c r="J307" s="130">
        <v>86</v>
      </c>
      <c r="K307" s="130">
        <v>277</v>
      </c>
      <c r="L307" s="130">
        <v>207</v>
      </c>
    </row>
    <row r="308" spans="2:12" ht="15.75" x14ac:dyDescent="0.25">
      <c r="B308" s="292">
        <v>18</v>
      </c>
      <c r="C308" s="293">
        <v>2017</v>
      </c>
      <c r="D308" s="293">
        <v>2306</v>
      </c>
      <c r="E308" s="293">
        <v>264</v>
      </c>
      <c r="F308" s="293">
        <v>2570</v>
      </c>
      <c r="G308" s="294">
        <v>2147483647</v>
      </c>
      <c r="H308" s="294">
        <v>780603996</v>
      </c>
      <c r="I308" s="293">
        <v>530</v>
      </c>
      <c r="J308" s="293">
        <v>150</v>
      </c>
      <c r="K308" s="293">
        <v>218</v>
      </c>
      <c r="L308" s="293">
        <v>299</v>
      </c>
    </row>
    <row r="309" spans="2:12" ht="15.75" x14ac:dyDescent="0.25">
      <c r="B309" s="291">
        <v>19</v>
      </c>
      <c r="C309" s="130">
        <v>2018</v>
      </c>
      <c r="D309" s="130">
        <v>2553</v>
      </c>
      <c r="E309" s="130">
        <v>441</v>
      </c>
      <c r="F309" s="130">
        <v>2994</v>
      </c>
      <c r="G309" s="294">
        <v>1717654383</v>
      </c>
      <c r="H309" s="294">
        <v>435645373</v>
      </c>
      <c r="I309" s="130">
        <v>1184</v>
      </c>
      <c r="J309" s="130">
        <v>384</v>
      </c>
      <c r="K309" s="130">
        <v>327</v>
      </c>
      <c r="L309" s="130">
        <v>270</v>
      </c>
    </row>
    <row r="310" spans="2:12" ht="15.75" x14ac:dyDescent="0.25">
      <c r="B310" s="292">
        <v>20</v>
      </c>
      <c r="C310" s="293">
        <v>2019</v>
      </c>
      <c r="D310" s="293">
        <v>2665</v>
      </c>
      <c r="E310" s="293">
        <v>349</v>
      </c>
      <c r="F310" s="293">
        <v>3014</v>
      </c>
      <c r="G310" s="294">
        <v>2004521989</v>
      </c>
      <c r="H310" s="294">
        <v>351966430</v>
      </c>
      <c r="I310" s="293">
        <v>1547</v>
      </c>
      <c r="J310" s="293">
        <v>2099</v>
      </c>
      <c r="K310" s="293">
        <v>200</v>
      </c>
      <c r="L310" s="293">
        <v>647</v>
      </c>
    </row>
    <row r="311" spans="2:12" ht="15.75" x14ac:dyDescent="0.25">
      <c r="B311" s="291">
        <v>21</v>
      </c>
      <c r="C311" s="130">
        <v>2020</v>
      </c>
      <c r="D311" s="130">
        <v>1572</v>
      </c>
      <c r="E311" s="130">
        <v>338</v>
      </c>
      <c r="F311" s="130">
        <v>1910</v>
      </c>
      <c r="G311" s="294">
        <v>1096488523</v>
      </c>
      <c r="H311" s="294">
        <v>142738380</v>
      </c>
      <c r="I311" s="130">
        <v>523</v>
      </c>
      <c r="J311" s="130">
        <v>133</v>
      </c>
      <c r="K311" s="130">
        <v>123</v>
      </c>
      <c r="L311" s="130">
        <v>40</v>
      </c>
    </row>
    <row r="312" spans="2:12" ht="15.75" x14ac:dyDescent="0.25">
      <c r="B312" s="292">
        <v>22</v>
      </c>
      <c r="C312" s="293">
        <v>2021</v>
      </c>
      <c r="D312" s="293">
        <v>2248</v>
      </c>
      <c r="E312" s="293">
        <v>476</v>
      </c>
      <c r="F312" s="293">
        <v>2724</v>
      </c>
      <c r="G312" s="294">
        <v>2147483647</v>
      </c>
      <c r="H312" s="294">
        <v>2147483647</v>
      </c>
      <c r="I312" s="293">
        <v>455</v>
      </c>
      <c r="J312" s="293">
        <v>97</v>
      </c>
      <c r="K312" s="293">
        <v>208</v>
      </c>
      <c r="L312" s="293">
        <v>40</v>
      </c>
    </row>
    <row r="313" spans="2:12" ht="15.75" x14ac:dyDescent="0.25">
      <c r="B313" s="291">
        <v>23</v>
      </c>
      <c r="C313" s="130">
        <v>2022</v>
      </c>
      <c r="D313" s="130">
        <v>1829</v>
      </c>
      <c r="E313" s="130">
        <v>464</v>
      </c>
      <c r="F313" s="130">
        <v>2293</v>
      </c>
      <c r="G313" s="294">
        <v>1251121415</v>
      </c>
      <c r="H313" s="294">
        <v>189347372</v>
      </c>
      <c r="I313" s="130">
        <v>603</v>
      </c>
      <c r="J313" s="130">
        <v>115</v>
      </c>
      <c r="K313" s="130">
        <v>173</v>
      </c>
      <c r="L313" s="130">
        <v>76</v>
      </c>
    </row>
  </sheetData>
  <mergeCells count="164">
    <mergeCell ref="D122:D123"/>
    <mergeCell ref="E122:E123"/>
    <mergeCell ref="F122:F123"/>
    <mergeCell ref="B42:L42"/>
    <mergeCell ref="B43:B44"/>
    <mergeCell ref="D3:D4"/>
    <mergeCell ref="E3:E4"/>
    <mergeCell ref="F3:F4"/>
    <mergeCell ref="K3:L3"/>
    <mergeCell ref="A29:B29"/>
    <mergeCell ref="D117:D118"/>
    <mergeCell ref="E117:E118"/>
    <mergeCell ref="F117:F118"/>
    <mergeCell ref="F98:F99"/>
    <mergeCell ref="K43:L43"/>
    <mergeCell ref="B31:N31"/>
    <mergeCell ref="F32:F33"/>
    <mergeCell ref="G32:G33"/>
    <mergeCell ref="G76:G77"/>
    <mergeCell ref="A137:N137"/>
    <mergeCell ref="H117:I117"/>
    <mergeCell ref="J117:K117"/>
    <mergeCell ref="L117:M117"/>
    <mergeCell ref="A121:N121"/>
    <mergeCell ref="A122:A123"/>
    <mergeCell ref="B122:B123"/>
    <mergeCell ref="G3:G4"/>
    <mergeCell ref="H3:H4"/>
    <mergeCell ref="I3:J3"/>
    <mergeCell ref="A97:N97"/>
    <mergeCell ref="B54:N54"/>
    <mergeCell ref="B70:N70"/>
    <mergeCell ref="B75:M75"/>
    <mergeCell ref="A76:A77"/>
    <mergeCell ref="B76:B77"/>
    <mergeCell ref="F43:F44"/>
    <mergeCell ref="G43:H43"/>
    <mergeCell ref="I43:J43"/>
    <mergeCell ref="C43:C44"/>
    <mergeCell ref="D43:D44"/>
    <mergeCell ref="E43:E44"/>
    <mergeCell ref="A117:A118"/>
    <mergeCell ref="B117:B118"/>
    <mergeCell ref="F138:F139"/>
    <mergeCell ref="G138:G139"/>
    <mergeCell ref="H138:H139"/>
    <mergeCell ref="I138:J138"/>
    <mergeCell ref="K138:L138"/>
    <mergeCell ref="A1:M1"/>
    <mergeCell ref="H32:H33"/>
    <mergeCell ref="I32:J32"/>
    <mergeCell ref="K32:L32"/>
    <mergeCell ref="B32:B33"/>
    <mergeCell ref="C32:C33"/>
    <mergeCell ref="D32:D33"/>
    <mergeCell ref="E32:E33"/>
    <mergeCell ref="J76:K76"/>
    <mergeCell ref="L76:M76"/>
    <mergeCell ref="M32:N32"/>
    <mergeCell ref="H76:I76"/>
    <mergeCell ref="M3:N3"/>
    <mergeCell ref="B39:C39"/>
    <mergeCell ref="C76:C77"/>
    <mergeCell ref="D76:D77"/>
    <mergeCell ref="B3:B4"/>
    <mergeCell ref="C3:C4"/>
    <mergeCell ref="B138:B139"/>
    <mergeCell ref="A194:A195"/>
    <mergeCell ref="B194:B195"/>
    <mergeCell ref="C194:C195"/>
    <mergeCell ref="M98:N98"/>
    <mergeCell ref="M157:N157"/>
    <mergeCell ref="B174:N174"/>
    <mergeCell ref="A116:M116"/>
    <mergeCell ref="A98:A99"/>
    <mergeCell ref="B98:B99"/>
    <mergeCell ref="C98:C99"/>
    <mergeCell ref="D98:D99"/>
    <mergeCell ref="E98:E99"/>
    <mergeCell ref="K122:L122"/>
    <mergeCell ref="M122:N122"/>
    <mergeCell ref="G98:G99"/>
    <mergeCell ref="H98:H99"/>
    <mergeCell ref="I98:J98"/>
    <mergeCell ref="G117:G118"/>
    <mergeCell ref="M138:N138"/>
    <mergeCell ref="A138:A139"/>
    <mergeCell ref="G122:G123"/>
    <mergeCell ref="H122:H123"/>
    <mergeCell ref="I122:J122"/>
    <mergeCell ref="C122:C123"/>
    <mergeCell ref="B175:B176"/>
    <mergeCell ref="B156:N156"/>
    <mergeCell ref="B157:B158"/>
    <mergeCell ref="C157:C158"/>
    <mergeCell ref="D157:D158"/>
    <mergeCell ref="E157:E158"/>
    <mergeCell ref="F157:F158"/>
    <mergeCell ref="G157:G158"/>
    <mergeCell ref="J175:K175"/>
    <mergeCell ref="L175:M175"/>
    <mergeCell ref="I157:I158"/>
    <mergeCell ref="H157:H158"/>
    <mergeCell ref="C138:C139"/>
    <mergeCell ref="D138:D139"/>
    <mergeCell ref="E138:E139"/>
    <mergeCell ref="B193:L193"/>
    <mergeCell ref="E204:E205"/>
    <mergeCell ref="F204:F205"/>
    <mergeCell ref="G204:G205"/>
    <mergeCell ref="H204:H205"/>
    <mergeCell ref="I204:I205"/>
    <mergeCell ref="C175:C176"/>
    <mergeCell ref="D175:D176"/>
    <mergeCell ref="E175:E176"/>
    <mergeCell ref="F175:H175"/>
    <mergeCell ref="I175:I176"/>
    <mergeCell ref="B202:L202"/>
    <mergeCell ref="D194:D195"/>
    <mergeCell ref="E194:E195"/>
    <mergeCell ref="F194:F195"/>
    <mergeCell ref="G194:H194"/>
    <mergeCell ref="I194:J194"/>
    <mergeCell ref="K194:L194"/>
    <mergeCell ref="J157:J158"/>
    <mergeCell ref="K157:K158"/>
    <mergeCell ref="L157:L158"/>
    <mergeCell ref="M239:N239"/>
    <mergeCell ref="B238:N238"/>
    <mergeCell ref="E76:E77"/>
    <mergeCell ref="F76:F77"/>
    <mergeCell ref="K98:L98"/>
    <mergeCell ref="O204:P204"/>
    <mergeCell ref="B222:B223"/>
    <mergeCell ref="C222:C223"/>
    <mergeCell ref="D222:D223"/>
    <mergeCell ref="E222:E223"/>
    <mergeCell ref="F222:F223"/>
    <mergeCell ref="G222:G223"/>
    <mergeCell ref="H222:H223"/>
    <mergeCell ref="I222:J222"/>
    <mergeCell ref="K222:L222"/>
    <mergeCell ref="M222:N222"/>
    <mergeCell ref="B203:N203"/>
    <mergeCell ref="B221:N221"/>
    <mergeCell ref="J204:J205"/>
    <mergeCell ref="K204:L204"/>
    <mergeCell ref="M204:N204"/>
    <mergeCell ref="B204:B205"/>
    <mergeCell ref="C204:C205"/>
    <mergeCell ref="D204:D205"/>
    <mergeCell ref="B276:G276"/>
    <mergeCell ref="B277:B278"/>
    <mergeCell ref="C277:C278"/>
    <mergeCell ref="D277:F277"/>
    <mergeCell ref="G277:G278"/>
    <mergeCell ref="E256:K256"/>
    <mergeCell ref="B239:B240"/>
    <mergeCell ref="C239:C240"/>
    <mergeCell ref="D239:D240"/>
    <mergeCell ref="E239:G239"/>
    <mergeCell ref="H239:H240"/>
    <mergeCell ref="I239:J239"/>
    <mergeCell ref="K239:L239"/>
  </mergeCells>
  <pageMargins left="0.15748031496062992" right="0.19685039370078741" top="0.39370078740157483" bottom="0.15748031496062992" header="0.31496062992125984" footer="0.31496062992125984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20"/>
  <sheetViews>
    <sheetView topLeftCell="A95" workbookViewId="0">
      <selection activeCell="D3" sqref="D3"/>
    </sheetView>
  </sheetViews>
  <sheetFormatPr defaultColWidth="9.140625" defaultRowHeight="18.75" x14ac:dyDescent="0.25"/>
  <cols>
    <col min="1" max="1" width="6.28515625" style="6" customWidth="1"/>
    <col min="2" max="2" width="10" style="328" customWidth="1"/>
    <col min="3" max="3" width="13.140625" style="174" bestFit="1" customWidth="1"/>
    <col min="4" max="4" width="14.85546875" style="322" customWidth="1"/>
    <col min="5" max="5" width="14.7109375" style="6" customWidth="1"/>
    <col min="6" max="6" width="21.42578125" style="6" customWidth="1"/>
    <col min="7" max="7" width="64.7109375" style="163" customWidth="1"/>
    <col min="8" max="8" width="17.5703125" style="6" customWidth="1"/>
    <col min="9" max="9" width="5.28515625" style="203" bestFit="1" customWidth="1"/>
    <col min="10" max="10" width="19.28515625" style="6" customWidth="1"/>
    <col min="11" max="13" width="4.140625" style="6" bestFit="1" customWidth="1"/>
    <col min="14" max="14" width="3" style="6" bestFit="1" customWidth="1"/>
    <col min="15" max="15" width="4.140625" style="6" bestFit="1" customWidth="1"/>
    <col min="16" max="34" width="3" style="6" bestFit="1" customWidth="1"/>
    <col min="35" max="35" width="4.140625" style="6" bestFit="1" customWidth="1"/>
    <col min="36" max="16384" width="9.140625" style="6"/>
  </cols>
  <sheetData>
    <row r="1" spans="1:9" s="132" customFormat="1" x14ac:dyDescent="0.25">
      <c r="A1" s="594" t="s">
        <v>1233</v>
      </c>
      <c r="B1" s="595"/>
      <c r="C1" s="595"/>
      <c r="D1" s="595"/>
      <c r="E1" s="595"/>
      <c r="F1" s="595"/>
      <c r="G1" s="596"/>
      <c r="I1" s="213"/>
    </row>
    <row r="2" spans="1:9" s="323" customFormat="1" ht="30" x14ac:dyDescent="0.25">
      <c r="A2" s="323" t="s">
        <v>1309</v>
      </c>
      <c r="B2" s="323" t="s">
        <v>1420</v>
      </c>
      <c r="C2" s="323" t="s">
        <v>1415</v>
      </c>
      <c r="D2" s="323" t="s">
        <v>1416</v>
      </c>
      <c r="E2" s="323" t="s">
        <v>1417</v>
      </c>
      <c r="F2" s="323" t="s">
        <v>1418</v>
      </c>
      <c r="G2" s="323" t="s">
        <v>1419</v>
      </c>
    </row>
    <row r="3" spans="1:9" customFormat="1" x14ac:dyDescent="0.25">
      <c r="A3" s="500">
        <v>1</v>
      </c>
      <c r="B3" s="326">
        <v>45717</v>
      </c>
      <c r="C3" s="324" t="s">
        <v>1401</v>
      </c>
      <c r="D3" s="320" t="s">
        <v>1414</v>
      </c>
      <c r="E3" s="126"/>
      <c r="F3" s="126"/>
      <c r="G3" s="180"/>
      <c r="I3" s="204"/>
    </row>
    <row r="4" spans="1:9" customFormat="1" ht="25.5" x14ac:dyDescent="0.25">
      <c r="A4" s="500"/>
      <c r="B4" s="326">
        <v>45717</v>
      </c>
      <c r="C4" s="324" t="s">
        <v>1401</v>
      </c>
      <c r="D4" s="320" t="s">
        <v>490</v>
      </c>
      <c r="E4" s="126">
        <v>2</v>
      </c>
      <c r="F4" s="126">
        <v>160</v>
      </c>
      <c r="G4" s="193" t="s">
        <v>1337</v>
      </c>
      <c r="I4" s="204"/>
    </row>
    <row r="5" spans="1:9" customFormat="1" ht="89.25" x14ac:dyDescent="0.25">
      <c r="A5" s="500"/>
      <c r="B5" s="326">
        <v>45717</v>
      </c>
      <c r="C5" s="324" t="s">
        <v>1401</v>
      </c>
      <c r="D5" s="320" t="s">
        <v>491</v>
      </c>
      <c r="E5" s="126">
        <v>7</v>
      </c>
      <c r="F5" s="126">
        <v>182</v>
      </c>
      <c r="G5" s="193" t="s">
        <v>1336</v>
      </c>
      <c r="I5" s="204"/>
    </row>
    <row r="6" spans="1:9" customFormat="1" ht="20.25" x14ac:dyDescent="0.25">
      <c r="A6" s="500">
        <v>2</v>
      </c>
      <c r="B6" s="326">
        <v>45717</v>
      </c>
      <c r="C6" s="324" t="s">
        <v>1402</v>
      </c>
      <c r="D6" s="320" t="s">
        <v>1414</v>
      </c>
      <c r="E6" s="194"/>
      <c r="F6" s="194"/>
      <c r="G6" s="40"/>
      <c r="I6" s="204"/>
    </row>
    <row r="7" spans="1:9" customFormat="1" ht="89.25" x14ac:dyDescent="0.25">
      <c r="A7" s="500"/>
      <c r="B7" s="326">
        <v>45717</v>
      </c>
      <c r="C7" s="324" t="s">
        <v>1402</v>
      </c>
      <c r="D7" s="320" t="s">
        <v>490</v>
      </c>
      <c r="E7" s="126">
        <v>7</v>
      </c>
      <c r="F7" s="126">
        <v>56</v>
      </c>
      <c r="G7" s="193" t="s">
        <v>1274</v>
      </c>
      <c r="I7" s="204"/>
    </row>
    <row r="8" spans="1:9" customFormat="1" x14ac:dyDescent="0.25">
      <c r="A8" s="500"/>
      <c r="B8" s="326">
        <v>45717</v>
      </c>
      <c r="C8" s="324" t="s">
        <v>1402</v>
      </c>
      <c r="D8" s="320" t="s">
        <v>491</v>
      </c>
      <c r="E8" s="126"/>
      <c r="F8" s="126"/>
      <c r="G8" s="180"/>
      <c r="I8" s="205"/>
    </row>
    <row r="9" spans="1:9" customFormat="1" ht="51" x14ac:dyDescent="0.25">
      <c r="A9" s="500">
        <v>3</v>
      </c>
      <c r="B9" s="326">
        <v>45717</v>
      </c>
      <c r="C9" s="324" t="s">
        <v>1403</v>
      </c>
      <c r="D9" s="320" t="s">
        <v>1414</v>
      </c>
      <c r="E9" s="126">
        <v>4</v>
      </c>
      <c r="F9" s="126">
        <v>770</v>
      </c>
      <c r="G9" s="193" t="s">
        <v>1303</v>
      </c>
      <c r="I9" s="205"/>
    </row>
    <row r="10" spans="1:9" customFormat="1" ht="63.75" x14ac:dyDescent="0.25">
      <c r="A10" s="500"/>
      <c r="B10" s="326">
        <v>45717</v>
      </c>
      <c r="C10" s="324" t="s">
        <v>1403</v>
      </c>
      <c r="D10" s="320" t="s">
        <v>490</v>
      </c>
      <c r="E10" s="126">
        <v>5</v>
      </c>
      <c r="F10" s="126">
        <v>815</v>
      </c>
      <c r="G10" s="193" t="s">
        <v>1304</v>
      </c>
      <c r="I10" s="205"/>
    </row>
    <row r="11" spans="1:9" customFormat="1" ht="63.75" x14ac:dyDescent="0.25">
      <c r="A11" s="500"/>
      <c r="B11" s="326">
        <v>45717</v>
      </c>
      <c r="C11" s="324" t="s">
        <v>1403</v>
      </c>
      <c r="D11" s="320" t="s">
        <v>491</v>
      </c>
      <c r="E11" s="126">
        <v>4</v>
      </c>
      <c r="F11" s="126">
        <v>75</v>
      </c>
      <c r="G11" s="193" t="s">
        <v>1305</v>
      </c>
      <c r="I11" s="205"/>
    </row>
    <row r="12" spans="1:9" customFormat="1" ht="63.75" x14ac:dyDescent="0.25">
      <c r="A12" s="316">
        <v>4</v>
      </c>
      <c r="B12" s="326">
        <v>45717</v>
      </c>
      <c r="C12" s="324" t="s">
        <v>1404</v>
      </c>
      <c r="D12" s="320" t="s">
        <v>1414</v>
      </c>
      <c r="E12" s="126">
        <v>4</v>
      </c>
      <c r="F12" s="126">
        <v>385</v>
      </c>
      <c r="G12" s="193" t="s">
        <v>1315</v>
      </c>
      <c r="I12" s="205"/>
    </row>
    <row r="13" spans="1:9" customFormat="1" ht="93" customHeight="1" x14ac:dyDescent="0.25">
      <c r="A13" s="317"/>
      <c r="B13" s="326">
        <v>45717</v>
      </c>
      <c r="C13" s="324" t="s">
        <v>1404</v>
      </c>
      <c r="D13" s="320" t="s">
        <v>490</v>
      </c>
      <c r="E13" s="126">
        <v>6</v>
      </c>
      <c r="F13" s="126">
        <v>340</v>
      </c>
      <c r="G13" s="193" t="s">
        <v>1316</v>
      </c>
      <c r="I13" s="205"/>
    </row>
    <row r="14" spans="1:9" customFormat="1" ht="309.75" customHeight="1" x14ac:dyDescent="0.25">
      <c r="A14" s="318"/>
      <c r="B14" s="326">
        <v>45717</v>
      </c>
      <c r="C14" s="324" t="s">
        <v>1404</v>
      </c>
      <c r="D14" s="320" t="s">
        <v>491</v>
      </c>
      <c r="E14" s="126">
        <v>21</v>
      </c>
      <c r="F14" s="126">
        <v>910</v>
      </c>
      <c r="G14" s="193" t="s">
        <v>1317</v>
      </c>
      <c r="I14" s="205"/>
    </row>
    <row r="15" spans="1:9" customFormat="1" ht="63.75" x14ac:dyDescent="0.25">
      <c r="A15" s="500">
        <v>5</v>
      </c>
      <c r="B15" s="326">
        <v>45717</v>
      </c>
      <c r="C15" s="324" t="s">
        <v>1405</v>
      </c>
      <c r="D15" s="320" t="s">
        <v>1414</v>
      </c>
      <c r="E15" s="126">
        <v>5</v>
      </c>
      <c r="F15" s="126">
        <v>185</v>
      </c>
      <c r="G15" s="193" t="s">
        <v>1347</v>
      </c>
      <c r="I15" s="205"/>
    </row>
    <row r="16" spans="1:9" customFormat="1" ht="25.5" x14ac:dyDescent="0.25">
      <c r="A16" s="500"/>
      <c r="B16" s="326">
        <v>45717</v>
      </c>
      <c r="C16" s="324" t="s">
        <v>1405</v>
      </c>
      <c r="D16" s="320" t="s">
        <v>490</v>
      </c>
      <c r="E16" s="126">
        <v>2</v>
      </c>
      <c r="F16" s="126">
        <v>200</v>
      </c>
      <c r="G16" s="193" t="s">
        <v>1348</v>
      </c>
      <c r="I16" s="205"/>
    </row>
    <row r="17" spans="1:9" customFormat="1" x14ac:dyDescent="0.25">
      <c r="A17" s="500"/>
      <c r="B17" s="326">
        <v>45717</v>
      </c>
      <c r="C17" s="324" t="s">
        <v>1405</v>
      </c>
      <c r="D17" s="320" t="s">
        <v>491</v>
      </c>
      <c r="E17" s="126">
        <v>1</v>
      </c>
      <c r="F17" s="126">
        <v>35</v>
      </c>
      <c r="G17" s="193" t="s">
        <v>1349</v>
      </c>
      <c r="I17" s="205"/>
    </row>
    <row r="18" spans="1:9" customFormat="1" ht="114.75" x14ac:dyDescent="0.25">
      <c r="A18" s="316">
        <v>6</v>
      </c>
      <c r="B18" s="326">
        <v>45717</v>
      </c>
      <c r="C18" s="324" t="s">
        <v>1406</v>
      </c>
      <c r="D18" s="320" t="s">
        <v>1414</v>
      </c>
      <c r="E18" s="126">
        <v>9</v>
      </c>
      <c r="F18" s="126">
        <v>580</v>
      </c>
      <c r="G18" s="193" t="s">
        <v>1385</v>
      </c>
      <c r="I18" s="205"/>
    </row>
    <row r="19" spans="1:9" customFormat="1" ht="51" x14ac:dyDescent="0.25">
      <c r="A19" s="317"/>
      <c r="B19" s="326">
        <v>45717</v>
      </c>
      <c r="C19" s="324" t="s">
        <v>1406</v>
      </c>
      <c r="D19" s="320" t="s">
        <v>490</v>
      </c>
      <c r="E19" s="126">
        <v>4</v>
      </c>
      <c r="F19" s="126">
        <v>221</v>
      </c>
      <c r="G19" s="193" t="s">
        <v>1386</v>
      </c>
      <c r="I19" s="205"/>
    </row>
    <row r="20" spans="1:9" customFormat="1" ht="114.75" x14ac:dyDescent="0.25">
      <c r="A20" s="318"/>
      <c r="B20" s="326">
        <v>45717</v>
      </c>
      <c r="C20" s="324" t="s">
        <v>1406</v>
      </c>
      <c r="D20" s="320" t="s">
        <v>491</v>
      </c>
      <c r="E20" s="126">
        <v>8</v>
      </c>
      <c r="F20" s="126">
        <v>426</v>
      </c>
      <c r="G20" s="193" t="s">
        <v>1387</v>
      </c>
      <c r="I20" s="205"/>
    </row>
    <row r="21" spans="1:9" customFormat="1" ht="216.75" x14ac:dyDescent="0.25">
      <c r="A21" s="500">
        <v>7</v>
      </c>
      <c r="B21" s="326">
        <v>45717</v>
      </c>
      <c r="C21" s="324" t="s">
        <v>1407</v>
      </c>
      <c r="D21" s="320" t="s">
        <v>1414</v>
      </c>
      <c r="E21" s="126">
        <v>15</v>
      </c>
      <c r="F21" s="126">
        <v>2675</v>
      </c>
      <c r="G21" s="193" t="s">
        <v>1266</v>
      </c>
      <c r="I21" s="205"/>
    </row>
    <row r="22" spans="1:9" customFormat="1" ht="63.75" x14ac:dyDescent="0.25">
      <c r="A22" s="500"/>
      <c r="B22" s="326">
        <v>45717</v>
      </c>
      <c r="C22" s="324" t="s">
        <v>1407</v>
      </c>
      <c r="D22" s="320" t="s">
        <v>490</v>
      </c>
      <c r="E22" s="126">
        <v>5</v>
      </c>
      <c r="F22" s="126">
        <v>208</v>
      </c>
      <c r="G22" s="286" t="s">
        <v>1268</v>
      </c>
      <c r="H22" s="208"/>
      <c r="I22" s="205"/>
    </row>
    <row r="23" spans="1:9" customFormat="1" ht="369.75" x14ac:dyDescent="0.25">
      <c r="A23" s="500"/>
      <c r="B23" s="326">
        <v>45717</v>
      </c>
      <c r="C23" s="324" t="s">
        <v>1407</v>
      </c>
      <c r="D23" s="320" t="s">
        <v>491</v>
      </c>
      <c r="E23" s="126">
        <v>29</v>
      </c>
      <c r="F23" s="126">
        <v>2008</v>
      </c>
      <c r="G23" s="286" t="s">
        <v>1267</v>
      </c>
      <c r="H23" s="208"/>
      <c r="I23" s="205"/>
    </row>
    <row r="24" spans="1:9" customFormat="1" x14ac:dyDescent="0.25">
      <c r="A24" s="500">
        <v>8</v>
      </c>
      <c r="B24" s="326">
        <v>45717</v>
      </c>
      <c r="C24" s="324" t="s">
        <v>1408</v>
      </c>
      <c r="D24" s="320" t="s">
        <v>1414</v>
      </c>
      <c r="E24" s="126">
        <v>1</v>
      </c>
      <c r="F24" s="126">
        <v>100</v>
      </c>
      <c r="G24" s="193" t="s">
        <v>1389</v>
      </c>
      <c r="H24" s="208"/>
      <c r="I24" s="205"/>
    </row>
    <row r="25" spans="1:9" customFormat="1" ht="114.75" x14ac:dyDescent="0.25">
      <c r="A25" s="500"/>
      <c r="B25" s="326">
        <v>45717</v>
      </c>
      <c r="C25" s="324" t="s">
        <v>1408</v>
      </c>
      <c r="D25" s="320" t="s">
        <v>490</v>
      </c>
      <c r="E25" s="126">
        <v>9</v>
      </c>
      <c r="F25" s="126">
        <v>195</v>
      </c>
      <c r="G25" s="193" t="s">
        <v>1388</v>
      </c>
      <c r="I25" s="205"/>
    </row>
    <row r="26" spans="1:9" customFormat="1" x14ac:dyDescent="0.25">
      <c r="A26" s="500"/>
      <c r="B26" s="326">
        <v>45717</v>
      </c>
      <c r="C26" s="324" t="s">
        <v>1408</v>
      </c>
      <c r="D26" s="320" t="s">
        <v>491</v>
      </c>
      <c r="E26" s="126"/>
      <c r="F26" s="126"/>
      <c r="G26" s="180"/>
      <c r="I26" s="205"/>
    </row>
    <row r="27" spans="1:9" customFormat="1" ht="76.5" x14ac:dyDescent="0.25">
      <c r="A27" s="500">
        <v>9</v>
      </c>
      <c r="B27" s="326">
        <v>45717</v>
      </c>
      <c r="C27" s="324" t="s">
        <v>1409</v>
      </c>
      <c r="D27" s="320" t="s">
        <v>1414</v>
      </c>
      <c r="E27" s="126">
        <v>5</v>
      </c>
      <c r="F27" s="126">
        <v>370</v>
      </c>
      <c r="G27" s="193" t="s">
        <v>1330</v>
      </c>
      <c r="I27" s="205"/>
    </row>
    <row r="28" spans="1:9" customFormat="1" ht="89.25" x14ac:dyDescent="0.25">
      <c r="A28" s="500"/>
      <c r="B28" s="326">
        <v>45717</v>
      </c>
      <c r="C28" s="324" t="s">
        <v>1409</v>
      </c>
      <c r="D28" s="320" t="s">
        <v>490</v>
      </c>
      <c r="E28" s="126">
        <v>6</v>
      </c>
      <c r="F28" s="126">
        <v>280</v>
      </c>
      <c r="G28" s="193" t="s">
        <v>1331</v>
      </c>
      <c r="I28" s="205"/>
    </row>
    <row r="29" spans="1:9" customFormat="1" x14ac:dyDescent="0.25">
      <c r="A29" s="500"/>
      <c r="B29" s="326">
        <v>45717</v>
      </c>
      <c r="C29" s="324" t="s">
        <v>1409</v>
      </c>
      <c r="D29" s="320" t="s">
        <v>491</v>
      </c>
      <c r="E29" s="126"/>
      <c r="F29" s="126"/>
      <c r="G29" s="180"/>
      <c r="I29" s="205"/>
    </row>
    <row r="30" spans="1:9" s="132" customFormat="1" ht="63.75" x14ac:dyDescent="0.25">
      <c r="A30" s="500">
        <v>10</v>
      </c>
      <c r="B30" s="326">
        <v>45717</v>
      </c>
      <c r="C30" s="324" t="s">
        <v>1410</v>
      </c>
      <c r="D30" s="320" t="s">
        <v>1414</v>
      </c>
      <c r="E30" s="126">
        <v>5</v>
      </c>
      <c r="F30" s="126">
        <v>1015</v>
      </c>
      <c r="G30" s="193" t="s">
        <v>1298</v>
      </c>
      <c r="I30" s="213"/>
    </row>
    <row r="31" spans="1:9" s="132" customFormat="1" ht="171.75" customHeight="1" x14ac:dyDescent="0.25">
      <c r="A31" s="500"/>
      <c r="B31" s="326">
        <v>45717</v>
      </c>
      <c r="C31" s="324" t="s">
        <v>1410</v>
      </c>
      <c r="D31" s="320" t="s">
        <v>490</v>
      </c>
      <c r="E31" s="126">
        <v>11</v>
      </c>
      <c r="F31" s="126">
        <v>1220</v>
      </c>
      <c r="G31" s="193" t="s">
        <v>1299</v>
      </c>
      <c r="I31" s="213"/>
    </row>
    <row r="32" spans="1:9" s="132" customFormat="1" ht="51" x14ac:dyDescent="0.25">
      <c r="A32" s="500"/>
      <c r="B32" s="326">
        <v>45717</v>
      </c>
      <c r="C32" s="324" t="s">
        <v>1410</v>
      </c>
      <c r="D32" s="320" t="s">
        <v>491</v>
      </c>
      <c r="E32" s="126">
        <v>3</v>
      </c>
      <c r="F32" s="126">
        <v>92</v>
      </c>
      <c r="G32" s="193" t="s">
        <v>1300</v>
      </c>
      <c r="I32" s="213"/>
    </row>
    <row r="33" spans="1:9" customFormat="1" ht="63.75" x14ac:dyDescent="0.25">
      <c r="A33" s="500">
        <v>11</v>
      </c>
      <c r="B33" s="326">
        <v>45717</v>
      </c>
      <c r="C33" s="324" t="s">
        <v>1411</v>
      </c>
      <c r="D33" s="320" t="s">
        <v>1414</v>
      </c>
      <c r="E33" s="194">
        <v>4</v>
      </c>
      <c r="F33" s="194">
        <v>490</v>
      </c>
      <c r="G33" s="193" t="s">
        <v>1323</v>
      </c>
      <c r="I33" s="205"/>
    </row>
    <row r="34" spans="1:9" customFormat="1" ht="25.5" x14ac:dyDescent="0.25">
      <c r="A34" s="500"/>
      <c r="B34" s="326">
        <v>45717</v>
      </c>
      <c r="C34" s="324" t="s">
        <v>1411</v>
      </c>
      <c r="D34" s="320" t="s">
        <v>490</v>
      </c>
      <c r="E34" s="194">
        <v>2</v>
      </c>
      <c r="F34" s="194">
        <v>190</v>
      </c>
      <c r="G34" s="193" t="s">
        <v>1324</v>
      </c>
      <c r="I34" s="205"/>
    </row>
    <row r="35" spans="1:9" customFormat="1" x14ac:dyDescent="0.25">
      <c r="A35" s="500"/>
      <c r="B35" s="326">
        <v>45717</v>
      </c>
      <c r="C35" s="324" t="s">
        <v>1411</v>
      </c>
      <c r="D35" s="320" t="s">
        <v>491</v>
      </c>
      <c r="E35" s="126">
        <v>1</v>
      </c>
      <c r="F35" s="126">
        <v>5</v>
      </c>
      <c r="G35" s="193" t="s">
        <v>1325</v>
      </c>
      <c r="I35" s="205"/>
    </row>
    <row r="36" spans="1:9" customFormat="1" ht="51" x14ac:dyDescent="0.25">
      <c r="A36" s="500">
        <v>12</v>
      </c>
      <c r="B36" s="326">
        <v>45717</v>
      </c>
      <c r="C36" s="324" t="s">
        <v>1412</v>
      </c>
      <c r="D36" s="320" t="s">
        <v>1414</v>
      </c>
      <c r="E36" s="126">
        <v>4</v>
      </c>
      <c r="F36" s="126">
        <v>165</v>
      </c>
      <c r="G36" s="193" t="s">
        <v>1360</v>
      </c>
      <c r="I36" s="205"/>
    </row>
    <row r="37" spans="1:9" customFormat="1" ht="242.25" x14ac:dyDescent="0.25">
      <c r="A37" s="500"/>
      <c r="B37" s="326">
        <v>45717</v>
      </c>
      <c r="C37" s="324" t="s">
        <v>1412</v>
      </c>
      <c r="D37" s="320" t="s">
        <v>490</v>
      </c>
      <c r="E37" s="126">
        <v>18</v>
      </c>
      <c r="F37" s="126">
        <v>410</v>
      </c>
      <c r="G37" s="193" t="s">
        <v>1361</v>
      </c>
      <c r="I37" s="205"/>
    </row>
    <row r="38" spans="1:9" customFormat="1" x14ac:dyDescent="0.25">
      <c r="A38" s="500"/>
      <c r="B38" s="326">
        <v>45717</v>
      </c>
      <c r="C38" s="324" t="s">
        <v>1412</v>
      </c>
      <c r="D38" s="320" t="s">
        <v>491</v>
      </c>
      <c r="E38" s="126"/>
      <c r="F38" s="126"/>
      <c r="G38" s="180"/>
      <c r="I38" s="205"/>
    </row>
    <row r="39" spans="1:9" customFormat="1" ht="127.5" x14ac:dyDescent="0.25">
      <c r="A39" s="500">
        <v>13</v>
      </c>
      <c r="B39" s="326">
        <v>45717</v>
      </c>
      <c r="C39" s="324" t="s">
        <v>1413</v>
      </c>
      <c r="D39" s="320" t="s">
        <v>1414</v>
      </c>
      <c r="E39" s="126">
        <v>9</v>
      </c>
      <c r="F39" s="126">
        <v>1530</v>
      </c>
      <c r="G39" s="193" t="s">
        <v>1289</v>
      </c>
      <c r="H39" s="216"/>
      <c r="I39" s="205">
        <v>1830</v>
      </c>
    </row>
    <row r="40" spans="1:9" customFormat="1" ht="63.75" x14ac:dyDescent="0.25">
      <c r="A40" s="500"/>
      <c r="B40" s="326">
        <v>45717</v>
      </c>
      <c r="C40" s="324" t="s">
        <v>1413</v>
      </c>
      <c r="D40" s="320" t="s">
        <v>490</v>
      </c>
      <c r="E40" s="126">
        <v>5</v>
      </c>
      <c r="F40" s="126">
        <v>185</v>
      </c>
      <c r="G40" s="193" t="s">
        <v>1291</v>
      </c>
      <c r="I40" s="205">
        <v>178</v>
      </c>
    </row>
    <row r="41" spans="1:9" customFormat="1" x14ac:dyDescent="0.25">
      <c r="A41" s="500"/>
      <c r="B41" s="326">
        <v>45717</v>
      </c>
      <c r="C41" s="324" t="s">
        <v>1413</v>
      </c>
      <c r="D41" s="320" t="s">
        <v>491</v>
      </c>
      <c r="E41" s="126">
        <v>1</v>
      </c>
      <c r="F41" s="126">
        <v>5</v>
      </c>
      <c r="G41" s="193" t="s">
        <v>1290</v>
      </c>
      <c r="H41" s="217"/>
      <c r="I41" s="205"/>
    </row>
    <row r="42" spans="1:9" customFormat="1" x14ac:dyDescent="0.25">
      <c r="A42" s="500">
        <v>1</v>
      </c>
      <c r="B42" s="326">
        <v>45689</v>
      </c>
      <c r="C42" s="324" t="s">
        <v>1401</v>
      </c>
      <c r="D42" s="320" t="s">
        <v>1414</v>
      </c>
      <c r="E42" s="126"/>
      <c r="F42" s="126"/>
      <c r="G42" s="180"/>
      <c r="I42" s="204"/>
    </row>
    <row r="43" spans="1:9" customFormat="1" x14ac:dyDescent="0.25">
      <c r="A43" s="500"/>
      <c r="B43" s="326">
        <v>45689</v>
      </c>
      <c r="C43" s="324" t="s">
        <v>1401</v>
      </c>
      <c r="D43" s="320" t="s">
        <v>490</v>
      </c>
      <c r="E43" s="126"/>
      <c r="F43" s="126"/>
      <c r="G43" s="180"/>
      <c r="I43" s="204"/>
    </row>
    <row r="44" spans="1:9" customFormat="1" ht="38.25" x14ac:dyDescent="0.25">
      <c r="A44" s="500"/>
      <c r="B44" s="326">
        <v>45689</v>
      </c>
      <c r="C44" s="324" t="s">
        <v>1401</v>
      </c>
      <c r="D44" s="320" t="s">
        <v>491</v>
      </c>
      <c r="E44" s="126">
        <v>3</v>
      </c>
      <c r="F44" s="126">
        <v>330</v>
      </c>
      <c r="G44" s="193" t="s">
        <v>1179</v>
      </c>
      <c r="I44" s="204"/>
    </row>
    <row r="45" spans="1:9" customFormat="1" ht="38.25" x14ac:dyDescent="0.25">
      <c r="A45" s="500">
        <v>2</v>
      </c>
      <c r="B45" s="326">
        <v>45689</v>
      </c>
      <c r="C45" s="324" t="s">
        <v>1402</v>
      </c>
      <c r="D45" s="320" t="s">
        <v>1414</v>
      </c>
      <c r="E45" s="194">
        <v>2</v>
      </c>
      <c r="F45" s="194">
        <v>400</v>
      </c>
      <c r="G45" s="193" t="s">
        <v>1151</v>
      </c>
      <c r="I45" s="204"/>
    </row>
    <row r="46" spans="1:9" customFormat="1" ht="45" x14ac:dyDescent="0.25">
      <c r="A46" s="500"/>
      <c r="B46" s="326">
        <v>45689</v>
      </c>
      <c r="C46" s="324" t="s">
        <v>1402</v>
      </c>
      <c r="D46" s="320" t="s">
        <v>490</v>
      </c>
      <c r="E46" s="126">
        <v>3</v>
      </c>
      <c r="F46" s="126">
        <v>175</v>
      </c>
      <c r="G46" s="314" t="s">
        <v>1152</v>
      </c>
      <c r="I46" s="204"/>
    </row>
    <row r="47" spans="1:9" customFormat="1" x14ac:dyDescent="0.25">
      <c r="A47" s="500"/>
      <c r="B47" s="326">
        <v>45689</v>
      </c>
      <c r="C47" s="324" t="s">
        <v>1402</v>
      </c>
      <c r="D47" s="320" t="s">
        <v>491</v>
      </c>
      <c r="E47" s="126"/>
      <c r="F47" s="126"/>
      <c r="G47" s="180"/>
      <c r="I47" s="205"/>
    </row>
    <row r="48" spans="1:9" customFormat="1" ht="51" x14ac:dyDescent="0.25">
      <c r="A48" s="500">
        <v>3</v>
      </c>
      <c r="B48" s="326">
        <v>45689</v>
      </c>
      <c r="C48" s="324" t="s">
        <v>1403</v>
      </c>
      <c r="D48" s="320" t="s">
        <v>1414</v>
      </c>
      <c r="E48" s="126">
        <v>3</v>
      </c>
      <c r="F48" s="126">
        <v>170</v>
      </c>
      <c r="G48" s="193" t="s">
        <v>1183</v>
      </c>
      <c r="I48" s="205"/>
    </row>
    <row r="49" spans="1:9" customFormat="1" ht="51" x14ac:dyDescent="0.25">
      <c r="A49" s="500"/>
      <c r="B49" s="326">
        <v>45689</v>
      </c>
      <c r="C49" s="324" t="s">
        <v>1403</v>
      </c>
      <c r="D49" s="320" t="s">
        <v>490</v>
      </c>
      <c r="E49" s="126">
        <v>4</v>
      </c>
      <c r="F49" s="126">
        <v>320</v>
      </c>
      <c r="G49" s="193" t="s">
        <v>1184</v>
      </c>
      <c r="I49" s="205"/>
    </row>
    <row r="50" spans="1:9" customFormat="1" x14ac:dyDescent="0.25">
      <c r="A50" s="500"/>
      <c r="B50" s="326">
        <v>45689</v>
      </c>
      <c r="C50" s="324" t="s">
        <v>1403</v>
      </c>
      <c r="D50" s="320" t="s">
        <v>491</v>
      </c>
      <c r="E50" s="126"/>
      <c r="F50" s="126"/>
      <c r="G50" s="180"/>
      <c r="I50" s="205"/>
    </row>
    <row r="51" spans="1:9" customFormat="1" ht="38.25" x14ac:dyDescent="0.25">
      <c r="A51" s="500">
        <v>4</v>
      </c>
      <c r="B51" s="326">
        <v>45689</v>
      </c>
      <c r="C51" s="324" t="s">
        <v>1404</v>
      </c>
      <c r="D51" s="320" t="s">
        <v>1414</v>
      </c>
      <c r="E51" s="126">
        <v>3</v>
      </c>
      <c r="F51" s="126">
        <v>1250</v>
      </c>
      <c r="G51" s="193" t="s">
        <v>1189</v>
      </c>
      <c r="I51" s="205"/>
    </row>
    <row r="52" spans="1:9" customFormat="1" x14ac:dyDescent="0.25">
      <c r="A52" s="500"/>
      <c r="B52" s="326">
        <v>45689</v>
      </c>
      <c r="C52" s="324" t="s">
        <v>1404</v>
      </c>
      <c r="D52" s="320" t="s">
        <v>490</v>
      </c>
      <c r="E52" s="126">
        <v>1</v>
      </c>
      <c r="F52" s="126">
        <v>20</v>
      </c>
      <c r="G52" s="193" t="s">
        <v>1191</v>
      </c>
      <c r="I52" s="205"/>
    </row>
    <row r="53" spans="1:9" customFormat="1" ht="38.25" x14ac:dyDescent="0.25">
      <c r="A53" s="500"/>
      <c r="B53" s="326">
        <v>45689</v>
      </c>
      <c r="C53" s="324" t="s">
        <v>1404</v>
      </c>
      <c r="D53" s="320" t="s">
        <v>491</v>
      </c>
      <c r="E53" s="126">
        <v>3</v>
      </c>
      <c r="F53" s="126">
        <v>45</v>
      </c>
      <c r="G53" s="193" t="s">
        <v>1190</v>
      </c>
      <c r="I53" s="205"/>
    </row>
    <row r="54" spans="1:9" customFormat="1" ht="81.75" x14ac:dyDescent="0.25">
      <c r="A54" s="500">
        <v>5</v>
      </c>
      <c r="B54" s="326">
        <v>45689</v>
      </c>
      <c r="C54" s="324" t="s">
        <v>1405</v>
      </c>
      <c r="D54" s="320" t="s">
        <v>1414</v>
      </c>
      <c r="E54" s="126">
        <v>4</v>
      </c>
      <c r="F54" s="126">
        <v>510</v>
      </c>
      <c r="G54" s="180" t="s">
        <v>1395</v>
      </c>
      <c r="I54" s="205"/>
    </row>
    <row r="55" spans="1:9" customFormat="1" x14ac:dyDescent="0.25">
      <c r="A55" s="500"/>
      <c r="B55" s="326">
        <v>45689</v>
      </c>
      <c r="C55" s="324" t="s">
        <v>1405</v>
      </c>
      <c r="D55" s="320" t="s">
        <v>490</v>
      </c>
      <c r="E55" s="126">
        <v>1</v>
      </c>
      <c r="F55" s="126">
        <v>50</v>
      </c>
      <c r="G55" s="193" t="s">
        <v>1216</v>
      </c>
      <c r="I55" s="205"/>
    </row>
    <row r="56" spans="1:9" customFormat="1" ht="38.25" x14ac:dyDescent="0.25">
      <c r="A56" s="500"/>
      <c r="B56" s="326">
        <v>45689</v>
      </c>
      <c r="C56" s="324" t="s">
        <v>1405</v>
      </c>
      <c r="D56" s="320" t="s">
        <v>491</v>
      </c>
      <c r="E56" s="126">
        <v>2</v>
      </c>
      <c r="F56" s="126">
        <v>35</v>
      </c>
      <c r="G56" s="193" t="s">
        <v>1217</v>
      </c>
      <c r="I56" s="205"/>
    </row>
    <row r="57" spans="1:9" customFormat="1" ht="272.25" customHeight="1" x14ac:dyDescent="0.25">
      <c r="A57" s="500">
        <v>6</v>
      </c>
      <c r="B57" s="326">
        <v>45689</v>
      </c>
      <c r="C57" s="324" t="s">
        <v>1406</v>
      </c>
      <c r="D57" s="320" t="s">
        <v>1414</v>
      </c>
      <c r="E57" s="126">
        <v>13</v>
      </c>
      <c r="F57" s="126">
        <v>937</v>
      </c>
      <c r="G57" s="193" t="s">
        <v>1099</v>
      </c>
      <c r="I57" s="205"/>
    </row>
    <row r="58" spans="1:9" customFormat="1" ht="72.75" customHeight="1" x14ac:dyDescent="0.25">
      <c r="A58" s="500"/>
      <c r="B58" s="326">
        <v>45689</v>
      </c>
      <c r="C58" s="324" t="s">
        <v>1406</v>
      </c>
      <c r="D58" s="320" t="s">
        <v>490</v>
      </c>
      <c r="E58" s="126">
        <v>3</v>
      </c>
      <c r="F58" s="126">
        <v>961</v>
      </c>
      <c r="G58" s="193" t="s">
        <v>1100</v>
      </c>
      <c r="I58" s="205"/>
    </row>
    <row r="59" spans="1:9" customFormat="1" ht="86.25" customHeight="1" x14ac:dyDescent="0.25">
      <c r="A59" s="500"/>
      <c r="B59" s="326">
        <v>45689</v>
      </c>
      <c r="C59" s="324" t="s">
        <v>1406</v>
      </c>
      <c r="D59" s="320" t="s">
        <v>491</v>
      </c>
      <c r="E59" s="126">
        <v>4</v>
      </c>
      <c r="F59" s="126">
        <v>257</v>
      </c>
      <c r="G59" s="193" t="s">
        <v>1101</v>
      </c>
      <c r="I59" s="205"/>
    </row>
    <row r="60" spans="1:9" customFormat="1" ht="204" x14ac:dyDescent="0.25">
      <c r="A60" s="500">
        <v>7</v>
      </c>
      <c r="B60" s="326">
        <v>45689</v>
      </c>
      <c r="C60" s="324" t="s">
        <v>1407</v>
      </c>
      <c r="D60" s="320" t="s">
        <v>1414</v>
      </c>
      <c r="E60" s="126">
        <v>16</v>
      </c>
      <c r="F60" s="126">
        <v>1451</v>
      </c>
      <c r="G60" s="193" t="s">
        <v>1173</v>
      </c>
      <c r="I60" s="205"/>
    </row>
    <row r="61" spans="1:9" customFormat="1" x14ac:dyDescent="0.25">
      <c r="A61" s="500"/>
      <c r="B61" s="326">
        <v>45689</v>
      </c>
      <c r="C61" s="324" t="s">
        <v>1407</v>
      </c>
      <c r="D61" s="320" t="s">
        <v>490</v>
      </c>
      <c r="E61" s="126"/>
      <c r="F61" s="126"/>
      <c r="G61" s="180"/>
      <c r="H61" s="208"/>
      <c r="I61" s="205"/>
    </row>
    <row r="62" spans="1:9" customFormat="1" ht="293.25" x14ac:dyDescent="0.25">
      <c r="A62" s="500"/>
      <c r="B62" s="326">
        <v>45689</v>
      </c>
      <c r="C62" s="324" t="s">
        <v>1407</v>
      </c>
      <c r="D62" s="320" t="s">
        <v>491</v>
      </c>
      <c r="E62" s="126">
        <v>22</v>
      </c>
      <c r="F62" s="126">
        <v>834</v>
      </c>
      <c r="G62" s="193" t="s">
        <v>1174</v>
      </c>
      <c r="H62" s="208"/>
      <c r="I62" s="205"/>
    </row>
    <row r="63" spans="1:9" customFormat="1" ht="25.5" x14ac:dyDescent="0.25">
      <c r="A63" s="500">
        <v>8</v>
      </c>
      <c r="B63" s="326">
        <v>45689</v>
      </c>
      <c r="C63" s="324" t="s">
        <v>1408</v>
      </c>
      <c r="D63" s="320" t="s">
        <v>1414</v>
      </c>
      <c r="E63" s="126">
        <v>2</v>
      </c>
      <c r="F63" s="126">
        <v>175</v>
      </c>
      <c r="G63" s="193" t="s">
        <v>1196</v>
      </c>
      <c r="H63" s="208"/>
      <c r="I63" s="205"/>
    </row>
    <row r="64" spans="1:9" customFormat="1" ht="216.75" x14ac:dyDescent="0.25">
      <c r="A64" s="500"/>
      <c r="B64" s="326">
        <v>45689</v>
      </c>
      <c r="C64" s="324" t="s">
        <v>1408</v>
      </c>
      <c r="D64" s="320" t="s">
        <v>490</v>
      </c>
      <c r="E64" s="126">
        <v>17</v>
      </c>
      <c r="F64" s="126">
        <v>330</v>
      </c>
      <c r="G64" s="193" t="s">
        <v>1195</v>
      </c>
      <c r="I64" s="205"/>
    </row>
    <row r="65" spans="1:9" customFormat="1" x14ac:dyDescent="0.25">
      <c r="A65" s="500"/>
      <c r="B65" s="326">
        <v>45689</v>
      </c>
      <c r="C65" s="324" t="s">
        <v>1408</v>
      </c>
      <c r="D65" s="320" t="s">
        <v>491</v>
      </c>
      <c r="E65" s="126"/>
      <c r="F65" s="126"/>
      <c r="G65" s="180"/>
      <c r="I65" s="205"/>
    </row>
    <row r="66" spans="1:9" customFormat="1" ht="267.75" x14ac:dyDescent="0.25">
      <c r="A66" s="500">
        <v>9</v>
      </c>
      <c r="B66" s="326">
        <v>45689</v>
      </c>
      <c r="C66" s="324" t="s">
        <v>1409</v>
      </c>
      <c r="D66" s="320" t="s">
        <v>1414</v>
      </c>
      <c r="E66" s="126">
        <v>19</v>
      </c>
      <c r="F66" s="126">
        <v>500</v>
      </c>
      <c r="G66" s="193" t="s">
        <v>1160</v>
      </c>
      <c r="I66" s="205"/>
    </row>
    <row r="67" spans="1:9" customFormat="1" x14ac:dyDescent="0.25">
      <c r="A67" s="500"/>
      <c r="B67" s="326">
        <v>45689</v>
      </c>
      <c r="C67" s="324" t="s">
        <v>1409</v>
      </c>
      <c r="D67" s="320" t="s">
        <v>490</v>
      </c>
      <c r="E67" s="126"/>
      <c r="F67" s="126"/>
      <c r="G67" s="180"/>
      <c r="I67" s="205"/>
    </row>
    <row r="68" spans="1:9" customFormat="1" x14ac:dyDescent="0.25">
      <c r="A68" s="500"/>
      <c r="B68" s="326">
        <v>45689</v>
      </c>
      <c r="C68" s="324" t="s">
        <v>1409</v>
      </c>
      <c r="D68" s="320" t="s">
        <v>491</v>
      </c>
      <c r="E68" s="126"/>
      <c r="F68" s="126"/>
      <c r="G68" s="180"/>
      <c r="I68" s="205"/>
    </row>
    <row r="69" spans="1:9" s="132" customFormat="1" ht="51" x14ac:dyDescent="0.25">
      <c r="A69" s="500">
        <v>10</v>
      </c>
      <c r="B69" s="326">
        <v>45689</v>
      </c>
      <c r="C69" s="324" t="s">
        <v>1410</v>
      </c>
      <c r="D69" s="320" t="s">
        <v>1414</v>
      </c>
      <c r="E69" s="126">
        <v>4</v>
      </c>
      <c r="F69" s="126">
        <v>356</v>
      </c>
      <c r="G69" s="193" t="s">
        <v>1207</v>
      </c>
      <c r="I69" s="213"/>
    </row>
    <row r="70" spans="1:9" s="132" customFormat="1" ht="38.25" x14ac:dyDescent="0.25">
      <c r="A70" s="500"/>
      <c r="B70" s="326">
        <v>45689</v>
      </c>
      <c r="C70" s="324" t="s">
        <v>1410</v>
      </c>
      <c r="D70" s="320" t="s">
        <v>490</v>
      </c>
      <c r="E70" s="126">
        <v>3</v>
      </c>
      <c r="F70" s="126">
        <v>167</v>
      </c>
      <c r="G70" s="193" t="s">
        <v>1208</v>
      </c>
      <c r="I70" s="213"/>
    </row>
    <row r="71" spans="1:9" s="132" customFormat="1" ht="51" x14ac:dyDescent="0.25">
      <c r="A71" s="500"/>
      <c r="B71" s="326">
        <v>45689</v>
      </c>
      <c r="C71" s="324" t="s">
        <v>1410</v>
      </c>
      <c r="D71" s="320" t="s">
        <v>491</v>
      </c>
      <c r="E71" s="126">
        <v>4</v>
      </c>
      <c r="F71" s="126">
        <v>600</v>
      </c>
      <c r="G71" s="193" t="s">
        <v>1209</v>
      </c>
      <c r="I71" s="213"/>
    </row>
    <row r="72" spans="1:9" customFormat="1" x14ac:dyDescent="0.25">
      <c r="A72" s="500">
        <v>11</v>
      </c>
      <c r="B72" s="326">
        <v>45689</v>
      </c>
      <c r="C72" s="324" t="s">
        <v>1411</v>
      </c>
      <c r="D72" s="320" t="s">
        <v>1414</v>
      </c>
      <c r="E72" s="246">
        <v>1</v>
      </c>
      <c r="F72" s="246">
        <v>120</v>
      </c>
      <c r="G72" s="193" t="s">
        <v>1224</v>
      </c>
      <c r="I72" s="205"/>
    </row>
    <row r="73" spans="1:9" customFormat="1" x14ac:dyDescent="0.25">
      <c r="A73" s="500"/>
      <c r="B73" s="326">
        <v>45689</v>
      </c>
      <c r="C73" s="324" t="s">
        <v>1411</v>
      </c>
      <c r="D73" s="320" t="s">
        <v>490</v>
      </c>
      <c r="E73" s="246"/>
      <c r="F73" s="246"/>
      <c r="G73" s="180"/>
      <c r="I73" s="205"/>
    </row>
    <row r="74" spans="1:9" customFormat="1" x14ac:dyDescent="0.25">
      <c r="A74" s="500"/>
      <c r="B74" s="326">
        <v>45689</v>
      </c>
      <c r="C74" s="324" t="s">
        <v>1411</v>
      </c>
      <c r="D74" s="320" t="s">
        <v>491</v>
      </c>
      <c r="E74" s="126">
        <v>1</v>
      </c>
      <c r="F74" s="126">
        <v>10</v>
      </c>
      <c r="G74" s="193" t="s">
        <v>1225</v>
      </c>
      <c r="I74" s="205"/>
    </row>
    <row r="75" spans="1:9" customFormat="1" ht="63.75" x14ac:dyDescent="0.25">
      <c r="A75" s="500">
        <v>12</v>
      </c>
      <c r="B75" s="326">
        <v>45689</v>
      </c>
      <c r="C75" s="324" t="s">
        <v>1412</v>
      </c>
      <c r="D75" s="320" t="s">
        <v>1414</v>
      </c>
      <c r="E75" s="126">
        <v>4</v>
      </c>
      <c r="F75" s="126">
        <v>266</v>
      </c>
      <c r="G75" s="193" t="s">
        <v>1397</v>
      </c>
      <c r="I75" s="205"/>
    </row>
    <row r="76" spans="1:9" customFormat="1" ht="156" x14ac:dyDescent="0.25">
      <c r="A76" s="500"/>
      <c r="B76" s="326">
        <v>45689</v>
      </c>
      <c r="C76" s="324" t="s">
        <v>1412</v>
      </c>
      <c r="D76" s="320" t="s">
        <v>490</v>
      </c>
      <c r="E76" s="126">
        <v>11</v>
      </c>
      <c r="F76" s="126">
        <v>447</v>
      </c>
      <c r="G76" s="201" t="s">
        <v>1396</v>
      </c>
      <c r="I76" s="205"/>
    </row>
    <row r="77" spans="1:9" customFormat="1" ht="38.25" x14ac:dyDescent="0.25">
      <c r="A77" s="500"/>
      <c r="B77" s="326">
        <v>45689</v>
      </c>
      <c r="C77" s="324" t="s">
        <v>1412</v>
      </c>
      <c r="D77" s="320" t="s">
        <v>491</v>
      </c>
      <c r="E77" s="126">
        <v>2</v>
      </c>
      <c r="F77" s="126">
        <v>80</v>
      </c>
      <c r="G77" s="193" t="s">
        <v>1116</v>
      </c>
      <c r="I77" s="205"/>
    </row>
    <row r="78" spans="1:9" customFormat="1" ht="89.25" x14ac:dyDescent="0.25">
      <c r="A78" s="500">
        <v>13</v>
      </c>
      <c r="B78" s="326">
        <v>45689</v>
      </c>
      <c r="C78" s="324" t="s">
        <v>1413</v>
      </c>
      <c r="D78" s="320" t="s">
        <v>1414</v>
      </c>
      <c r="E78" s="126">
        <v>6</v>
      </c>
      <c r="F78" s="126">
        <v>500</v>
      </c>
      <c r="G78" s="193" t="s">
        <v>1145</v>
      </c>
      <c r="H78" s="216"/>
      <c r="I78" s="205"/>
    </row>
    <row r="79" spans="1:9" customFormat="1" x14ac:dyDescent="0.25">
      <c r="A79" s="500"/>
      <c r="B79" s="326">
        <v>45689</v>
      </c>
      <c r="C79" s="324" t="s">
        <v>1413</v>
      </c>
      <c r="D79" s="320" t="s">
        <v>490</v>
      </c>
      <c r="E79" s="126"/>
      <c r="F79" s="126"/>
      <c r="G79" s="180"/>
      <c r="I79" s="205"/>
    </row>
    <row r="80" spans="1:9" customFormat="1" ht="25.5" x14ac:dyDescent="0.25">
      <c r="A80" s="500"/>
      <c r="B80" s="326">
        <v>45689</v>
      </c>
      <c r="C80" s="324" t="s">
        <v>1413</v>
      </c>
      <c r="D80" s="320" t="s">
        <v>491</v>
      </c>
      <c r="E80" s="126">
        <v>2</v>
      </c>
      <c r="F80" s="126">
        <v>55</v>
      </c>
      <c r="G80" s="193" t="s">
        <v>1144</v>
      </c>
      <c r="H80" s="217"/>
      <c r="I80" s="205"/>
    </row>
    <row r="81" spans="1:9" customFormat="1" ht="38.25" x14ac:dyDescent="0.25">
      <c r="A81" s="500">
        <v>1</v>
      </c>
      <c r="B81" s="326">
        <v>45658</v>
      </c>
      <c r="C81" s="324" t="s">
        <v>1401</v>
      </c>
      <c r="D81" s="320" t="s">
        <v>1414</v>
      </c>
      <c r="E81" s="126">
        <v>3</v>
      </c>
      <c r="F81" s="126">
        <v>600</v>
      </c>
      <c r="G81" s="193" t="s">
        <v>962</v>
      </c>
      <c r="I81" s="204"/>
    </row>
    <row r="82" spans="1:9" customFormat="1" x14ac:dyDescent="0.25">
      <c r="A82" s="500"/>
      <c r="B82" s="326">
        <v>45658</v>
      </c>
      <c r="C82" s="324" t="s">
        <v>1401</v>
      </c>
      <c r="D82" s="320" t="s">
        <v>490</v>
      </c>
      <c r="E82" s="126">
        <v>1</v>
      </c>
      <c r="F82" s="126">
        <v>5</v>
      </c>
      <c r="G82" s="193" t="s">
        <v>963</v>
      </c>
      <c r="I82" s="204"/>
    </row>
    <row r="83" spans="1:9" customFormat="1" ht="51" x14ac:dyDescent="0.25">
      <c r="A83" s="500"/>
      <c r="B83" s="326">
        <v>45658</v>
      </c>
      <c r="C83" s="324" t="s">
        <v>1401</v>
      </c>
      <c r="D83" s="320" t="s">
        <v>491</v>
      </c>
      <c r="E83" s="126">
        <v>3</v>
      </c>
      <c r="F83" s="126">
        <v>345</v>
      </c>
      <c r="G83" s="193" t="s">
        <v>964</v>
      </c>
      <c r="I83" s="204"/>
    </row>
    <row r="84" spans="1:9" customFormat="1" ht="63.75" x14ac:dyDescent="0.25">
      <c r="A84" s="500">
        <v>2</v>
      </c>
      <c r="B84" s="326">
        <v>45658</v>
      </c>
      <c r="C84" s="324" t="s">
        <v>1402</v>
      </c>
      <c r="D84" s="320" t="s">
        <v>1414</v>
      </c>
      <c r="E84" s="194">
        <v>5</v>
      </c>
      <c r="F84" s="194">
        <v>415</v>
      </c>
      <c r="G84" s="193" t="s">
        <v>966</v>
      </c>
      <c r="I84" s="204"/>
    </row>
    <row r="85" spans="1:9" customFormat="1" ht="25.5" x14ac:dyDescent="0.25">
      <c r="A85" s="500"/>
      <c r="B85" s="326">
        <v>45658</v>
      </c>
      <c r="C85" s="324" t="s">
        <v>1402</v>
      </c>
      <c r="D85" s="320" t="s">
        <v>490</v>
      </c>
      <c r="E85" s="126">
        <v>2</v>
      </c>
      <c r="F85" s="126">
        <v>30</v>
      </c>
      <c r="G85" s="193" t="s">
        <v>967</v>
      </c>
      <c r="I85" s="204"/>
    </row>
    <row r="86" spans="1:9" customFormat="1" x14ac:dyDescent="0.25">
      <c r="A86" s="500"/>
      <c r="B86" s="326">
        <v>45658</v>
      </c>
      <c r="C86" s="324" t="s">
        <v>1402</v>
      </c>
      <c r="D86" s="320" t="s">
        <v>491</v>
      </c>
      <c r="E86" s="126"/>
      <c r="F86" s="126"/>
      <c r="G86" s="193"/>
      <c r="I86" s="205"/>
    </row>
    <row r="87" spans="1:9" customFormat="1" ht="102" x14ac:dyDescent="0.25">
      <c r="A87" s="500">
        <v>3</v>
      </c>
      <c r="B87" s="326">
        <v>45658</v>
      </c>
      <c r="C87" s="324" t="s">
        <v>1403</v>
      </c>
      <c r="D87" s="320" t="s">
        <v>1414</v>
      </c>
      <c r="E87" s="126">
        <v>8</v>
      </c>
      <c r="F87" s="126">
        <v>565</v>
      </c>
      <c r="G87" s="193" t="s">
        <v>839</v>
      </c>
      <c r="I87" s="205"/>
    </row>
    <row r="88" spans="1:9" customFormat="1" ht="51" x14ac:dyDescent="0.25">
      <c r="A88" s="500"/>
      <c r="B88" s="326">
        <v>45658</v>
      </c>
      <c r="C88" s="324" t="s">
        <v>1403</v>
      </c>
      <c r="D88" s="320" t="s">
        <v>490</v>
      </c>
      <c r="E88" s="126">
        <v>4</v>
      </c>
      <c r="F88" s="126">
        <v>540</v>
      </c>
      <c r="G88" s="193" t="s">
        <v>840</v>
      </c>
      <c r="I88" s="205"/>
    </row>
    <row r="89" spans="1:9" customFormat="1" x14ac:dyDescent="0.25">
      <c r="A89" s="500"/>
      <c r="B89" s="326">
        <v>45658</v>
      </c>
      <c r="C89" s="324" t="s">
        <v>1403</v>
      </c>
      <c r="D89" s="320" t="s">
        <v>491</v>
      </c>
      <c r="E89" s="126">
        <v>1</v>
      </c>
      <c r="F89" s="126">
        <v>150</v>
      </c>
      <c r="G89" s="193" t="s">
        <v>841</v>
      </c>
      <c r="I89" s="205"/>
    </row>
    <row r="90" spans="1:9" customFormat="1" ht="76.5" x14ac:dyDescent="0.25">
      <c r="A90" s="500">
        <v>4</v>
      </c>
      <c r="B90" s="326">
        <v>45658</v>
      </c>
      <c r="C90" s="324" t="s">
        <v>1404</v>
      </c>
      <c r="D90" s="320" t="s">
        <v>1414</v>
      </c>
      <c r="E90" s="126">
        <v>6</v>
      </c>
      <c r="F90" s="126">
        <v>210</v>
      </c>
      <c r="G90" s="193" t="s">
        <v>865</v>
      </c>
      <c r="I90" s="205"/>
    </row>
    <row r="91" spans="1:9" customFormat="1" ht="114.75" x14ac:dyDescent="0.25">
      <c r="A91" s="500"/>
      <c r="B91" s="326">
        <v>45658</v>
      </c>
      <c r="C91" s="324" t="s">
        <v>1404</v>
      </c>
      <c r="D91" s="320" t="s">
        <v>490</v>
      </c>
      <c r="E91" s="126">
        <v>8</v>
      </c>
      <c r="F91" s="126">
        <v>319</v>
      </c>
      <c r="G91" s="193" t="s">
        <v>866</v>
      </c>
      <c r="I91" s="205"/>
    </row>
    <row r="92" spans="1:9" customFormat="1" ht="89.25" x14ac:dyDescent="0.25">
      <c r="A92" s="500"/>
      <c r="B92" s="326">
        <v>45658</v>
      </c>
      <c r="C92" s="324" t="s">
        <v>1404</v>
      </c>
      <c r="D92" s="320" t="s">
        <v>491</v>
      </c>
      <c r="E92" s="126">
        <v>7</v>
      </c>
      <c r="F92" s="126">
        <v>201</v>
      </c>
      <c r="G92" s="193" t="s">
        <v>867</v>
      </c>
      <c r="I92" s="205"/>
    </row>
    <row r="93" spans="1:9" customFormat="1" ht="38.25" x14ac:dyDescent="0.25">
      <c r="A93" s="500">
        <v>5</v>
      </c>
      <c r="B93" s="326">
        <v>45658</v>
      </c>
      <c r="C93" s="324" t="s">
        <v>1405</v>
      </c>
      <c r="D93" s="320" t="s">
        <v>1414</v>
      </c>
      <c r="E93" s="126">
        <v>3</v>
      </c>
      <c r="F93" s="126">
        <v>85</v>
      </c>
      <c r="G93" s="193" t="s">
        <v>814</v>
      </c>
      <c r="I93" s="205"/>
    </row>
    <row r="94" spans="1:9" customFormat="1" ht="38.25" x14ac:dyDescent="0.25">
      <c r="A94" s="500"/>
      <c r="B94" s="326">
        <v>45658</v>
      </c>
      <c r="C94" s="324" t="s">
        <v>1405</v>
      </c>
      <c r="D94" s="320" t="s">
        <v>490</v>
      </c>
      <c r="E94" s="126">
        <v>2</v>
      </c>
      <c r="F94" s="126">
        <v>290</v>
      </c>
      <c r="G94" s="193" t="s">
        <v>816</v>
      </c>
      <c r="I94" s="205"/>
    </row>
    <row r="95" spans="1:9" customFormat="1" ht="63.75" x14ac:dyDescent="0.25">
      <c r="A95" s="500"/>
      <c r="B95" s="326">
        <v>45658</v>
      </c>
      <c r="C95" s="324" t="s">
        <v>1405</v>
      </c>
      <c r="D95" s="320" t="s">
        <v>491</v>
      </c>
      <c r="E95" s="126">
        <v>5</v>
      </c>
      <c r="F95" s="126">
        <v>155</v>
      </c>
      <c r="G95" s="193" t="s">
        <v>815</v>
      </c>
      <c r="I95" s="205"/>
    </row>
    <row r="96" spans="1:9" customFormat="1" ht="204" x14ac:dyDescent="0.25">
      <c r="A96" s="500">
        <v>6</v>
      </c>
      <c r="B96" s="326">
        <v>45658</v>
      </c>
      <c r="C96" s="324" t="s">
        <v>1406</v>
      </c>
      <c r="D96" s="320" t="s">
        <v>1414</v>
      </c>
      <c r="E96" s="126">
        <v>15</v>
      </c>
      <c r="F96" s="126">
        <v>963</v>
      </c>
      <c r="G96" s="193" t="s">
        <v>927</v>
      </c>
      <c r="I96" s="205"/>
    </row>
    <row r="97" spans="1:9" customFormat="1" ht="38.25" x14ac:dyDescent="0.25">
      <c r="A97" s="500"/>
      <c r="B97" s="326">
        <v>45658</v>
      </c>
      <c r="C97" s="324" t="s">
        <v>1406</v>
      </c>
      <c r="D97" s="320" t="s">
        <v>490</v>
      </c>
      <c r="E97" s="126">
        <v>3</v>
      </c>
      <c r="F97" s="126">
        <v>137</v>
      </c>
      <c r="G97" s="193" t="s">
        <v>928</v>
      </c>
      <c r="I97" s="205"/>
    </row>
    <row r="98" spans="1:9" customFormat="1" ht="63.75" x14ac:dyDescent="0.25">
      <c r="A98" s="500"/>
      <c r="B98" s="326">
        <v>45658</v>
      </c>
      <c r="C98" s="324" t="s">
        <v>1406</v>
      </c>
      <c r="D98" s="320" t="s">
        <v>491</v>
      </c>
      <c r="E98" s="126">
        <v>5</v>
      </c>
      <c r="F98" s="126">
        <v>858</v>
      </c>
      <c r="G98" s="193" t="s">
        <v>929</v>
      </c>
      <c r="I98" s="205"/>
    </row>
    <row r="99" spans="1:9" customFormat="1" ht="114.75" x14ac:dyDescent="0.25">
      <c r="A99" s="500">
        <v>7</v>
      </c>
      <c r="B99" s="326">
        <v>45658</v>
      </c>
      <c r="C99" s="324" t="s">
        <v>1407</v>
      </c>
      <c r="D99" s="320" t="s">
        <v>1414</v>
      </c>
      <c r="E99" s="126">
        <v>9</v>
      </c>
      <c r="F99" s="126">
        <v>517</v>
      </c>
      <c r="G99" s="193" t="s">
        <v>889</v>
      </c>
      <c r="I99" s="205"/>
    </row>
    <row r="100" spans="1:9" customFormat="1" ht="114.75" x14ac:dyDescent="0.25">
      <c r="A100" s="500"/>
      <c r="B100" s="326">
        <v>45658</v>
      </c>
      <c r="C100" s="324" t="s">
        <v>1407</v>
      </c>
      <c r="D100" s="320" t="s">
        <v>490</v>
      </c>
      <c r="E100" s="126">
        <v>8</v>
      </c>
      <c r="F100" s="126">
        <v>199</v>
      </c>
      <c r="G100" s="193" t="s">
        <v>884</v>
      </c>
      <c r="H100" s="208"/>
      <c r="I100" s="205"/>
    </row>
    <row r="101" spans="1:9" customFormat="1" ht="232.5" customHeight="1" x14ac:dyDescent="0.25">
      <c r="A101" s="500"/>
      <c r="B101" s="326">
        <v>45658</v>
      </c>
      <c r="C101" s="324" t="s">
        <v>1407</v>
      </c>
      <c r="D101" s="320" t="s">
        <v>491</v>
      </c>
      <c r="E101" s="126">
        <v>17</v>
      </c>
      <c r="F101" s="126">
        <v>367</v>
      </c>
      <c r="G101" s="193" t="s">
        <v>876</v>
      </c>
      <c r="H101" s="208"/>
      <c r="I101" s="205"/>
    </row>
    <row r="102" spans="1:9" customFormat="1" x14ac:dyDescent="0.25">
      <c r="A102" s="500">
        <v>8</v>
      </c>
      <c r="B102" s="326">
        <v>45658</v>
      </c>
      <c r="C102" s="324" t="s">
        <v>1408</v>
      </c>
      <c r="D102" s="320" t="s">
        <v>1414</v>
      </c>
      <c r="E102" s="126">
        <v>1</v>
      </c>
      <c r="F102" s="126">
        <v>100</v>
      </c>
      <c r="G102" s="193" t="s">
        <v>935</v>
      </c>
      <c r="H102" s="208"/>
      <c r="I102" s="205"/>
    </row>
    <row r="103" spans="1:9" customFormat="1" ht="280.5" x14ac:dyDescent="0.25">
      <c r="A103" s="500"/>
      <c r="B103" s="326">
        <v>45658</v>
      </c>
      <c r="C103" s="324" t="s">
        <v>1408</v>
      </c>
      <c r="D103" s="320" t="s">
        <v>490</v>
      </c>
      <c r="E103" s="126">
        <v>22</v>
      </c>
      <c r="F103" s="126">
        <v>475</v>
      </c>
      <c r="G103" s="193" t="s">
        <v>934</v>
      </c>
      <c r="I103" s="205"/>
    </row>
    <row r="104" spans="1:9" customFormat="1" x14ac:dyDescent="0.25">
      <c r="A104" s="500"/>
      <c r="B104" s="326">
        <v>45658</v>
      </c>
      <c r="C104" s="324" t="s">
        <v>1408</v>
      </c>
      <c r="D104" s="320" t="s">
        <v>491</v>
      </c>
      <c r="E104" s="126"/>
      <c r="F104" s="126"/>
      <c r="G104" s="193"/>
      <c r="I104" s="205"/>
    </row>
    <row r="105" spans="1:9" customFormat="1" ht="51" x14ac:dyDescent="0.25">
      <c r="A105" s="500">
        <v>9</v>
      </c>
      <c r="B105" s="326">
        <v>45658</v>
      </c>
      <c r="C105" s="324" t="s">
        <v>1409</v>
      </c>
      <c r="D105" s="320" t="s">
        <v>1414</v>
      </c>
      <c r="E105" s="126">
        <v>4</v>
      </c>
      <c r="F105" s="126">
        <v>278</v>
      </c>
      <c r="G105" s="193" t="s">
        <v>950</v>
      </c>
      <c r="I105" s="205"/>
    </row>
    <row r="106" spans="1:9" customFormat="1" ht="38.25" x14ac:dyDescent="0.25">
      <c r="A106" s="500"/>
      <c r="B106" s="326">
        <v>45658</v>
      </c>
      <c r="C106" s="324" t="s">
        <v>1409</v>
      </c>
      <c r="D106" s="320" t="s">
        <v>490</v>
      </c>
      <c r="E106" s="126">
        <v>2</v>
      </c>
      <c r="F106" s="126">
        <v>280</v>
      </c>
      <c r="G106" s="193" t="s">
        <v>951</v>
      </c>
      <c r="I106" s="205"/>
    </row>
    <row r="107" spans="1:9" customFormat="1" x14ac:dyDescent="0.25">
      <c r="A107" s="500"/>
      <c r="B107" s="326">
        <v>45658</v>
      </c>
      <c r="C107" s="324" t="s">
        <v>1409</v>
      </c>
      <c r="D107" s="320" t="s">
        <v>491</v>
      </c>
      <c r="E107" s="126"/>
      <c r="F107" s="126"/>
      <c r="G107" s="193"/>
      <c r="I107" s="205"/>
    </row>
    <row r="108" spans="1:9" s="132" customFormat="1" ht="102" x14ac:dyDescent="0.25">
      <c r="A108" s="500">
        <v>10</v>
      </c>
      <c r="B108" s="326">
        <v>45658</v>
      </c>
      <c r="C108" s="324" t="s">
        <v>1410</v>
      </c>
      <c r="D108" s="320" t="s">
        <v>1414</v>
      </c>
      <c r="E108" s="126">
        <v>7</v>
      </c>
      <c r="F108" s="126">
        <v>604</v>
      </c>
      <c r="G108" s="193" t="s">
        <v>908</v>
      </c>
      <c r="I108" s="213"/>
    </row>
    <row r="109" spans="1:9" s="132" customFormat="1" ht="25.5" x14ac:dyDescent="0.25">
      <c r="A109" s="500"/>
      <c r="B109" s="326">
        <v>45658</v>
      </c>
      <c r="C109" s="324" t="s">
        <v>1410</v>
      </c>
      <c r="D109" s="320" t="s">
        <v>490</v>
      </c>
      <c r="E109" s="126">
        <v>2</v>
      </c>
      <c r="F109" s="126">
        <v>147</v>
      </c>
      <c r="G109" s="193" t="s">
        <v>906</v>
      </c>
      <c r="I109" s="213"/>
    </row>
    <row r="110" spans="1:9" s="132" customFormat="1" ht="76.5" x14ac:dyDescent="0.25">
      <c r="A110" s="500"/>
      <c r="B110" s="326">
        <v>45658</v>
      </c>
      <c r="C110" s="324" t="s">
        <v>1410</v>
      </c>
      <c r="D110" s="320" t="s">
        <v>491</v>
      </c>
      <c r="E110" s="126">
        <v>6</v>
      </c>
      <c r="F110" s="126">
        <v>93</v>
      </c>
      <c r="G110" s="193" t="s">
        <v>907</v>
      </c>
      <c r="I110" s="213"/>
    </row>
    <row r="111" spans="1:9" customFormat="1" ht="25.5" x14ac:dyDescent="0.25">
      <c r="A111" s="500">
        <v>11</v>
      </c>
      <c r="B111" s="326">
        <v>45658</v>
      </c>
      <c r="C111" s="324" t="s">
        <v>1411</v>
      </c>
      <c r="D111" s="320" t="s">
        <v>1414</v>
      </c>
      <c r="E111" s="246">
        <v>2</v>
      </c>
      <c r="F111" s="246">
        <v>180</v>
      </c>
      <c r="G111" s="193" t="s">
        <v>983</v>
      </c>
      <c r="I111" s="205"/>
    </row>
    <row r="112" spans="1:9" customFormat="1" x14ac:dyDescent="0.25">
      <c r="A112" s="500"/>
      <c r="B112" s="326">
        <v>45658</v>
      </c>
      <c r="C112" s="324" t="s">
        <v>1411</v>
      </c>
      <c r="D112" s="320" t="s">
        <v>490</v>
      </c>
      <c r="E112" s="246">
        <v>1</v>
      </c>
      <c r="F112" s="246">
        <v>20</v>
      </c>
      <c r="G112" s="193" t="s">
        <v>985</v>
      </c>
      <c r="I112" s="205"/>
    </row>
    <row r="113" spans="1:9" customFormat="1" ht="38.25" x14ac:dyDescent="0.25">
      <c r="A113" s="500"/>
      <c r="B113" s="326">
        <v>45658</v>
      </c>
      <c r="C113" s="324" t="s">
        <v>1411</v>
      </c>
      <c r="D113" s="320" t="s">
        <v>491</v>
      </c>
      <c r="E113" s="126">
        <v>3</v>
      </c>
      <c r="F113" s="126">
        <v>47</v>
      </c>
      <c r="G113" s="193" t="s">
        <v>984</v>
      </c>
      <c r="I113" s="205"/>
    </row>
    <row r="114" spans="1:9" customFormat="1" ht="76.5" x14ac:dyDescent="0.25">
      <c r="A114" s="500">
        <v>12</v>
      </c>
      <c r="B114" s="326">
        <v>45658</v>
      </c>
      <c r="C114" s="324" t="s">
        <v>1412</v>
      </c>
      <c r="D114" s="320" t="s">
        <v>1414</v>
      </c>
      <c r="E114" s="126">
        <v>6</v>
      </c>
      <c r="F114" s="126">
        <v>368</v>
      </c>
      <c r="G114" s="193" t="s">
        <v>992</v>
      </c>
      <c r="I114" s="205"/>
    </row>
    <row r="115" spans="1:9" customFormat="1" ht="140.25" x14ac:dyDescent="0.25">
      <c r="A115" s="500"/>
      <c r="B115" s="326">
        <v>45658</v>
      </c>
      <c r="C115" s="324" t="s">
        <v>1412</v>
      </c>
      <c r="D115" s="320" t="s">
        <v>490</v>
      </c>
      <c r="E115" s="126">
        <v>2</v>
      </c>
      <c r="F115" s="126">
        <v>140</v>
      </c>
      <c r="G115" s="193" t="s">
        <v>996</v>
      </c>
      <c r="I115" s="205"/>
    </row>
    <row r="116" spans="1:9" customFormat="1" x14ac:dyDescent="0.25">
      <c r="A116" s="500"/>
      <c r="B116" s="326">
        <v>45658</v>
      </c>
      <c r="C116" s="324" t="s">
        <v>1412</v>
      </c>
      <c r="D116" s="320" t="s">
        <v>491</v>
      </c>
      <c r="E116" s="126">
        <v>1</v>
      </c>
      <c r="F116" s="126">
        <v>60</v>
      </c>
      <c r="G116" s="193" t="s">
        <v>989</v>
      </c>
      <c r="I116" s="205"/>
    </row>
    <row r="117" spans="1:9" customFormat="1" x14ac:dyDescent="0.25">
      <c r="A117" s="500">
        <v>13</v>
      </c>
      <c r="B117" s="326">
        <v>45658</v>
      </c>
      <c r="C117" s="324" t="s">
        <v>1413</v>
      </c>
      <c r="D117" s="320" t="s">
        <v>1414</v>
      </c>
      <c r="E117" s="126"/>
      <c r="F117" s="126"/>
      <c r="G117" s="180"/>
      <c r="H117" s="216"/>
      <c r="I117" s="205"/>
    </row>
    <row r="118" spans="1:9" customFormat="1" x14ac:dyDescent="0.25">
      <c r="A118" s="500"/>
      <c r="B118" s="326">
        <v>45658</v>
      </c>
      <c r="C118" s="324" t="s">
        <v>1413</v>
      </c>
      <c r="D118" s="320" t="s">
        <v>490</v>
      </c>
      <c r="E118" s="126"/>
      <c r="F118" s="126"/>
      <c r="G118" s="180"/>
      <c r="I118" s="205"/>
    </row>
    <row r="119" spans="1:9" customFormat="1" x14ac:dyDescent="0.25">
      <c r="A119" s="500"/>
      <c r="B119" s="326">
        <v>45658</v>
      </c>
      <c r="C119" s="324" t="s">
        <v>1413</v>
      </c>
      <c r="D119" s="320" t="s">
        <v>491</v>
      </c>
      <c r="E119" s="126"/>
      <c r="F119" s="126"/>
      <c r="G119" s="180"/>
      <c r="H119" s="217"/>
      <c r="I119" s="205"/>
    </row>
    <row r="120" spans="1:9" customFormat="1" x14ac:dyDescent="0.25">
      <c r="A120" s="209"/>
      <c r="B120" s="327"/>
      <c r="C120" s="325"/>
      <c r="D120" s="321"/>
      <c r="E120" s="209"/>
      <c r="F120" s="209"/>
      <c r="G120" s="210"/>
      <c r="I120" s="205"/>
    </row>
  </sheetData>
  <mergeCells count="38">
    <mergeCell ref="A117:A119"/>
    <mergeCell ref="A108:A110"/>
    <mergeCell ref="A111:A113"/>
    <mergeCell ref="A114:A116"/>
    <mergeCell ref="A99:A101"/>
    <mergeCell ref="A102:A104"/>
    <mergeCell ref="A105:A107"/>
    <mergeCell ref="A90:A92"/>
    <mergeCell ref="A93:A95"/>
    <mergeCell ref="A96:A98"/>
    <mergeCell ref="A81:A83"/>
    <mergeCell ref="A84:A86"/>
    <mergeCell ref="A87:A89"/>
    <mergeCell ref="A72:A74"/>
    <mergeCell ref="A75:A77"/>
    <mergeCell ref="A78:A80"/>
    <mergeCell ref="A63:A65"/>
    <mergeCell ref="A66:A68"/>
    <mergeCell ref="A69:A71"/>
    <mergeCell ref="A54:A56"/>
    <mergeCell ref="A57:A59"/>
    <mergeCell ref="A60:A62"/>
    <mergeCell ref="A45:A47"/>
    <mergeCell ref="A48:A50"/>
    <mergeCell ref="A51:A53"/>
    <mergeCell ref="A36:A38"/>
    <mergeCell ref="A39:A41"/>
    <mergeCell ref="A42:A44"/>
    <mergeCell ref="A27:A29"/>
    <mergeCell ref="A30:A32"/>
    <mergeCell ref="A33:A35"/>
    <mergeCell ref="A15:A17"/>
    <mergeCell ref="A21:A23"/>
    <mergeCell ref="A24:A26"/>
    <mergeCell ref="A1:G1"/>
    <mergeCell ref="A3:A5"/>
    <mergeCell ref="A6:A8"/>
    <mergeCell ref="A9:A11"/>
  </mergeCells>
  <pageMargins left="0.59055118110236227" right="0.23622047244094491" top="0.35433070866141736" bottom="0.19685039370078741" header="0.35433070866141736" footer="0.15748031496062992"/>
  <pageSetup paperSize="9" scale="75" orientation="landscape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13"/>
  <sheetViews>
    <sheetView zoomScale="145" zoomScaleNormal="145" workbookViewId="0">
      <selection activeCell="D7" sqref="D7"/>
    </sheetView>
  </sheetViews>
  <sheetFormatPr defaultColWidth="9.140625" defaultRowHeight="18.75" x14ac:dyDescent="0.25"/>
  <cols>
    <col min="1" max="1" width="12.28515625" style="6" customWidth="1"/>
    <col min="2" max="2" width="16.85546875" style="24" customWidth="1"/>
    <col min="3" max="3" width="19.42578125" style="24" customWidth="1"/>
    <col min="4" max="4" width="14.7109375" style="6" customWidth="1"/>
    <col min="5" max="5" width="21.42578125" style="6" customWidth="1"/>
    <col min="6" max="6" width="81" style="163" customWidth="1"/>
    <col min="7" max="7" width="17.5703125" style="6" customWidth="1"/>
    <col min="8" max="8" width="5.28515625" style="203" bestFit="1" customWidth="1"/>
    <col min="9" max="9" width="19.28515625" style="6" customWidth="1"/>
    <col min="10" max="12" width="4.140625" style="6" bestFit="1" customWidth="1"/>
    <col min="13" max="13" width="3" style="6" bestFit="1" customWidth="1"/>
    <col min="14" max="14" width="4.140625" style="6" bestFit="1" customWidth="1"/>
    <col min="15" max="33" width="3" style="6" bestFit="1" customWidth="1"/>
    <col min="34" max="34" width="4.140625" style="6" bestFit="1" customWidth="1"/>
    <col min="35" max="16384" width="9.140625" style="6"/>
  </cols>
  <sheetData>
    <row r="1" spans="1:8" customFormat="1" x14ac:dyDescent="0.25">
      <c r="B1" s="429"/>
      <c r="C1" s="429"/>
      <c r="F1" s="430"/>
      <c r="H1" s="205"/>
    </row>
    <row r="2" spans="1:8" customFormat="1" x14ac:dyDescent="0.25">
      <c r="A2" s="597" t="s">
        <v>1654</v>
      </c>
      <c r="B2" s="598"/>
      <c r="C2" s="598"/>
      <c r="D2" s="598"/>
      <c r="E2" s="598"/>
      <c r="F2" s="599"/>
      <c r="H2" s="205"/>
    </row>
    <row r="3" spans="1:8" s="187" customFormat="1" ht="37.5" x14ac:dyDescent="0.25">
      <c r="A3" s="233" t="s">
        <v>149</v>
      </c>
      <c r="B3" s="234" t="s">
        <v>1</v>
      </c>
      <c r="C3" s="234" t="s">
        <v>146</v>
      </c>
      <c r="D3" s="233" t="s">
        <v>166</v>
      </c>
      <c r="E3" s="233" t="s">
        <v>147</v>
      </c>
      <c r="F3" s="232" t="s">
        <v>148</v>
      </c>
      <c r="H3" s="206"/>
    </row>
    <row r="4" spans="1:8" customFormat="1" ht="38.25" x14ac:dyDescent="0.25">
      <c r="A4" s="478">
        <v>1</v>
      </c>
      <c r="B4" s="479" t="s">
        <v>83</v>
      </c>
      <c r="C4" s="234" t="s">
        <v>150</v>
      </c>
      <c r="D4" s="246">
        <v>3</v>
      </c>
      <c r="E4" s="246">
        <v>37</v>
      </c>
      <c r="F4" s="426" t="s">
        <v>1668</v>
      </c>
      <c r="H4" s="204"/>
    </row>
    <row r="5" spans="1:8" customFormat="1" x14ac:dyDescent="0.25">
      <c r="A5" s="478"/>
      <c r="B5" s="479"/>
      <c r="C5" s="234" t="s">
        <v>151</v>
      </c>
      <c r="D5" s="246">
        <v>6</v>
      </c>
      <c r="E5" s="246">
        <v>1928</v>
      </c>
      <c r="F5" s="426"/>
      <c r="H5" s="204"/>
    </row>
    <row r="6" spans="1:8" customFormat="1" ht="76.5" x14ac:dyDescent="0.25">
      <c r="A6" s="478"/>
      <c r="B6" s="479"/>
      <c r="C6" s="234" t="s">
        <v>168</v>
      </c>
      <c r="D6" s="246">
        <v>6</v>
      </c>
      <c r="E6" s="466">
        <v>38</v>
      </c>
      <c r="F6" s="426" t="s">
        <v>1669</v>
      </c>
      <c r="H6" s="204"/>
    </row>
    <row r="7" spans="1:8" customFormat="1" x14ac:dyDescent="0.25">
      <c r="A7" s="478">
        <v>2</v>
      </c>
      <c r="B7" s="479" t="s">
        <v>20</v>
      </c>
      <c r="C7" s="234" t="s">
        <v>150</v>
      </c>
      <c r="D7" s="246"/>
      <c r="E7" s="246"/>
      <c r="F7" s="426"/>
      <c r="H7" s="204"/>
    </row>
    <row r="8" spans="1:8" customFormat="1" x14ac:dyDescent="0.25">
      <c r="A8" s="478"/>
      <c r="B8" s="479"/>
      <c r="C8" s="234" t="s">
        <v>151</v>
      </c>
      <c r="D8" s="233"/>
      <c r="E8" s="233"/>
      <c r="F8" s="426"/>
      <c r="H8" s="204"/>
    </row>
    <row r="9" spans="1:8" customFormat="1" x14ac:dyDescent="0.25">
      <c r="A9" s="478"/>
      <c r="B9" s="479"/>
      <c r="C9" s="234" t="s">
        <v>168</v>
      </c>
      <c r="D9" s="233"/>
      <c r="E9" s="233"/>
      <c r="F9" s="426"/>
      <c r="H9" s="205"/>
    </row>
    <row r="10" spans="1:8" customFormat="1" x14ac:dyDescent="0.25">
      <c r="A10" s="478">
        <v>3</v>
      </c>
      <c r="B10" s="479" t="s">
        <v>23</v>
      </c>
      <c r="C10" s="234" t="s">
        <v>150</v>
      </c>
      <c r="D10" s="233"/>
      <c r="E10" s="233"/>
      <c r="F10" s="426"/>
      <c r="H10" s="205"/>
    </row>
    <row r="11" spans="1:8" customFormat="1" x14ac:dyDescent="0.25">
      <c r="A11" s="478"/>
      <c r="B11" s="479"/>
      <c r="C11" s="234" t="s">
        <v>151</v>
      </c>
      <c r="D11" s="233"/>
      <c r="E11" s="233"/>
      <c r="F11" s="426"/>
      <c r="H11" s="205"/>
    </row>
    <row r="12" spans="1:8" customFormat="1" x14ac:dyDescent="0.25">
      <c r="A12" s="478"/>
      <c r="B12" s="479"/>
      <c r="C12" s="234" t="s">
        <v>168</v>
      </c>
      <c r="D12" s="233"/>
      <c r="E12" s="233"/>
      <c r="F12" s="426"/>
      <c r="H12" s="205"/>
    </row>
    <row r="13" spans="1:8" customFormat="1" x14ac:dyDescent="0.25">
      <c r="A13" s="431">
        <v>4</v>
      </c>
      <c r="B13" s="432" t="s">
        <v>165</v>
      </c>
      <c r="C13" s="234" t="s">
        <v>150</v>
      </c>
      <c r="D13" s="233"/>
      <c r="E13" s="233"/>
      <c r="F13" s="426"/>
      <c r="H13" s="205"/>
    </row>
    <row r="14" spans="1:8" customFormat="1" x14ac:dyDescent="0.25">
      <c r="A14" s="433"/>
      <c r="B14" s="434"/>
      <c r="C14" s="234" t="s">
        <v>151</v>
      </c>
      <c r="D14" s="233"/>
      <c r="E14" s="233"/>
      <c r="F14" s="426"/>
      <c r="H14" s="205"/>
    </row>
    <row r="15" spans="1:8" customFormat="1" ht="315" customHeight="1" x14ac:dyDescent="0.25">
      <c r="A15" s="424"/>
      <c r="B15" s="425"/>
      <c r="C15" s="234" t="s">
        <v>168</v>
      </c>
      <c r="D15" s="233"/>
      <c r="E15" s="233"/>
      <c r="F15" s="426"/>
      <c r="H15" s="205"/>
    </row>
    <row r="16" spans="1:8" customFormat="1" x14ac:dyDescent="0.25">
      <c r="A16" s="478">
        <v>5</v>
      </c>
      <c r="B16" s="479" t="s">
        <v>25</v>
      </c>
      <c r="C16" s="234" t="s">
        <v>150</v>
      </c>
      <c r="D16" s="233"/>
      <c r="E16" s="233"/>
      <c r="F16" s="426"/>
      <c r="H16" s="205"/>
    </row>
    <row r="17" spans="1:8" customFormat="1" x14ac:dyDescent="0.25">
      <c r="A17" s="478"/>
      <c r="B17" s="479"/>
      <c r="C17" s="234" t="s">
        <v>151</v>
      </c>
      <c r="D17" s="233"/>
      <c r="E17" s="233"/>
      <c r="F17" s="426"/>
      <c r="H17" s="205"/>
    </row>
    <row r="18" spans="1:8" customFormat="1" x14ac:dyDescent="0.25">
      <c r="A18" s="478"/>
      <c r="B18" s="479"/>
      <c r="C18" s="234" t="s">
        <v>168</v>
      </c>
      <c r="D18" s="233"/>
      <c r="E18" s="233"/>
      <c r="F18" s="426"/>
      <c r="H18" s="205"/>
    </row>
    <row r="19" spans="1:8" x14ac:dyDescent="0.25">
      <c r="A19" s="252">
        <v>6</v>
      </c>
      <c r="B19" s="316" t="s">
        <v>28</v>
      </c>
      <c r="C19" s="153" t="s">
        <v>150</v>
      </c>
      <c r="D19" s="126"/>
      <c r="E19" s="126"/>
      <c r="F19" s="193"/>
    </row>
    <row r="20" spans="1:8" ht="280.5" customHeight="1" x14ac:dyDescent="0.25">
      <c r="A20" s="223"/>
      <c r="B20" s="317"/>
      <c r="C20" s="153" t="s">
        <v>151</v>
      </c>
      <c r="D20" s="126"/>
      <c r="E20" s="126"/>
      <c r="F20" s="193"/>
    </row>
    <row r="21" spans="1:8" customFormat="1" ht="212.25" customHeight="1" x14ac:dyDescent="0.25">
      <c r="A21" s="424"/>
      <c r="B21" s="425"/>
      <c r="C21" s="234" t="s">
        <v>168</v>
      </c>
      <c r="D21" s="233"/>
      <c r="E21" s="233"/>
      <c r="F21" s="426"/>
      <c r="H21" s="205"/>
    </row>
    <row r="22" spans="1:8" customFormat="1" x14ac:dyDescent="0.25">
      <c r="A22" s="478">
        <v>7</v>
      </c>
      <c r="B22" s="479" t="s">
        <v>33</v>
      </c>
      <c r="C22" s="234" t="s">
        <v>150</v>
      </c>
      <c r="D22" s="233"/>
      <c r="E22" s="233"/>
      <c r="F22" s="426"/>
      <c r="H22" s="205"/>
    </row>
    <row r="23" spans="1:8" customFormat="1" x14ac:dyDescent="0.25">
      <c r="A23" s="478"/>
      <c r="B23" s="479"/>
      <c r="C23" s="234" t="s">
        <v>151</v>
      </c>
      <c r="D23" s="233"/>
      <c r="E23" s="233"/>
      <c r="F23" s="427"/>
      <c r="G23" s="208"/>
      <c r="H23" s="205"/>
    </row>
    <row r="24" spans="1:8" customFormat="1" x14ac:dyDescent="0.25">
      <c r="A24" s="478"/>
      <c r="B24" s="479"/>
      <c r="C24" s="234" t="s">
        <v>168</v>
      </c>
      <c r="D24" s="233"/>
      <c r="E24" s="233"/>
      <c r="F24" s="427"/>
      <c r="G24" s="208"/>
      <c r="H24" s="205"/>
    </row>
    <row r="25" spans="1:8" customFormat="1" x14ac:dyDescent="0.25">
      <c r="A25" s="478">
        <v>8</v>
      </c>
      <c r="B25" s="479" t="s">
        <v>38</v>
      </c>
      <c r="C25" s="234" t="s">
        <v>150</v>
      </c>
      <c r="D25" s="233"/>
      <c r="E25" s="233"/>
      <c r="F25" s="426"/>
      <c r="G25" s="208"/>
      <c r="H25" s="205"/>
    </row>
    <row r="26" spans="1:8" customFormat="1" x14ac:dyDescent="0.25">
      <c r="A26" s="478"/>
      <c r="B26" s="479"/>
      <c r="C26" s="234" t="s">
        <v>151</v>
      </c>
      <c r="D26" s="233"/>
      <c r="E26" s="233"/>
      <c r="F26" s="426"/>
      <c r="H26" s="205"/>
    </row>
    <row r="27" spans="1:8" customFormat="1" x14ac:dyDescent="0.25">
      <c r="A27" s="478"/>
      <c r="B27" s="479"/>
      <c r="C27" s="234" t="s">
        <v>168</v>
      </c>
      <c r="D27" s="233"/>
      <c r="E27" s="233"/>
      <c r="F27" s="232"/>
      <c r="H27" s="205"/>
    </row>
    <row r="28" spans="1:8" customFormat="1" x14ac:dyDescent="0.25">
      <c r="A28" s="478">
        <v>9</v>
      </c>
      <c r="B28" s="479" t="s">
        <v>88</v>
      </c>
      <c r="C28" s="234" t="s">
        <v>150</v>
      </c>
      <c r="D28" s="233"/>
      <c r="E28" s="233"/>
      <c r="F28" s="426"/>
      <c r="H28" s="205"/>
    </row>
    <row r="29" spans="1:8" customFormat="1" ht="174" customHeight="1" x14ac:dyDescent="0.25">
      <c r="A29" s="478"/>
      <c r="B29" s="479"/>
      <c r="C29" s="234" t="s">
        <v>151</v>
      </c>
      <c r="D29" s="233"/>
      <c r="E29" s="233"/>
      <c r="F29" s="426"/>
      <c r="H29" s="205"/>
    </row>
    <row r="30" spans="1:8" customFormat="1" x14ac:dyDescent="0.25">
      <c r="A30" s="478"/>
      <c r="B30" s="479"/>
      <c r="C30" s="234" t="s">
        <v>168</v>
      </c>
      <c r="D30" s="233"/>
      <c r="E30" s="233"/>
      <c r="F30" s="232"/>
      <c r="H30" s="205"/>
    </row>
    <row r="31" spans="1:8" customFormat="1" x14ac:dyDescent="0.25">
      <c r="A31" s="478">
        <v>10</v>
      </c>
      <c r="B31" s="479" t="s">
        <v>43</v>
      </c>
      <c r="C31" s="234" t="s">
        <v>150</v>
      </c>
      <c r="D31" s="233"/>
      <c r="E31" s="233"/>
      <c r="F31" s="426"/>
      <c r="H31" s="205"/>
    </row>
    <row r="32" spans="1:8" customFormat="1" x14ac:dyDescent="0.25">
      <c r="A32" s="478"/>
      <c r="B32" s="479"/>
      <c r="C32" s="234" t="s">
        <v>151</v>
      </c>
      <c r="D32" s="233"/>
      <c r="E32" s="233"/>
      <c r="F32" s="427"/>
      <c r="H32" s="205"/>
    </row>
    <row r="33" spans="1:8" customFormat="1" x14ac:dyDescent="0.25">
      <c r="A33" s="478"/>
      <c r="B33" s="479"/>
      <c r="C33" s="234" t="s">
        <v>168</v>
      </c>
      <c r="D33" s="233"/>
      <c r="E33" s="233"/>
      <c r="F33" s="426"/>
      <c r="H33" s="205"/>
    </row>
    <row r="34" spans="1:8" customFormat="1" x14ac:dyDescent="0.25">
      <c r="A34" s="478">
        <v>11</v>
      </c>
      <c r="B34" s="479" t="s">
        <v>46</v>
      </c>
      <c r="C34" s="234" t="s">
        <v>150</v>
      </c>
      <c r="D34" s="233"/>
      <c r="E34" s="233"/>
      <c r="F34" s="426"/>
      <c r="H34" s="205"/>
    </row>
    <row r="35" spans="1:8" customFormat="1" x14ac:dyDescent="0.25">
      <c r="A35" s="478"/>
      <c r="B35" s="479"/>
      <c r="C35" s="234" t="s">
        <v>151</v>
      </c>
      <c r="D35" s="233"/>
      <c r="E35" s="233"/>
      <c r="F35" s="426"/>
      <c r="H35" s="205"/>
    </row>
    <row r="36" spans="1:8" customFormat="1" x14ac:dyDescent="0.25">
      <c r="A36" s="478"/>
      <c r="B36" s="479"/>
      <c r="C36" s="234" t="s">
        <v>168</v>
      </c>
      <c r="D36" s="233"/>
      <c r="E36" s="233"/>
      <c r="F36" s="426"/>
      <c r="H36" s="205"/>
    </row>
    <row r="37" spans="1:8" customFormat="1" x14ac:dyDescent="0.25">
      <c r="A37" s="478">
        <v>12</v>
      </c>
      <c r="B37" s="479" t="s">
        <v>49</v>
      </c>
      <c r="C37" s="234" t="s">
        <v>150</v>
      </c>
      <c r="D37" s="233"/>
      <c r="E37" s="233"/>
      <c r="F37" s="426"/>
      <c r="H37" s="205"/>
    </row>
    <row r="38" spans="1:8" customFormat="1" x14ac:dyDescent="0.25">
      <c r="A38" s="478"/>
      <c r="B38" s="479"/>
      <c r="C38" s="234" t="s">
        <v>151</v>
      </c>
      <c r="D38" s="233"/>
      <c r="E38" s="233"/>
      <c r="F38" s="426"/>
      <c r="H38" s="205"/>
    </row>
    <row r="39" spans="1:8" customFormat="1" x14ac:dyDescent="0.25">
      <c r="A39" s="478"/>
      <c r="B39" s="479"/>
      <c r="C39" s="234" t="s">
        <v>168</v>
      </c>
      <c r="D39" s="233"/>
      <c r="E39" s="233"/>
      <c r="F39" s="232"/>
      <c r="H39" s="205"/>
    </row>
    <row r="40" spans="1:8" customFormat="1" x14ac:dyDescent="0.25">
      <c r="A40" s="478">
        <v>13</v>
      </c>
      <c r="B40" s="479" t="s">
        <v>52</v>
      </c>
      <c r="C40" s="234" t="s">
        <v>150</v>
      </c>
      <c r="D40" s="233"/>
      <c r="E40" s="233"/>
      <c r="F40" s="426"/>
      <c r="G40" s="352"/>
      <c r="H40" s="205"/>
    </row>
    <row r="41" spans="1:8" customFormat="1" ht="225" customHeight="1" x14ac:dyDescent="0.25">
      <c r="A41" s="478"/>
      <c r="B41" s="479"/>
      <c r="C41" s="234" t="s">
        <v>151</v>
      </c>
      <c r="D41" s="233"/>
      <c r="E41" s="233"/>
      <c r="F41" s="426"/>
      <c r="H41" s="205"/>
    </row>
    <row r="42" spans="1:8" customFormat="1" x14ac:dyDescent="0.25">
      <c r="A42" s="478"/>
      <c r="B42" s="479"/>
      <c r="C42" s="234" t="s">
        <v>168</v>
      </c>
      <c r="D42" s="233"/>
      <c r="E42" s="233"/>
      <c r="F42" s="426"/>
      <c r="G42" s="428"/>
      <c r="H42" s="205"/>
    </row>
    <row r="43" spans="1:8" customFormat="1" x14ac:dyDescent="0.25">
      <c r="A43" s="209"/>
      <c r="B43" s="208"/>
      <c r="C43" s="208"/>
      <c r="D43" s="209"/>
      <c r="E43" s="209"/>
      <c r="F43" s="210"/>
      <c r="H43" s="205"/>
    </row>
    <row r="44" spans="1:8" customFormat="1" x14ac:dyDescent="0.25">
      <c r="B44" s="429"/>
      <c r="C44" s="429"/>
      <c r="F44" s="430"/>
      <c r="H44" s="205"/>
    </row>
    <row r="45" spans="1:8" customFormat="1" x14ac:dyDescent="0.25">
      <c r="A45" s="597" t="s">
        <v>1482</v>
      </c>
      <c r="B45" s="598"/>
      <c r="C45" s="598"/>
      <c r="D45" s="598"/>
      <c r="E45" s="598"/>
      <c r="F45" s="599"/>
      <c r="H45" s="205"/>
    </row>
    <row r="46" spans="1:8" s="187" customFormat="1" ht="37.5" x14ac:dyDescent="0.25">
      <c r="A46" s="233" t="s">
        <v>149</v>
      </c>
      <c r="B46" s="234" t="s">
        <v>1</v>
      </c>
      <c r="C46" s="234" t="s">
        <v>146</v>
      </c>
      <c r="D46" s="233" t="s">
        <v>166</v>
      </c>
      <c r="E46" s="233" t="s">
        <v>147</v>
      </c>
      <c r="F46" s="232" t="s">
        <v>148</v>
      </c>
      <c r="H46" s="206"/>
    </row>
    <row r="47" spans="1:8" customFormat="1" x14ac:dyDescent="0.25">
      <c r="A47" s="478">
        <v>1</v>
      </c>
      <c r="B47" s="479" t="s">
        <v>83</v>
      </c>
      <c r="C47" s="234" t="s">
        <v>150</v>
      </c>
      <c r="D47" s="246">
        <v>1</v>
      </c>
      <c r="E47" s="246">
        <v>200</v>
      </c>
      <c r="F47" s="426" t="s">
        <v>1638</v>
      </c>
      <c r="H47" s="204"/>
    </row>
    <row r="48" spans="1:8" customFormat="1" ht="38.25" x14ac:dyDescent="0.25">
      <c r="A48" s="478"/>
      <c r="B48" s="479"/>
      <c r="C48" s="234" t="s">
        <v>151</v>
      </c>
      <c r="D48" s="246">
        <v>3</v>
      </c>
      <c r="E48" s="246">
        <v>1100</v>
      </c>
      <c r="F48" s="426" t="s">
        <v>1639</v>
      </c>
      <c r="H48" s="204"/>
    </row>
    <row r="49" spans="1:8" customFormat="1" ht="127.5" x14ac:dyDescent="0.25">
      <c r="A49" s="478"/>
      <c r="B49" s="479"/>
      <c r="C49" s="234" t="s">
        <v>168</v>
      </c>
      <c r="D49" s="246">
        <v>9</v>
      </c>
      <c r="E49" s="246">
        <v>300</v>
      </c>
      <c r="F49" s="426" t="s">
        <v>1640</v>
      </c>
      <c r="H49" s="204"/>
    </row>
    <row r="50" spans="1:8" customFormat="1" ht="76.5" x14ac:dyDescent="0.25">
      <c r="A50" s="478">
        <v>2</v>
      </c>
      <c r="B50" s="479" t="s">
        <v>20</v>
      </c>
      <c r="C50" s="234" t="s">
        <v>150</v>
      </c>
      <c r="D50" s="246">
        <v>5</v>
      </c>
      <c r="E50" s="246">
        <v>360</v>
      </c>
      <c r="F50" s="426" t="s">
        <v>1535</v>
      </c>
      <c r="H50" s="204"/>
    </row>
    <row r="51" spans="1:8" customFormat="1" ht="165.75" x14ac:dyDescent="0.25">
      <c r="A51" s="478"/>
      <c r="B51" s="479"/>
      <c r="C51" s="234" t="s">
        <v>151</v>
      </c>
      <c r="D51" s="233">
        <v>11</v>
      </c>
      <c r="E51" s="233">
        <v>595</v>
      </c>
      <c r="F51" s="426" t="s">
        <v>1536</v>
      </c>
      <c r="H51" s="204"/>
    </row>
    <row r="52" spans="1:8" customFormat="1" ht="127.5" x14ac:dyDescent="0.25">
      <c r="A52" s="478"/>
      <c r="B52" s="479"/>
      <c r="C52" s="234" t="s">
        <v>168</v>
      </c>
      <c r="D52" s="233">
        <v>10</v>
      </c>
      <c r="E52" s="233">
        <v>305</v>
      </c>
      <c r="F52" s="426" t="s">
        <v>1537</v>
      </c>
      <c r="H52" s="205"/>
    </row>
    <row r="53" spans="1:8" customFormat="1" ht="38.25" x14ac:dyDescent="0.25">
      <c r="A53" s="478">
        <v>3</v>
      </c>
      <c r="B53" s="479" t="s">
        <v>23</v>
      </c>
      <c r="C53" s="234" t="s">
        <v>150</v>
      </c>
      <c r="D53" s="233">
        <v>3</v>
      </c>
      <c r="E53" s="233">
        <v>375</v>
      </c>
      <c r="F53" s="426" t="s">
        <v>1605</v>
      </c>
      <c r="H53" s="205"/>
    </row>
    <row r="54" spans="1:8" customFormat="1" ht="38.25" x14ac:dyDescent="0.25">
      <c r="A54" s="478"/>
      <c r="B54" s="479"/>
      <c r="C54" s="234" t="s">
        <v>151</v>
      </c>
      <c r="D54" s="233">
        <v>3</v>
      </c>
      <c r="E54" s="233">
        <v>140</v>
      </c>
      <c r="F54" s="426" t="s">
        <v>1606</v>
      </c>
      <c r="H54" s="205"/>
    </row>
    <row r="55" spans="1:8" customFormat="1" ht="38.25" x14ac:dyDescent="0.25">
      <c r="A55" s="478"/>
      <c r="B55" s="479"/>
      <c r="C55" s="234" t="s">
        <v>168</v>
      </c>
      <c r="D55" s="233">
        <v>3</v>
      </c>
      <c r="E55" s="233">
        <v>33</v>
      </c>
      <c r="F55" s="426" t="s">
        <v>1607</v>
      </c>
      <c r="H55" s="205"/>
    </row>
    <row r="56" spans="1:8" customFormat="1" ht="89.25" x14ac:dyDescent="0.25">
      <c r="A56" s="431">
        <v>4</v>
      </c>
      <c r="B56" s="432" t="s">
        <v>165</v>
      </c>
      <c r="C56" s="234" t="s">
        <v>150</v>
      </c>
      <c r="D56" s="233">
        <v>6</v>
      </c>
      <c r="E56" s="233">
        <v>1080</v>
      </c>
      <c r="F56" s="426" t="s">
        <v>1620</v>
      </c>
      <c r="H56" s="205"/>
    </row>
    <row r="57" spans="1:8" customFormat="1" ht="229.5" x14ac:dyDescent="0.25">
      <c r="A57" s="433"/>
      <c r="B57" s="434"/>
      <c r="C57" s="234" t="s">
        <v>151</v>
      </c>
      <c r="D57" s="233">
        <v>17</v>
      </c>
      <c r="E57" s="233">
        <v>7605</v>
      </c>
      <c r="F57" s="426" t="s">
        <v>1622</v>
      </c>
      <c r="H57" s="205"/>
    </row>
    <row r="58" spans="1:8" customFormat="1" ht="315" customHeight="1" x14ac:dyDescent="0.25">
      <c r="A58" s="424"/>
      <c r="B58" s="425"/>
      <c r="C58" s="234" t="s">
        <v>168</v>
      </c>
      <c r="D58" s="233">
        <v>23</v>
      </c>
      <c r="E58" s="233">
        <v>1943</v>
      </c>
      <c r="F58" s="426" t="s">
        <v>1621</v>
      </c>
      <c r="H58" s="205"/>
    </row>
    <row r="59" spans="1:8" customFormat="1" ht="63.75" x14ac:dyDescent="0.25">
      <c r="A59" s="478">
        <v>5</v>
      </c>
      <c r="B59" s="479" t="s">
        <v>25</v>
      </c>
      <c r="C59" s="234" t="s">
        <v>150</v>
      </c>
      <c r="D59" s="233">
        <v>5</v>
      </c>
      <c r="E59" s="233">
        <v>290</v>
      </c>
      <c r="F59" s="426" t="s">
        <v>1539</v>
      </c>
      <c r="H59" s="205"/>
    </row>
    <row r="60" spans="1:8" customFormat="1" ht="38.25" x14ac:dyDescent="0.25">
      <c r="A60" s="478"/>
      <c r="B60" s="479"/>
      <c r="C60" s="234" t="s">
        <v>151</v>
      </c>
      <c r="D60" s="233">
        <v>3</v>
      </c>
      <c r="E60" s="233">
        <v>170</v>
      </c>
      <c r="F60" s="426" t="s">
        <v>1540</v>
      </c>
      <c r="H60" s="205"/>
    </row>
    <row r="61" spans="1:8" customFormat="1" ht="114.75" x14ac:dyDescent="0.25">
      <c r="A61" s="478"/>
      <c r="B61" s="479"/>
      <c r="C61" s="234" t="s">
        <v>168</v>
      </c>
      <c r="D61" s="233">
        <v>9</v>
      </c>
      <c r="E61" s="233">
        <v>409</v>
      </c>
      <c r="F61" s="426" t="s">
        <v>1541</v>
      </c>
      <c r="H61" s="205"/>
    </row>
    <row r="62" spans="1:8" ht="409.5" x14ac:dyDescent="0.25">
      <c r="A62" s="252">
        <v>6</v>
      </c>
      <c r="B62" s="316" t="s">
        <v>28</v>
      </c>
      <c r="C62" s="153" t="s">
        <v>150</v>
      </c>
      <c r="D62" s="126">
        <v>30</v>
      </c>
      <c r="E62" s="126">
        <v>43999</v>
      </c>
      <c r="F62" s="193" t="s">
        <v>1641</v>
      </c>
    </row>
    <row r="63" spans="1:8" ht="280.5" customHeight="1" x14ac:dyDescent="0.25">
      <c r="A63" s="223"/>
      <c r="B63" s="317"/>
      <c r="C63" s="153" t="s">
        <v>151</v>
      </c>
      <c r="D63" s="126">
        <v>20</v>
      </c>
      <c r="E63" s="126">
        <v>2859</v>
      </c>
      <c r="F63" s="193" t="s">
        <v>1642</v>
      </c>
    </row>
    <row r="64" spans="1:8" customFormat="1" ht="212.25" customHeight="1" x14ac:dyDescent="0.25">
      <c r="A64" s="424"/>
      <c r="B64" s="425"/>
      <c r="C64" s="234" t="s">
        <v>168</v>
      </c>
      <c r="D64" s="233">
        <v>15</v>
      </c>
      <c r="E64" s="233">
        <v>2920</v>
      </c>
      <c r="F64" s="426" t="s">
        <v>1643</v>
      </c>
      <c r="H64" s="205"/>
    </row>
    <row r="65" spans="1:8" customFormat="1" ht="409.5" x14ac:dyDescent="0.25">
      <c r="A65" s="478">
        <v>7</v>
      </c>
      <c r="B65" s="479" t="s">
        <v>33</v>
      </c>
      <c r="C65" s="234" t="s">
        <v>150</v>
      </c>
      <c r="D65" s="233">
        <v>34</v>
      </c>
      <c r="E65" s="233">
        <v>6399</v>
      </c>
      <c r="F65" s="426" t="s">
        <v>1645</v>
      </c>
      <c r="H65" s="205"/>
    </row>
    <row r="66" spans="1:8" customFormat="1" ht="306" x14ac:dyDescent="0.25">
      <c r="A66" s="478"/>
      <c r="B66" s="479"/>
      <c r="C66" s="234" t="s">
        <v>151</v>
      </c>
      <c r="D66" s="233">
        <v>22</v>
      </c>
      <c r="E66" s="233">
        <v>3273</v>
      </c>
      <c r="F66" s="427" t="s">
        <v>1646</v>
      </c>
      <c r="G66" s="208"/>
      <c r="H66" s="205"/>
    </row>
    <row r="67" spans="1:8" customFormat="1" ht="267.75" x14ac:dyDescent="0.25">
      <c r="A67" s="478"/>
      <c r="B67" s="479"/>
      <c r="C67" s="234" t="s">
        <v>168</v>
      </c>
      <c r="D67" s="233">
        <v>19</v>
      </c>
      <c r="E67" s="233">
        <v>1167</v>
      </c>
      <c r="F67" s="427" t="s">
        <v>1647</v>
      </c>
      <c r="G67" s="208"/>
      <c r="H67" s="205"/>
    </row>
    <row r="68" spans="1:8" customFormat="1" ht="25.5" x14ac:dyDescent="0.25">
      <c r="A68" s="478">
        <v>8</v>
      </c>
      <c r="B68" s="479" t="s">
        <v>38</v>
      </c>
      <c r="C68" s="234" t="s">
        <v>150</v>
      </c>
      <c r="D68" s="233">
        <v>2</v>
      </c>
      <c r="E68" s="233">
        <v>300</v>
      </c>
      <c r="F68" s="426" t="s">
        <v>1581</v>
      </c>
      <c r="G68" s="208"/>
      <c r="H68" s="205"/>
    </row>
    <row r="69" spans="1:8" customFormat="1" ht="242.25" x14ac:dyDescent="0.25">
      <c r="A69" s="478"/>
      <c r="B69" s="479"/>
      <c r="C69" s="234" t="s">
        <v>151</v>
      </c>
      <c r="D69" s="233">
        <v>18</v>
      </c>
      <c r="E69" s="233">
        <v>740</v>
      </c>
      <c r="F69" s="426" t="s">
        <v>1583</v>
      </c>
      <c r="H69" s="205"/>
    </row>
    <row r="70" spans="1:8" customFormat="1" x14ac:dyDescent="0.25">
      <c r="A70" s="478"/>
      <c r="B70" s="479"/>
      <c r="C70" s="234" t="s">
        <v>168</v>
      </c>
      <c r="D70" s="233"/>
      <c r="E70" s="233"/>
      <c r="F70" s="232"/>
      <c r="H70" s="205"/>
    </row>
    <row r="71" spans="1:8" customFormat="1" ht="102" x14ac:dyDescent="0.25">
      <c r="A71" s="478">
        <v>9</v>
      </c>
      <c r="B71" s="479" t="s">
        <v>88</v>
      </c>
      <c r="C71" s="234" t="s">
        <v>150</v>
      </c>
      <c r="D71" s="233">
        <v>7</v>
      </c>
      <c r="E71" s="233">
        <v>631</v>
      </c>
      <c r="F71" s="426" t="s">
        <v>1515</v>
      </c>
      <c r="H71" s="205"/>
    </row>
    <row r="72" spans="1:8" customFormat="1" ht="174" customHeight="1" x14ac:dyDescent="0.25">
      <c r="A72" s="478"/>
      <c r="B72" s="479"/>
      <c r="C72" s="234" t="s">
        <v>151</v>
      </c>
      <c r="D72" s="233">
        <v>13</v>
      </c>
      <c r="E72" s="233">
        <v>1129</v>
      </c>
      <c r="F72" s="426" t="s">
        <v>1516</v>
      </c>
      <c r="H72" s="205"/>
    </row>
    <row r="73" spans="1:8" customFormat="1" x14ac:dyDescent="0.25">
      <c r="A73" s="478"/>
      <c r="B73" s="479"/>
      <c r="C73" s="234" t="s">
        <v>168</v>
      </c>
      <c r="D73" s="233"/>
      <c r="E73" s="233"/>
      <c r="F73" s="232"/>
      <c r="H73" s="205"/>
    </row>
    <row r="74" spans="1:8" customFormat="1" ht="140.25" x14ac:dyDescent="0.25">
      <c r="A74" s="478">
        <v>10</v>
      </c>
      <c r="B74" s="479" t="s">
        <v>43</v>
      </c>
      <c r="C74" s="234" t="s">
        <v>150</v>
      </c>
      <c r="D74" s="233">
        <v>11</v>
      </c>
      <c r="E74" s="233">
        <v>1110</v>
      </c>
      <c r="F74" s="426" t="s">
        <v>1596</v>
      </c>
      <c r="H74" s="205"/>
    </row>
    <row r="75" spans="1:8" customFormat="1" ht="191.25" x14ac:dyDescent="0.25">
      <c r="A75" s="478"/>
      <c r="B75" s="479"/>
      <c r="C75" s="234" t="s">
        <v>151</v>
      </c>
      <c r="D75" s="233">
        <v>14</v>
      </c>
      <c r="E75" s="233">
        <v>1765</v>
      </c>
      <c r="F75" s="427" t="s">
        <v>1597</v>
      </c>
      <c r="H75" s="205"/>
    </row>
    <row r="76" spans="1:8" customFormat="1" ht="178.5" x14ac:dyDescent="0.25">
      <c r="A76" s="478"/>
      <c r="B76" s="479"/>
      <c r="C76" s="234" t="s">
        <v>168</v>
      </c>
      <c r="D76" s="233">
        <v>14</v>
      </c>
      <c r="E76" s="233">
        <v>194</v>
      </c>
      <c r="F76" s="426" t="s">
        <v>1598</v>
      </c>
      <c r="H76" s="205"/>
    </row>
    <row r="77" spans="1:8" customFormat="1" ht="25.5" x14ac:dyDescent="0.25">
      <c r="A77" s="478">
        <v>11</v>
      </c>
      <c r="B77" s="479" t="s">
        <v>46</v>
      </c>
      <c r="C77" s="234" t="s">
        <v>150</v>
      </c>
      <c r="D77" s="233">
        <v>2</v>
      </c>
      <c r="E77" s="233">
        <v>820</v>
      </c>
      <c r="F77" s="426" t="s">
        <v>1500</v>
      </c>
      <c r="H77" s="205"/>
    </row>
    <row r="78" spans="1:8" customFormat="1" ht="25.5" x14ac:dyDescent="0.25">
      <c r="A78" s="478"/>
      <c r="B78" s="479"/>
      <c r="C78" s="234" t="s">
        <v>151</v>
      </c>
      <c r="D78" s="233">
        <v>2</v>
      </c>
      <c r="E78" s="233">
        <v>210</v>
      </c>
      <c r="F78" s="426" t="s">
        <v>1501</v>
      </c>
      <c r="H78" s="205"/>
    </row>
    <row r="79" spans="1:8" customFormat="1" ht="25.5" x14ac:dyDescent="0.25">
      <c r="A79" s="478"/>
      <c r="B79" s="479"/>
      <c r="C79" s="234" t="s">
        <v>168</v>
      </c>
      <c r="D79" s="233">
        <v>2</v>
      </c>
      <c r="E79" s="233">
        <v>25</v>
      </c>
      <c r="F79" s="426" t="s">
        <v>1502</v>
      </c>
      <c r="H79" s="205"/>
    </row>
    <row r="80" spans="1:8" customFormat="1" ht="76.5" x14ac:dyDescent="0.25">
      <c r="A80" s="478">
        <v>12</v>
      </c>
      <c r="B80" s="479" t="s">
        <v>49</v>
      </c>
      <c r="C80" s="234" t="s">
        <v>150</v>
      </c>
      <c r="D80" s="233">
        <v>6</v>
      </c>
      <c r="E80" s="233">
        <v>915</v>
      </c>
      <c r="F80" s="426" t="s">
        <v>1630</v>
      </c>
      <c r="H80" s="205"/>
    </row>
    <row r="81" spans="1:11" customFormat="1" ht="102" x14ac:dyDescent="0.25">
      <c r="A81" s="478"/>
      <c r="B81" s="479"/>
      <c r="C81" s="234" t="s">
        <v>151</v>
      </c>
      <c r="D81" s="233">
        <v>8</v>
      </c>
      <c r="E81" s="233">
        <v>720</v>
      </c>
      <c r="F81" s="426" t="s">
        <v>1631</v>
      </c>
      <c r="H81" s="205"/>
    </row>
    <row r="82" spans="1:11" customFormat="1" x14ac:dyDescent="0.25">
      <c r="A82" s="478"/>
      <c r="B82" s="479"/>
      <c r="C82" s="234" t="s">
        <v>168</v>
      </c>
      <c r="D82" s="233">
        <v>1</v>
      </c>
      <c r="E82" s="233">
        <v>30</v>
      </c>
      <c r="F82" s="232" t="s">
        <v>1629</v>
      </c>
      <c r="H82" s="205"/>
    </row>
    <row r="83" spans="1:11" customFormat="1" ht="216.75" x14ac:dyDescent="0.25">
      <c r="A83" s="478">
        <v>13</v>
      </c>
      <c r="B83" s="479" t="s">
        <v>52</v>
      </c>
      <c r="C83" s="234" t="s">
        <v>150</v>
      </c>
      <c r="D83" s="233">
        <v>16</v>
      </c>
      <c r="E83" s="233">
        <v>2950</v>
      </c>
      <c r="F83" s="426" t="s">
        <v>1532</v>
      </c>
      <c r="G83" s="352"/>
      <c r="H83" s="205"/>
    </row>
    <row r="84" spans="1:11" customFormat="1" ht="225" customHeight="1" x14ac:dyDescent="0.25">
      <c r="A84" s="478"/>
      <c r="B84" s="479"/>
      <c r="C84" s="234" t="s">
        <v>151</v>
      </c>
      <c r="D84" s="233">
        <v>17</v>
      </c>
      <c r="E84" s="233">
        <v>1625</v>
      </c>
      <c r="F84" s="426" t="s">
        <v>1533</v>
      </c>
      <c r="H84" s="205"/>
    </row>
    <row r="85" spans="1:11" customFormat="1" ht="89.25" x14ac:dyDescent="0.25">
      <c r="A85" s="478"/>
      <c r="B85" s="479"/>
      <c r="C85" s="234" t="s">
        <v>168</v>
      </c>
      <c r="D85" s="233">
        <v>6</v>
      </c>
      <c r="E85" s="233">
        <v>340</v>
      </c>
      <c r="F85" s="426" t="s">
        <v>1534</v>
      </c>
      <c r="G85" s="428"/>
      <c r="H85" s="205"/>
    </row>
    <row r="86" spans="1:11" customFormat="1" x14ac:dyDescent="0.25">
      <c r="A86" s="209"/>
      <c r="B86" s="208"/>
      <c r="C86" s="208"/>
      <c r="D86" s="209"/>
      <c r="E86" s="209"/>
      <c r="F86" s="210"/>
      <c r="H86" s="205"/>
    </row>
    <row r="88" spans="1:11" s="132" customFormat="1" x14ac:dyDescent="0.25">
      <c r="A88" s="594" t="s">
        <v>1233</v>
      </c>
      <c r="B88" s="595"/>
      <c r="C88" s="595"/>
      <c r="D88" s="595"/>
      <c r="E88" s="595"/>
      <c r="F88" s="596"/>
      <c r="H88" s="213"/>
    </row>
    <row r="89" spans="1:11" s="187" customFormat="1" ht="37.5" x14ac:dyDescent="0.25">
      <c r="A89" s="126" t="s">
        <v>149</v>
      </c>
      <c r="B89" s="153" t="s">
        <v>1</v>
      </c>
      <c r="C89" s="153" t="s">
        <v>146</v>
      </c>
      <c r="D89" s="126" t="s">
        <v>166</v>
      </c>
      <c r="E89" s="126" t="s">
        <v>147</v>
      </c>
      <c r="F89" s="180" t="s">
        <v>148</v>
      </c>
      <c r="H89" s="206"/>
    </row>
    <row r="90" spans="1:11" customFormat="1" x14ac:dyDescent="0.25">
      <c r="A90" s="500">
        <v>1</v>
      </c>
      <c r="B90" s="503" t="s">
        <v>83</v>
      </c>
      <c r="C90" s="153" t="s">
        <v>150</v>
      </c>
      <c r="D90" s="126"/>
      <c r="E90" s="126"/>
      <c r="F90" s="180"/>
      <c r="H90" s="204"/>
    </row>
    <row r="91" spans="1:11" customFormat="1" ht="25.5" x14ac:dyDescent="0.25">
      <c r="A91" s="500"/>
      <c r="B91" s="503"/>
      <c r="C91" s="153" t="s">
        <v>151</v>
      </c>
      <c r="D91" s="126">
        <v>2</v>
      </c>
      <c r="E91" s="126">
        <v>160</v>
      </c>
      <c r="F91" s="193" t="s">
        <v>1337</v>
      </c>
      <c r="H91" s="204"/>
    </row>
    <row r="92" spans="1:11" customFormat="1" ht="89.25" x14ac:dyDescent="0.25">
      <c r="A92" s="500"/>
      <c r="B92" s="503"/>
      <c r="C92" s="153" t="s">
        <v>168</v>
      </c>
      <c r="D92" s="126">
        <v>7</v>
      </c>
      <c r="E92" s="126">
        <v>182</v>
      </c>
      <c r="F92" s="193" t="s">
        <v>1336</v>
      </c>
      <c r="H92" s="204"/>
    </row>
    <row r="93" spans="1:11" customFormat="1" ht="20.25" x14ac:dyDescent="0.25">
      <c r="A93" s="500">
        <v>2</v>
      </c>
      <c r="B93" s="503" t="s">
        <v>20</v>
      </c>
      <c r="C93" s="153" t="s">
        <v>150</v>
      </c>
      <c r="D93" s="194"/>
      <c r="E93" s="194"/>
      <c r="F93" s="40"/>
      <c r="H93" s="204"/>
    </row>
    <row r="94" spans="1:11" customFormat="1" ht="89.25" x14ac:dyDescent="0.25">
      <c r="A94" s="500"/>
      <c r="B94" s="503"/>
      <c r="C94" s="153" t="s">
        <v>151</v>
      </c>
      <c r="D94" s="126">
        <v>7</v>
      </c>
      <c r="E94" s="126">
        <v>56</v>
      </c>
      <c r="F94" s="193" t="s">
        <v>1274</v>
      </c>
      <c r="H94" s="204"/>
    </row>
    <row r="95" spans="1:11" customFormat="1" x14ac:dyDescent="0.25">
      <c r="A95" s="500"/>
      <c r="B95" s="503"/>
      <c r="C95" s="153" t="s">
        <v>168</v>
      </c>
      <c r="D95" s="126"/>
      <c r="E95" s="126"/>
      <c r="F95" s="180"/>
      <c r="H95" s="205"/>
    </row>
    <row r="96" spans="1:11" customFormat="1" ht="51" x14ac:dyDescent="0.25">
      <c r="A96" s="500">
        <v>3</v>
      </c>
      <c r="B96" s="503" t="s">
        <v>23</v>
      </c>
      <c r="C96" s="153" t="s">
        <v>150</v>
      </c>
      <c r="D96" s="126">
        <v>4</v>
      </c>
      <c r="E96" s="126">
        <v>770</v>
      </c>
      <c r="F96" s="193" t="s">
        <v>1303</v>
      </c>
      <c r="H96" s="205"/>
      <c r="I96" s="393"/>
      <c r="K96" s="396"/>
    </row>
    <row r="97" spans="1:11" customFormat="1" ht="63.75" x14ac:dyDescent="0.25">
      <c r="A97" s="500"/>
      <c r="B97" s="503"/>
      <c r="C97" s="153" t="s">
        <v>151</v>
      </c>
      <c r="D97" s="126">
        <v>5</v>
      </c>
      <c r="E97" s="126">
        <v>815</v>
      </c>
      <c r="F97" s="193" t="s">
        <v>1304</v>
      </c>
      <c r="H97" s="205"/>
      <c r="I97" s="393"/>
      <c r="K97" s="396"/>
    </row>
    <row r="98" spans="1:11" customFormat="1" ht="63.75" x14ac:dyDescent="0.25">
      <c r="A98" s="500"/>
      <c r="B98" s="503"/>
      <c r="C98" s="153" t="s">
        <v>168</v>
      </c>
      <c r="D98" s="126">
        <v>4</v>
      </c>
      <c r="E98" s="126">
        <v>75</v>
      </c>
      <c r="F98" s="193" t="s">
        <v>1305</v>
      </c>
      <c r="H98" s="205"/>
      <c r="I98" s="393"/>
      <c r="K98" s="396"/>
    </row>
    <row r="99" spans="1:11" customFormat="1" ht="63.75" x14ac:dyDescent="0.25">
      <c r="A99" s="316">
        <v>4</v>
      </c>
      <c r="B99" s="316" t="s">
        <v>165</v>
      </c>
      <c r="C99" s="153" t="s">
        <v>150</v>
      </c>
      <c r="D99" s="126">
        <v>4</v>
      </c>
      <c r="E99" s="126">
        <v>385</v>
      </c>
      <c r="F99" s="193" t="s">
        <v>1315</v>
      </c>
      <c r="H99" s="205"/>
      <c r="I99" s="393"/>
      <c r="K99" s="396"/>
    </row>
    <row r="100" spans="1:11" customFormat="1" ht="93" customHeight="1" x14ac:dyDescent="0.25">
      <c r="A100" s="317"/>
      <c r="B100" s="317"/>
      <c r="C100" s="153" t="s">
        <v>151</v>
      </c>
      <c r="D100" s="126">
        <v>6</v>
      </c>
      <c r="E100" s="126">
        <v>340</v>
      </c>
      <c r="F100" s="193" t="s">
        <v>1316</v>
      </c>
      <c r="H100" s="205"/>
      <c r="I100" s="393"/>
      <c r="K100" s="396"/>
    </row>
    <row r="101" spans="1:11" customFormat="1" ht="309.75" customHeight="1" x14ac:dyDescent="0.25">
      <c r="A101" s="318"/>
      <c r="B101" s="318"/>
      <c r="C101" s="153" t="s">
        <v>168</v>
      </c>
      <c r="D101" s="126">
        <v>21</v>
      </c>
      <c r="E101" s="126">
        <v>910</v>
      </c>
      <c r="F101" s="193" t="s">
        <v>1317</v>
      </c>
      <c r="H101" s="205"/>
      <c r="I101" s="394"/>
      <c r="K101" s="396"/>
    </row>
    <row r="102" spans="1:11" customFormat="1" ht="63.75" x14ac:dyDescent="0.25">
      <c r="A102" s="500">
        <v>5</v>
      </c>
      <c r="B102" s="503" t="s">
        <v>25</v>
      </c>
      <c r="C102" s="153" t="s">
        <v>150</v>
      </c>
      <c r="D102" s="126">
        <v>5</v>
      </c>
      <c r="E102" s="126">
        <v>185</v>
      </c>
      <c r="F102" s="193" t="s">
        <v>1347</v>
      </c>
      <c r="H102" s="205"/>
      <c r="I102" s="395"/>
      <c r="K102" s="394"/>
    </row>
    <row r="103" spans="1:11" customFormat="1" ht="25.5" x14ac:dyDescent="0.55000000000000004">
      <c r="A103" s="500"/>
      <c r="B103" s="503"/>
      <c r="C103" s="153" t="s">
        <v>151</v>
      </c>
      <c r="D103" s="126">
        <v>2</v>
      </c>
      <c r="E103" s="126">
        <v>200</v>
      </c>
      <c r="F103" s="193" t="s">
        <v>1348</v>
      </c>
      <c r="H103" s="205"/>
      <c r="I103" s="395"/>
      <c r="K103" s="397"/>
    </row>
    <row r="104" spans="1:11" customFormat="1" ht="21" x14ac:dyDescent="0.55000000000000004">
      <c r="A104" s="500"/>
      <c r="B104" s="503"/>
      <c r="C104" s="153" t="s">
        <v>168</v>
      </c>
      <c r="D104" s="126">
        <v>1</v>
      </c>
      <c r="E104" s="126">
        <v>35</v>
      </c>
      <c r="F104" s="193" t="s">
        <v>1349</v>
      </c>
      <c r="H104" s="205"/>
      <c r="I104" s="394"/>
      <c r="K104" s="397"/>
    </row>
    <row r="105" spans="1:11" customFormat="1" ht="114.75" x14ac:dyDescent="0.55000000000000004">
      <c r="A105" s="316">
        <v>6</v>
      </c>
      <c r="B105" s="316" t="s">
        <v>28</v>
      </c>
      <c r="C105" s="153" t="s">
        <v>150</v>
      </c>
      <c r="D105" s="126">
        <v>9</v>
      </c>
      <c r="E105" s="126">
        <v>580</v>
      </c>
      <c r="F105" s="193" t="s">
        <v>1385</v>
      </c>
      <c r="H105" s="205"/>
      <c r="I105" s="394"/>
      <c r="K105" s="397"/>
    </row>
    <row r="106" spans="1:11" customFormat="1" ht="51" x14ac:dyDescent="0.55000000000000004">
      <c r="A106" s="317"/>
      <c r="B106" s="317"/>
      <c r="C106" s="153" t="s">
        <v>151</v>
      </c>
      <c r="D106" s="126">
        <v>4</v>
      </c>
      <c r="E106" s="126">
        <v>221</v>
      </c>
      <c r="F106" s="193" t="s">
        <v>1386</v>
      </c>
      <c r="H106" s="205"/>
      <c r="I106" s="394"/>
      <c r="K106" s="397"/>
    </row>
    <row r="107" spans="1:11" customFormat="1" ht="114.75" x14ac:dyDescent="0.55000000000000004">
      <c r="A107" s="318"/>
      <c r="B107" s="318"/>
      <c r="C107" s="153" t="s">
        <v>168</v>
      </c>
      <c r="D107" s="126">
        <v>8</v>
      </c>
      <c r="E107" s="126">
        <v>426</v>
      </c>
      <c r="F107" s="193" t="s">
        <v>1387</v>
      </c>
      <c r="H107" s="205"/>
      <c r="K107" s="397"/>
    </row>
    <row r="108" spans="1:11" customFormat="1" ht="216.75" x14ac:dyDescent="0.55000000000000004">
      <c r="A108" s="500">
        <v>7</v>
      </c>
      <c r="B108" s="503" t="s">
        <v>33</v>
      </c>
      <c r="C108" s="153" t="s">
        <v>150</v>
      </c>
      <c r="D108" s="126">
        <v>15</v>
      </c>
      <c r="E108" s="126">
        <v>2675</v>
      </c>
      <c r="F108" s="193" t="s">
        <v>1266</v>
      </c>
      <c r="H108" s="205"/>
      <c r="K108" s="397"/>
    </row>
    <row r="109" spans="1:11" customFormat="1" ht="63.75" x14ac:dyDescent="0.25">
      <c r="A109" s="500"/>
      <c r="B109" s="503"/>
      <c r="C109" s="153" t="s">
        <v>151</v>
      </c>
      <c r="D109" s="126">
        <v>5</v>
      </c>
      <c r="E109" s="126">
        <v>208</v>
      </c>
      <c r="F109" s="286" t="s">
        <v>1268</v>
      </c>
      <c r="G109" s="208"/>
      <c r="H109" s="205"/>
      <c r="K109" s="398"/>
    </row>
    <row r="110" spans="1:11" customFormat="1" ht="369.75" x14ac:dyDescent="0.25">
      <c r="A110" s="500"/>
      <c r="B110" s="503"/>
      <c r="C110" s="153" t="s">
        <v>168</v>
      </c>
      <c r="D110" s="126">
        <v>29</v>
      </c>
      <c r="E110" s="126">
        <v>2008</v>
      </c>
      <c r="F110" s="286" t="s">
        <v>1267</v>
      </c>
      <c r="G110" s="208"/>
      <c r="H110" s="205"/>
      <c r="K110" s="398"/>
    </row>
    <row r="111" spans="1:11" customFormat="1" x14ac:dyDescent="0.25">
      <c r="A111" s="500">
        <v>8</v>
      </c>
      <c r="B111" s="503" t="s">
        <v>38</v>
      </c>
      <c r="C111" s="153" t="s">
        <v>150</v>
      </c>
      <c r="D111" s="126">
        <v>1</v>
      </c>
      <c r="E111" s="126">
        <v>100</v>
      </c>
      <c r="F111" s="193" t="s">
        <v>1389</v>
      </c>
      <c r="G111" s="208"/>
      <c r="H111" s="205"/>
      <c r="K111" s="398"/>
    </row>
    <row r="112" spans="1:11" customFormat="1" ht="114.75" x14ac:dyDescent="0.25">
      <c r="A112" s="500"/>
      <c r="B112" s="503"/>
      <c r="C112" s="153" t="s">
        <v>151</v>
      </c>
      <c r="D112" s="126">
        <v>9</v>
      </c>
      <c r="E112" s="126">
        <v>195</v>
      </c>
      <c r="F112" s="193" t="s">
        <v>1388</v>
      </c>
      <c r="H112" s="205"/>
      <c r="K112" s="399"/>
    </row>
    <row r="113" spans="1:11" customFormat="1" x14ac:dyDescent="0.25">
      <c r="A113" s="500"/>
      <c r="B113" s="503"/>
      <c r="C113" s="153" t="s">
        <v>168</v>
      </c>
      <c r="D113" s="126"/>
      <c r="E113" s="126"/>
      <c r="F113" s="180"/>
      <c r="H113" s="205"/>
      <c r="K113" s="399"/>
    </row>
    <row r="114" spans="1:11" customFormat="1" ht="76.5" x14ac:dyDescent="0.25">
      <c r="A114" s="500">
        <v>9</v>
      </c>
      <c r="B114" s="503" t="s">
        <v>88</v>
      </c>
      <c r="C114" s="153" t="s">
        <v>150</v>
      </c>
      <c r="D114" s="126">
        <v>5</v>
      </c>
      <c r="E114" s="126">
        <v>370</v>
      </c>
      <c r="F114" s="193" t="s">
        <v>1330</v>
      </c>
      <c r="H114" s="205"/>
      <c r="K114" s="399"/>
    </row>
    <row r="115" spans="1:11" customFormat="1" ht="89.25" x14ac:dyDescent="0.25">
      <c r="A115" s="500"/>
      <c r="B115" s="503"/>
      <c r="C115" s="153" t="s">
        <v>151</v>
      </c>
      <c r="D115" s="126">
        <v>6</v>
      </c>
      <c r="E115" s="126">
        <v>280</v>
      </c>
      <c r="F115" s="193" t="s">
        <v>1331</v>
      </c>
      <c r="H115" s="205"/>
    </row>
    <row r="116" spans="1:11" customFormat="1" x14ac:dyDescent="0.25">
      <c r="A116" s="500"/>
      <c r="B116" s="503"/>
      <c r="C116" s="153" t="s">
        <v>168</v>
      </c>
      <c r="D116" s="126"/>
      <c r="E116" s="126"/>
      <c r="F116" s="180"/>
      <c r="H116" s="205"/>
    </row>
    <row r="117" spans="1:11" s="132" customFormat="1" ht="63.75" x14ac:dyDescent="0.25">
      <c r="A117" s="500">
        <v>10</v>
      </c>
      <c r="B117" s="503" t="s">
        <v>43</v>
      </c>
      <c r="C117" s="153" t="s">
        <v>150</v>
      </c>
      <c r="D117" s="126">
        <v>5</v>
      </c>
      <c r="E117" s="126">
        <v>1015</v>
      </c>
      <c r="F117" s="193" t="s">
        <v>1298</v>
      </c>
      <c r="H117" s="213"/>
    </row>
    <row r="118" spans="1:11" s="132" customFormat="1" ht="171.75" customHeight="1" x14ac:dyDescent="0.25">
      <c r="A118" s="500"/>
      <c r="B118" s="503"/>
      <c r="C118" s="153" t="s">
        <v>151</v>
      </c>
      <c r="D118" s="126">
        <v>11</v>
      </c>
      <c r="E118" s="126">
        <v>1220</v>
      </c>
      <c r="F118" s="193" t="s">
        <v>1299</v>
      </c>
      <c r="H118" s="213"/>
    </row>
    <row r="119" spans="1:11" s="132" customFormat="1" ht="51" x14ac:dyDescent="0.25">
      <c r="A119" s="500"/>
      <c r="B119" s="503"/>
      <c r="C119" s="153" t="s">
        <v>168</v>
      </c>
      <c r="D119" s="126">
        <v>3</v>
      </c>
      <c r="E119" s="126">
        <v>92</v>
      </c>
      <c r="F119" s="193" t="s">
        <v>1300</v>
      </c>
      <c r="H119" s="213"/>
    </row>
    <row r="120" spans="1:11" customFormat="1" ht="63.75" x14ac:dyDescent="0.25">
      <c r="A120" s="500">
        <v>11</v>
      </c>
      <c r="B120" s="503" t="s">
        <v>46</v>
      </c>
      <c r="C120" s="153" t="s">
        <v>150</v>
      </c>
      <c r="D120" s="194">
        <v>4</v>
      </c>
      <c r="E120" s="194">
        <v>490</v>
      </c>
      <c r="F120" s="193" t="s">
        <v>1323</v>
      </c>
      <c r="H120" s="205"/>
    </row>
    <row r="121" spans="1:11" customFormat="1" ht="25.5" x14ac:dyDescent="0.25">
      <c r="A121" s="500"/>
      <c r="B121" s="503"/>
      <c r="C121" s="153" t="s">
        <v>151</v>
      </c>
      <c r="D121" s="194">
        <v>2</v>
      </c>
      <c r="E121" s="194">
        <v>190</v>
      </c>
      <c r="F121" s="193" t="s">
        <v>1324</v>
      </c>
      <c r="H121" s="205"/>
    </row>
    <row r="122" spans="1:11" customFormat="1" x14ac:dyDescent="0.25">
      <c r="A122" s="500"/>
      <c r="B122" s="503"/>
      <c r="C122" s="153" t="s">
        <v>168</v>
      </c>
      <c r="D122" s="126">
        <v>1</v>
      </c>
      <c r="E122" s="126">
        <v>5</v>
      </c>
      <c r="F122" s="193" t="s">
        <v>1325</v>
      </c>
      <c r="H122" s="205"/>
    </row>
    <row r="123" spans="1:11" customFormat="1" ht="51" x14ac:dyDescent="0.25">
      <c r="A123" s="500">
        <v>12</v>
      </c>
      <c r="B123" s="503" t="s">
        <v>49</v>
      </c>
      <c r="C123" s="153" t="s">
        <v>150</v>
      </c>
      <c r="D123" s="126">
        <v>4</v>
      </c>
      <c r="E123" s="126">
        <v>165</v>
      </c>
      <c r="F123" s="193" t="s">
        <v>1360</v>
      </c>
      <c r="H123" s="205"/>
    </row>
    <row r="124" spans="1:11" customFormat="1" ht="242.25" x14ac:dyDescent="0.25">
      <c r="A124" s="500"/>
      <c r="B124" s="503"/>
      <c r="C124" s="153" t="s">
        <v>151</v>
      </c>
      <c r="D124" s="126">
        <v>18</v>
      </c>
      <c r="E124" s="126">
        <v>410</v>
      </c>
      <c r="F124" s="193" t="s">
        <v>1361</v>
      </c>
      <c r="H124" s="205"/>
    </row>
    <row r="125" spans="1:11" customFormat="1" x14ac:dyDescent="0.25">
      <c r="A125" s="500"/>
      <c r="B125" s="503"/>
      <c r="C125" s="153" t="s">
        <v>168</v>
      </c>
      <c r="D125" s="126"/>
      <c r="E125" s="126"/>
      <c r="F125" s="180"/>
      <c r="H125" s="205"/>
    </row>
    <row r="126" spans="1:11" customFormat="1" ht="127.5" x14ac:dyDescent="0.25">
      <c r="A126" s="500">
        <v>13</v>
      </c>
      <c r="B126" s="503" t="s">
        <v>52</v>
      </c>
      <c r="C126" s="153" t="s">
        <v>150</v>
      </c>
      <c r="D126" s="126">
        <v>9</v>
      </c>
      <c r="E126" s="126">
        <v>1530</v>
      </c>
      <c r="F126" s="193" t="s">
        <v>1289</v>
      </c>
      <c r="G126" s="216"/>
      <c r="H126" s="205"/>
    </row>
    <row r="127" spans="1:11" customFormat="1" ht="63.75" x14ac:dyDescent="0.25">
      <c r="A127" s="500"/>
      <c r="B127" s="503"/>
      <c r="C127" s="153" t="s">
        <v>151</v>
      </c>
      <c r="D127" s="126">
        <v>5</v>
      </c>
      <c r="E127" s="126">
        <v>185</v>
      </c>
      <c r="F127" s="193" t="s">
        <v>1291</v>
      </c>
      <c r="H127" s="205"/>
    </row>
    <row r="128" spans="1:11" customFormat="1" x14ac:dyDescent="0.25">
      <c r="A128" s="500"/>
      <c r="B128" s="503"/>
      <c r="C128" s="153" t="s">
        <v>168</v>
      </c>
      <c r="D128" s="126">
        <v>1</v>
      </c>
      <c r="E128" s="126">
        <v>5</v>
      </c>
      <c r="F128" s="193" t="s">
        <v>1290</v>
      </c>
      <c r="G128" s="217"/>
      <c r="H128" s="205"/>
    </row>
    <row r="129" spans="1:8" customFormat="1" x14ac:dyDescent="0.25">
      <c r="A129" s="209"/>
      <c r="B129" s="208"/>
      <c r="C129" s="208"/>
      <c r="D129" s="209"/>
      <c r="E129" s="209"/>
      <c r="F129" s="210"/>
      <c r="H129" s="205"/>
    </row>
    <row r="130" spans="1:8" s="132" customFormat="1" x14ac:dyDescent="0.25">
      <c r="A130" s="534" t="s">
        <v>1072</v>
      </c>
      <c r="B130" s="535"/>
      <c r="C130" s="535"/>
      <c r="D130" s="535"/>
      <c r="E130" s="535"/>
      <c r="F130" s="536"/>
      <c r="H130" s="213"/>
    </row>
    <row r="131" spans="1:8" s="187" customFormat="1" ht="37.5" x14ac:dyDescent="0.25">
      <c r="A131" s="126" t="s">
        <v>149</v>
      </c>
      <c r="B131" s="153" t="s">
        <v>1</v>
      </c>
      <c r="C131" s="153" t="s">
        <v>146</v>
      </c>
      <c r="D131" s="126" t="s">
        <v>166</v>
      </c>
      <c r="E131" s="126" t="s">
        <v>147</v>
      </c>
      <c r="F131" s="180" t="s">
        <v>148</v>
      </c>
      <c r="H131" s="206"/>
    </row>
    <row r="132" spans="1:8" customFormat="1" x14ac:dyDescent="0.25">
      <c r="A132" s="500">
        <v>1</v>
      </c>
      <c r="B132" s="503" t="s">
        <v>83</v>
      </c>
      <c r="C132" s="153" t="s">
        <v>150</v>
      </c>
      <c r="D132" s="126"/>
      <c r="E132" s="126"/>
      <c r="F132" s="180"/>
      <c r="H132" s="204"/>
    </row>
    <row r="133" spans="1:8" customFormat="1" x14ac:dyDescent="0.25">
      <c r="A133" s="500"/>
      <c r="B133" s="503"/>
      <c r="C133" s="153" t="s">
        <v>151</v>
      </c>
      <c r="D133" s="126"/>
      <c r="E133" s="126"/>
      <c r="F133" s="180"/>
      <c r="H133" s="204"/>
    </row>
    <row r="134" spans="1:8" customFormat="1" ht="38.25" x14ac:dyDescent="0.25">
      <c r="A134" s="500"/>
      <c r="B134" s="503"/>
      <c r="C134" s="153" t="s">
        <v>168</v>
      </c>
      <c r="D134" s="126">
        <v>3</v>
      </c>
      <c r="E134" s="126">
        <v>330</v>
      </c>
      <c r="F134" s="193" t="s">
        <v>1179</v>
      </c>
      <c r="H134" s="204"/>
    </row>
    <row r="135" spans="1:8" customFormat="1" ht="38.25" x14ac:dyDescent="0.25">
      <c r="A135" s="500">
        <v>2</v>
      </c>
      <c r="B135" s="503" t="s">
        <v>20</v>
      </c>
      <c r="C135" s="153" t="s">
        <v>150</v>
      </c>
      <c r="D135" s="194">
        <v>2</v>
      </c>
      <c r="E135" s="194">
        <v>400</v>
      </c>
      <c r="F135" s="193" t="s">
        <v>1151</v>
      </c>
      <c r="H135" s="204"/>
    </row>
    <row r="136" spans="1:8" customFormat="1" ht="45" x14ac:dyDescent="0.25">
      <c r="A136" s="500"/>
      <c r="B136" s="503"/>
      <c r="C136" s="153" t="s">
        <v>151</v>
      </c>
      <c r="D136" s="126">
        <v>3</v>
      </c>
      <c r="E136" s="126">
        <v>175</v>
      </c>
      <c r="F136" s="314" t="s">
        <v>1152</v>
      </c>
      <c r="H136" s="204"/>
    </row>
    <row r="137" spans="1:8" customFormat="1" x14ac:dyDescent="0.25">
      <c r="A137" s="500"/>
      <c r="B137" s="503"/>
      <c r="C137" s="153" t="s">
        <v>168</v>
      </c>
      <c r="D137" s="126"/>
      <c r="E137" s="126"/>
      <c r="F137" s="180"/>
      <c r="H137" s="205"/>
    </row>
    <row r="138" spans="1:8" customFormat="1" ht="51" x14ac:dyDescent="0.25">
      <c r="A138" s="500">
        <v>3</v>
      </c>
      <c r="B138" s="503" t="s">
        <v>23</v>
      </c>
      <c r="C138" s="153" t="s">
        <v>150</v>
      </c>
      <c r="D138" s="126">
        <v>3</v>
      </c>
      <c r="E138" s="126">
        <v>170</v>
      </c>
      <c r="F138" s="193" t="s">
        <v>1183</v>
      </c>
      <c r="H138" s="205"/>
    </row>
    <row r="139" spans="1:8" customFormat="1" ht="51" x14ac:dyDescent="0.25">
      <c r="A139" s="500"/>
      <c r="B139" s="503"/>
      <c r="C139" s="153" t="s">
        <v>151</v>
      </c>
      <c r="D139" s="126">
        <v>4</v>
      </c>
      <c r="E139" s="126">
        <v>320</v>
      </c>
      <c r="F139" s="193" t="s">
        <v>1184</v>
      </c>
      <c r="H139" s="205"/>
    </row>
    <row r="140" spans="1:8" customFormat="1" x14ac:dyDescent="0.25">
      <c r="A140" s="500"/>
      <c r="B140" s="503"/>
      <c r="C140" s="153" t="s">
        <v>168</v>
      </c>
      <c r="D140" s="126"/>
      <c r="E140" s="126"/>
      <c r="F140" s="180"/>
      <c r="H140" s="205"/>
    </row>
    <row r="141" spans="1:8" customFormat="1" ht="38.25" x14ac:dyDescent="0.25">
      <c r="A141" s="500">
        <v>4</v>
      </c>
      <c r="B141" s="503" t="s">
        <v>165</v>
      </c>
      <c r="C141" s="153" t="s">
        <v>150</v>
      </c>
      <c r="D141" s="126">
        <v>3</v>
      </c>
      <c r="E141" s="126">
        <v>1250</v>
      </c>
      <c r="F141" s="193" t="s">
        <v>1189</v>
      </c>
      <c r="H141" s="205"/>
    </row>
    <row r="142" spans="1:8" customFormat="1" x14ac:dyDescent="0.25">
      <c r="A142" s="500"/>
      <c r="B142" s="503"/>
      <c r="C142" s="153" t="s">
        <v>151</v>
      </c>
      <c r="D142" s="126">
        <v>1</v>
      </c>
      <c r="E142" s="126">
        <v>20</v>
      </c>
      <c r="F142" s="193" t="s">
        <v>1191</v>
      </c>
      <c r="H142" s="205"/>
    </row>
    <row r="143" spans="1:8" customFormat="1" ht="38.25" x14ac:dyDescent="0.25">
      <c r="A143" s="500"/>
      <c r="B143" s="503"/>
      <c r="C143" s="153" t="s">
        <v>168</v>
      </c>
      <c r="D143" s="126">
        <v>3</v>
      </c>
      <c r="E143" s="126">
        <v>45</v>
      </c>
      <c r="F143" s="193" t="s">
        <v>1190</v>
      </c>
      <c r="H143" s="205"/>
    </row>
    <row r="144" spans="1:8" customFormat="1" ht="69" x14ac:dyDescent="0.25">
      <c r="A144" s="500">
        <v>5</v>
      </c>
      <c r="B144" s="503" t="s">
        <v>25</v>
      </c>
      <c r="C144" s="153" t="s">
        <v>150</v>
      </c>
      <c r="D144" s="126">
        <v>4</v>
      </c>
      <c r="E144" s="126">
        <v>510</v>
      </c>
      <c r="F144" s="180" t="s">
        <v>1395</v>
      </c>
      <c r="H144" s="205"/>
    </row>
    <row r="145" spans="1:8" customFormat="1" x14ac:dyDescent="0.25">
      <c r="A145" s="500"/>
      <c r="B145" s="503"/>
      <c r="C145" s="153" t="s">
        <v>151</v>
      </c>
      <c r="D145" s="126">
        <v>1</v>
      </c>
      <c r="E145" s="126">
        <v>50</v>
      </c>
      <c r="F145" s="193" t="s">
        <v>1216</v>
      </c>
      <c r="H145" s="205"/>
    </row>
    <row r="146" spans="1:8" customFormat="1" ht="38.25" x14ac:dyDescent="0.25">
      <c r="A146" s="500"/>
      <c r="B146" s="503"/>
      <c r="C146" s="153" t="s">
        <v>168</v>
      </c>
      <c r="D146" s="126">
        <v>2</v>
      </c>
      <c r="E146" s="126">
        <v>35</v>
      </c>
      <c r="F146" s="193" t="s">
        <v>1217</v>
      </c>
      <c r="H146" s="205"/>
    </row>
    <row r="147" spans="1:8" customFormat="1" ht="272.25" customHeight="1" x14ac:dyDescent="0.25">
      <c r="A147" s="500">
        <v>6</v>
      </c>
      <c r="B147" s="503" t="s">
        <v>28</v>
      </c>
      <c r="C147" s="153" t="s">
        <v>150</v>
      </c>
      <c r="D147" s="126">
        <v>13</v>
      </c>
      <c r="E147" s="126">
        <v>937</v>
      </c>
      <c r="F147" s="193" t="s">
        <v>1099</v>
      </c>
      <c r="H147" s="205"/>
    </row>
    <row r="148" spans="1:8" customFormat="1" ht="72.75" customHeight="1" x14ac:dyDescent="0.25">
      <c r="A148" s="500"/>
      <c r="B148" s="503"/>
      <c r="C148" s="153" t="s">
        <v>151</v>
      </c>
      <c r="D148" s="126">
        <v>3</v>
      </c>
      <c r="E148" s="126">
        <v>961</v>
      </c>
      <c r="F148" s="193" t="s">
        <v>1100</v>
      </c>
      <c r="H148" s="205"/>
    </row>
    <row r="149" spans="1:8" customFormat="1" ht="86.25" customHeight="1" x14ac:dyDescent="0.25">
      <c r="A149" s="500"/>
      <c r="B149" s="503"/>
      <c r="C149" s="153" t="s">
        <v>168</v>
      </c>
      <c r="D149" s="126">
        <v>4</v>
      </c>
      <c r="E149" s="126">
        <v>257</v>
      </c>
      <c r="F149" s="193" t="s">
        <v>1101</v>
      </c>
      <c r="H149" s="205"/>
    </row>
    <row r="150" spans="1:8" customFormat="1" ht="204" x14ac:dyDescent="0.25">
      <c r="A150" s="500">
        <v>7</v>
      </c>
      <c r="B150" s="503" t="s">
        <v>33</v>
      </c>
      <c r="C150" s="153" t="s">
        <v>150</v>
      </c>
      <c r="D150" s="126">
        <v>16</v>
      </c>
      <c r="E150" s="126">
        <v>1451</v>
      </c>
      <c r="F150" s="193" t="s">
        <v>1173</v>
      </c>
      <c r="H150" s="205"/>
    </row>
    <row r="151" spans="1:8" customFormat="1" x14ac:dyDescent="0.25">
      <c r="A151" s="500"/>
      <c r="B151" s="503"/>
      <c r="C151" s="153" t="s">
        <v>151</v>
      </c>
      <c r="D151" s="126"/>
      <c r="E151" s="126"/>
      <c r="F151" s="180"/>
      <c r="G151" s="208"/>
      <c r="H151" s="205"/>
    </row>
    <row r="152" spans="1:8" customFormat="1" ht="293.25" x14ac:dyDescent="0.25">
      <c r="A152" s="500"/>
      <c r="B152" s="503"/>
      <c r="C152" s="153" t="s">
        <v>168</v>
      </c>
      <c r="D152" s="126">
        <v>22</v>
      </c>
      <c r="E152" s="126">
        <v>834</v>
      </c>
      <c r="F152" s="193" t="s">
        <v>1174</v>
      </c>
      <c r="G152" s="208"/>
      <c r="H152" s="205"/>
    </row>
    <row r="153" spans="1:8" customFormat="1" ht="25.5" x14ac:dyDescent="0.25">
      <c r="A153" s="500">
        <v>8</v>
      </c>
      <c r="B153" s="503" t="s">
        <v>38</v>
      </c>
      <c r="C153" s="153" t="s">
        <v>150</v>
      </c>
      <c r="D153" s="126">
        <v>2</v>
      </c>
      <c r="E153" s="126">
        <v>175</v>
      </c>
      <c r="F153" s="193" t="s">
        <v>1196</v>
      </c>
      <c r="G153" s="208"/>
      <c r="H153" s="205"/>
    </row>
    <row r="154" spans="1:8" customFormat="1" ht="216.75" x14ac:dyDescent="0.25">
      <c r="A154" s="500"/>
      <c r="B154" s="503"/>
      <c r="C154" s="153" t="s">
        <v>151</v>
      </c>
      <c r="D154" s="126">
        <v>17</v>
      </c>
      <c r="E154" s="126">
        <v>330</v>
      </c>
      <c r="F154" s="193" t="s">
        <v>1195</v>
      </c>
      <c r="H154" s="205"/>
    </row>
    <row r="155" spans="1:8" customFormat="1" x14ac:dyDescent="0.25">
      <c r="A155" s="500"/>
      <c r="B155" s="503"/>
      <c r="C155" s="153" t="s">
        <v>168</v>
      </c>
      <c r="D155" s="126"/>
      <c r="E155" s="126"/>
      <c r="F155" s="180"/>
      <c r="H155" s="205"/>
    </row>
    <row r="156" spans="1:8" customFormat="1" ht="267.75" x14ac:dyDescent="0.25">
      <c r="A156" s="500">
        <v>9</v>
      </c>
      <c r="B156" s="503" t="s">
        <v>88</v>
      </c>
      <c r="C156" s="153" t="s">
        <v>150</v>
      </c>
      <c r="D156" s="126">
        <v>19</v>
      </c>
      <c r="E156" s="126">
        <v>500</v>
      </c>
      <c r="F156" s="193" t="s">
        <v>1160</v>
      </c>
      <c r="H156" s="205"/>
    </row>
    <row r="157" spans="1:8" customFormat="1" x14ac:dyDescent="0.25">
      <c r="A157" s="500"/>
      <c r="B157" s="503"/>
      <c r="C157" s="153" t="s">
        <v>151</v>
      </c>
      <c r="D157" s="126"/>
      <c r="E157" s="126"/>
      <c r="F157" s="180"/>
      <c r="H157" s="205"/>
    </row>
    <row r="158" spans="1:8" customFormat="1" x14ac:dyDescent="0.25">
      <c r="A158" s="500"/>
      <c r="B158" s="503"/>
      <c r="C158" s="153" t="s">
        <v>168</v>
      </c>
      <c r="D158" s="126"/>
      <c r="E158" s="126"/>
      <c r="F158" s="180"/>
      <c r="H158" s="205"/>
    </row>
    <row r="159" spans="1:8" s="132" customFormat="1" ht="51" x14ac:dyDescent="0.25">
      <c r="A159" s="500">
        <v>10</v>
      </c>
      <c r="B159" s="503" t="s">
        <v>43</v>
      </c>
      <c r="C159" s="153" t="s">
        <v>150</v>
      </c>
      <c r="D159" s="126">
        <v>4</v>
      </c>
      <c r="E159" s="126">
        <v>356</v>
      </c>
      <c r="F159" s="193" t="s">
        <v>1207</v>
      </c>
      <c r="H159" s="213"/>
    </row>
    <row r="160" spans="1:8" s="132" customFormat="1" ht="38.25" x14ac:dyDescent="0.25">
      <c r="A160" s="500"/>
      <c r="B160" s="503"/>
      <c r="C160" s="153" t="s">
        <v>151</v>
      </c>
      <c r="D160" s="126">
        <v>3</v>
      </c>
      <c r="E160" s="126">
        <v>167</v>
      </c>
      <c r="F160" s="193" t="s">
        <v>1208</v>
      </c>
      <c r="H160" s="213"/>
    </row>
    <row r="161" spans="1:8" s="132" customFormat="1" ht="51" x14ac:dyDescent="0.25">
      <c r="A161" s="500"/>
      <c r="B161" s="503"/>
      <c r="C161" s="153" t="s">
        <v>168</v>
      </c>
      <c r="D161" s="126">
        <v>4</v>
      </c>
      <c r="E161" s="126">
        <v>600</v>
      </c>
      <c r="F161" s="193" t="s">
        <v>1209</v>
      </c>
      <c r="H161" s="213"/>
    </row>
    <row r="162" spans="1:8" customFormat="1" x14ac:dyDescent="0.25">
      <c r="A162" s="500">
        <v>11</v>
      </c>
      <c r="B162" s="503" t="s">
        <v>46</v>
      </c>
      <c r="C162" s="153" t="s">
        <v>150</v>
      </c>
      <c r="D162" s="246">
        <v>1</v>
      </c>
      <c r="E162" s="246">
        <v>120</v>
      </c>
      <c r="F162" s="193" t="s">
        <v>1224</v>
      </c>
      <c r="H162" s="205"/>
    </row>
    <row r="163" spans="1:8" customFormat="1" x14ac:dyDescent="0.25">
      <c r="A163" s="500"/>
      <c r="B163" s="503"/>
      <c r="C163" s="153" t="s">
        <v>151</v>
      </c>
      <c r="D163" s="246"/>
      <c r="E163" s="246"/>
      <c r="F163" s="180"/>
      <c r="H163" s="205"/>
    </row>
    <row r="164" spans="1:8" customFormat="1" x14ac:dyDescent="0.25">
      <c r="A164" s="500"/>
      <c r="B164" s="503"/>
      <c r="C164" s="153" t="s">
        <v>168</v>
      </c>
      <c r="D164" s="126">
        <v>1</v>
      </c>
      <c r="E164" s="126">
        <v>10</v>
      </c>
      <c r="F164" s="193" t="s">
        <v>1225</v>
      </c>
      <c r="H164" s="205"/>
    </row>
    <row r="165" spans="1:8" customFormat="1" ht="63.75" x14ac:dyDescent="0.25">
      <c r="A165" s="500">
        <v>12</v>
      </c>
      <c r="B165" s="503" t="s">
        <v>49</v>
      </c>
      <c r="C165" s="153" t="s">
        <v>150</v>
      </c>
      <c r="D165" s="126">
        <v>4</v>
      </c>
      <c r="E165" s="126">
        <v>266</v>
      </c>
      <c r="F165" s="193" t="s">
        <v>1397</v>
      </c>
      <c r="H165" s="205"/>
    </row>
    <row r="166" spans="1:8" customFormat="1" ht="156" x14ac:dyDescent="0.25">
      <c r="A166" s="500"/>
      <c r="B166" s="503"/>
      <c r="C166" s="153" t="s">
        <v>151</v>
      </c>
      <c r="D166" s="126">
        <v>11</v>
      </c>
      <c r="E166" s="126">
        <v>447</v>
      </c>
      <c r="F166" s="201" t="s">
        <v>1396</v>
      </c>
      <c r="H166" s="205"/>
    </row>
    <row r="167" spans="1:8" customFormat="1" ht="38.25" x14ac:dyDescent="0.25">
      <c r="A167" s="500"/>
      <c r="B167" s="503"/>
      <c r="C167" s="153" t="s">
        <v>168</v>
      </c>
      <c r="D167" s="126">
        <v>2</v>
      </c>
      <c r="E167" s="126">
        <v>80</v>
      </c>
      <c r="F167" s="193" t="s">
        <v>1116</v>
      </c>
      <c r="H167" s="205"/>
    </row>
    <row r="168" spans="1:8" customFormat="1" ht="89.25" x14ac:dyDescent="0.25">
      <c r="A168" s="500">
        <v>13</v>
      </c>
      <c r="B168" s="503" t="s">
        <v>52</v>
      </c>
      <c r="C168" s="153" t="s">
        <v>150</v>
      </c>
      <c r="D168" s="126">
        <v>6</v>
      </c>
      <c r="E168" s="126">
        <v>500</v>
      </c>
      <c r="F168" s="193" t="s">
        <v>1145</v>
      </c>
      <c r="G168" s="216"/>
      <c r="H168" s="205"/>
    </row>
    <row r="169" spans="1:8" customFormat="1" x14ac:dyDescent="0.25">
      <c r="A169" s="500"/>
      <c r="B169" s="503"/>
      <c r="C169" s="153" t="s">
        <v>151</v>
      </c>
      <c r="D169" s="126"/>
      <c r="E169" s="126"/>
      <c r="F169" s="180"/>
      <c r="H169" s="205"/>
    </row>
    <row r="170" spans="1:8" customFormat="1" ht="25.5" x14ac:dyDescent="0.25">
      <c r="A170" s="500"/>
      <c r="B170" s="503"/>
      <c r="C170" s="153" t="s">
        <v>168</v>
      </c>
      <c r="D170" s="126">
        <v>2</v>
      </c>
      <c r="E170" s="126">
        <v>55</v>
      </c>
      <c r="F170" s="193" t="s">
        <v>1144</v>
      </c>
      <c r="G170" s="217"/>
      <c r="H170" s="205"/>
    </row>
    <row r="171" spans="1:8" customFormat="1" x14ac:dyDescent="0.25">
      <c r="A171" s="209"/>
      <c r="B171" s="208"/>
      <c r="C171" s="208"/>
      <c r="D171" s="209"/>
      <c r="E171" s="209"/>
      <c r="F171" s="210"/>
      <c r="H171" s="205"/>
    </row>
    <row r="172" spans="1:8" s="132" customFormat="1" x14ac:dyDescent="0.25">
      <c r="A172" s="538" t="s">
        <v>780</v>
      </c>
      <c r="B172" s="538"/>
      <c r="C172" s="538"/>
      <c r="D172" s="538"/>
      <c r="E172" s="538"/>
      <c r="F172" s="538"/>
      <c r="H172" s="213"/>
    </row>
    <row r="173" spans="1:8" s="187" customFormat="1" ht="37.5" x14ac:dyDescent="0.25">
      <c r="A173" s="126" t="s">
        <v>149</v>
      </c>
      <c r="B173" s="153" t="s">
        <v>1</v>
      </c>
      <c r="C173" s="153" t="s">
        <v>146</v>
      </c>
      <c r="D173" s="126" t="s">
        <v>166</v>
      </c>
      <c r="E173" s="126" t="s">
        <v>147</v>
      </c>
      <c r="F173" s="180" t="s">
        <v>148</v>
      </c>
      <c r="H173" s="206"/>
    </row>
    <row r="174" spans="1:8" customFormat="1" ht="38.25" x14ac:dyDescent="0.25">
      <c r="A174" s="500">
        <v>1</v>
      </c>
      <c r="B174" s="503" t="s">
        <v>83</v>
      </c>
      <c r="C174" s="153" t="s">
        <v>150</v>
      </c>
      <c r="D174" s="126">
        <v>3</v>
      </c>
      <c r="E174" s="126">
        <v>600</v>
      </c>
      <c r="F174" s="193" t="s">
        <v>962</v>
      </c>
      <c r="H174" s="204"/>
    </row>
    <row r="175" spans="1:8" customFormat="1" x14ac:dyDescent="0.25">
      <c r="A175" s="500"/>
      <c r="B175" s="503"/>
      <c r="C175" s="153" t="s">
        <v>151</v>
      </c>
      <c r="D175" s="126">
        <v>1</v>
      </c>
      <c r="E175" s="126">
        <v>5</v>
      </c>
      <c r="F175" s="193" t="s">
        <v>963</v>
      </c>
      <c r="H175" s="204"/>
    </row>
    <row r="176" spans="1:8" customFormat="1" ht="51" x14ac:dyDescent="0.25">
      <c r="A176" s="500"/>
      <c r="B176" s="503"/>
      <c r="C176" s="153" t="s">
        <v>168</v>
      </c>
      <c r="D176" s="126">
        <v>3</v>
      </c>
      <c r="E176" s="126">
        <v>345</v>
      </c>
      <c r="F176" s="193" t="s">
        <v>964</v>
      </c>
      <c r="H176" s="204"/>
    </row>
    <row r="177" spans="1:8" customFormat="1" ht="63.75" x14ac:dyDescent="0.25">
      <c r="A177" s="500">
        <v>2</v>
      </c>
      <c r="B177" s="503" t="s">
        <v>20</v>
      </c>
      <c r="C177" s="153" t="s">
        <v>150</v>
      </c>
      <c r="D177" s="194">
        <v>5</v>
      </c>
      <c r="E177" s="194">
        <v>415</v>
      </c>
      <c r="F177" s="193" t="s">
        <v>966</v>
      </c>
      <c r="H177" s="204"/>
    </row>
    <row r="178" spans="1:8" customFormat="1" ht="25.5" x14ac:dyDescent="0.25">
      <c r="A178" s="500"/>
      <c r="B178" s="503"/>
      <c r="C178" s="153" t="s">
        <v>151</v>
      </c>
      <c r="D178" s="126">
        <v>2</v>
      </c>
      <c r="E178" s="126">
        <v>30</v>
      </c>
      <c r="F178" s="193" t="s">
        <v>967</v>
      </c>
      <c r="H178" s="204"/>
    </row>
    <row r="179" spans="1:8" customFormat="1" x14ac:dyDescent="0.25">
      <c r="A179" s="500"/>
      <c r="B179" s="503"/>
      <c r="C179" s="153" t="s">
        <v>168</v>
      </c>
      <c r="D179" s="126"/>
      <c r="E179" s="126"/>
      <c r="F179" s="193"/>
      <c r="H179" s="205"/>
    </row>
    <row r="180" spans="1:8" customFormat="1" ht="102" x14ac:dyDescent="0.25">
      <c r="A180" s="500">
        <v>3</v>
      </c>
      <c r="B180" s="503" t="s">
        <v>23</v>
      </c>
      <c r="C180" s="153" t="s">
        <v>150</v>
      </c>
      <c r="D180" s="126">
        <v>8</v>
      </c>
      <c r="E180" s="126">
        <v>565</v>
      </c>
      <c r="F180" s="193" t="s">
        <v>839</v>
      </c>
      <c r="H180" s="205"/>
    </row>
    <row r="181" spans="1:8" customFormat="1" ht="51" x14ac:dyDescent="0.25">
      <c r="A181" s="500"/>
      <c r="B181" s="503"/>
      <c r="C181" s="153" t="s">
        <v>151</v>
      </c>
      <c r="D181" s="126">
        <v>4</v>
      </c>
      <c r="E181" s="126">
        <v>540</v>
      </c>
      <c r="F181" s="193" t="s">
        <v>840</v>
      </c>
      <c r="H181" s="205"/>
    </row>
    <row r="182" spans="1:8" customFormat="1" x14ac:dyDescent="0.25">
      <c r="A182" s="500"/>
      <c r="B182" s="503"/>
      <c r="C182" s="153" t="s">
        <v>168</v>
      </c>
      <c r="D182" s="126">
        <v>1</v>
      </c>
      <c r="E182" s="126">
        <v>150</v>
      </c>
      <c r="F182" s="193" t="s">
        <v>841</v>
      </c>
      <c r="H182" s="205"/>
    </row>
    <row r="183" spans="1:8" customFormat="1" ht="76.5" x14ac:dyDescent="0.25">
      <c r="A183" s="500">
        <v>4</v>
      </c>
      <c r="B183" s="503" t="s">
        <v>165</v>
      </c>
      <c r="C183" s="153" t="s">
        <v>150</v>
      </c>
      <c r="D183" s="126">
        <v>6</v>
      </c>
      <c r="E183" s="126">
        <v>210</v>
      </c>
      <c r="F183" s="193" t="s">
        <v>865</v>
      </c>
      <c r="H183" s="205"/>
    </row>
    <row r="184" spans="1:8" customFormat="1" ht="114.75" x14ac:dyDescent="0.25">
      <c r="A184" s="500"/>
      <c r="B184" s="503"/>
      <c r="C184" s="153" t="s">
        <v>151</v>
      </c>
      <c r="D184" s="126">
        <v>8</v>
      </c>
      <c r="E184" s="126">
        <v>319</v>
      </c>
      <c r="F184" s="193" t="s">
        <v>866</v>
      </c>
      <c r="H184" s="205"/>
    </row>
    <row r="185" spans="1:8" customFormat="1" ht="89.25" x14ac:dyDescent="0.25">
      <c r="A185" s="500"/>
      <c r="B185" s="503"/>
      <c r="C185" s="153" t="s">
        <v>168</v>
      </c>
      <c r="D185" s="126">
        <v>7</v>
      </c>
      <c r="E185" s="126">
        <v>201</v>
      </c>
      <c r="F185" s="193" t="s">
        <v>867</v>
      </c>
      <c r="H185" s="205"/>
    </row>
    <row r="186" spans="1:8" customFormat="1" ht="38.25" x14ac:dyDescent="0.25">
      <c r="A186" s="500">
        <v>5</v>
      </c>
      <c r="B186" s="503" t="s">
        <v>25</v>
      </c>
      <c r="C186" s="153" t="s">
        <v>150</v>
      </c>
      <c r="D186" s="126">
        <v>3</v>
      </c>
      <c r="E186" s="126">
        <v>85</v>
      </c>
      <c r="F186" s="193" t="s">
        <v>814</v>
      </c>
      <c r="H186" s="205"/>
    </row>
    <row r="187" spans="1:8" customFormat="1" ht="38.25" x14ac:dyDescent="0.25">
      <c r="A187" s="500"/>
      <c r="B187" s="503"/>
      <c r="C187" s="153" t="s">
        <v>151</v>
      </c>
      <c r="D187" s="126">
        <v>2</v>
      </c>
      <c r="E187" s="126">
        <v>290</v>
      </c>
      <c r="F187" s="193" t="s">
        <v>816</v>
      </c>
      <c r="H187" s="205"/>
    </row>
    <row r="188" spans="1:8" customFormat="1" ht="63.75" x14ac:dyDescent="0.25">
      <c r="A188" s="500"/>
      <c r="B188" s="503"/>
      <c r="C188" s="153" t="s">
        <v>168</v>
      </c>
      <c r="D188" s="126">
        <v>5</v>
      </c>
      <c r="E188" s="126">
        <v>155</v>
      </c>
      <c r="F188" s="193" t="s">
        <v>815</v>
      </c>
      <c r="H188" s="205"/>
    </row>
    <row r="189" spans="1:8" customFormat="1" ht="204" x14ac:dyDescent="0.25">
      <c r="A189" s="500">
        <v>6</v>
      </c>
      <c r="B189" s="503" t="s">
        <v>28</v>
      </c>
      <c r="C189" s="153" t="s">
        <v>150</v>
      </c>
      <c r="D189" s="126">
        <v>15</v>
      </c>
      <c r="E189" s="126">
        <v>963</v>
      </c>
      <c r="F189" s="193" t="s">
        <v>927</v>
      </c>
      <c r="H189" s="205"/>
    </row>
    <row r="190" spans="1:8" customFormat="1" ht="38.25" x14ac:dyDescent="0.25">
      <c r="A190" s="500"/>
      <c r="B190" s="503"/>
      <c r="C190" s="153" t="s">
        <v>151</v>
      </c>
      <c r="D190" s="126">
        <v>3</v>
      </c>
      <c r="E190" s="126">
        <v>137</v>
      </c>
      <c r="F190" s="193" t="s">
        <v>928</v>
      </c>
      <c r="H190" s="205"/>
    </row>
    <row r="191" spans="1:8" customFormat="1" ht="63.75" x14ac:dyDescent="0.25">
      <c r="A191" s="500"/>
      <c r="B191" s="503"/>
      <c r="C191" s="153" t="s">
        <v>168</v>
      </c>
      <c r="D191" s="126">
        <v>5</v>
      </c>
      <c r="E191" s="126">
        <v>858</v>
      </c>
      <c r="F191" s="193" t="s">
        <v>929</v>
      </c>
      <c r="H191" s="205"/>
    </row>
    <row r="192" spans="1:8" customFormat="1" ht="114.75" x14ac:dyDescent="0.25">
      <c r="A192" s="500">
        <v>7</v>
      </c>
      <c r="B192" s="503" t="s">
        <v>33</v>
      </c>
      <c r="C192" s="153" t="s">
        <v>150</v>
      </c>
      <c r="D192" s="126">
        <v>9</v>
      </c>
      <c r="E192" s="126">
        <v>517</v>
      </c>
      <c r="F192" s="193" t="s">
        <v>889</v>
      </c>
      <c r="H192" s="205"/>
    </row>
    <row r="193" spans="1:8" customFormat="1" ht="102" x14ac:dyDescent="0.25">
      <c r="A193" s="500"/>
      <c r="B193" s="503"/>
      <c r="C193" s="153" t="s">
        <v>151</v>
      </c>
      <c r="D193" s="126">
        <v>8</v>
      </c>
      <c r="E193" s="126">
        <v>199</v>
      </c>
      <c r="F193" s="193" t="s">
        <v>884</v>
      </c>
      <c r="G193" s="208"/>
      <c r="H193" s="205"/>
    </row>
    <row r="194" spans="1:8" customFormat="1" ht="232.5" customHeight="1" x14ac:dyDescent="0.25">
      <c r="A194" s="500"/>
      <c r="B194" s="503"/>
      <c r="C194" s="153" t="s">
        <v>168</v>
      </c>
      <c r="D194" s="126">
        <v>17</v>
      </c>
      <c r="E194" s="126">
        <v>367</v>
      </c>
      <c r="F194" s="193" t="s">
        <v>876</v>
      </c>
      <c r="G194" s="208"/>
      <c r="H194" s="205"/>
    </row>
    <row r="195" spans="1:8" customFormat="1" x14ac:dyDescent="0.25">
      <c r="A195" s="500">
        <v>8</v>
      </c>
      <c r="B195" s="503" t="s">
        <v>38</v>
      </c>
      <c r="C195" s="153" t="s">
        <v>150</v>
      </c>
      <c r="D195" s="126">
        <v>1</v>
      </c>
      <c r="E195" s="126">
        <v>100</v>
      </c>
      <c r="F195" s="193" t="s">
        <v>935</v>
      </c>
      <c r="G195" s="208"/>
      <c r="H195" s="205"/>
    </row>
    <row r="196" spans="1:8" customFormat="1" ht="280.5" x14ac:dyDescent="0.25">
      <c r="A196" s="500"/>
      <c r="B196" s="503"/>
      <c r="C196" s="153" t="s">
        <v>151</v>
      </c>
      <c r="D196" s="126">
        <v>22</v>
      </c>
      <c r="E196" s="126">
        <v>475</v>
      </c>
      <c r="F196" s="193" t="s">
        <v>934</v>
      </c>
      <c r="H196" s="205"/>
    </row>
    <row r="197" spans="1:8" customFormat="1" x14ac:dyDescent="0.25">
      <c r="A197" s="500"/>
      <c r="B197" s="503"/>
      <c r="C197" s="153" t="s">
        <v>168</v>
      </c>
      <c r="D197" s="126"/>
      <c r="E197" s="126"/>
      <c r="F197" s="193"/>
      <c r="H197" s="205"/>
    </row>
    <row r="198" spans="1:8" customFormat="1" ht="51" x14ac:dyDescent="0.25">
      <c r="A198" s="500">
        <v>9</v>
      </c>
      <c r="B198" s="503" t="s">
        <v>88</v>
      </c>
      <c r="C198" s="153" t="s">
        <v>150</v>
      </c>
      <c r="D198" s="126">
        <v>4</v>
      </c>
      <c r="E198" s="126">
        <v>278</v>
      </c>
      <c r="F198" s="193" t="s">
        <v>950</v>
      </c>
      <c r="H198" s="205"/>
    </row>
    <row r="199" spans="1:8" customFormat="1" ht="38.25" x14ac:dyDescent="0.25">
      <c r="A199" s="500"/>
      <c r="B199" s="503"/>
      <c r="C199" s="153" t="s">
        <v>151</v>
      </c>
      <c r="D199" s="126">
        <v>2</v>
      </c>
      <c r="E199" s="126">
        <v>280</v>
      </c>
      <c r="F199" s="193" t="s">
        <v>951</v>
      </c>
      <c r="H199" s="205"/>
    </row>
    <row r="200" spans="1:8" customFormat="1" x14ac:dyDescent="0.25">
      <c r="A200" s="500"/>
      <c r="B200" s="503"/>
      <c r="C200" s="153" t="s">
        <v>168</v>
      </c>
      <c r="D200" s="126"/>
      <c r="E200" s="126"/>
      <c r="F200" s="193"/>
      <c r="H200" s="205"/>
    </row>
    <row r="201" spans="1:8" s="132" customFormat="1" ht="102" x14ac:dyDescent="0.25">
      <c r="A201" s="500">
        <v>10</v>
      </c>
      <c r="B201" s="503" t="s">
        <v>43</v>
      </c>
      <c r="C201" s="153" t="s">
        <v>150</v>
      </c>
      <c r="D201" s="126">
        <v>7</v>
      </c>
      <c r="E201" s="126">
        <v>604</v>
      </c>
      <c r="F201" s="193" t="s">
        <v>908</v>
      </c>
      <c r="H201" s="213"/>
    </row>
    <row r="202" spans="1:8" s="132" customFormat="1" ht="25.5" x14ac:dyDescent="0.25">
      <c r="A202" s="500"/>
      <c r="B202" s="503"/>
      <c r="C202" s="153" t="s">
        <v>151</v>
      </c>
      <c r="D202" s="126">
        <v>2</v>
      </c>
      <c r="E202" s="126">
        <v>147</v>
      </c>
      <c r="F202" s="193" t="s">
        <v>906</v>
      </c>
      <c r="H202" s="213"/>
    </row>
    <row r="203" spans="1:8" s="132" customFormat="1" ht="76.5" x14ac:dyDescent="0.25">
      <c r="A203" s="500"/>
      <c r="B203" s="503"/>
      <c r="C203" s="153" t="s">
        <v>168</v>
      </c>
      <c r="D203" s="126">
        <v>6</v>
      </c>
      <c r="E203" s="126">
        <v>93</v>
      </c>
      <c r="F203" s="193" t="s">
        <v>907</v>
      </c>
      <c r="H203" s="213"/>
    </row>
    <row r="204" spans="1:8" customFormat="1" ht="25.5" x14ac:dyDescent="0.25">
      <c r="A204" s="500">
        <v>11</v>
      </c>
      <c r="B204" s="503" t="s">
        <v>46</v>
      </c>
      <c r="C204" s="153" t="s">
        <v>150</v>
      </c>
      <c r="D204" s="246">
        <v>2</v>
      </c>
      <c r="E204" s="246">
        <v>180</v>
      </c>
      <c r="F204" s="193" t="s">
        <v>983</v>
      </c>
      <c r="H204" s="205"/>
    </row>
    <row r="205" spans="1:8" customFormat="1" x14ac:dyDescent="0.25">
      <c r="A205" s="500"/>
      <c r="B205" s="503"/>
      <c r="C205" s="153" t="s">
        <v>151</v>
      </c>
      <c r="D205" s="246">
        <v>1</v>
      </c>
      <c r="E205" s="246">
        <v>20</v>
      </c>
      <c r="F205" s="193" t="s">
        <v>985</v>
      </c>
      <c r="H205" s="205"/>
    </row>
    <row r="206" spans="1:8" customFormat="1" ht="38.25" x14ac:dyDescent="0.25">
      <c r="A206" s="500"/>
      <c r="B206" s="503"/>
      <c r="C206" s="153" t="s">
        <v>168</v>
      </c>
      <c r="D206" s="126">
        <v>3</v>
      </c>
      <c r="E206" s="126">
        <v>47</v>
      </c>
      <c r="F206" s="193" t="s">
        <v>984</v>
      </c>
      <c r="H206" s="205"/>
    </row>
    <row r="207" spans="1:8" customFormat="1" ht="76.5" x14ac:dyDescent="0.25">
      <c r="A207" s="500">
        <v>12</v>
      </c>
      <c r="B207" s="503" t="s">
        <v>49</v>
      </c>
      <c r="C207" s="153" t="s">
        <v>150</v>
      </c>
      <c r="D207" s="126">
        <v>6</v>
      </c>
      <c r="E207" s="126">
        <v>368</v>
      </c>
      <c r="F207" s="193" t="s">
        <v>992</v>
      </c>
      <c r="H207" s="205"/>
    </row>
    <row r="208" spans="1:8" customFormat="1" ht="140.25" x14ac:dyDescent="0.25">
      <c r="A208" s="500"/>
      <c r="B208" s="503"/>
      <c r="C208" s="153" t="s">
        <v>151</v>
      </c>
      <c r="D208" s="126">
        <v>2</v>
      </c>
      <c r="E208" s="126">
        <v>140</v>
      </c>
      <c r="F208" s="193" t="s">
        <v>996</v>
      </c>
      <c r="H208" s="205"/>
    </row>
    <row r="209" spans="1:8" customFormat="1" x14ac:dyDescent="0.25">
      <c r="A209" s="500"/>
      <c r="B209" s="503"/>
      <c r="C209" s="153" t="s">
        <v>168</v>
      </c>
      <c r="D209" s="126">
        <v>1</v>
      </c>
      <c r="E209" s="126">
        <v>60</v>
      </c>
      <c r="F209" s="193" t="s">
        <v>989</v>
      </c>
      <c r="H209" s="205"/>
    </row>
    <row r="210" spans="1:8" customFormat="1" x14ac:dyDescent="0.25">
      <c r="A210" s="500">
        <v>13</v>
      </c>
      <c r="B210" s="503" t="s">
        <v>52</v>
      </c>
      <c r="C210" s="153" t="s">
        <v>150</v>
      </c>
      <c r="D210" s="126"/>
      <c r="E210" s="126"/>
      <c r="F210" s="180"/>
      <c r="G210" s="216"/>
      <c r="H210" s="205"/>
    </row>
    <row r="211" spans="1:8" customFormat="1" x14ac:dyDescent="0.25">
      <c r="A211" s="500"/>
      <c r="B211" s="503"/>
      <c r="C211" s="153" t="s">
        <v>151</v>
      </c>
      <c r="D211" s="126"/>
      <c r="E211" s="126"/>
      <c r="F211" s="180"/>
      <c r="H211" s="205"/>
    </row>
    <row r="212" spans="1:8" customFormat="1" x14ac:dyDescent="0.25">
      <c r="A212" s="500"/>
      <c r="B212" s="503"/>
      <c r="C212" s="153" t="s">
        <v>168</v>
      </c>
      <c r="D212" s="126"/>
      <c r="E212" s="126"/>
      <c r="F212" s="180"/>
      <c r="G212" s="217"/>
      <c r="H212" s="205"/>
    </row>
    <row r="213" spans="1:8" customFormat="1" x14ac:dyDescent="0.25">
      <c r="A213" s="209"/>
      <c r="B213" s="208"/>
      <c r="C213" s="208"/>
      <c r="D213" s="209"/>
      <c r="E213" s="209"/>
      <c r="F213" s="210"/>
      <c r="H213" s="205"/>
    </row>
  </sheetData>
  <mergeCells count="123">
    <mergeCell ref="A34:A36"/>
    <mergeCell ref="B34:B36"/>
    <mergeCell ref="A37:A39"/>
    <mergeCell ref="B37:B39"/>
    <mergeCell ref="A40:A42"/>
    <mergeCell ref="B40:B42"/>
    <mergeCell ref="A25:A27"/>
    <mergeCell ref="B25:B27"/>
    <mergeCell ref="A28:A30"/>
    <mergeCell ref="B28:B30"/>
    <mergeCell ref="A31:A33"/>
    <mergeCell ref="B31:B33"/>
    <mergeCell ref="A10:A12"/>
    <mergeCell ref="B10:B12"/>
    <mergeCell ref="A16:A18"/>
    <mergeCell ref="B16:B18"/>
    <mergeCell ref="A22:A24"/>
    <mergeCell ref="B22:B24"/>
    <mergeCell ref="A2:F2"/>
    <mergeCell ref="A4:A6"/>
    <mergeCell ref="B4:B6"/>
    <mergeCell ref="A7:A9"/>
    <mergeCell ref="B7:B9"/>
    <mergeCell ref="A207:A209"/>
    <mergeCell ref="B207:B209"/>
    <mergeCell ref="A210:A212"/>
    <mergeCell ref="B210:B212"/>
    <mergeCell ref="A198:A200"/>
    <mergeCell ref="B198:B200"/>
    <mergeCell ref="A201:A203"/>
    <mergeCell ref="B201:B203"/>
    <mergeCell ref="A204:A206"/>
    <mergeCell ref="B204:B206"/>
    <mergeCell ref="A189:A191"/>
    <mergeCell ref="B189:B191"/>
    <mergeCell ref="A192:A194"/>
    <mergeCell ref="B192:B194"/>
    <mergeCell ref="A195:A197"/>
    <mergeCell ref="B195:B197"/>
    <mergeCell ref="A180:A182"/>
    <mergeCell ref="B180:B182"/>
    <mergeCell ref="A183:A185"/>
    <mergeCell ref="B183:B185"/>
    <mergeCell ref="A186:A188"/>
    <mergeCell ref="B186:B188"/>
    <mergeCell ref="A172:F172"/>
    <mergeCell ref="A174:A176"/>
    <mergeCell ref="B174:B176"/>
    <mergeCell ref="A177:A179"/>
    <mergeCell ref="B177:B179"/>
    <mergeCell ref="A130:F130"/>
    <mergeCell ref="A132:A134"/>
    <mergeCell ref="B132:B134"/>
    <mergeCell ref="A135:A137"/>
    <mergeCell ref="B135:B137"/>
    <mergeCell ref="A138:A140"/>
    <mergeCell ref="B138:B140"/>
    <mergeCell ref="A141:A143"/>
    <mergeCell ref="B141:B143"/>
    <mergeCell ref="A159:A161"/>
    <mergeCell ref="B159:B161"/>
    <mergeCell ref="A144:A146"/>
    <mergeCell ref="B144:B146"/>
    <mergeCell ref="A147:A149"/>
    <mergeCell ref="B147:B149"/>
    <mergeCell ref="A150:A152"/>
    <mergeCell ref="B150:B152"/>
    <mergeCell ref="A153:A155"/>
    <mergeCell ref="B153:B155"/>
    <mergeCell ref="A162:A164"/>
    <mergeCell ref="B162:B164"/>
    <mergeCell ref="A165:A167"/>
    <mergeCell ref="B165:B167"/>
    <mergeCell ref="A168:A170"/>
    <mergeCell ref="B168:B170"/>
    <mergeCell ref="A88:F88"/>
    <mergeCell ref="A90:A92"/>
    <mergeCell ref="B90:B92"/>
    <mergeCell ref="A93:A95"/>
    <mergeCell ref="B93:B95"/>
    <mergeCell ref="A96:A98"/>
    <mergeCell ref="B96:B98"/>
    <mergeCell ref="A102:A104"/>
    <mergeCell ref="B102:B104"/>
    <mergeCell ref="A108:A110"/>
    <mergeCell ref="B108:B110"/>
    <mergeCell ref="A111:A113"/>
    <mergeCell ref="B111:B113"/>
    <mergeCell ref="A123:A125"/>
    <mergeCell ref="B123:B125"/>
    <mergeCell ref="A126:A128"/>
    <mergeCell ref="A65:A67"/>
    <mergeCell ref="B65:B67"/>
    <mergeCell ref="A68:A70"/>
    <mergeCell ref="B68:B70"/>
    <mergeCell ref="A71:A73"/>
    <mergeCell ref="B71:B73"/>
    <mergeCell ref="A74:A76"/>
    <mergeCell ref="B74:B76"/>
    <mergeCell ref="A156:A158"/>
    <mergeCell ref="B156:B158"/>
    <mergeCell ref="A77:A79"/>
    <mergeCell ref="B77:B79"/>
    <mergeCell ref="A80:A82"/>
    <mergeCell ref="B80:B82"/>
    <mergeCell ref="A83:A85"/>
    <mergeCell ref="B83:B85"/>
    <mergeCell ref="B126:B128"/>
    <mergeCell ref="A114:A116"/>
    <mergeCell ref="B114:B116"/>
    <mergeCell ref="A117:A119"/>
    <mergeCell ref="B117:B119"/>
    <mergeCell ref="A120:A122"/>
    <mergeCell ref="B120:B122"/>
    <mergeCell ref="A45:F45"/>
    <mergeCell ref="A47:A49"/>
    <mergeCell ref="B47:B49"/>
    <mergeCell ref="A50:A52"/>
    <mergeCell ref="B50:B52"/>
    <mergeCell ref="A53:A55"/>
    <mergeCell ref="B53:B55"/>
    <mergeCell ref="A59:A61"/>
    <mergeCell ref="B59:B61"/>
  </mergeCells>
  <pageMargins left="1.27" right="0.23622047244094491" top="0.35433070866141736" bottom="0.19685039370078741" header="0.35433070866141736" footer="0.15748031496062992"/>
  <pageSetup paperSize="9" scale="75" orientation="landscape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H437"/>
  <sheetViews>
    <sheetView workbookViewId="0">
      <selection activeCell="H9" sqref="H9"/>
    </sheetView>
  </sheetViews>
  <sheetFormatPr defaultRowHeight="15" x14ac:dyDescent="0.25"/>
  <cols>
    <col min="1" max="1" width="4.28515625" customWidth="1"/>
    <col min="2" max="2" width="12.5703125" customWidth="1"/>
    <col min="3" max="3" width="14.5703125" customWidth="1"/>
    <col min="4" max="4" width="24.5703125" customWidth="1"/>
    <col min="5" max="5" width="21.5703125" customWidth="1"/>
    <col min="6" max="6" width="15.42578125" customWidth="1"/>
    <col min="7" max="7" width="25" customWidth="1"/>
    <col min="8" max="8" width="57.5703125" customWidth="1"/>
  </cols>
  <sheetData>
    <row r="2" spans="1:8" ht="20.25" customHeight="1" x14ac:dyDescent="0.25">
      <c r="A2" s="600" t="s">
        <v>1655</v>
      </c>
      <c r="B2" s="601"/>
      <c r="C2" s="601"/>
      <c r="D2" s="601"/>
      <c r="E2" s="601"/>
      <c r="F2" s="601"/>
      <c r="G2" s="601"/>
      <c r="H2" s="602"/>
    </row>
    <row r="3" spans="1:8" ht="60.75" x14ac:dyDescent="0.25">
      <c r="A3" s="179" t="s">
        <v>211</v>
      </c>
      <c r="B3" s="179" t="s">
        <v>217</v>
      </c>
      <c r="C3" s="179" t="s">
        <v>788</v>
      </c>
      <c r="D3" s="179" t="s">
        <v>802</v>
      </c>
      <c r="E3" s="179" t="s">
        <v>799</v>
      </c>
      <c r="F3" s="179" t="s">
        <v>800</v>
      </c>
      <c r="G3" s="179" t="s">
        <v>801</v>
      </c>
      <c r="H3" s="179" t="s">
        <v>216</v>
      </c>
    </row>
    <row r="4" spans="1:8" ht="40.5" x14ac:dyDescent="0.25">
      <c r="A4" s="32">
        <v>1</v>
      </c>
      <c r="B4" s="179" t="s">
        <v>186</v>
      </c>
      <c r="C4" s="179" t="s">
        <v>39</v>
      </c>
      <c r="D4" s="179" t="s">
        <v>825</v>
      </c>
      <c r="E4" s="32" t="s">
        <v>806</v>
      </c>
      <c r="F4" s="32" t="s">
        <v>807</v>
      </c>
      <c r="G4" s="179" t="s">
        <v>932</v>
      </c>
      <c r="H4" s="268"/>
    </row>
    <row r="5" spans="1:8" ht="20.25" x14ac:dyDescent="0.25">
      <c r="A5" s="32"/>
      <c r="B5" s="179"/>
      <c r="C5" s="179" t="s">
        <v>186</v>
      </c>
      <c r="D5" s="179" t="s">
        <v>942</v>
      </c>
      <c r="E5" s="32" t="s">
        <v>807</v>
      </c>
      <c r="F5" s="32" t="s">
        <v>18</v>
      </c>
      <c r="G5" s="32" t="s">
        <v>18</v>
      </c>
      <c r="H5" s="32" t="s">
        <v>18</v>
      </c>
    </row>
    <row r="6" spans="1:8" ht="20.25" x14ac:dyDescent="0.25">
      <c r="A6" s="32">
        <v>2</v>
      </c>
      <c r="B6" s="179" t="s">
        <v>257</v>
      </c>
      <c r="C6" s="179" t="s">
        <v>257</v>
      </c>
      <c r="D6" s="179" t="s">
        <v>825</v>
      </c>
      <c r="E6" s="32" t="s">
        <v>807</v>
      </c>
      <c r="F6" s="32" t="s">
        <v>18</v>
      </c>
      <c r="G6" s="32" t="s">
        <v>18</v>
      </c>
      <c r="H6" s="32" t="s">
        <v>18</v>
      </c>
    </row>
    <row r="7" spans="1:8" ht="20.25" x14ac:dyDescent="0.25">
      <c r="A7" s="32"/>
      <c r="B7" s="179"/>
      <c r="C7" s="179" t="s">
        <v>946</v>
      </c>
      <c r="D7" s="179" t="s">
        <v>825</v>
      </c>
      <c r="E7" s="32" t="s">
        <v>807</v>
      </c>
      <c r="F7" s="32" t="s">
        <v>18</v>
      </c>
      <c r="G7" s="32" t="s">
        <v>18</v>
      </c>
      <c r="H7" s="32" t="s">
        <v>18</v>
      </c>
    </row>
    <row r="8" spans="1:8" ht="20.25" x14ac:dyDescent="0.25">
      <c r="A8" s="32"/>
      <c r="B8" s="179"/>
      <c r="C8" s="179" t="s">
        <v>947</v>
      </c>
      <c r="D8" s="179" t="s">
        <v>825</v>
      </c>
      <c r="E8" s="32" t="s">
        <v>807</v>
      </c>
      <c r="F8" s="32" t="s">
        <v>18</v>
      </c>
      <c r="G8" s="32" t="s">
        <v>18</v>
      </c>
      <c r="H8" s="32" t="s">
        <v>18</v>
      </c>
    </row>
    <row r="9" spans="1:8" ht="40.5" x14ac:dyDescent="0.25">
      <c r="A9" s="32">
        <v>3</v>
      </c>
      <c r="B9" s="179" t="s">
        <v>83</v>
      </c>
      <c r="C9" s="179" t="s">
        <v>170</v>
      </c>
      <c r="D9" s="179" t="s">
        <v>954</v>
      </c>
      <c r="E9" s="32" t="s">
        <v>807</v>
      </c>
      <c r="F9" s="32" t="s">
        <v>18</v>
      </c>
      <c r="G9" s="179"/>
      <c r="H9" s="32" t="s">
        <v>1670</v>
      </c>
    </row>
    <row r="10" spans="1:8" ht="40.5" x14ac:dyDescent="0.25">
      <c r="A10" s="32"/>
      <c r="B10" s="179"/>
      <c r="C10" s="179" t="s">
        <v>19</v>
      </c>
      <c r="D10" s="179" t="s">
        <v>954</v>
      </c>
      <c r="E10" s="32" t="s">
        <v>807</v>
      </c>
      <c r="F10" s="32" t="s">
        <v>18</v>
      </c>
      <c r="G10" s="179"/>
      <c r="H10" s="32" t="s">
        <v>1670</v>
      </c>
    </row>
    <row r="11" spans="1:8" ht="20.25" x14ac:dyDescent="0.25">
      <c r="A11" s="32"/>
      <c r="B11" s="179"/>
      <c r="C11" s="179" t="s">
        <v>383</v>
      </c>
      <c r="D11" s="179"/>
      <c r="E11" s="32" t="s">
        <v>806</v>
      </c>
      <c r="F11" s="32" t="s">
        <v>18</v>
      </c>
      <c r="G11" s="179" t="s">
        <v>955</v>
      </c>
      <c r="H11" s="32" t="s">
        <v>18</v>
      </c>
    </row>
    <row r="12" spans="1:8" ht="60.75" x14ac:dyDescent="0.25">
      <c r="A12" s="32"/>
      <c r="B12" s="179"/>
      <c r="C12" s="179" t="s">
        <v>1671</v>
      </c>
      <c r="D12" s="179"/>
      <c r="E12" s="32" t="s">
        <v>1672</v>
      </c>
      <c r="F12" s="32"/>
      <c r="G12" s="179" t="s">
        <v>1673</v>
      </c>
      <c r="H12" s="32"/>
    </row>
    <row r="13" spans="1:8" ht="40.5" x14ac:dyDescent="0.25">
      <c r="A13" s="32"/>
      <c r="B13" s="179"/>
      <c r="C13" s="179" t="s">
        <v>377</v>
      </c>
      <c r="D13" s="179"/>
      <c r="E13" s="32" t="s">
        <v>806</v>
      </c>
      <c r="F13" s="32" t="s">
        <v>18</v>
      </c>
      <c r="G13" s="179" t="s">
        <v>956</v>
      </c>
      <c r="H13" s="32" t="s">
        <v>957</v>
      </c>
    </row>
    <row r="14" spans="1:8" ht="121.5" x14ac:dyDescent="0.25">
      <c r="A14" s="32">
        <v>4</v>
      </c>
      <c r="B14" s="179" t="s">
        <v>89</v>
      </c>
      <c r="C14" s="179" t="s">
        <v>176</v>
      </c>
      <c r="D14" s="179" t="s">
        <v>899</v>
      </c>
      <c r="E14" s="32" t="s">
        <v>807</v>
      </c>
      <c r="F14" s="32" t="s">
        <v>18</v>
      </c>
      <c r="G14" s="32" t="s">
        <v>18</v>
      </c>
      <c r="H14" s="32" t="s">
        <v>900</v>
      </c>
    </row>
    <row r="15" spans="1:8" ht="20.25" x14ac:dyDescent="0.25">
      <c r="A15" s="32"/>
      <c r="B15" s="179"/>
      <c r="C15" s="179" t="s">
        <v>185</v>
      </c>
      <c r="D15" s="179" t="s">
        <v>899</v>
      </c>
      <c r="E15" s="32" t="s">
        <v>807</v>
      </c>
      <c r="F15" s="32" t="s">
        <v>18</v>
      </c>
      <c r="G15" s="32" t="s">
        <v>18</v>
      </c>
      <c r="H15" s="32" t="s">
        <v>901</v>
      </c>
    </row>
    <row r="16" spans="1:8" ht="20.25" x14ac:dyDescent="0.25">
      <c r="A16" s="32"/>
      <c r="B16" s="179"/>
      <c r="C16" s="179" t="s">
        <v>89</v>
      </c>
      <c r="D16" s="179" t="s">
        <v>881</v>
      </c>
      <c r="E16" s="32" t="s">
        <v>806</v>
      </c>
      <c r="F16" s="32" t="s">
        <v>807</v>
      </c>
      <c r="G16" s="32" t="s">
        <v>18</v>
      </c>
      <c r="H16" s="32" t="s">
        <v>902</v>
      </c>
    </row>
    <row r="17" spans="1:8" ht="20.25" x14ac:dyDescent="0.25">
      <c r="A17" s="32">
        <v>5</v>
      </c>
      <c r="B17" s="179" t="s">
        <v>127</v>
      </c>
      <c r="C17" s="179" t="s">
        <v>127</v>
      </c>
      <c r="D17" s="179" t="s">
        <v>825</v>
      </c>
      <c r="E17" s="32" t="s">
        <v>807</v>
      </c>
      <c r="F17" s="32" t="s">
        <v>18</v>
      </c>
      <c r="G17" s="32" t="s">
        <v>18</v>
      </c>
      <c r="H17" s="32" t="s">
        <v>18</v>
      </c>
    </row>
    <row r="18" spans="1:8" ht="20.25" x14ac:dyDescent="0.25">
      <c r="A18" s="32"/>
      <c r="B18" s="179"/>
      <c r="C18" s="179" t="s">
        <v>172</v>
      </c>
      <c r="D18" s="179" t="s">
        <v>825</v>
      </c>
      <c r="E18" s="32" t="s">
        <v>807</v>
      </c>
      <c r="F18" s="32" t="s">
        <v>18</v>
      </c>
      <c r="G18" s="32" t="s">
        <v>18</v>
      </c>
      <c r="H18" s="32" t="s">
        <v>18</v>
      </c>
    </row>
    <row r="19" spans="1:8" ht="20.25" x14ac:dyDescent="0.25">
      <c r="A19" s="32"/>
      <c r="B19" s="179"/>
      <c r="C19" s="179" t="s">
        <v>873</v>
      </c>
      <c r="D19" s="179" t="s">
        <v>825</v>
      </c>
      <c r="E19" s="32" t="s">
        <v>807</v>
      </c>
      <c r="F19" s="32" t="s">
        <v>18</v>
      </c>
      <c r="G19" s="32" t="s">
        <v>18</v>
      </c>
      <c r="H19" s="32" t="s">
        <v>1248</v>
      </c>
    </row>
    <row r="20" spans="1:8" ht="60.75" x14ac:dyDescent="0.25">
      <c r="A20" s="32"/>
      <c r="B20" s="179"/>
      <c r="C20" s="179" t="s">
        <v>250</v>
      </c>
      <c r="D20" s="179" t="s">
        <v>825</v>
      </c>
      <c r="E20" s="32" t="s">
        <v>807</v>
      </c>
      <c r="F20" s="32" t="s">
        <v>18</v>
      </c>
      <c r="G20" s="32" t="s">
        <v>18</v>
      </c>
      <c r="H20" s="32" t="s">
        <v>877</v>
      </c>
    </row>
    <row r="21" spans="1:8" ht="20.25" x14ac:dyDescent="0.25">
      <c r="A21" s="32"/>
      <c r="B21" s="179"/>
      <c r="C21" s="179" t="s">
        <v>173</v>
      </c>
      <c r="D21" s="179" t="s">
        <v>825</v>
      </c>
      <c r="E21" s="32" t="s">
        <v>807</v>
      </c>
      <c r="F21" s="32" t="s">
        <v>18</v>
      </c>
      <c r="G21" s="32" t="s">
        <v>18</v>
      </c>
      <c r="H21" s="32" t="s">
        <v>1248</v>
      </c>
    </row>
    <row r="22" spans="1:8" ht="20.25" x14ac:dyDescent="0.25">
      <c r="A22" s="32"/>
      <c r="B22" s="179"/>
      <c r="C22" s="179" t="s">
        <v>202</v>
      </c>
      <c r="D22" s="179" t="s">
        <v>881</v>
      </c>
      <c r="E22" s="32" t="s">
        <v>806</v>
      </c>
      <c r="F22" s="32" t="s">
        <v>807</v>
      </c>
      <c r="G22" s="179"/>
      <c r="H22" s="32" t="s">
        <v>879</v>
      </c>
    </row>
    <row r="23" spans="1:8" ht="20.25" x14ac:dyDescent="0.25">
      <c r="A23" s="32"/>
      <c r="B23" s="179"/>
      <c r="C23" s="179" t="s">
        <v>141</v>
      </c>
      <c r="D23" s="179" t="s">
        <v>825</v>
      </c>
      <c r="E23" s="32" t="s">
        <v>807</v>
      </c>
      <c r="F23" s="32" t="s">
        <v>18</v>
      </c>
      <c r="G23" s="32" t="s">
        <v>18</v>
      </c>
      <c r="H23" s="32" t="s">
        <v>1248</v>
      </c>
    </row>
    <row r="24" spans="1:8" ht="121.5" x14ac:dyDescent="0.25">
      <c r="A24" s="32">
        <v>6</v>
      </c>
      <c r="B24" s="179" t="s">
        <v>467</v>
      </c>
      <c r="C24" s="179" t="s">
        <v>207</v>
      </c>
      <c r="D24" s="179" t="s">
        <v>825</v>
      </c>
      <c r="E24" s="32" t="s">
        <v>807</v>
      </c>
      <c r="F24" s="32"/>
      <c r="G24" s="32" t="s">
        <v>913</v>
      </c>
      <c r="H24" s="32" t="s">
        <v>18</v>
      </c>
    </row>
    <row r="25" spans="1:8" ht="20.25" x14ac:dyDescent="0.25">
      <c r="A25" s="32"/>
      <c r="B25" s="179"/>
      <c r="C25" s="179" t="s">
        <v>909</v>
      </c>
      <c r="D25" s="179" t="s">
        <v>825</v>
      </c>
      <c r="E25" s="32"/>
      <c r="F25" s="32"/>
      <c r="G25" s="179"/>
      <c r="H25" s="32" t="s">
        <v>18</v>
      </c>
    </row>
    <row r="26" spans="1:8" ht="40.5" x14ac:dyDescent="0.25">
      <c r="A26" s="32"/>
      <c r="B26" s="179"/>
      <c r="C26" s="179" t="s">
        <v>171</v>
      </c>
      <c r="D26" s="179" t="s">
        <v>825</v>
      </c>
      <c r="E26" s="32" t="s">
        <v>807</v>
      </c>
      <c r="F26" s="179"/>
      <c r="G26" s="179" t="s">
        <v>914</v>
      </c>
      <c r="H26" s="32" t="s">
        <v>18</v>
      </c>
    </row>
    <row r="27" spans="1:8" ht="40.5" x14ac:dyDescent="0.25">
      <c r="A27" s="32"/>
      <c r="B27" s="179"/>
      <c r="C27" s="179" t="s">
        <v>912</v>
      </c>
      <c r="D27" s="179" t="s">
        <v>825</v>
      </c>
      <c r="E27" s="32" t="s">
        <v>807</v>
      </c>
      <c r="F27" s="179"/>
      <c r="G27" s="179"/>
      <c r="H27" s="32" t="s">
        <v>18</v>
      </c>
    </row>
    <row r="28" spans="1:8" ht="40.5" x14ac:dyDescent="0.25">
      <c r="A28" s="32"/>
      <c r="B28" s="179"/>
      <c r="C28" s="179" t="s">
        <v>201</v>
      </c>
      <c r="D28" s="179" t="s">
        <v>825</v>
      </c>
      <c r="E28" s="32" t="s">
        <v>807</v>
      </c>
      <c r="F28" s="179"/>
      <c r="G28" s="179"/>
      <c r="H28" s="179" t="s">
        <v>915</v>
      </c>
    </row>
    <row r="29" spans="1:8" ht="20.25" x14ac:dyDescent="0.25">
      <c r="A29" s="32">
        <v>7</v>
      </c>
      <c r="B29" s="179" t="s">
        <v>91</v>
      </c>
      <c r="C29" s="179" t="s">
        <v>184</v>
      </c>
      <c r="D29" s="179" t="s">
        <v>825</v>
      </c>
      <c r="E29" s="32" t="s">
        <v>807</v>
      </c>
      <c r="F29" s="32" t="s">
        <v>18</v>
      </c>
      <c r="G29" s="32" t="s">
        <v>18</v>
      </c>
      <c r="H29" s="32" t="s">
        <v>18</v>
      </c>
    </row>
    <row r="30" spans="1:8" ht="20.25" x14ac:dyDescent="0.25">
      <c r="A30" s="32"/>
      <c r="B30" s="179"/>
      <c r="C30" s="179" t="s">
        <v>175</v>
      </c>
      <c r="D30" s="179" t="s">
        <v>990</v>
      </c>
      <c r="E30" s="32" t="s">
        <v>807</v>
      </c>
      <c r="F30" s="32" t="s">
        <v>18</v>
      </c>
      <c r="G30" s="32" t="s">
        <v>18</v>
      </c>
      <c r="H30" s="32" t="s">
        <v>18</v>
      </c>
    </row>
    <row r="31" spans="1:8" ht="20.25" x14ac:dyDescent="0.25">
      <c r="A31" s="32"/>
      <c r="B31" s="179"/>
      <c r="C31" s="179" t="s">
        <v>360</v>
      </c>
      <c r="D31" s="179" t="s">
        <v>825</v>
      </c>
      <c r="E31" s="32" t="s">
        <v>807</v>
      </c>
      <c r="F31" s="32" t="s">
        <v>18</v>
      </c>
      <c r="G31" s="32" t="s">
        <v>18</v>
      </c>
      <c r="H31" s="32" t="s">
        <v>18</v>
      </c>
    </row>
    <row r="32" spans="1:8" ht="40.5" x14ac:dyDescent="0.25">
      <c r="A32" s="32">
        <v>8</v>
      </c>
      <c r="B32" s="179" t="s">
        <v>165</v>
      </c>
      <c r="C32" s="179" t="s">
        <v>191</v>
      </c>
      <c r="D32" s="179" t="s">
        <v>825</v>
      </c>
      <c r="E32" s="32" t="s">
        <v>806</v>
      </c>
      <c r="F32" s="32" t="s">
        <v>807</v>
      </c>
      <c r="G32" s="32" t="s">
        <v>855</v>
      </c>
      <c r="H32" s="32" t="s">
        <v>18</v>
      </c>
    </row>
    <row r="33" spans="1:8" ht="182.25" x14ac:dyDescent="0.25">
      <c r="A33" s="32"/>
      <c r="B33" s="179"/>
      <c r="C33" s="179" t="s">
        <v>164</v>
      </c>
      <c r="D33" s="179" t="s">
        <v>852</v>
      </c>
      <c r="E33" s="32" t="s">
        <v>854</v>
      </c>
      <c r="F33" s="32" t="s">
        <v>807</v>
      </c>
      <c r="G33" s="32" t="s">
        <v>18</v>
      </c>
      <c r="H33" s="32" t="s">
        <v>853</v>
      </c>
    </row>
    <row r="34" spans="1:8" ht="20.25" x14ac:dyDescent="0.25">
      <c r="A34" s="32"/>
      <c r="B34" s="179"/>
      <c r="C34" s="179" t="s">
        <v>163</v>
      </c>
      <c r="D34" s="179" t="s">
        <v>852</v>
      </c>
      <c r="E34" s="32" t="s">
        <v>856</v>
      </c>
      <c r="F34" s="32" t="s">
        <v>826</v>
      </c>
      <c r="G34" s="179" t="s">
        <v>18</v>
      </c>
      <c r="H34" s="32" t="s">
        <v>18</v>
      </c>
    </row>
    <row r="35" spans="1:8" ht="40.5" x14ac:dyDescent="0.25">
      <c r="A35" s="32"/>
      <c r="B35" s="179"/>
      <c r="C35" s="179" t="s">
        <v>200</v>
      </c>
      <c r="D35" s="179" t="s">
        <v>825</v>
      </c>
      <c r="E35" s="32" t="s">
        <v>806</v>
      </c>
      <c r="F35" s="32" t="s">
        <v>807</v>
      </c>
      <c r="G35" s="179" t="s">
        <v>857</v>
      </c>
      <c r="H35" s="32" t="s">
        <v>18</v>
      </c>
    </row>
    <row r="36" spans="1:8" ht="20.25" x14ac:dyDescent="0.25">
      <c r="A36" s="32">
        <v>9</v>
      </c>
      <c r="B36" s="179" t="s">
        <v>46</v>
      </c>
      <c r="C36" s="179" t="s">
        <v>46</v>
      </c>
      <c r="D36" s="179" t="s">
        <v>825</v>
      </c>
      <c r="E36" s="32" t="s">
        <v>807</v>
      </c>
      <c r="F36" s="32" t="s">
        <v>18</v>
      </c>
      <c r="G36" s="179"/>
      <c r="H36" s="32" t="s">
        <v>18</v>
      </c>
    </row>
    <row r="37" spans="1:8" ht="20.25" x14ac:dyDescent="0.25">
      <c r="A37" s="32"/>
      <c r="B37" s="179"/>
      <c r="C37" s="179" t="s">
        <v>979</v>
      </c>
      <c r="D37" s="179" t="s">
        <v>825</v>
      </c>
      <c r="E37" s="32" t="s">
        <v>807</v>
      </c>
      <c r="F37" s="32" t="s">
        <v>18</v>
      </c>
      <c r="G37" s="179"/>
      <c r="H37" s="32" t="s">
        <v>18</v>
      </c>
    </row>
    <row r="38" spans="1:8" ht="20.25" x14ac:dyDescent="0.25">
      <c r="A38" s="32"/>
      <c r="B38" s="179"/>
      <c r="C38" s="179" t="s">
        <v>142</v>
      </c>
      <c r="D38" s="179" t="s">
        <v>825</v>
      </c>
      <c r="E38" s="32" t="s">
        <v>806</v>
      </c>
      <c r="F38" s="32" t="s">
        <v>807</v>
      </c>
      <c r="G38" s="179" t="s">
        <v>980</v>
      </c>
      <c r="H38" s="32" t="s">
        <v>18</v>
      </c>
    </row>
    <row r="39" spans="1:8" ht="20.25" x14ac:dyDescent="0.25">
      <c r="A39" s="32">
        <v>10</v>
      </c>
      <c r="B39" s="179" t="s">
        <v>20</v>
      </c>
      <c r="C39" s="179" t="s">
        <v>20</v>
      </c>
      <c r="D39" s="179" t="s">
        <v>825</v>
      </c>
      <c r="E39" s="32" t="s">
        <v>807</v>
      </c>
      <c r="F39" s="32" t="s">
        <v>18</v>
      </c>
      <c r="G39" s="179"/>
      <c r="H39" s="32" t="s">
        <v>18</v>
      </c>
    </row>
    <row r="40" spans="1:8" ht="40.5" x14ac:dyDescent="0.25">
      <c r="A40" s="32">
        <v>11</v>
      </c>
      <c r="B40" s="179" t="s">
        <v>25</v>
      </c>
      <c r="C40" s="179" t="s">
        <v>805</v>
      </c>
      <c r="D40" s="179" t="s">
        <v>803</v>
      </c>
      <c r="E40" s="32" t="s">
        <v>804</v>
      </c>
      <c r="F40" s="32" t="s">
        <v>18</v>
      </c>
      <c r="G40" s="32" t="s">
        <v>18</v>
      </c>
      <c r="H40" s="32" t="s">
        <v>18</v>
      </c>
    </row>
    <row r="41" spans="1:8" ht="202.5" x14ac:dyDescent="0.25">
      <c r="A41" s="32"/>
      <c r="B41" s="179"/>
      <c r="C41" s="179" t="s">
        <v>794</v>
      </c>
      <c r="D41" s="179" t="s">
        <v>803</v>
      </c>
      <c r="E41" s="32" t="s">
        <v>806</v>
      </c>
      <c r="F41" s="32" t="s">
        <v>807</v>
      </c>
      <c r="G41" s="179" t="s">
        <v>808</v>
      </c>
      <c r="H41" s="32" t="s">
        <v>18</v>
      </c>
    </row>
    <row r="42" spans="1:8" ht="40.5" x14ac:dyDescent="0.25">
      <c r="A42" s="32">
        <v>12</v>
      </c>
      <c r="B42" s="179" t="s">
        <v>468</v>
      </c>
      <c r="C42" s="179" t="s">
        <v>179</v>
      </c>
      <c r="D42" s="179" t="s">
        <v>825</v>
      </c>
      <c r="E42" s="32" t="s">
        <v>807</v>
      </c>
      <c r="F42" s="32" t="s">
        <v>18</v>
      </c>
      <c r="G42" s="32" t="s">
        <v>18</v>
      </c>
      <c r="H42" s="32" t="s">
        <v>18</v>
      </c>
    </row>
    <row r="43" spans="1:8" ht="40.5" x14ac:dyDescent="0.25">
      <c r="A43" s="32"/>
      <c r="B43" s="179"/>
      <c r="C43" s="179" t="s">
        <v>187</v>
      </c>
      <c r="D43" s="179" t="s">
        <v>18</v>
      </c>
      <c r="E43" s="32" t="s">
        <v>1025</v>
      </c>
      <c r="F43" s="32" t="s">
        <v>1026</v>
      </c>
      <c r="G43" s="179" t="s">
        <v>1028</v>
      </c>
      <c r="H43" s="179" t="s">
        <v>1029</v>
      </c>
    </row>
    <row r="44" spans="1:8" ht="20.25" x14ac:dyDescent="0.25">
      <c r="A44" s="32"/>
      <c r="B44" s="179"/>
      <c r="C44" s="179" t="s">
        <v>252</v>
      </c>
      <c r="D44" s="179" t="s">
        <v>825</v>
      </c>
      <c r="E44" s="32" t="s">
        <v>807</v>
      </c>
      <c r="F44" s="32" t="s">
        <v>18</v>
      </c>
      <c r="G44" s="32" t="s">
        <v>18</v>
      </c>
      <c r="H44" s="32" t="s">
        <v>18</v>
      </c>
    </row>
    <row r="45" spans="1:8" ht="40.5" x14ac:dyDescent="0.25">
      <c r="A45" s="32"/>
      <c r="B45" s="179"/>
      <c r="C45" s="179" t="s">
        <v>178</v>
      </c>
      <c r="D45" s="179" t="s">
        <v>18</v>
      </c>
      <c r="E45" s="32" t="s">
        <v>1025</v>
      </c>
      <c r="F45" s="32" t="s">
        <v>1026</v>
      </c>
      <c r="G45" s="179" t="s">
        <v>1028</v>
      </c>
      <c r="H45" s="32" t="s">
        <v>18</v>
      </c>
    </row>
    <row r="46" spans="1:8" ht="20.25" x14ac:dyDescent="0.25">
      <c r="A46" s="32"/>
      <c r="B46" s="179"/>
      <c r="C46" s="179" t="s">
        <v>188</v>
      </c>
      <c r="D46" s="179" t="s">
        <v>825</v>
      </c>
      <c r="E46" s="32" t="s">
        <v>807</v>
      </c>
      <c r="F46" s="32" t="s">
        <v>1025</v>
      </c>
      <c r="G46" s="32" t="s">
        <v>1025</v>
      </c>
      <c r="H46" s="32" t="s">
        <v>18</v>
      </c>
    </row>
    <row r="47" spans="1:8" ht="40.5" x14ac:dyDescent="0.25">
      <c r="A47" s="32"/>
      <c r="B47" s="179"/>
      <c r="C47" s="179" t="s">
        <v>58</v>
      </c>
      <c r="D47" s="179" t="s">
        <v>1027</v>
      </c>
      <c r="E47" s="32" t="s">
        <v>807</v>
      </c>
      <c r="F47" s="32" t="s">
        <v>1025</v>
      </c>
      <c r="G47" s="32" t="s">
        <v>1025</v>
      </c>
      <c r="H47" s="179" t="s">
        <v>1030</v>
      </c>
    </row>
    <row r="48" spans="1:8" ht="20.25" x14ac:dyDescent="0.25">
      <c r="A48" s="32"/>
      <c r="B48" s="179"/>
      <c r="C48" s="179"/>
      <c r="D48" s="179" t="s">
        <v>825</v>
      </c>
      <c r="E48" s="179"/>
      <c r="F48" s="32"/>
      <c r="G48" s="32"/>
      <c r="H48" s="179"/>
    </row>
    <row r="49" spans="1:8" ht="20.25" x14ac:dyDescent="0.25">
      <c r="A49" s="32"/>
      <c r="B49" s="179"/>
      <c r="C49" s="179" t="s">
        <v>177</v>
      </c>
      <c r="D49" s="179" t="s">
        <v>1027</v>
      </c>
      <c r="E49" s="32" t="s">
        <v>807</v>
      </c>
      <c r="F49" s="32" t="s">
        <v>1025</v>
      </c>
      <c r="G49" s="32" t="s">
        <v>1025</v>
      </c>
      <c r="H49" s="32" t="s">
        <v>18</v>
      </c>
    </row>
    <row r="50" spans="1:8" ht="20.25" x14ac:dyDescent="0.25">
      <c r="A50" s="32"/>
      <c r="B50" s="179"/>
      <c r="C50" s="179"/>
      <c r="D50" s="179" t="s">
        <v>825</v>
      </c>
      <c r="E50" s="179"/>
      <c r="F50" s="179"/>
      <c r="G50" s="179"/>
      <c r="H50" s="179"/>
    </row>
    <row r="51" spans="1:8" ht="60.75" x14ac:dyDescent="0.25">
      <c r="A51" s="32">
        <v>13</v>
      </c>
      <c r="B51" s="179" t="s">
        <v>167</v>
      </c>
      <c r="C51" s="179" t="s">
        <v>167</v>
      </c>
      <c r="D51" s="179" t="s">
        <v>824</v>
      </c>
      <c r="E51" s="32" t="s">
        <v>807</v>
      </c>
      <c r="F51" s="32" t="s">
        <v>826</v>
      </c>
      <c r="G51" s="179" t="s">
        <v>827</v>
      </c>
      <c r="H51" s="32" t="s">
        <v>18</v>
      </c>
    </row>
    <row r="52" spans="1:8" ht="60.75" x14ac:dyDescent="0.25">
      <c r="A52" s="32"/>
      <c r="B52" s="179"/>
      <c r="C52" s="179" t="s">
        <v>821</v>
      </c>
      <c r="D52" s="179" t="s">
        <v>825</v>
      </c>
      <c r="E52" s="32" t="s">
        <v>806</v>
      </c>
      <c r="F52" s="32" t="s">
        <v>807</v>
      </c>
      <c r="G52" s="179" t="s">
        <v>828</v>
      </c>
      <c r="H52" s="32" t="s">
        <v>18</v>
      </c>
    </row>
    <row r="53" spans="1:8" ht="60.75" x14ac:dyDescent="0.25">
      <c r="A53" s="32"/>
      <c r="B53" s="179"/>
      <c r="C53" s="179" t="s">
        <v>341</v>
      </c>
      <c r="D53" s="179" t="s">
        <v>825</v>
      </c>
      <c r="E53" s="32" t="s">
        <v>806</v>
      </c>
      <c r="F53" s="32" t="s">
        <v>807</v>
      </c>
      <c r="G53" s="179" t="s">
        <v>829</v>
      </c>
      <c r="H53" s="32" t="s">
        <v>18</v>
      </c>
    </row>
    <row r="54" spans="1:8" ht="81" x14ac:dyDescent="0.25">
      <c r="A54" s="32"/>
      <c r="B54" s="179"/>
      <c r="C54" s="179" t="s">
        <v>339</v>
      </c>
      <c r="D54" s="179" t="s">
        <v>825</v>
      </c>
      <c r="E54" s="32" t="s">
        <v>806</v>
      </c>
      <c r="F54" s="32" t="s">
        <v>807</v>
      </c>
      <c r="G54" s="179" t="s">
        <v>830</v>
      </c>
      <c r="H54" s="32" t="s">
        <v>18</v>
      </c>
    </row>
    <row r="55" spans="1:8" ht="60.75" x14ac:dyDescent="0.25">
      <c r="A55" s="32"/>
      <c r="B55" s="179"/>
      <c r="C55" s="179" t="s">
        <v>822</v>
      </c>
      <c r="D55" s="179" t="s">
        <v>825</v>
      </c>
      <c r="E55" s="32" t="s">
        <v>806</v>
      </c>
      <c r="F55" s="32" t="s">
        <v>807</v>
      </c>
      <c r="G55" s="179" t="s">
        <v>831</v>
      </c>
      <c r="H55" s="32" t="s">
        <v>18</v>
      </c>
    </row>
    <row r="56" spans="1:8" ht="81" x14ac:dyDescent="0.25">
      <c r="A56" s="32"/>
      <c r="B56" s="179"/>
      <c r="C56" s="179" t="s">
        <v>823</v>
      </c>
      <c r="D56" s="179" t="s">
        <v>825</v>
      </c>
      <c r="E56" s="32" t="s">
        <v>806</v>
      </c>
      <c r="F56" s="32" t="s">
        <v>807</v>
      </c>
      <c r="G56" s="179" t="s">
        <v>832</v>
      </c>
      <c r="H56" s="32" t="s">
        <v>18</v>
      </c>
    </row>
    <row r="57" spans="1:8" ht="20.25" x14ac:dyDescent="0.25">
      <c r="A57" s="16"/>
      <c r="B57" s="16"/>
      <c r="C57" s="16"/>
      <c r="D57" s="16"/>
      <c r="E57" s="17"/>
      <c r="F57" s="16"/>
      <c r="G57" s="16"/>
      <c r="H57" s="17"/>
    </row>
    <row r="58" spans="1:8" ht="20.25" x14ac:dyDescent="0.25">
      <c r="A58" s="16"/>
      <c r="B58" s="16"/>
      <c r="C58" s="16"/>
      <c r="D58" s="16"/>
      <c r="E58" s="17"/>
      <c r="F58" s="16"/>
      <c r="G58" s="16"/>
      <c r="H58" s="17"/>
    </row>
    <row r="60" spans="1:8" ht="20.25" customHeight="1" x14ac:dyDescent="0.25">
      <c r="A60" s="600" t="s">
        <v>1483</v>
      </c>
      <c r="B60" s="601"/>
      <c r="C60" s="601"/>
      <c r="D60" s="601"/>
      <c r="E60" s="601"/>
      <c r="F60" s="601"/>
      <c r="G60" s="601"/>
      <c r="H60" s="602"/>
    </row>
    <row r="61" spans="1:8" ht="60.75" x14ac:dyDescent="0.25">
      <c r="A61" s="179" t="s">
        <v>211</v>
      </c>
      <c r="B61" s="179" t="s">
        <v>217</v>
      </c>
      <c r="C61" s="179" t="s">
        <v>788</v>
      </c>
      <c r="D61" s="179" t="s">
        <v>802</v>
      </c>
      <c r="E61" s="179" t="s">
        <v>799</v>
      </c>
      <c r="F61" s="179" t="s">
        <v>800</v>
      </c>
      <c r="G61" s="179" t="s">
        <v>801</v>
      </c>
      <c r="H61" s="179" t="s">
        <v>216</v>
      </c>
    </row>
    <row r="62" spans="1:8" ht="40.5" x14ac:dyDescent="0.25">
      <c r="A62" s="32">
        <v>1</v>
      </c>
      <c r="B62" s="179" t="s">
        <v>186</v>
      </c>
      <c r="C62" s="179" t="s">
        <v>39</v>
      </c>
      <c r="D62" s="179" t="s">
        <v>825</v>
      </c>
      <c r="E62" s="32" t="s">
        <v>806</v>
      </c>
      <c r="F62" s="32" t="s">
        <v>807</v>
      </c>
      <c r="G62" s="179" t="s">
        <v>932</v>
      </c>
      <c r="H62" s="268"/>
    </row>
    <row r="63" spans="1:8" ht="20.25" x14ac:dyDescent="0.25">
      <c r="A63" s="32"/>
      <c r="B63" s="179"/>
      <c r="C63" s="179" t="s">
        <v>186</v>
      </c>
      <c r="D63" s="179" t="s">
        <v>942</v>
      </c>
      <c r="E63" s="32" t="s">
        <v>807</v>
      </c>
      <c r="F63" s="32" t="s">
        <v>18</v>
      </c>
      <c r="G63" s="32" t="s">
        <v>18</v>
      </c>
      <c r="H63" s="32" t="s">
        <v>18</v>
      </c>
    </row>
    <row r="64" spans="1:8" ht="20.25" x14ac:dyDescent="0.25">
      <c r="A64" s="32">
        <v>2</v>
      </c>
      <c r="B64" s="179" t="s">
        <v>257</v>
      </c>
      <c r="C64" s="179" t="s">
        <v>257</v>
      </c>
      <c r="D64" s="179" t="s">
        <v>825</v>
      </c>
      <c r="E64" s="32" t="s">
        <v>807</v>
      </c>
      <c r="F64" s="32" t="s">
        <v>18</v>
      </c>
      <c r="G64" s="32" t="s">
        <v>18</v>
      </c>
      <c r="H64" s="32" t="s">
        <v>18</v>
      </c>
    </row>
    <row r="65" spans="1:8" ht="20.25" x14ac:dyDescent="0.25">
      <c r="A65" s="32"/>
      <c r="B65" s="179"/>
      <c r="C65" s="179" t="s">
        <v>946</v>
      </c>
      <c r="D65" s="179" t="s">
        <v>825</v>
      </c>
      <c r="E65" s="32" t="s">
        <v>807</v>
      </c>
      <c r="F65" s="32" t="s">
        <v>18</v>
      </c>
      <c r="G65" s="32" t="s">
        <v>18</v>
      </c>
      <c r="H65" s="32" t="s">
        <v>18</v>
      </c>
    </row>
    <row r="66" spans="1:8" ht="20.25" x14ac:dyDescent="0.25">
      <c r="A66" s="32"/>
      <c r="B66" s="179"/>
      <c r="C66" s="179" t="s">
        <v>947</v>
      </c>
      <c r="D66" s="179" t="s">
        <v>825</v>
      </c>
      <c r="E66" s="32" t="s">
        <v>807</v>
      </c>
      <c r="F66" s="32" t="s">
        <v>18</v>
      </c>
      <c r="G66" s="32" t="s">
        <v>18</v>
      </c>
      <c r="H66" s="32" t="s">
        <v>18</v>
      </c>
    </row>
    <row r="67" spans="1:8" ht="40.5" x14ac:dyDescent="0.25">
      <c r="A67" s="32">
        <v>3</v>
      </c>
      <c r="B67" s="179" t="s">
        <v>83</v>
      </c>
      <c r="C67" s="179" t="s">
        <v>170</v>
      </c>
      <c r="D67" s="179" t="s">
        <v>954</v>
      </c>
      <c r="E67" s="32" t="s">
        <v>807</v>
      </c>
      <c r="F67" s="32" t="s">
        <v>18</v>
      </c>
      <c r="G67" s="179"/>
      <c r="H67" s="32" t="s">
        <v>18</v>
      </c>
    </row>
    <row r="68" spans="1:8" ht="40.5" x14ac:dyDescent="0.25">
      <c r="A68" s="32"/>
      <c r="B68" s="179"/>
      <c r="C68" s="179" t="s">
        <v>19</v>
      </c>
      <c r="D68" s="179" t="s">
        <v>954</v>
      </c>
      <c r="E68" s="32" t="s">
        <v>807</v>
      </c>
      <c r="F68" s="32" t="s">
        <v>18</v>
      </c>
      <c r="G68" s="179"/>
      <c r="H68" s="32" t="s">
        <v>18</v>
      </c>
    </row>
    <row r="69" spans="1:8" ht="20.25" x14ac:dyDescent="0.25">
      <c r="A69" s="32"/>
      <c r="B69" s="179"/>
      <c r="C69" s="179" t="s">
        <v>383</v>
      </c>
      <c r="D69" s="179"/>
      <c r="E69" s="32" t="s">
        <v>806</v>
      </c>
      <c r="F69" s="32" t="s">
        <v>18</v>
      </c>
      <c r="G69" s="179" t="s">
        <v>955</v>
      </c>
      <c r="H69" s="32" t="s">
        <v>18</v>
      </c>
    </row>
    <row r="70" spans="1:8" ht="40.5" x14ac:dyDescent="0.25">
      <c r="A70" s="32"/>
      <c r="B70" s="179"/>
      <c r="C70" s="179" t="s">
        <v>377</v>
      </c>
      <c r="D70" s="179"/>
      <c r="E70" s="32" t="s">
        <v>806</v>
      </c>
      <c r="F70" s="32" t="s">
        <v>18</v>
      </c>
      <c r="G70" s="179" t="s">
        <v>956</v>
      </c>
      <c r="H70" s="32" t="s">
        <v>957</v>
      </c>
    </row>
    <row r="71" spans="1:8" ht="121.5" x14ac:dyDescent="0.25">
      <c r="A71" s="32">
        <v>4</v>
      </c>
      <c r="B71" s="179" t="s">
        <v>89</v>
      </c>
      <c r="C71" s="179" t="s">
        <v>176</v>
      </c>
      <c r="D71" s="179" t="s">
        <v>899</v>
      </c>
      <c r="E71" s="32" t="s">
        <v>807</v>
      </c>
      <c r="F71" s="32" t="s">
        <v>18</v>
      </c>
      <c r="G71" s="32" t="s">
        <v>18</v>
      </c>
      <c r="H71" s="32" t="s">
        <v>900</v>
      </c>
    </row>
    <row r="72" spans="1:8" ht="20.25" x14ac:dyDescent="0.25">
      <c r="A72" s="32"/>
      <c r="B72" s="179"/>
      <c r="C72" s="179" t="s">
        <v>185</v>
      </c>
      <c r="D72" s="179" t="s">
        <v>899</v>
      </c>
      <c r="E72" s="32" t="s">
        <v>807</v>
      </c>
      <c r="F72" s="32" t="s">
        <v>18</v>
      </c>
      <c r="G72" s="32" t="s">
        <v>18</v>
      </c>
      <c r="H72" s="32" t="s">
        <v>901</v>
      </c>
    </row>
    <row r="73" spans="1:8" ht="20.25" x14ac:dyDescent="0.25">
      <c r="A73" s="32"/>
      <c r="B73" s="179"/>
      <c r="C73" s="179" t="s">
        <v>89</v>
      </c>
      <c r="D73" s="179" t="s">
        <v>881</v>
      </c>
      <c r="E73" s="32" t="s">
        <v>806</v>
      </c>
      <c r="F73" s="32" t="s">
        <v>807</v>
      </c>
      <c r="G73" s="32" t="s">
        <v>18</v>
      </c>
      <c r="H73" s="32" t="s">
        <v>902</v>
      </c>
    </row>
    <row r="74" spans="1:8" ht="20.25" x14ac:dyDescent="0.25">
      <c r="A74" s="32">
        <v>5</v>
      </c>
      <c r="B74" s="179" t="s">
        <v>127</v>
      </c>
      <c r="C74" s="179" t="s">
        <v>127</v>
      </c>
      <c r="D74" s="179" t="s">
        <v>825</v>
      </c>
      <c r="E74" s="32" t="s">
        <v>807</v>
      </c>
      <c r="F74" s="32" t="s">
        <v>18</v>
      </c>
      <c r="G74" s="32" t="s">
        <v>18</v>
      </c>
      <c r="H74" s="32" t="s">
        <v>18</v>
      </c>
    </row>
    <row r="75" spans="1:8" ht="20.25" x14ac:dyDescent="0.25">
      <c r="A75" s="32"/>
      <c r="B75" s="179"/>
      <c r="C75" s="179" t="s">
        <v>172</v>
      </c>
      <c r="D75" s="179" t="s">
        <v>825</v>
      </c>
      <c r="E75" s="32" t="s">
        <v>807</v>
      </c>
      <c r="F75" s="32" t="s">
        <v>18</v>
      </c>
      <c r="G75" s="32" t="s">
        <v>18</v>
      </c>
      <c r="H75" s="32" t="s">
        <v>18</v>
      </c>
    </row>
    <row r="76" spans="1:8" ht="20.25" x14ac:dyDescent="0.25">
      <c r="A76" s="32"/>
      <c r="B76" s="179"/>
      <c r="C76" s="179" t="s">
        <v>873</v>
      </c>
      <c r="D76" s="179" t="s">
        <v>825</v>
      </c>
      <c r="E76" s="32" t="s">
        <v>807</v>
      </c>
      <c r="F76" s="32" t="s">
        <v>18</v>
      </c>
      <c r="G76" s="32" t="s">
        <v>18</v>
      </c>
      <c r="H76" s="32" t="s">
        <v>1248</v>
      </c>
    </row>
    <row r="77" spans="1:8" ht="60.75" x14ac:dyDescent="0.25">
      <c r="A77" s="32"/>
      <c r="B77" s="179"/>
      <c r="C77" s="179" t="s">
        <v>250</v>
      </c>
      <c r="D77" s="179" t="s">
        <v>825</v>
      </c>
      <c r="E77" s="32" t="s">
        <v>807</v>
      </c>
      <c r="F77" s="32" t="s">
        <v>18</v>
      </c>
      <c r="G77" s="32" t="s">
        <v>18</v>
      </c>
      <c r="H77" s="32" t="s">
        <v>877</v>
      </c>
    </row>
    <row r="78" spans="1:8" ht="20.25" x14ac:dyDescent="0.25">
      <c r="A78" s="32"/>
      <c r="B78" s="179"/>
      <c r="C78" s="179" t="s">
        <v>173</v>
      </c>
      <c r="D78" s="179" t="s">
        <v>825</v>
      </c>
      <c r="E78" s="32" t="s">
        <v>807</v>
      </c>
      <c r="F78" s="32" t="s">
        <v>18</v>
      </c>
      <c r="G78" s="32" t="s">
        <v>18</v>
      </c>
      <c r="H78" s="32" t="s">
        <v>1248</v>
      </c>
    </row>
    <row r="79" spans="1:8" ht="20.25" x14ac:dyDescent="0.25">
      <c r="A79" s="32"/>
      <c r="B79" s="179"/>
      <c r="C79" s="179" t="s">
        <v>202</v>
      </c>
      <c r="D79" s="179" t="s">
        <v>881</v>
      </c>
      <c r="E79" s="32" t="s">
        <v>806</v>
      </c>
      <c r="F79" s="32" t="s">
        <v>807</v>
      </c>
      <c r="G79" s="179"/>
      <c r="H79" s="32" t="s">
        <v>879</v>
      </c>
    </row>
    <row r="80" spans="1:8" ht="20.25" x14ac:dyDescent="0.25">
      <c r="A80" s="32"/>
      <c r="B80" s="179"/>
      <c r="C80" s="179" t="s">
        <v>141</v>
      </c>
      <c r="D80" s="179" t="s">
        <v>825</v>
      </c>
      <c r="E80" s="32" t="s">
        <v>807</v>
      </c>
      <c r="F80" s="32" t="s">
        <v>18</v>
      </c>
      <c r="G80" s="32" t="s">
        <v>18</v>
      </c>
      <c r="H80" s="32" t="s">
        <v>1248</v>
      </c>
    </row>
    <row r="81" spans="1:8" ht="121.5" x14ac:dyDescent="0.25">
      <c r="A81" s="32">
        <v>6</v>
      </c>
      <c r="B81" s="179" t="s">
        <v>467</v>
      </c>
      <c r="C81" s="179" t="s">
        <v>207</v>
      </c>
      <c r="D81" s="179" t="s">
        <v>825</v>
      </c>
      <c r="E81" s="32" t="s">
        <v>807</v>
      </c>
      <c r="F81" s="32"/>
      <c r="G81" s="32" t="s">
        <v>913</v>
      </c>
      <c r="H81" s="32" t="s">
        <v>18</v>
      </c>
    </row>
    <row r="82" spans="1:8" ht="20.25" x14ac:dyDescent="0.25">
      <c r="A82" s="32"/>
      <c r="B82" s="179"/>
      <c r="C82" s="179" t="s">
        <v>909</v>
      </c>
      <c r="D82" s="179" t="s">
        <v>825</v>
      </c>
      <c r="E82" s="32"/>
      <c r="F82" s="32"/>
      <c r="G82" s="179"/>
      <c r="H82" s="32" t="s">
        <v>18</v>
      </c>
    </row>
    <row r="83" spans="1:8" ht="40.5" x14ac:dyDescent="0.25">
      <c r="A83" s="32"/>
      <c r="B83" s="179"/>
      <c r="C83" s="179" t="s">
        <v>171</v>
      </c>
      <c r="D83" s="179" t="s">
        <v>825</v>
      </c>
      <c r="E83" s="32" t="s">
        <v>807</v>
      </c>
      <c r="F83" s="179"/>
      <c r="G83" s="179" t="s">
        <v>914</v>
      </c>
      <c r="H83" s="32" t="s">
        <v>18</v>
      </c>
    </row>
    <row r="84" spans="1:8" ht="40.5" x14ac:dyDescent="0.25">
      <c r="A84" s="32"/>
      <c r="B84" s="179"/>
      <c r="C84" s="179" t="s">
        <v>912</v>
      </c>
      <c r="D84" s="179" t="s">
        <v>825</v>
      </c>
      <c r="E84" s="32" t="s">
        <v>807</v>
      </c>
      <c r="F84" s="179"/>
      <c r="G84" s="179"/>
      <c r="H84" s="32" t="s">
        <v>18</v>
      </c>
    </row>
    <row r="85" spans="1:8" ht="40.5" x14ac:dyDescent="0.25">
      <c r="A85" s="32"/>
      <c r="B85" s="179"/>
      <c r="C85" s="179" t="s">
        <v>201</v>
      </c>
      <c r="D85" s="179" t="s">
        <v>825</v>
      </c>
      <c r="E85" s="32" t="s">
        <v>807</v>
      </c>
      <c r="F85" s="179"/>
      <c r="G85" s="179"/>
      <c r="H85" s="179" t="s">
        <v>915</v>
      </c>
    </row>
    <row r="86" spans="1:8" ht="20.25" x14ac:dyDescent="0.25">
      <c r="A86" s="32">
        <v>7</v>
      </c>
      <c r="B86" s="179" t="s">
        <v>91</v>
      </c>
      <c r="C86" s="179" t="s">
        <v>184</v>
      </c>
      <c r="D86" s="179" t="s">
        <v>825</v>
      </c>
      <c r="E86" s="32" t="s">
        <v>807</v>
      </c>
      <c r="F86" s="32" t="s">
        <v>18</v>
      </c>
      <c r="G86" s="32" t="s">
        <v>18</v>
      </c>
      <c r="H86" s="32" t="s">
        <v>18</v>
      </c>
    </row>
    <row r="87" spans="1:8" ht="20.25" x14ac:dyDescent="0.25">
      <c r="A87" s="32"/>
      <c r="B87" s="179"/>
      <c r="C87" s="179" t="s">
        <v>175</v>
      </c>
      <c r="D87" s="179" t="s">
        <v>990</v>
      </c>
      <c r="E87" s="32" t="s">
        <v>807</v>
      </c>
      <c r="F87" s="32" t="s">
        <v>18</v>
      </c>
      <c r="G87" s="32" t="s">
        <v>18</v>
      </c>
      <c r="H87" s="32" t="s">
        <v>18</v>
      </c>
    </row>
    <row r="88" spans="1:8" ht="20.25" x14ac:dyDescent="0.25">
      <c r="A88" s="32"/>
      <c r="B88" s="179"/>
      <c r="C88" s="179" t="s">
        <v>360</v>
      </c>
      <c r="D88" s="179" t="s">
        <v>825</v>
      </c>
      <c r="E88" s="32" t="s">
        <v>807</v>
      </c>
      <c r="F88" s="32" t="s">
        <v>18</v>
      </c>
      <c r="G88" s="32" t="s">
        <v>18</v>
      </c>
      <c r="H88" s="32" t="s">
        <v>18</v>
      </c>
    </row>
    <row r="89" spans="1:8" ht="40.5" x14ac:dyDescent="0.25">
      <c r="A89" s="32">
        <v>8</v>
      </c>
      <c r="B89" s="179" t="s">
        <v>165</v>
      </c>
      <c r="C89" s="179" t="s">
        <v>191</v>
      </c>
      <c r="D89" s="179" t="s">
        <v>825</v>
      </c>
      <c r="E89" s="32" t="s">
        <v>806</v>
      </c>
      <c r="F89" s="32" t="s">
        <v>807</v>
      </c>
      <c r="G89" s="32" t="s">
        <v>855</v>
      </c>
      <c r="H89" s="32" t="s">
        <v>18</v>
      </c>
    </row>
    <row r="90" spans="1:8" ht="182.25" x14ac:dyDescent="0.25">
      <c r="A90" s="32"/>
      <c r="B90" s="179"/>
      <c r="C90" s="179" t="s">
        <v>164</v>
      </c>
      <c r="D90" s="179" t="s">
        <v>852</v>
      </c>
      <c r="E90" s="32" t="s">
        <v>854</v>
      </c>
      <c r="F90" s="32" t="s">
        <v>807</v>
      </c>
      <c r="G90" s="32" t="s">
        <v>18</v>
      </c>
      <c r="H90" s="32" t="s">
        <v>853</v>
      </c>
    </row>
    <row r="91" spans="1:8" ht="20.25" x14ac:dyDescent="0.25">
      <c r="A91" s="32"/>
      <c r="B91" s="179"/>
      <c r="C91" s="179" t="s">
        <v>163</v>
      </c>
      <c r="D91" s="179" t="s">
        <v>852</v>
      </c>
      <c r="E91" s="32" t="s">
        <v>856</v>
      </c>
      <c r="F91" s="32" t="s">
        <v>826</v>
      </c>
      <c r="G91" s="179" t="s">
        <v>18</v>
      </c>
      <c r="H91" s="32" t="s">
        <v>18</v>
      </c>
    </row>
    <row r="92" spans="1:8" ht="40.5" x14ac:dyDescent="0.25">
      <c r="A92" s="32"/>
      <c r="B92" s="179"/>
      <c r="C92" s="179" t="s">
        <v>200</v>
      </c>
      <c r="D92" s="179" t="s">
        <v>825</v>
      </c>
      <c r="E92" s="32" t="s">
        <v>806</v>
      </c>
      <c r="F92" s="32" t="s">
        <v>807</v>
      </c>
      <c r="G92" s="179" t="s">
        <v>857</v>
      </c>
      <c r="H92" s="32" t="s">
        <v>18</v>
      </c>
    </row>
    <row r="93" spans="1:8" ht="20.25" x14ac:dyDescent="0.25">
      <c r="A93" s="32">
        <v>9</v>
      </c>
      <c r="B93" s="179" t="s">
        <v>46</v>
      </c>
      <c r="C93" s="179" t="s">
        <v>46</v>
      </c>
      <c r="D93" s="179" t="s">
        <v>825</v>
      </c>
      <c r="E93" s="32" t="s">
        <v>807</v>
      </c>
      <c r="F93" s="32" t="s">
        <v>18</v>
      </c>
      <c r="G93" s="179"/>
      <c r="H93" s="32" t="s">
        <v>18</v>
      </c>
    </row>
    <row r="94" spans="1:8" ht="20.25" x14ac:dyDescent="0.25">
      <c r="A94" s="32"/>
      <c r="B94" s="179"/>
      <c r="C94" s="179" t="s">
        <v>979</v>
      </c>
      <c r="D94" s="179" t="s">
        <v>825</v>
      </c>
      <c r="E94" s="32" t="s">
        <v>807</v>
      </c>
      <c r="F94" s="32" t="s">
        <v>18</v>
      </c>
      <c r="G94" s="179"/>
      <c r="H94" s="32" t="s">
        <v>18</v>
      </c>
    </row>
    <row r="95" spans="1:8" ht="20.25" x14ac:dyDescent="0.25">
      <c r="A95" s="32"/>
      <c r="B95" s="179"/>
      <c r="C95" s="179" t="s">
        <v>142</v>
      </c>
      <c r="D95" s="179" t="s">
        <v>825</v>
      </c>
      <c r="E95" s="32" t="s">
        <v>806</v>
      </c>
      <c r="F95" s="32" t="s">
        <v>807</v>
      </c>
      <c r="G95" s="179" t="s">
        <v>980</v>
      </c>
      <c r="H95" s="32" t="s">
        <v>18</v>
      </c>
    </row>
    <row r="96" spans="1:8" ht="20.25" x14ac:dyDescent="0.25">
      <c r="A96" s="32">
        <v>10</v>
      </c>
      <c r="B96" s="179" t="s">
        <v>20</v>
      </c>
      <c r="C96" s="179" t="s">
        <v>20</v>
      </c>
      <c r="D96" s="179" t="s">
        <v>825</v>
      </c>
      <c r="E96" s="32" t="s">
        <v>807</v>
      </c>
      <c r="F96" s="32" t="s">
        <v>18</v>
      </c>
      <c r="G96" s="179"/>
      <c r="H96" s="32" t="s">
        <v>18</v>
      </c>
    </row>
    <row r="97" spans="1:8" ht="40.5" x14ac:dyDescent="0.25">
      <c r="A97" s="32">
        <v>11</v>
      </c>
      <c r="B97" s="179" t="s">
        <v>25</v>
      </c>
      <c r="C97" s="179" t="s">
        <v>805</v>
      </c>
      <c r="D97" s="179" t="s">
        <v>803</v>
      </c>
      <c r="E97" s="32" t="s">
        <v>804</v>
      </c>
      <c r="F97" s="32" t="s">
        <v>18</v>
      </c>
      <c r="G97" s="32" t="s">
        <v>18</v>
      </c>
      <c r="H97" s="32" t="s">
        <v>18</v>
      </c>
    </row>
    <row r="98" spans="1:8" ht="202.5" x14ac:dyDescent="0.25">
      <c r="A98" s="32"/>
      <c r="B98" s="179"/>
      <c r="C98" s="179" t="s">
        <v>794</v>
      </c>
      <c r="D98" s="179" t="s">
        <v>803</v>
      </c>
      <c r="E98" s="32" t="s">
        <v>806</v>
      </c>
      <c r="F98" s="32" t="s">
        <v>807</v>
      </c>
      <c r="G98" s="179" t="s">
        <v>808</v>
      </c>
      <c r="H98" s="32" t="s">
        <v>18</v>
      </c>
    </row>
    <row r="99" spans="1:8" ht="40.5" x14ac:dyDescent="0.25">
      <c r="A99" s="32">
        <v>12</v>
      </c>
      <c r="B99" s="179" t="s">
        <v>468</v>
      </c>
      <c r="C99" s="179" t="s">
        <v>179</v>
      </c>
      <c r="D99" s="179" t="s">
        <v>825</v>
      </c>
      <c r="E99" s="32" t="s">
        <v>807</v>
      </c>
      <c r="F99" s="32" t="s">
        <v>18</v>
      </c>
      <c r="G99" s="32" t="s">
        <v>18</v>
      </c>
      <c r="H99" s="32" t="s">
        <v>18</v>
      </c>
    </row>
    <row r="100" spans="1:8" ht="40.5" x14ac:dyDescent="0.25">
      <c r="A100" s="32"/>
      <c r="B100" s="179"/>
      <c r="C100" s="179" t="s">
        <v>187</v>
      </c>
      <c r="D100" s="179" t="s">
        <v>18</v>
      </c>
      <c r="E100" s="32" t="s">
        <v>1025</v>
      </c>
      <c r="F100" s="32" t="s">
        <v>1026</v>
      </c>
      <c r="G100" s="179" t="s">
        <v>1028</v>
      </c>
      <c r="H100" s="179" t="s">
        <v>1029</v>
      </c>
    </row>
    <row r="101" spans="1:8" ht="20.25" x14ac:dyDescent="0.25">
      <c r="A101" s="32"/>
      <c r="B101" s="179"/>
      <c r="C101" s="179" t="s">
        <v>252</v>
      </c>
      <c r="D101" s="179" t="s">
        <v>825</v>
      </c>
      <c r="E101" s="32" t="s">
        <v>807</v>
      </c>
      <c r="F101" s="32" t="s">
        <v>18</v>
      </c>
      <c r="G101" s="32" t="s">
        <v>18</v>
      </c>
      <c r="H101" s="32" t="s">
        <v>18</v>
      </c>
    </row>
    <row r="102" spans="1:8" ht="40.5" x14ac:dyDescent="0.25">
      <c r="A102" s="32"/>
      <c r="B102" s="179"/>
      <c r="C102" s="179" t="s">
        <v>178</v>
      </c>
      <c r="D102" s="179" t="s">
        <v>18</v>
      </c>
      <c r="E102" s="32" t="s">
        <v>1025</v>
      </c>
      <c r="F102" s="32" t="s">
        <v>1026</v>
      </c>
      <c r="G102" s="179" t="s">
        <v>1028</v>
      </c>
      <c r="H102" s="32" t="s">
        <v>18</v>
      </c>
    </row>
    <row r="103" spans="1:8" ht="20.25" x14ac:dyDescent="0.25">
      <c r="A103" s="32"/>
      <c r="B103" s="179"/>
      <c r="C103" s="179" t="s">
        <v>188</v>
      </c>
      <c r="D103" s="179" t="s">
        <v>825</v>
      </c>
      <c r="E103" s="32" t="s">
        <v>807</v>
      </c>
      <c r="F103" s="32" t="s">
        <v>1025</v>
      </c>
      <c r="G103" s="32" t="s">
        <v>1025</v>
      </c>
      <c r="H103" s="32" t="s">
        <v>18</v>
      </c>
    </row>
    <row r="104" spans="1:8" ht="40.5" x14ac:dyDescent="0.25">
      <c r="A104" s="32"/>
      <c r="B104" s="179"/>
      <c r="C104" s="179" t="s">
        <v>58</v>
      </c>
      <c r="D104" s="179" t="s">
        <v>1027</v>
      </c>
      <c r="E104" s="32" t="s">
        <v>807</v>
      </c>
      <c r="F104" s="32" t="s">
        <v>1025</v>
      </c>
      <c r="G104" s="32" t="s">
        <v>1025</v>
      </c>
      <c r="H104" s="179" t="s">
        <v>1030</v>
      </c>
    </row>
    <row r="105" spans="1:8" ht="20.25" x14ac:dyDescent="0.25">
      <c r="A105" s="32"/>
      <c r="B105" s="179"/>
      <c r="C105" s="179"/>
      <c r="D105" s="179" t="s">
        <v>825</v>
      </c>
      <c r="E105" s="179"/>
      <c r="F105" s="32"/>
      <c r="G105" s="32"/>
      <c r="H105" s="179"/>
    </row>
    <row r="106" spans="1:8" ht="20.25" x14ac:dyDescent="0.25">
      <c r="A106" s="32"/>
      <c r="B106" s="179"/>
      <c r="C106" s="179" t="s">
        <v>177</v>
      </c>
      <c r="D106" s="179" t="s">
        <v>1027</v>
      </c>
      <c r="E106" s="32" t="s">
        <v>807</v>
      </c>
      <c r="F106" s="32" t="s">
        <v>1025</v>
      </c>
      <c r="G106" s="32" t="s">
        <v>1025</v>
      </c>
      <c r="H106" s="32" t="s">
        <v>18</v>
      </c>
    </row>
    <row r="107" spans="1:8" ht="20.25" x14ac:dyDescent="0.25">
      <c r="A107" s="32"/>
      <c r="B107" s="179"/>
      <c r="C107" s="179"/>
      <c r="D107" s="179" t="s">
        <v>825</v>
      </c>
      <c r="E107" s="179"/>
      <c r="F107" s="179"/>
      <c r="G107" s="179"/>
      <c r="H107" s="179"/>
    </row>
    <row r="108" spans="1:8" ht="60.75" x14ac:dyDescent="0.25">
      <c r="A108" s="32">
        <v>13</v>
      </c>
      <c r="B108" s="179" t="s">
        <v>167</v>
      </c>
      <c r="C108" s="179" t="s">
        <v>167</v>
      </c>
      <c r="D108" s="179" t="s">
        <v>824</v>
      </c>
      <c r="E108" s="32" t="s">
        <v>807</v>
      </c>
      <c r="F108" s="32" t="s">
        <v>826</v>
      </c>
      <c r="G108" s="179" t="s">
        <v>827</v>
      </c>
      <c r="H108" s="32" t="s">
        <v>18</v>
      </c>
    </row>
    <row r="109" spans="1:8" ht="60.75" x14ac:dyDescent="0.25">
      <c r="A109" s="32"/>
      <c r="B109" s="179"/>
      <c r="C109" s="179" t="s">
        <v>821</v>
      </c>
      <c r="D109" s="179" t="s">
        <v>825</v>
      </c>
      <c r="E109" s="32" t="s">
        <v>806</v>
      </c>
      <c r="F109" s="32" t="s">
        <v>807</v>
      </c>
      <c r="G109" s="179" t="s">
        <v>828</v>
      </c>
      <c r="H109" s="32" t="s">
        <v>18</v>
      </c>
    </row>
    <row r="110" spans="1:8" ht="60.75" x14ac:dyDescent="0.25">
      <c r="A110" s="32"/>
      <c r="B110" s="179"/>
      <c r="C110" s="179" t="s">
        <v>341</v>
      </c>
      <c r="D110" s="179" t="s">
        <v>825</v>
      </c>
      <c r="E110" s="32" t="s">
        <v>806</v>
      </c>
      <c r="F110" s="32" t="s">
        <v>807</v>
      </c>
      <c r="G110" s="179" t="s">
        <v>829</v>
      </c>
      <c r="H110" s="32" t="s">
        <v>18</v>
      </c>
    </row>
    <row r="111" spans="1:8" ht="81" x14ac:dyDescent="0.25">
      <c r="A111" s="32"/>
      <c r="B111" s="179"/>
      <c r="C111" s="179" t="s">
        <v>339</v>
      </c>
      <c r="D111" s="179" t="s">
        <v>825</v>
      </c>
      <c r="E111" s="32" t="s">
        <v>806</v>
      </c>
      <c r="F111" s="32" t="s">
        <v>807</v>
      </c>
      <c r="G111" s="179" t="s">
        <v>830</v>
      </c>
      <c r="H111" s="32" t="s">
        <v>18</v>
      </c>
    </row>
    <row r="112" spans="1:8" ht="60.75" x14ac:dyDescent="0.25">
      <c r="A112" s="32"/>
      <c r="B112" s="179"/>
      <c r="C112" s="179" t="s">
        <v>822</v>
      </c>
      <c r="D112" s="179" t="s">
        <v>825</v>
      </c>
      <c r="E112" s="32" t="s">
        <v>806</v>
      </c>
      <c r="F112" s="32" t="s">
        <v>807</v>
      </c>
      <c r="G112" s="179" t="s">
        <v>831</v>
      </c>
      <c r="H112" s="32" t="s">
        <v>18</v>
      </c>
    </row>
    <row r="113" spans="1:8" ht="81" x14ac:dyDescent="0.25">
      <c r="A113" s="32"/>
      <c r="B113" s="179"/>
      <c r="C113" s="179" t="s">
        <v>823</v>
      </c>
      <c r="D113" s="179" t="s">
        <v>825</v>
      </c>
      <c r="E113" s="32" t="s">
        <v>806</v>
      </c>
      <c r="F113" s="32" t="s">
        <v>807</v>
      </c>
      <c r="G113" s="179" t="s">
        <v>832</v>
      </c>
      <c r="H113" s="32" t="s">
        <v>18</v>
      </c>
    </row>
    <row r="114" spans="1:8" ht="20.25" x14ac:dyDescent="0.25">
      <c r="A114" s="16"/>
      <c r="B114" s="16"/>
      <c r="C114" s="16"/>
      <c r="D114" s="16"/>
      <c r="E114" s="17"/>
      <c r="F114" s="16"/>
      <c r="G114" s="16"/>
      <c r="H114" s="17"/>
    </row>
    <row r="115" spans="1:8" ht="20.25" x14ac:dyDescent="0.25">
      <c r="A115" s="16"/>
      <c r="B115" s="16"/>
      <c r="C115" s="16"/>
      <c r="D115" s="16"/>
      <c r="E115" s="17"/>
      <c r="F115" s="16"/>
      <c r="G115" s="16"/>
      <c r="H115" s="17"/>
    </row>
    <row r="117" spans="1:8" ht="20.25" customHeight="1" x14ac:dyDescent="0.25">
      <c r="A117" s="600" t="s">
        <v>1234</v>
      </c>
      <c r="B117" s="601"/>
      <c r="C117" s="601"/>
      <c r="D117" s="601"/>
      <c r="E117" s="601"/>
      <c r="F117" s="601"/>
      <c r="G117" s="601"/>
      <c r="H117" s="602"/>
    </row>
    <row r="118" spans="1:8" ht="60.75" x14ac:dyDescent="0.25">
      <c r="A118" s="179" t="s">
        <v>211</v>
      </c>
      <c r="B118" s="179" t="s">
        <v>217</v>
      </c>
      <c r="C118" s="179" t="s">
        <v>788</v>
      </c>
      <c r="D118" s="179" t="s">
        <v>802</v>
      </c>
      <c r="E118" s="179" t="s">
        <v>799</v>
      </c>
      <c r="F118" s="179" t="s">
        <v>800</v>
      </c>
      <c r="G118" s="179" t="s">
        <v>801</v>
      </c>
      <c r="H118" s="179" t="s">
        <v>216</v>
      </c>
    </row>
    <row r="119" spans="1:8" ht="40.5" x14ac:dyDescent="0.25">
      <c r="A119" s="32">
        <v>1</v>
      </c>
      <c r="B119" s="179" t="s">
        <v>186</v>
      </c>
      <c r="C119" s="179" t="s">
        <v>39</v>
      </c>
      <c r="D119" s="179" t="s">
        <v>825</v>
      </c>
      <c r="E119" s="32" t="s">
        <v>806</v>
      </c>
      <c r="F119" s="32" t="s">
        <v>807</v>
      </c>
      <c r="G119" s="179" t="s">
        <v>932</v>
      </c>
      <c r="H119" s="268"/>
    </row>
    <row r="120" spans="1:8" ht="20.25" x14ac:dyDescent="0.25">
      <c r="A120" s="32"/>
      <c r="B120" s="179"/>
      <c r="C120" s="179" t="s">
        <v>186</v>
      </c>
      <c r="D120" s="179" t="s">
        <v>942</v>
      </c>
      <c r="E120" s="32" t="s">
        <v>807</v>
      </c>
      <c r="F120" s="32" t="s">
        <v>18</v>
      </c>
      <c r="G120" s="32" t="s">
        <v>18</v>
      </c>
      <c r="H120" s="32" t="s">
        <v>18</v>
      </c>
    </row>
    <row r="121" spans="1:8" ht="20.25" x14ac:dyDescent="0.25">
      <c r="A121" s="32">
        <v>2</v>
      </c>
      <c r="B121" s="179" t="s">
        <v>257</v>
      </c>
      <c r="C121" s="179" t="s">
        <v>257</v>
      </c>
      <c r="D121" s="179" t="s">
        <v>825</v>
      </c>
      <c r="E121" s="32" t="s">
        <v>807</v>
      </c>
      <c r="F121" s="32" t="s">
        <v>18</v>
      </c>
      <c r="G121" s="32" t="s">
        <v>18</v>
      </c>
      <c r="H121" s="32" t="s">
        <v>18</v>
      </c>
    </row>
    <row r="122" spans="1:8" ht="20.25" x14ac:dyDescent="0.25">
      <c r="A122" s="32"/>
      <c r="B122" s="179"/>
      <c r="C122" s="179" t="s">
        <v>946</v>
      </c>
      <c r="D122" s="179" t="s">
        <v>825</v>
      </c>
      <c r="E122" s="32" t="s">
        <v>807</v>
      </c>
      <c r="F122" s="32" t="s">
        <v>18</v>
      </c>
      <c r="G122" s="32" t="s">
        <v>18</v>
      </c>
      <c r="H122" s="32" t="s">
        <v>18</v>
      </c>
    </row>
    <row r="123" spans="1:8" ht="20.25" x14ac:dyDescent="0.25">
      <c r="A123" s="32"/>
      <c r="B123" s="179"/>
      <c r="C123" s="179" t="s">
        <v>947</v>
      </c>
      <c r="D123" s="179" t="s">
        <v>825</v>
      </c>
      <c r="E123" s="32" t="s">
        <v>807</v>
      </c>
      <c r="F123" s="32" t="s">
        <v>18</v>
      </c>
      <c r="G123" s="32" t="s">
        <v>18</v>
      </c>
      <c r="H123" s="32" t="s">
        <v>18</v>
      </c>
    </row>
    <row r="124" spans="1:8" ht="40.5" x14ac:dyDescent="0.25">
      <c r="A124" s="32">
        <v>3</v>
      </c>
      <c r="B124" s="179" t="s">
        <v>83</v>
      </c>
      <c r="C124" s="179" t="s">
        <v>170</v>
      </c>
      <c r="D124" s="179" t="s">
        <v>954</v>
      </c>
      <c r="E124" s="32" t="s">
        <v>807</v>
      </c>
      <c r="F124" s="32" t="s">
        <v>18</v>
      </c>
      <c r="G124" s="179"/>
      <c r="H124" s="32" t="s">
        <v>18</v>
      </c>
    </row>
    <row r="125" spans="1:8" ht="40.5" x14ac:dyDescent="0.25">
      <c r="A125" s="32"/>
      <c r="B125" s="179"/>
      <c r="C125" s="179" t="s">
        <v>19</v>
      </c>
      <c r="D125" s="179" t="s">
        <v>954</v>
      </c>
      <c r="E125" s="32" t="s">
        <v>807</v>
      </c>
      <c r="F125" s="32" t="s">
        <v>18</v>
      </c>
      <c r="G125" s="179"/>
      <c r="H125" s="32" t="s">
        <v>18</v>
      </c>
    </row>
    <row r="126" spans="1:8" ht="20.25" x14ac:dyDescent="0.25">
      <c r="A126" s="32"/>
      <c r="B126" s="179"/>
      <c r="C126" s="179" t="s">
        <v>383</v>
      </c>
      <c r="D126" s="179"/>
      <c r="E126" s="32" t="s">
        <v>806</v>
      </c>
      <c r="F126" s="32" t="s">
        <v>18</v>
      </c>
      <c r="G126" s="179" t="s">
        <v>955</v>
      </c>
      <c r="H126" s="32" t="s">
        <v>18</v>
      </c>
    </row>
    <row r="127" spans="1:8" ht="40.5" x14ac:dyDescent="0.25">
      <c r="A127" s="32"/>
      <c r="B127" s="179"/>
      <c r="C127" s="179" t="s">
        <v>377</v>
      </c>
      <c r="D127" s="179"/>
      <c r="E127" s="32" t="s">
        <v>806</v>
      </c>
      <c r="F127" s="32" t="s">
        <v>18</v>
      </c>
      <c r="G127" s="179" t="s">
        <v>956</v>
      </c>
      <c r="H127" s="32" t="s">
        <v>957</v>
      </c>
    </row>
    <row r="128" spans="1:8" ht="121.5" x14ac:dyDescent="0.25">
      <c r="A128" s="32">
        <v>4</v>
      </c>
      <c r="B128" s="179" t="s">
        <v>89</v>
      </c>
      <c r="C128" s="179" t="s">
        <v>176</v>
      </c>
      <c r="D128" s="179" t="s">
        <v>899</v>
      </c>
      <c r="E128" s="32" t="s">
        <v>807</v>
      </c>
      <c r="F128" s="32" t="s">
        <v>18</v>
      </c>
      <c r="G128" s="32" t="s">
        <v>18</v>
      </c>
      <c r="H128" s="32" t="s">
        <v>900</v>
      </c>
    </row>
    <row r="129" spans="1:8" ht="20.25" x14ac:dyDescent="0.25">
      <c r="A129" s="32"/>
      <c r="B129" s="179"/>
      <c r="C129" s="179" t="s">
        <v>185</v>
      </c>
      <c r="D129" s="179" t="s">
        <v>899</v>
      </c>
      <c r="E129" s="32" t="s">
        <v>807</v>
      </c>
      <c r="F129" s="32" t="s">
        <v>18</v>
      </c>
      <c r="G129" s="32" t="s">
        <v>18</v>
      </c>
      <c r="H129" s="32" t="s">
        <v>901</v>
      </c>
    </row>
    <row r="130" spans="1:8" ht="20.25" x14ac:dyDescent="0.25">
      <c r="A130" s="32"/>
      <c r="B130" s="179"/>
      <c r="C130" s="179" t="s">
        <v>89</v>
      </c>
      <c r="D130" s="179" t="s">
        <v>881</v>
      </c>
      <c r="E130" s="32" t="s">
        <v>806</v>
      </c>
      <c r="F130" s="32" t="s">
        <v>807</v>
      </c>
      <c r="G130" s="32" t="s">
        <v>18</v>
      </c>
      <c r="H130" s="32" t="s">
        <v>902</v>
      </c>
    </row>
    <row r="131" spans="1:8" ht="20.25" x14ac:dyDescent="0.25">
      <c r="A131" s="32">
        <v>5</v>
      </c>
      <c r="B131" s="179" t="s">
        <v>127</v>
      </c>
      <c r="C131" s="179" t="s">
        <v>127</v>
      </c>
      <c r="D131" s="179" t="s">
        <v>825</v>
      </c>
      <c r="E131" s="32" t="s">
        <v>807</v>
      </c>
      <c r="F131" s="32" t="s">
        <v>18</v>
      </c>
      <c r="G131" s="32" t="s">
        <v>18</v>
      </c>
      <c r="H131" s="32" t="s">
        <v>18</v>
      </c>
    </row>
    <row r="132" spans="1:8" ht="20.25" x14ac:dyDescent="0.25">
      <c r="A132" s="32"/>
      <c r="B132" s="179"/>
      <c r="C132" s="179" t="s">
        <v>172</v>
      </c>
      <c r="D132" s="179" t="s">
        <v>825</v>
      </c>
      <c r="E132" s="32" t="s">
        <v>807</v>
      </c>
      <c r="F132" s="32" t="s">
        <v>18</v>
      </c>
      <c r="G132" s="32" t="s">
        <v>18</v>
      </c>
      <c r="H132" s="32" t="s">
        <v>18</v>
      </c>
    </row>
    <row r="133" spans="1:8" ht="20.25" x14ac:dyDescent="0.25">
      <c r="A133" s="32"/>
      <c r="B133" s="179"/>
      <c r="C133" s="179" t="s">
        <v>873</v>
      </c>
      <c r="D133" s="179" t="s">
        <v>825</v>
      </c>
      <c r="E133" s="32" t="s">
        <v>807</v>
      </c>
      <c r="F133" s="32" t="s">
        <v>18</v>
      </c>
      <c r="G133" s="32" t="s">
        <v>18</v>
      </c>
      <c r="H133" s="32" t="s">
        <v>1248</v>
      </c>
    </row>
    <row r="134" spans="1:8" ht="60.75" x14ac:dyDescent="0.25">
      <c r="A134" s="32"/>
      <c r="B134" s="179"/>
      <c r="C134" s="179" t="s">
        <v>250</v>
      </c>
      <c r="D134" s="179" t="s">
        <v>825</v>
      </c>
      <c r="E134" s="32" t="s">
        <v>807</v>
      </c>
      <c r="F134" s="32" t="s">
        <v>18</v>
      </c>
      <c r="G134" s="32" t="s">
        <v>18</v>
      </c>
      <c r="H134" s="32" t="s">
        <v>877</v>
      </c>
    </row>
    <row r="135" spans="1:8" ht="51.75" customHeight="1" x14ac:dyDescent="0.25">
      <c r="A135" s="32"/>
      <c r="B135" s="179"/>
      <c r="C135" s="179" t="s">
        <v>173</v>
      </c>
      <c r="D135" s="179" t="s">
        <v>825</v>
      </c>
      <c r="E135" s="32" t="s">
        <v>807</v>
      </c>
      <c r="F135" s="32" t="s">
        <v>18</v>
      </c>
      <c r="G135" s="32" t="s">
        <v>18</v>
      </c>
      <c r="H135" s="32" t="s">
        <v>1248</v>
      </c>
    </row>
    <row r="136" spans="1:8" ht="20.25" x14ac:dyDescent="0.25">
      <c r="A136" s="32"/>
      <c r="B136" s="179"/>
      <c r="C136" s="179" t="s">
        <v>202</v>
      </c>
      <c r="D136" s="179" t="s">
        <v>881</v>
      </c>
      <c r="E136" s="32" t="s">
        <v>806</v>
      </c>
      <c r="F136" s="32" t="s">
        <v>807</v>
      </c>
      <c r="G136" s="179"/>
      <c r="H136" s="32" t="s">
        <v>879</v>
      </c>
    </row>
    <row r="137" spans="1:8" ht="20.25" x14ac:dyDescent="0.25">
      <c r="A137" s="32"/>
      <c r="B137" s="179"/>
      <c r="C137" s="179" t="s">
        <v>141</v>
      </c>
      <c r="D137" s="179" t="s">
        <v>825</v>
      </c>
      <c r="E137" s="32" t="s">
        <v>807</v>
      </c>
      <c r="F137" s="32" t="s">
        <v>18</v>
      </c>
      <c r="G137" s="32" t="s">
        <v>18</v>
      </c>
      <c r="H137" s="32" t="s">
        <v>1248</v>
      </c>
    </row>
    <row r="138" spans="1:8" ht="121.5" x14ac:dyDescent="0.25">
      <c r="A138" s="32">
        <v>6</v>
      </c>
      <c r="B138" s="179" t="s">
        <v>467</v>
      </c>
      <c r="C138" s="179" t="s">
        <v>207</v>
      </c>
      <c r="D138" s="179" t="s">
        <v>825</v>
      </c>
      <c r="E138" s="32" t="s">
        <v>807</v>
      </c>
      <c r="F138" s="32"/>
      <c r="G138" s="32" t="s">
        <v>913</v>
      </c>
      <c r="H138" s="32" t="s">
        <v>18</v>
      </c>
    </row>
    <row r="139" spans="1:8" ht="20.25" x14ac:dyDescent="0.25">
      <c r="A139" s="32"/>
      <c r="B139" s="179"/>
      <c r="C139" s="179" t="s">
        <v>909</v>
      </c>
      <c r="D139" s="179" t="s">
        <v>825</v>
      </c>
      <c r="E139" s="32"/>
      <c r="F139" s="32"/>
      <c r="G139" s="179"/>
      <c r="H139" s="32" t="s">
        <v>18</v>
      </c>
    </row>
    <row r="140" spans="1:8" ht="40.5" x14ac:dyDescent="0.25">
      <c r="A140" s="32"/>
      <c r="B140" s="179"/>
      <c r="C140" s="179" t="s">
        <v>171</v>
      </c>
      <c r="D140" s="179" t="s">
        <v>825</v>
      </c>
      <c r="E140" s="32" t="s">
        <v>807</v>
      </c>
      <c r="F140" s="179"/>
      <c r="G140" s="179" t="s">
        <v>914</v>
      </c>
      <c r="H140" s="32" t="s">
        <v>18</v>
      </c>
    </row>
    <row r="141" spans="1:8" ht="40.5" x14ac:dyDescent="0.25">
      <c r="A141" s="32"/>
      <c r="B141" s="179"/>
      <c r="C141" s="179" t="s">
        <v>912</v>
      </c>
      <c r="D141" s="179" t="s">
        <v>825</v>
      </c>
      <c r="E141" s="32" t="s">
        <v>807</v>
      </c>
      <c r="F141" s="179"/>
      <c r="G141" s="179"/>
      <c r="H141" s="32" t="s">
        <v>18</v>
      </c>
    </row>
    <row r="142" spans="1:8" ht="40.5" x14ac:dyDescent="0.25">
      <c r="A142" s="32"/>
      <c r="B142" s="179"/>
      <c r="C142" s="179" t="s">
        <v>201</v>
      </c>
      <c r="D142" s="179" t="s">
        <v>825</v>
      </c>
      <c r="E142" s="32" t="s">
        <v>807</v>
      </c>
      <c r="F142" s="179"/>
      <c r="G142" s="179"/>
      <c r="H142" s="179" t="s">
        <v>915</v>
      </c>
    </row>
    <row r="143" spans="1:8" ht="20.25" x14ac:dyDescent="0.25">
      <c r="A143" s="32">
        <v>7</v>
      </c>
      <c r="B143" s="179" t="s">
        <v>91</v>
      </c>
      <c r="C143" s="179" t="s">
        <v>184</v>
      </c>
      <c r="D143" s="179" t="s">
        <v>825</v>
      </c>
      <c r="E143" s="32" t="s">
        <v>807</v>
      </c>
      <c r="F143" s="32" t="s">
        <v>18</v>
      </c>
      <c r="G143" s="32" t="s">
        <v>18</v>
      </c>
      <c r="H143" s="32" t="s">
        <v>18</v>
      </c>
    </row>
    <row r="144" spans="1:8" ht="20.25" x14ac:dyDescent="0.25">
      <c r="A144" s="32"/>
      <c r="B144" s="179"/>
      <c r="C144" s="179" t="s">
        <v>175</v>
      </c>
      <c r="D144" s="179" t="s">
        <v>990</v>
      </c>
      <c r="E144" s="32" t="s">
        <v>807</v>
      </c>
      <c r="F144" s="32" t="s">
        <v>18</v>
      </c>
      <c r="G144" s="32" t="s">
        <v>18</v>
      </c>
      <c r="H144" s="32" t="s">
        <v>18</v>
      </c>
    </row>
    <row r="145" spans="1:8" ht="20.25" x14ac:dyDescent="0.25">
      <c r="A145" s="32"/>
      <c r="B145" s="179"/>
      <c r="C145" s="179" t="s">
        <v>360</v>
      </c>
      <c r="D145" s="179" t="s">
        <v>825</v>
      </c>
      <c r="E145" s="32" t="s">
        <v>807</v>
      </c>
      <c r="F145" s="32" t="s">
        <v>18</v>
      </c>
      <c r="G145" s="32" t="s">
        <v>18</v>
      </c>
      <c r="H145" s="32" t="s">
        <v>18</v>
      </c>
    </row>
    <row r="146" spans="1:8" ht="40.5" x14ac:dyDescent="0.25">
      <c r="A146" s="32">
        <v>8</v>
      </c>
      <c r="B146" s="179" t="s">
        <v>165</v>
      </c>
      <c r="C146" s="179" t="s">
        <v>191</v>
      </c>
      <c r="D146" s="179" t="s">
        <v>825</v>
      </c>
      <c r="E146" s="32" t="s">
        <v>806</v>
      </c>
      <c r="F146" s="32" t="s">
        <v>807</v>
      </c>
      <c r="G146" s="32" t="s">
        <v>855</v>
      </c>
      <c r="H146" s="32" t="s">
        <v>18</v>
      </c>
    </row>
    <row r="147" spans="1:8" ht="182.25" x14ac:dyDescent="0.25">
      <c r="A147" s="32"/>
      <c r="B147" s="179"/>
      <c r="C147" s="179" t="s">
        <v>164</v>
      </c>
      <c r="D147" s="179" t="s">
        <v>852</v>
      </c>
      <c r="E147" s="32" t="s">
        <v>854</v>
      </c>
      <c r="F147" s="32" t="s">
        <v>807</v>
      </c>
      <c r="G147" s="32" t="s">
        <v>18</v>
      </c>
      <c r="H147" s="32" t="s">
        <v>853</v>
      </c>
    </row>
    <row r="148" spans="1:8" ht="20.25" x14ac:dyDescent="0.25">
      <c r="A148" s="32"/>
      <c r="B148" s="179"/>
      <c r="C148" s="179" t="s">
        <v>163</v>
      </c>
      <c r="D148" s="179" t="s">
        <v>852</v>
      </c>
      <c r="E148" s="32" t="s">
        <v>856</v>
      </c>
      <c r="F148" s="32" t="s">
        <v>826</v>
      </c>
      <c r="G148" s="179" t="s">
        <v>18</v>
      </c>
      <c r="H148" s="32" t="s">
        <v>18</v>
      </c>
    </row>
    <row r="149" spans="1:8" ht="40.5" x14ac:dyDescent="0.25">
      <c r="A149" s="32"/>
      <c r="B149" s="179"/>
      <c r="C149" s="179" t="s">
        <v>200</v>
      </c>
      <c r="D149" s="179" t="s">
        <v>825</v>
      </c>
      <c r="E149" s="32" t="s">
        <v>806</v>
      </c>
      <c r="F149" s="32" t="s">
        <v>807</v>
      </c>
      <c r="G149" s="179" t="s">
        <v>857</v>
      </c>
      <c r="H149" s="32" t="s">
        <v>18</v>
      </c>
    </row>
    <row r="150" spans="1:8" ht="20.25" x14ac:dyDescent="0.25">
      <c r="A150" s="32">
        <v>9</v>
      </c>
      <c r="B150" s="179" t="s">
        <v>46</v>
      </c>
      <c r="C150" s="179" t="s">
        <v>46</v>
      </c>
      <c r="D150" s="179" t="s">
        <v>825</v>
      </c>
      <c r="E150" s="32" t="s">
        <v>807</v>
      </c>
      <c r="F150" s="32" t="s">
        <v>18</v>
      </c>
      <c r="G150" s="179"/>
      <c r="H150" s="32" t="s">
        <v>18</v>
      </c>
    </row>
    <row r="151" spans="1:8" ht="20.25" x14ac:dyDescent="0.25">
      <c r="A151" s="32"/>
      <c r="B151" s="179"/>
      <c r="C151" s="179" t="s">
        <v>979</v>
      </c>
      <c r="D151" s="179" t="s">
        <v>825</v>
      </c>
      <c r="E151" s="32" t="s">
        <v>807</v>
      </c>
      <c r="F151" s="32" t="s">
        <v>18</v>
      </c>
      <c r="G151" s="179"/>
      <c r="H151" s="32" t="s">
        <v>18</v>
      </c>
    </row>
    <row r="152" spans="1:8" ht="20.25" x14ac:dyDescent="0.25">
      <c r="A152" s="32"/>
      <c r="B152" s="179"/>
      <c r="C152" s="179" t="s">
        <v>142</v>
      </c>
      <c r="D152" s="179" t="s">
        <v>825</v>
      </c>
      <c r="E152" s="32" t="s">
        <v>806</v>
      </c>
      <c r="F152" s="32" t="s">
        <v>807</v>
      </c>
      <c r="G152" s="179" t="s">
        <v>980</v>
      </c>
      <c r="H152" s="32" t="s">
        <v>18</v>
      </c>
    </row>
    <row r="153" spans="1:8" ht="20.25" x14ac:dyDescent="0.25">
      <c r="A153" s="32">
        <v>10</v>
      </c>
      <c r="B153" s="179" t="s">
        <v>20</v>
      </c>
      <c r="C153" s="179" t="s">
        <v>20</v>
      </c>
      <c r="D153" s="179" t="s">
        <v>825</v>
      </c>
      <c r="E153" s="32" t="s">
        <v>807</v>
      </c>
      <c r="F153" s="32" t="s">
        <v>18</v>
      </c>
      <c r="G153" s="179"/>
      <c r="H153" s="32" t="s">
        <v>18</v>
      </c>
    </row>
    <row r="154" spans="1:8" ht="40.5" x14ac:dyDescent="0.25">
      <c r="A154" s="32">
        <v>11</v>
      </c>
      <c r="B154" s="179" t="s">
        <v>25</v>
      </c>
      <c r="C154" s="179" t="s">
        <v>805</v>
      </c>
      <c r="D154" s="179" t="s">
        <v>803</v>
      </c>
      <c r="E154" s="32" t="s">
        <v>804</v>
      </c>
      <c r="F154" s="32" t="s">
        <v>18</v>
      </c>
      <c r="G154" s="32" t="s">
        <v>18</v>
      </c>
      <c r="H154" s="32" t="s">
        <v>18</v>
      </c>
    </row>
    <row r="155" spans="1:8" ht="202.5" x14ac:dyDescent="0.25">
      <c r="A155" s="32"/>
      <c r="B155" s="179"/>
      <c r="C155" s="179" t="s">
        <v>794</v>
      </c>
      <c r="D155" s="179" t="s">
        <v>803</v>
      </c>
      <c r="E155" s="32" t="s">
        <v>806</v>
      </c>
      <c r="F155" s="32" t="s">
        <v>807</v>
      </c>
      <c r="G155" s="179" t="s">
        <v>808</v>
      </c>
      <c r="H155" s="32" t="s">
        <v>18</v>
      </c>
    </row>
    <row r="156" spans="1:8" ht="40.5" x14ac:dyDescent="0.25">
      <c r="A156" s="32">
        <v>12</v>
      </c>
      <c r="B156" s="179" t="s">
        <v>468</v>
      </c>
      <c r="C156" s="179" t="s">
        <v>179</v>
      </c>
      <c r="D156" s="179" t="s">
        <v>825</v>
      </c>
      <c r="E156" s="32" t="s">
        <v>807</v>
      </c>
      <c r="F156" s="32" t="s">
        <v>18</v>
      </c>
      <c r="G156" s="32" t="s">
        <v>18</v>
      </c>
      <c r="H156" s="32" t="s">
        <v>18</v>
      </c>
    </row>
    <row r="157" spans="1:8" ht="40.5" x14ac:dyDescent="0.25">
      <c r="A157" s="32"/>
      <c r="B157" s="179"/>
      <c r="C157" s="179" t="s">
        <v>187</v>
      </c>
      <c r="D157" s="179" t="s">
        <v>18</v>
      </c>
      <c r="E157" s="32" t="s">
        <v>1025</v>
      </c>
      <c r="F157" s="32" t="s">
        <v>1026</v>
      </c>
      <c r="G157" s="179" t="s">
        <v>1028</v>
      </c>
      <c r="H157" s="179" t="s">
        <v>1029</v>
      </c>
    </row>
    <row r="158" spans="1:8" ht="20.25" x14ac:dyDescent="0.25">
      <c r="A158" s="32"/>
      <c r="B158" s="179"/>
      <c r="C158" s="179" t="s">
        <v>252</v>
      </c>
      <c r="D158" s="179" t="s">
        <v>825</v>
      </c>
      <c r="E158" s="32" t="s">
        <v>807</v>
      </c>
      <c r="F158" s="32" t="s">
        <v>18</v>
      </c>
      <c r="G158" s="32" t="s">
        <v>18</v>
      </c>
      <c r="H158" s="32" t="s">
        <v>18</v>
      </c>
    </row>
    <row r="159" spans="1:8" ht="40.5" x14ac:dyDescent="0.25">
      <c r="A159" s="32"/>
      <c r="B159" s="179"/>
      <c r="C159" s="179" t="s">
        <v>178</v>
      </c>
      <c r="D159" s="179" t="s">
        <v>18</v>
      </c>
      <c r="E159" s="32" t="s">
        <v>1025</v>
      </c>
      <c r="F159" s="32" t="s">
        <v>1026</v>
      </c>
      <c r="G159" s="179" t="s">
        <v>1028</v>
      </c>
      <c r="H159" s="32" t="s">
        <v>18</v>
      </c>
    </row>
    <row r="160" spans="1:8" ht="20.25" x14ac:dyDescent="0.25">
      <c r="A160" s="32"/>
      <c r="B160" s="179"/>
      <c r="C160" s="179" t="s">
        <v>188</v>
      </c>
      <c r="D160" s="179" t="s">
        <v>825</v>
      </c>
      <c r="E160" s="32" t="s">
        <v>807</v>
      </c>
      <c r="F160" s="32" t="s">
        <v>1025</v>
      </c>
      <c r="G160" s="32" t="s">
        <v>1025</v>
      </c>
      <c r="H160" s="32" t="s">
        <v>18</v>
      </c>
    </row>
    <row r="161" spans="1:8" ht="40.5" x14ac:dyDescent="0.25">
      <c r="A161" s="32"/>
      <c r="B161" s="179"/>
      <c r="C161" s="179" t="s">
        <v>58</v>
      </c>
      <c r="D161" s="179" t="s">
        <v>1027</v>
      </c>
      <c r="E161" s="32" t="s">
        <v>807</v>
      </c>
      <c r="F161" s="32" t="s">
        <v>1025</v>
      </c>
      <c r="G161" s="32" t="s">
        <v>1025</v>
      </c>
      <c r="H161" s="179" t="s">
        <v>1030</v>
      </c>
    </row>
    <row r="162" spans="1:8" ht="20.25" x14ac:dyDescent="0.25">
      <c r="A162" s="32"/>
      <c r="B162" s="179"/>
      <c r="C162" s="179"/>
      <c r="D162" s="179" t="s">
        <v>825</v>
      </c>
      <c r="E162" s="179"/>
      <c r="F162" s="32"/>
      <c r="G162" s="32"/>
      <c r="H162" s="179"/>
    </row>
    <row r="163" spans="1:8" ht="20.25" x14ac:dyDescent="0.25">
      <c r="A163" s="32"/>
      <c r="B163" s="179"/>
      <c r="C163" s="179" t="s">
        <v>177</v>
      </c>
      <c r="D163" s="179" t="s">
        <v>1027</v>
      </c>
      <c r="E163" s="32" t="s">
        <v>807</v>
      </c>
      <c r="F163" s="32" t="s">
        <v>1025</v>
      </c>
      <c r="G163" s="32" t="s">
        <v>1025</v>
      </c>
      <c r="H163" s="32" t="s">
        <v>18</v>
      </c>
    </row>
    <row r="164" spans="1:8" ht="20.25" x14ac:dyDescent="0.25">
      <c r="A164" s="32"/>
      <c r="B164" s="179"/>
      <c r="C164" s="179"/>
      <c r="D164" s="179" t="s">
        <v>825</v>
      </c>
      <c r="E164" s="179"/>
      <c r="F164" s="179"/>
      <c r="G164" s="179"/>
      <c r="H164" s="179"/>
    </row>
    <row r="165" spans="1:8" ht="60.75" x14ac:dyDescent="0.25">
      <c r="A165" s="32">
        <v>13</v>
      </c>
      <c r="B165" s="179" t="s">
        <v>167</v>
      </c>
      <c r="C165" s="179" t="s">
        <v>167</v>
      </c>
      <c r="D165" s="179" t="s">
        <v>824</v>
      </c>
      <c r="E165" s="32" t="s">
        <v>807</v>
      </c>
      <c r="F165" s="32" t="s">
        <v>826</v>
      </c>
      <c r="G165" s="179" t="s">
        <v>827</v>
      </c>
      <c r="H165" s="32" t="s">
        <v>18</v>
      </c>
    </row>
    <row r="166" spans="1:8" ht="60.75" x14ac:dyDescent="0.25">
      <c r="A166" s="32"/>
      <c r="B166" s="179"/>
      <c r="C166" s="179" t="s">
        <v>821</v>
      </c>
      <c r="D166" s="179" t="s">
        <v>825</v>
      </c>
      <c r="E166" s="32" t="s">
        <v>806</v>
      </c>
      <c r="F166" s="32" t="s">
        <v>807</v>
      </c>
      <c r="G166" s="179" t="s">
        <v>828</v>
      </c>
      <c r="H166" s="32" t="s">
        <v>18</v>
      </c>
    </row>
    <row r="167" spans="1:8" ht="60.75" x14ac:dyDescent="0.25">
      <c r="A167" s="32"/>
      <c r="B167" s="179"/>
      <c r="C167" s="179" t="s">
        <v>341</v>
      </c>
      <c r="D167" s="179" t="s">
        <v>825</v>
      </c>
      <c r="E167" s="32" t="s">
        <v>806</v>
      </c>
      <c r="F167" s="32" t="s">
        <v>807</v>
      </c>
      <c r="G167" s="179" t="s">
        <v>829</v>
      </c>
      <c r="H167" s="32" t="s">
        <v>18</v>
      </c>
    </row>
    <row r="168" spans="1:8" ht="81" x14ac:dyDescent="0.25">
      <c r="A168" s="32"/>
      <c r="B168" s="179"/>
      <c r="C168" s="179" t="s">
        <v>339</v>
      </c>
      <c r="D168" s="179" t="s">
        <v>825</v>
      </c>
      <c r="E168" s="32" t="s">
        <v>806</v>
      </c>
      <c r="F168" s="32" t="s">
        <v>807</v>
      </c>
      <c r="G168" s="179" t="s">
        <v>830</v>
      </c>
      <c r="H168" s="32" t="s">
        <v>18</v>
      </c>
    </row>
    <row r="169" spans="1:8" ht="60.75" x14ac:dyDescent="0.25">
      <c r="A169" s="32"/>
      <c r="B169" s="179"/>
      <c r="C169" s="179" t="s">
        <v>822</v>
      </c>
      <c r="D169" s="179" t="s">
        <v>825</v>
      </c>
      <c r="E169" s="32" t="s">
        <v>806</v>
      </c>
      <c r="F169" s="32" t="s">
        <v>807</v>
      </c>
      <c r="G169" s="179" t="s">
        <v>831</v>
      </c>
      <c r="H169" s="32" t="s">
        <v>18</v>
      </c>
    </row>
    <row r="170" spans="1:8" ht="81" x14ac:dyDescent="0.25">
      <c r="A170" s="32"/>
      <c r="B170" s="179"/>
      <c r="C170" s="179" t="s">
        <v>823</v>
      </c>
      <c r="D170" s="179" t="s">
        <v>825</v>
      </c>
      <c r="E170" s="32" t="s">
        <v>806</v>
      </c>
      <c r="F170" s="32" t="s">
        <v>807</v>
      </c>
      <c r="G170" s="179" t="s">
        <v>832</v>
      </c>
      <c r="H170" s="32" t="s">
        <v>18</v>
      </c>
    </row>
    <row r="171" spans="1:8" ht="20.25" x14ac:dyDescent="0.25">
      <c r="A171" s="16"/>
      <c r="B171" s="16"/>
      <c r="C171" s="16"/>
      <c r="D171" s="16"/>
      <c r="E171" s="17"/>
      <c r="F171" s="16"/>
      <c r="G171" s="16"/>
      <c r="H171" s="17"/>
    </row>
    <row r="172" spans="1:8" ht="20.25" x14ac:dyDescent="0.25">
      <c r="A172" s="16"/>
      <c r="B172" s="16"/>
      <c r="C172" s="16"/>
      <c r="D172" s="16"/>
      <c r="E172" s="17"/>
      <c r="F172" s="16"/>
      <c r="G172" s="16"/>
      <c r="H172" s="17"/>
    </row>
    <row r="173" spans="1:8" ht="20.25" customHeight="1" x14ac:dyDescent="0.25">
      <c r="A173" s="600" t="s">
        <v>1074</v>
      </c>
      <c r="B173" s="601"/>
      <c r="C173" s="601"/>
      <c r="D173" s="601"/>
      <c r="E173" s="601"/>
      <c r="F173" s="601"/>
      <c r="G173" s="601"/>
      <c r="H173" s="602"/>
    </row>
    <row r="174" spans="1:8" ht="60.75" x14ac:dyDescent="0.25">
      <c r="A174" s="179" t="s">
        <v>211</v>
      </c>
      <c r="B174" s="179" t="s">
        <v>217</v>
      </c>
      <c r="C174" s="179" t="s">
        <v>788</v>
      </c>
      <c r="D174" s="179" t="s">
        <v>802</v>
      </c>
      <c r="E174" s="179" t="s">
        <v>799</v>
      </c>
      <c r="F174" s="179" t="s">
        <v>800</v>
      </c>
      <c r="G174" s="179" t="s">
        <v>801</v>
      </c>
      <c r="H174" s="179" t="s">
        <v>216</v>
      </c>
    </row>
    <row r="175" spans="1:8" ht="40.5" x14ac:dyDescent="0.25">
      <c r="A175" s="32">
        <v>1</v>
      </c>
      <c r="B175" s="179" t="s">
        <v>186</v>
      </c>
      <c r="C175" s="179" t="s">
        <v>39</v>
      </c>
      <c r="D175" s="179" t="s">
        <v>825</v>
      </c>
      <c r="E175" s="32" t="s">
        <v>806</v>
      </c>
      <c r="F175" s="32" t="s">
        <v>807</v>
      </c>
      <c r="G175" s="179" t="s">
        <v>932</v>
      </c>
      <c r="H175" s="268"/>
    </row>
    <row r="176" spans="1:8" ht="20.25" x14ac:dyDescent="0.25">
      <c r="A176" s="32"/>
      <c r="B176" s="179"/>
      <c r="C176" s="179" t="s">
        <v>186</v>
      </c>
      <c r="D176" s="179" t="s">
        <v>942</v>
      </c>
      <c r="E176" s="32" t="s">
        <v>807</v>
      </c>
      <c r="F176" s="32" t="s">
        <v>18</v>
      </c>
      <c r="G176" s="32" t="s">
        <v>18</v>
      </c>
      <c r="H176" s="32" t="s">
        <v>18</v>
      </c>
    </row>
    <row r="177" spans="1:8" ht="20.25" x14ac:dyDescent="0.25">
      <c r="A177" s="32">
        <v>2</v>
      </c>
      <c r="B177" s="179" t="s">
        <v>257</v>
      </c>
      <c r="C177" s="179" t="s">
        <v>257</v>
      </c>
      <c r="D177" s="179" t="s">
        <v>825</v>
      </c>
      <c r="E177" s="32" t="s">
        <v>807</v>
      </c>
      <c r="F177" s="32" t="s">
        <v>18</v>
      </c>
      <c r="G177" s="32" t="s">
        <v>18</v>
      </c>
      <c r="H177" s="32" t="s">
        <v>18</v>
      </c>
    </row>
    <row r="178" spans="1:8" ht="20.25" x14ac:dyDescent="0.25">
      <c r="A178" s="32"/>
      <c r="B178" s="179"/>
      <c r="C178" s="179" t="s">
        <v>946</v>
      </c>
      <c r="D178" s="179" t="s">
        <v>825</v>
      </c>
      <c r="E178" s="32" t="s">
        <v>807</v>
      </c>
      <c r="F178" s="32" t="s">
        <v>18</v>
      </c>
      <c r="G178" s="32" t="s">
        <v>18</v>
      </c>
      <c r="H178" s="32" t="s">
        <v>18</v>
      </c>
    </row>
    <row r="179" spans="1:8" ht="20.25" x14ac:dyDescent="0.25">
      <c r="A179" s="32"/>
      <c r="B179" s="179"/>
      <c r="C179" s="179" t="s">
        <v>947</v>
      </c>
      <c r="D179" s="179" t="s">
        <v>825</v>
      </c>
      <c r="E179" s="32" t="s">
        <v>807</v>
      </c>
      <c r="F179" s="32" t="s">
        <v>18</v>
      </c>
      <c r="G179" s="32" t="s">
        <v>18</v>
      </c>
      <c r="H179" s="32" t="s">
        <v>18</v>
      </c>
    </row>
    <row r="180" spans="1:8" ht="40.5" x14ac:dyDescent="0.25">
      <c r="A180" s="32">
        <v>3</v>
      </c>
      <c r="B180" s="179" t="s">
        <v>83</v>
      </c>
      <c r="C180" s="179" t="s">
        <v>170</v>
      </c>
      <c r="D180" s="179" t="s">
        <v>954</v>
      </c>
      <c r="E180" s="32" t="s">
        <v>807</v>
      </c>
      <c r="F180" s="32" t="s">
        <v>18</v>
      </c>
      <c r="G180" s="179"/>
      <c r="H180" s="32" t="s">
        <v>18</v>
      </c>
    </row>
    <row r="181" spans="1:8" ht="40.5" x14ac:dyDescent="0.25">
      <c r="A181" s="32"/>
      <c r="B181" s="179"/>
      <c r="C181" s="179" t="s">
        <v>19</v>
      </c>
      <c r="D181" s="179" t="s">
        <v>954</v>
      </c>
      <c r="E181" s="32" t="s">
        <v>807</v>
      </c>
      <c r="F181" s="32" t="s">
        <v>18</v>
      </c>
      <c r="G181" s="179"/>
      <c r="H181" s="32" t="s">
        <v>18</v>
      </c>
    </row>
    <row r="182" spans="1:8" ht="20.25" x14ac:dyDescent="0.25">
      <c r="A182" s="32"/>
      <c r="B182" s="179"/>
      <c r="C182" s="179" t="s">
        <v>383</v>
      </c>
      <c r="D182" s="179"/>
      <c r="E182" s="32" t="s">
        <v>806</v>
      </c>
      <c r="F182" s="32" t="s">
        <v>18</v>
      </c>
      <c r="G182" s="179" t="s">
        <v>955</v>
      </c>
      <c r="H182" s="32" t="s">
        <v>18</v>
      </c>
    </row>
    <row r="183" spans="1:8" ht="40.5" x14ac:dyDescent="0.25">
      <c r="A183" s="32"/>
      <c r="B183" s="179"/>
      <c r="C183" s="179" t="s">
        <v>377</v>
      </c>
      <c r="D183" s="179"/>
      <c r="E183" s="32" t="s">
        <v>806</v>
      </c>
      <c r="F183" s="32" t="s">
        <v>18</v>
      </c>
      <c r="G183" s="179" t="s">
        <v>956</v>
      </c>
      <c r="H183" s="32" t="s">
        <v>957</v>
      </c>
    </row>
    <row r="184" spans="1:8" ht="121.5" x14ac:dyDescent="0.25">
      <c r="A184" s="32">
        <v>4</v>
      </c>
      <c r="B184" s="179" t="s">
        <v>89</v>
      </c>
      <c r="C184" s="179" t="s">
        <v>176</v>
      </c>
      <c r="D184" s="179" t="s">
        <v>899</v>
      </c>
      <c r="E184" s="32" t="s">
        <v>807</v>
      </c>
      <c r="F184" s="32" t="s">
        <v>18</v>
      </c>
      <c r="G184" s="32" t="s">
        <v>18</v>
      </c>
      <c r="H184" s="32" t="s">
        <v>900</v>
      </c>
    </row>
    <row r="185" spans="1:8" ht="20.25" x14ac:dyDescent="0.25">
      <c r="A185" s="32"/>
      <c r="B185" s="179"/>
      <c r="C185" s="179" t="s">
        <v>185</v>
      </c>
      <c r="D185" s="179" t="s">
        <v>899</v>
      </c>
      <c r="E185" s="32" t="s">
        <v>807</v>
      </c>
      <c r="F185" s="32" t="s">
        <v>18</v>
      </c>
      <c r="G185" s="32" t="s">
        <v>18</v>
      </c>
      <c r="H185" s="32" t="s">
        <v>901</v>
      </c>
    </row>
    <row r="186" spans="1:8" ht="20.25" x14ac:dyDescent="0.25">
      <c r="A186" s="32"/>
      <c r="B186" s="179"/>
      <c r="C186" s="179" t="s">
        <v>89</v>
      </c>
      <c r="D186" s="179" t="s">
        <v>881</v>
      </c>
      <c r="E186" s="32" t="s">
        <v>806</v>
      </c>
      <c r="F186" s="32" t="s">
        <v>807</v>
      </c>
      <c r="G186" s="32" t="s">
        <v>18</v>
      </c>
      <c r="H186" s="32" t="s">
        <v>902</v>
      </c>
    </row>
    <row r="187" spans="1:8" ht="20.25" x14ac:dyDescent="0.25">
      <c r="A187" s="32">
        <v>5</v>
      </c>
      <c r="B187" s="179" t="s">
        <v>127</v>
      </c>
      <c r="C187" s="179" t="s">
        <v>127</v>
      </c>
      <c r="D187" s="179" t="s">
        <v>825</v>
      </c>
      <c r="E187" s="32" t="s">
        <v>807</v>
      </c>
      <c r="F187" s="32" t="s">
        <v>18</v>
      </c>
      <c r="G187" s="32" t="s">
        <v>18</v>
      </c>
      <c r="H187" s="32" t="s">
        <v>18</v>
      </c>
    </row>
    <row r="188" spans="1:8" ht="20.25" x14ac:dyDescent="0.25">
      <c r="A188" s="32"/>
      <c r="B188" s="179"/>
      <c r="C188" s="179" t="s">
        <v>172</v>
      </c>
      <c r="D188" s="179" t="s">
        <v>825</v>
      </c>
      <c r="E188" s="32" t="s">
        <v>807</v>
      </c>
      <c r="F188" s="32" t="s">
        <v>18</v>
      </c>
      <c r="G188" s="32" t="s">
        <v>18</v>
      </c>
      <c r="H188" s="32" t="s">
        <v>18</v>
      </c>
    </row>
    <row r="189" spans="1:8" ht="20.25" x14ac:dyDescent="0.25">
      <c r="A189" s="32"/>
      <c r="B189" s="179"/>
      <c r="C189" s="179" t="s">
        <v>873</v>
      </c>
      <c r="D189" s="179" t="s">
        <v>825</v>
      </c>
      <c r="E189" s="32" t="s">
        <v>807</v>
      </c>
      <c r="F189" s="32" t="s">
        <v>18</v>
      </c>
      <c r="G189" s="32" t="s">
        <v>18</v>
      </c>
      <c r="H189" s="32" t="s">
        <v>874</v>
      </c>
    </row>
    <row r="190" spans="1:8" ht="60.75" x14ac:dyDescent="0.25">
      <c r="A190" s="32"/>
      <c r="B190" s="179"/>
      <c r="C190" s="179" t="s">
        <v>250</v>
      </c>
      <c r="D190" s="179" t="s">
        <v>825</v>
      </c>
      <c r="E190" s="32" t="s">
        <v>807</v>
      </c>
      <c r="F190" s="32" t="s">
        <v>18</v>
      </c>
      <c r="G190" s="32" t="s">
        <v>18</v>
      </c>
      <c r="H190" s="32" t="s">
        <v>877</v>
      </c>
    </row>
    <row r="191" spans="1:8" ht="20.25" x14ac:dyDescent="0.25">
      <c r="A191" s="32"/>
      <c r="B191" s="179"/>
      <c r="C191" s="179" t="s">
        <v>173</v>
      </c>
      <c r="D191" s="179" t="s">
        <v>825</v>
      </c>
      <c r="E191" s="32" t="s">
        <v>807</v>
      </c>
      <c r="F191" s="32" t="s">
        <v>18</v>
      </c>
      <c r="G191" s="32" t="s">
        <v>18</v>
      </c>
      <c r="H191" s="32" t="s">
        <v>880</v>
      </c>
    </row>
    <row r="192" spans="1:8" ht="20.25" x14ac:dyDescent="0.25">
      <c r="A192" s="32"/>
      <c r="B192" s="179"/>
      <c r="C192" s="179" t="s">
        <v>202</v>
      </c>
      <c r="D192" s="179" t="s">
        <v>881</v>
      </c>
      <c r="E192" s="32" t="s">
        <v>806</v>
      </c>
      <c r="F192" s="32" t="s">
        <v>807</v>
      </c>
      <c r="G192" s="179"/>
      <c r="H192" s="32" t="s">
        <v>879</v>
      </c>
    </row>
    <row r="193" spans="1:8" ht="20.25" x14ac:dyDescent="0.25">
      <c r="A193" s="32"/>
      <c r="B193" s="179"/>
      <c r="C193" s="179" t="s">
        <v>141</v>
      </c>
      <c r="D193" s="179" t="s">
        <v>825</v>
      </c>
      <c r="E193" s="32" t="s">
        <v>807</v>
      </c>
      <c r="F193" s="32" t="s">
        <v>18</v>
      </c>
      <c r="G193" s="32" t="s">
        <v>18</v>
      </c>
      <c r="H193" s="32" t="s">
        <v>18</v>
      </c>
    </row>
    <row r="194" spans="1:8" ht="121.5" x14ac:dyDescent="0.25">
      <c r="A194" s="32">
        <v>6</v>
      </c>
      <c r="B194" s="179" t="s">
        <v>467</v>
      </c>
      <c r="C194" s="179" t="s">
        <v>207</v>
      </c>
      <c r="D194" s="179" t="s">
        <v>825</v>
      </c>
      <c r="E194" s="32" t="s">
        <v>807</v>
      </c>
      <c r="F194" s="32"/>
      <c r="G194" s="32" t="s">
        <v>913</v>
      </c>
      <c r="H194" s="32" t="s">
        <v>18</v>
      </c>
    </row>
    <row r="195" spans="1:8" ht="20.25" x14ac:dyDescent="0.25">
      <c r="A195" s="32"/>
      <c r="B195" s="179"/>
      <c r="C195" s="179" t="s">
        <v>909</v>
      </c>
      <c r="D195" s="179" t="s">
        <v>825</v>
      </c>
      <c r="E195" s="32"/>
      <c r="F195" s="32"/>
      <c r="G195" s="179"/>
      <c r="H195" s="32" t="s">
        <v>18</v>
      </c>
    </row>
    <row r="196" spans="1:8" ht="40.5" x14ac:dyDescent="0.25">
      <c r="A196" s="32"/>
      <c r="B196" s="179"/>
      <c r="C196" s="179" t="s">
        <v>171</v>
      </c>
      <c r="D196" s="179" t="s">
        <v>825</v>
      </c>
      <c r="E196" s="32" t="s">
        <v>807</v>
      </c>
      <c r="F196" s="179"/>
      <c r="G196" s="179" t="s">
        <v>914</v>
      </c>
      <c r="H196" s="32" t="s">
        <v>18</v>
      </c>
    </row>
    <row r="197" spans="1:8" ht="40.5" x14ac:dyDescent="0.25">
      <c r="A197" s="32"/>
      <c r="B197" s="179"/>
      <c r="C197" s="179" t="s">
        <v>912</v>
      </c>
      <c r="D197" s="179" t="s">
        <v>825</v>
      </c>
      <c r="E197" s="32" t="s">
        <v>807</v>
      </c>
      <c r="F197" s="179"/>
      <c r="G197" s="179"/>
      <c r="H197" s="32" t="s">
        <v>18</v>
      </c>
    </row>
    <row r="198" spans="1:8" ht="40.5" x14ac:dyDescent="0.25">
      <c r="A198" s="32"/>
      <c r="B198" s="179"/>
      <c r="C198" s="179" t="s">
        <v>201</v>
      </c>
      <c r="D198" s="179" t="s">
        <v>825</v>
      </c>
      <c r="E198" s="32" t="s">
        <v>807</v>
      </c>
      <c r="F198" s="179"/>
      <c r="G198" s="179"/>
      <c r="H198" s="179" t="s">
        <v>915</v>
      </c>
    </row>
    <row r="199" spans="1:8" ht="20.25" x14ac:dyDescent="0.25">
      <c r="A199" s="32">
        <v>7</v>
      </c>
      <c r="B199" s="179" t="s">
        <v>91</v>
      </c>
      <c r="C199" s="179" t="s">
        <v>184</v>
      </c>
      <c r="D199" s="179" t="s">
        <v>825</v>
      </c>
      <c r="E199" s="32" t="s">
        <v>807</v>
      </c>
      <c r="F199" s="32" t="s">
        <v>18</v>
      </c>
      <c r="G199" s="32" t="s">
        <v>18</v>
      </c>
      <c r="H199" s="32" t="s">
        <v>18</v>
      </c>
    </row>
    <row r="200" spans="1:8" ht="20.25" x14ac:dyDescent="0.25">
      <c r="A200" s="32"/>
      <c r="B200" s="179"/>
      <c r="C200" s="179" t="s">
        <v>175</v>
      </c>
      <c r="D200" s="179" t="s">
        <v>990</v>
      </c>
      <c r="E200" s="32" t="s">
        <v>807</v>
      </c>
      <c r="F200" s="32" t="s">
        <v>18</v>
      </c>
      <c r="G200" s="32" t="s">
        <v>18</v>
      </c>
      <c r="H200" s="32" t="s">
        <v>18</v>
      </c>
    </row>
    <row r="201" spans="1:8" ht="20.25" x14ac:dyDescent="0.25">
      <c r="A201" s="32"/>
      <c r="B201" s="179"/>
      <c r="C201" s="179" t="s">
        <v>360</v>
      </c>
      <c r="D201" s="179" t="s">
        <v>825</v>
      </c>
      <c r="E201" s="32" t="s">
        <v>807</v>
      </c>
      <c r="F201" s="32" t="s">
        <v>18</v>
      </c>
      <c r="G201" s="32" t="s">
        <v>18</v>
      </c>
      <c r="H201" s="32" t="s">
        <v>18</v>
      </c>
    </row>
    <row r="202" spans="1:8" ht="40.5" x14ac:dyDescent="0.25">
      <c r="A202" s="32">
        <v>8</v>
      </c>
      <c r="B202" s="179" t="s">
        <v>165</v>
      </c>
      <c r="C202" s="179" t="s">
        <v>191</v>
      </c>
      <c r="D202" s="179" t="s">
        <v>825</v>
      </c>
      <c r="E202" s="32" t="s">
        <v>806</v>
      </c>
      <c r="F202" s="32" t="s">
        <v>807</v>
      </c>
      <c r="G202" s="32" t="s">
        <v>855</v>
      </c>
      <c r="H202" s="32" t="s">
        <v>18</v>
      </c>
    </row>
    <row r="203" spans="1:8" ht="182.25" x14ac:dyDescent="0.25">
      <c r="A203" s="32"/>
      <c r="B203" s="179"/>
      <c r="C203" s="179" t="s">
        <v>164</v>
      </c>
      <c r="D203" s="179" t="s">
        <v>852</v>
      </c>
      <c r="E203" s="32" t="s">
        <v>854</v>
      </c>
      <c r="F203" s="32" t="s">
        <v>807</v>
      </c>
      <c r="G203" s="32" t="s">
        <v>18</v>
      </c>
      <c r="H203" s="32" t="s">
        <v>853</v>
      </c>
    </row>
    <row r="204" spans="1:8" ht="20.25" x14ac:dyDescent="0.25">
      <c r="A204" s="32"/>
      <c r="B204" s="179"/>
      <c r="C204" s="179" t="s">
        <v>163</v>
      </c>
      <c r="D204" s="179" t="s">
        <v>852</v>
      </c>
      <c r="E204" s="32" t="s">
        <v>856</v>
      </c>
      <c r="F204" s="32" t="s">
        <v>826</v>
      </c>
      <c r="G204" s="179" t="s">
        <v>18</v>
      </c>
      <c r="H204" s="32" t="s">
        <v>18</v>
      </c>
    </row>
    <row r="205" spans="1:8" ht="40.5" x14ac:dyDescent="0.25">
      <c r="A205" s="32"/>
      <c r="B205" s="179"/>
      <c r="C205" s="179" t="s">
        <v>200</v>
      </c>
      <c r="D205" s="179" t="s">
        <v>825</v>
      </c>
      <c r="E205" s="32" t="s">
        <v>806</v>
      </c>
      <c r="F205" s="32" t="s">
        <v>807</v>
      </c>
      <c r="G205" s="179" t="s">
        <v>857</v>
      </c>
      <c r="H205" s="32" t="s">
        <v>18</v>
      </c>
    </row>
    <row r="206" spans="1:8" ht="20.25" x14ac:dyDescent="0.25">
      <c r="A206" s="32">
        <v>9</v>
      </c>
      <c r="B206" s="179" t="s">
        <v>46</v>
      </c>
      <c r="C206" s="179" t="s">
        <v>46</v>
      </c>
      <c r="D206" s="179" t="s">
        <v>825</v>
      </c>
      <c r="E206" s="32" t="s">
        <v>807</v>
      </c>
      <c r="F206" s="32" t="s">
        <v>18</v>
      </c>
      <c r="G206" s="179"/>
      <c r="H206" s="32" t="s">
        <v>18</v>
      </c>
    </row>
    <row r="207" spans="1:8" ht="20.25" x14ac:dyDescent="0.25">
      <c r="A207" s="32"/>
      <c r="B207" s="179"/>
      <c r="C207" s="179" t="s">
        <v>979</v>
      </c>
      <c r="D207" s="179" t="s">
        <v>825</v>
      </c>
      <c r="E207" s="32" t="s">
        <v>807</v>
      </c>
      <c r="F207" s="32" t="s">
        <v>18</v>
      </c>
      <c r="G207" s="179"/>
      <c r="H207" s="32" t="s">
        <v>18</v>
      </c>
    </row>
    <row r="208" spans="1:8" ht="20.25" x14ac:dyDescent="0.25">
      <c r="A208" s="32"/>
      <c r="B208" s="179"/>
      <c r="C208" s="179" t="s">
        <v>142</v>
      </c>
      <c r="D208" s="179" t="s">
        <v>825</v>
      </c>
      <c r="E208" s="32" t="s">
        <v>806</v>
      </c>
      <c r="F208" s="32" t="s">
        <v>807</v>
      </c>
      <c r="G208" s="179" t="s">
        <v>980</v>
      </c>
      <c r="H208" s="32" t="s">
        <v>18</v>
      </c>
    </row>
    <row r="209" spans="1:8" ht="20.25" x14ac:dyDescent="0.25">
      <c r="A209" s="32">
        <v>10</v>
      </c>
      <c r="B209" s="179" t="s">
        <v>20</v>
      </c>
      <c r="C209" s="179" t="s">
        <v>20</v>
      </c>
      <c r="D209" s="179" t="s">
        <v>825</v>
      </c>
      <c r="E209" s="32" t="s">
        <v>807</v>
      </c>
      <c r="F209" s="32" t="s">
        <v>18</v>
      </c>
      <c r="G209" s="179"/>
      <c r="H209" s="32" t="s">
        <v>18</v>
      </c>
    </row>
    <row r="210" spans="1:8" ht="40.5" x14ac:dyDescent="0.25">
      <c r="A210" s="32">
        <v>11</v>
      </c>
      <c r="B210" s="179" t="s">
        <v>25</v>
      </c>
      <c r="C210" s="179" t="s">
        <v>805</v>
      </c>
      <c r="D210" s="179" t="s">
        <v>803</v>
      </c>
      <c r="E210" s="32" t="s">
        <v>804</v>
      </c>
      <c r="F210" s="32" t="s">
        <v>18</v>
      </c>
      <c r="G210" s="32" t="s">
        <v>18</v>
      </c>
      <c r="H210" s="32" t="s">
        <v>18</v>
      </c>
    </row>
    <row r="211" spans="1:8" ht="202.5" x14ac:dyDescent="0.25">
      <c r="A211" s="32"/>
      <c r="B211" s="179"/>
      <c r="C211" s="179" t="s">
        <v>794</v>
      </c>
      <c r="D211" s="179" t="s">
        <v>803</v>
      </c>
      <c r="E211" s="32" t="s">
        <v>806</v>
      </c>
      <c r="F211" s="32" t="s">
        <v>807</v>
      </c>
      <c r="G211" s="179" t="s">
        <v>808</v>
      </c>
      <c r="H211" s="32" t="s">
        <v>18</v>
      </c>
    </row>
    <row r="212" spans="1:8" ht="40.5" x14ac:dyDescent="0.25">
      <c r="A212" s="32">
        <v>12</v>
      </c>
      <c r="B212" s="179" t="s">
        <v>468</v>
      </c>
      <c r="C212" s="179" t="s">
        <v>179</v>
      </c>
      <c r="D212" s="179" t="s">
        <v>825</v>
      </c>
      <c r="E212" s="32" t="s">
        <v>807</v>
      </c>
      <c r="F212" s="32" t="s">
        <v>18</v>
      </c>
      <c r="G212" s="32" t="s">
        <v>18</v>
      </c>
      <c r="H212" s="32" t="s">
        <v>18</v>
      </c>
    </row>
    <row r="213" spans="1:8" ht="40.5" x14ac:dyDescent="0.25">
      <c r="A213" s="32"/>
      <c r="B213" s="179"/>
      <c r="C213" s="179" t="s">
        <v>187</v>
      </c>
      <c r="D213" s="179" t="s">
        <v>18</v>
      </c>
      <c r="E213" s="32" t="s">
        <v>1025</v>
      </c>
      <c r="F213" s="32" t="s">
        <v>1026</v>
      </c>
      <c r="G213" s="179" t="s">
        <v>1028</v>
      </c>
      <c r="H213" s="179" t="s">
        <v>1029</v>
      </c>
    </row>
    <row r="214" spans="1:8" ht="20.25" x14ac:dyDescent="0.25">
      <c r="A214" s="32"/>
      <c r="B214" s="179"/>
      <c r="C214" s="179" t="s">
        <v>252</v>
      </c>
      <c r="D214" s="179" t="s">
        <v>825</v>
      </c>
      <c r="E214" s="32" t="s">
        <v>807</v>
      </c>
      <c r="F214" s="32" t="s">
        <v>18</v>
      </c>
      <c r="G214" s="32" t="s">
        <v>18</v>
      </c>
      <c r="H214" s="32" t="s">
        <v>18</v>
      </c>
    </row>
    <row r="215" spans="1:8" ht="40.5" x14ac:dyDescent="0.25">
      <c r="A215" s="32"/>
      <c r="B215" s="179"/>
      <c r="C215" s="179" t="s">
        <v>178</v>
      </c>
      <c r="D215" s="179" t="s">
        <v>18</v>
      </c>
      <c r="E215" s="32" t="s">
        <v>1025</v>
      </c>
      <c r="F215" s="32" t="s">
        <v>1026</v>
      </c>
      <c r="G215" s="179" t="s">
        <v>1028</v>
      </c>
      <c r="H215" s="32" t="s">
        <v>18</v>
      </c>
    </row>
    <row r="216" spans="1:8" ht="20.25" x14ac:dyDescent="0.25">
      <c r="A216" s="32"/>
      <c r="B216" s="179"/>
      <c r="C216" s="179" t="s">
        <v>188</v>
      </c>
      <c r="D216" s="179" t="s">
        <v>825</v>
      </c>
      <c r="E216" s="32" t="s">
        <v>807</v>
      </c>
      <c r="F216" s="32" t="s">
        <v>1025</v>
      </c>
      <c r="G216" s="32" t="s">
        <v>1025</v>
      </c>
      <c r="H216" s="32" t="s">
        <v>18</v>
      </c>
    </row>
    <row r="217" spans="1:8" ht="40.5" x14ac:dyDescent="0.25">
      <c r="A217" s="32"/>
      <c r="B217" s="179"/>
      <c r="C217" s="179" t="s">
        <v>58</v>
      </c>
      <c r="D217" s="179" t="s">
        <v>1027</v>
      </c>
      <c r="E217" s="32" t="s">
        <v>807</v>
      </c>
      <c r="F217" s="32" t="s">
        <v>1025</v>
      </c>
      <c r="G217" s="32" t="s">
        <v>1025</v>
      </c>
      <c r="H217" s="179" t="s">
        <v>1030</v>
      </c>
    </row>
    <row r="218" spans="1:8" ht="20.25" x14ac:dyDescent="0.25">
      <c r="A218" s="32"/>
      <c r="B218" s="179"/>
      <c r="C218" s="179"/>
      <c r="D218" s="179" t="s">
        <v>825</v>
      </c>
      <c r="E218" s="179"/>
      <c r="F218" s="32"/>
      <c r="G218" s="32"/>
      <c r="H218" s="179"/>
    </row>
    <row r="219" spans="1:8" ht="20.25" x14ac:dyDescent="0.25">
      <c r="A219" s="32"/>
      <c r="B219" s="179"/>
      <c r="C219" s="179" t="s">
        <v>177</v>
      </c>
      <c r="D219" s="179" t="s">
        <v>1027</v>
      </c>
      <c r="E219" s="32" t="s">
        <v>807</v>
      </c>
      <c r="F219" s="32" t="s">
        <v>1025</v>
      </c>
      <c r="G219" s="32" t="s">
        <v>1025</v>
      </c>
      <c r="H219" s="32" t="s">
        <v>18</v>
      </c>
    </row>
    <row r="220" spans="1:8" ht="20.25" x14ac:dyDescent="0.25">
      <c r="A220" s="32"/>
      <c r="B220" s="179"/>
      <c r="C220" s="179"/>
      <c r="D220" s="179" t="s">
        <v>825</v>
      </c>
      <c r="E220" s="179"/>
      <c r="F220" s="179"/>
      <c r="G220" s="179"/>
      <c r="H220" s="179"/>
    </row>
    <row r="221" spans="1:8" ht="60.75" x14ac:dyDescent="0.25">
      <c r="A221" s="32">
        <v>13</v>
      </c>
      <c r="B221" s="179" t="s">
        <v>167</v>
      </c>
      <c r="C221" s="179" t="s">
        <v>167</v>
      </c>
      <c r="D221" s="179" t="s">
        <v>824</v>
      </c>
      <c r="E221" s="32" t="s">
        <v>807</v>
      </c>
      <c r="F221" s="32" t="s">
        <v>826</v>
      </c>
      <c r="G221" s="179" t="s">
        <v>827</v>
      </c>
      <c r="H221" s="32" t="s">
        <v>18</v>
      </c>
    </row>
    <row r="222" spans="1:8" ht="60.75" x14ac:dyDescent="0.25">
      <c r="A222" s="32"/>
      <c r="B222" s="179"/>
      <c r="C222" s="179" t="s">
        <v>821</v>
      </c>
      <c r="D222" s="179" t="s">
        <v>825</v>
      </c>
      <c r="E222" s="32" t="s">
        <v>806</v>
      </c>
      <c r="F222" s="32" t="s">
        <v>807</v>
      </c>
      <c r="G222" s="179" t="s">
        <v>828</v>
      </c>
      <c r="H222" s="32" t="s">
        <v>18</v>
      </c>
    </row>
    <row r="223" spans="1:8" ht="60.75" x14ac:dyDescent="0.25">
      <c r="A223" s="32"/>
      <c r="B223" s="179"/>
      <c r="C223" s="179" t="s">
        <v>341</v>
      </c>
      <c r="D223" s="179" t="s">
        <v>825</v>
      </c>
      <c r="E223" s="32" t="s">
        <v>806</v>
      </c>
      <c r="F223" s="32" t="s">
        <v>807</v>
      </c>
      <c r="G223" s="179" t="s">
        <v>829</v>
      </c>
      <c r="H223" s="32" t="s">
        <v>18</v>
      </c>
    </row>
    <row r="224" spans="1:8" ht="81" x14ac:dyDescent="0.25">
      <c r="A224" s="32"/>
      <c r="B224" s="179"/>
      <c r="C224" s="179" t="s">
        <v>339</v>
      </c>
      <c r="D224" s="179" t="s">
        <v>825</v>
      </c>
      <c r="E224" s="32" t="s">
        <v>806</v>
      </c>
      <c r="F224" s="32" t="s">
        <v>807</v>
      </c>
      <c r="G224" s="179" t="s">
        <v>830</v>
      </c>
      <c r="H224" s="32" t="s">
        <v>18</v>
      </c>
    </row>
    <row r="225" spans="1:8" ht="60.75" x14ac:dyDescent="0.25">
      <c r="A225" s="32"/>
      <c r="B225" s="179"/>
      <c r="C225" s="179" t="s">
        <v>822</v>
      </c>
      <c r="D225" s="179" t="s">
        <v>825</v>
      </c>
      <c r="E225" s="32" t="s">
        <v>806</v>
      </c>
      <c r="F225" s="32" t="s">
        <v>807</v>
      </c>
      <c r="G225" s="179" t="s">
        <v>831</v>
      </c>
      <c r="H225" s="32" t="s">
        <v>18</v>
      </c>
    </row>
    <row r="226" spans="1:8" ht="81" x14ac:dyDescent="0.25">
      <c r="A226" s="32"/>
      <c r="B226" s="179"/>
      <c r="C226" s="179" t="s">
        <v>823</v>
      </c>
      <c r="D226" s="179" t="s">
        <v>825</v>
      </c>
      <c r="E226" s="32" t="s">
        <v>806</v>
      </c>
      <c r="F226" s="32" t="s">
        <v>807</v>
      </c>
      <c r="G226" s="179" t="s">
        <v>832</v>
      </c>
      <c r="H226" s="32" t="s">
        <v>18</v>
      </c>
    </row>
    <row r="227" spans="1:8" ht="20.25" x14ac:dyDescent="0.25">
      <c r="A227" s="16"/>
      <c r="B227" s="16"/>
      <c r="C227" s="16"/>
      <c r="D227" s="16"/>
      <c r="E227" s="17"/>
      <c r="F227" s="16"/>
      <c r="G227" s="16"/>
      <c r="H227" s="17"/>
    </row>
    <row r="228" spans="1:8" ht="20.25" x14ac:dyDescent="0.25">
      <c r="A228" s="16"/>
      <c r="B228" s="16"/>
      <c r="C228" s="16"/>
      <c r="D228" s="16"/>
      <c r="E228" s="17"/>
      <c r="F228" s="16"/>
      <c r="G228" s="16"/>
      <c r="H228" s="17"/>
    </row>
    <row r="229" spans="1:8" ht="20.25" customHeight="1" x14ac:dyDescent="0.25">
      <c r="A229" s="600" t="s">
        <v>1073</v>
      </c>
      <c r="B229" s="601"/>
      <c r="C229" s="601"/>
      <c r="D229" s="601"/>
      <c r="E229" s="601"/>
      <c r="F229" s="601"/>
      <c r="G229" s="601"/>
      <c r="H229" s="602"/>
    </row>
    <row r="230" spans="1:8" ht="60.75" x14ac:dyDescent="0.25">
      <c r="A230" s="179" t="s">
        <v>211</v>
      </c>
      <c r="B230" s="179" t="s">
        <v>217</v>
      </c>
      <c r="C230" s="179" t="s">
        <v>788</v>
      </c>
      <c r="D230" s="179" t="s">
        <v>802</v>
      </c>
      <c r="E230" s="179" t="s">
        <v>799</v>
      </c>
      <c r="F230" s="179" t="s">
        <v>800</v>
      </c>
      <c r="G230" s="179" t="s">
        <v>801</v>
      </c>
      <c r="H230" s="179" t="s">
        <v>216</v>
      </c>
    </row>
    <row r="231" spans="1:8" ht="40.5" x14ac:dyDescent="0.25">
      <c r="A231" s="32">
        <v>1</v>
      </c>
      <c r="B231" s="179" t="s">
        <v>186</v>
      </c>
      <c r="C231" s="179" t="s">
        <v>39</v>
      </c>
      <c r="D231" s="179" t="s">
        <v>825</v>
      </c>
      <c r="E231" s="32" t="s">
        <v>806</v>
      </c>
      <c r="F231" s="32" t="s">
        <v>807</v>
      </c>
      <c r="G231" s="179" t="s">
        <v>932</v>
      </c>
      <c r="H231" s="268"/>
    </row>
    <row r="232" spans="1:8" ht="20.25" x14ac:dyDescent="0.25">
      <c r="A232" s="32"/>
      <c r="B232" s="179"/>
      <c r="C232" s="179" t="s">
        <v>186</v>
      </c>
      <c r="D232" s="179" t="s">
        <v>942</v>
      </c>
      <c r="E232" s="32" t="s">
        <v>807</v>
      </c>
      <c r="F232" s="32" t="s">
        <v>18</v>
      </c>
      <c r="G232" s="32" t="s">
        <v>18</v>
      </c>
      <c r="H232" s="32" t="s">
        <v>18</v>
      </c>
    </row>
    <row r="233" spans="1:8" ht="20.25" x14ac:dyDescent="0.25">
      <c r="A233" s="32">
        <v>2</v>
      </c>
      <c r="B233" s="179" t="s">
        <v>257</v>
      </c>
      <c r="C233" s="179" t="s">
        <v>257</v>
      </c>
      <c r="D233" s="179" t="s">
        <v>825</v>
      </c>
      <c r="E233" s="32" t="s">
        <v>807</v>
      </c>
      <c r="F233" s="32" t="s">
        <v>18</v>
      </c>
      <c r="G233" s="32" t="s">
        <v>18</v>
      </c>
      <c r="H233" s="32" t="s">
        <v>18</v>
      </c>
    </row>
    <row r="234" spans="1:8" ht="20.25" x14ac:dyDescent="0.25">
      <c r="A234" s="32"/>
      <c r="B234" s="179"/>
      <c r="C234" s="179" t="s">
        <v>946</v>
      </c>
      <c r="D234" s="179" t="s">
        <v>825</v>
      </c>
      <c r="E234" s="32" t="s">
        <v>807</v>
      </c>
      <c r="F234" s="32" t="s">
        <v>18</v>
      </c>
      <c r="G234" s="32" t="s">
        <v>18</v>
      </c>
      <c r="H234" s="32" t="s">
        <v>18</v>
      </c>
    </row>
    <row r="235" spans="1:8" ht="20.25" x14ac:dyDescent="0.25">
      <c r="A235" s="32"/>
      <c r="B235" s="179"/>
      <c r="C235" s="179" t="s">
        <v>947</v>
      </c>
      <c r="D235" s="179" t="s">
        <v>825</v>
      </c>
      <c r="E235" s="32" t="s">
        <v>807</v>
      </c>
      <c r="F235" s="32" t="s">
        <v>18</v>
      </c>
      <c r="G235" s="32" t="s">
        <v>18</v>
      </c>
      <c r="H235" s="32" t="s">
        <v>18</v>
      </c>
    </row>
    <row r="236" spans="1:8" ht="40.5" x14ac:dyDescent="0.25">
      <c r="A236" s="32">
        <v>3</v>
      </c>
      <c r="B236" s="179" t="s">
        <v>83</v>
      </c>
      <c r="C236" s="179" t="s">
        <v>170</v>
      </c>
      <c r="D236" s="179" t="s">
        <v>954</v>
      </c>
      <c r="E236" s="32" t="s">
        <v>807</v>
      </c>
      <c r="F236" s="32" t="s">
        <v>18</v>
      </c>
      <c r="G236" s="179"/>
      <c r="H236" s="32" t="s">
        <v>18</v>
      </c>
    </row>
    <row r="237" spans="1:8" ht="40.5" x14ac:dyDescent="0.25">
      <c r="A237" s="32"/>
      <c r="B237" s="179"/>
      <c r="C237" s="179" t="s">
        <v>19</v>
      </c>
      <c r="D237" s="179" t="s">
        <v>954</v>
      </c>
      <c r="E237" s="32" t="s">
        <v>807</v>
      </c>
      <c r="F237" s="32" t="s">
        <v>18</v>
      </c>
      <c r="G237" s="179"/>
      <c r="H237" s="32" t="s">
        <v>18</v>
      </c>
    </row>
    <row r="238" spans="1:8" ht="20.25" x14ac:dyDescent="0.25">
      <c r="A238" s="32"/>
      <c r="B238" s="179"/>
      <c r="C238" s="179" t="s">
        <v>383</v>
      </c>
      <c r="D238" s="179"/>
      <c r="E238" s="32" t="s">
        <v>806</v>
      </c>
      <c r="F238" s="32" t="s">
        <v>18</v>
      </c>
      <c r="G238" s="179" t="s">
        <v>955</v>
      </c>
      <c r="H238" s="32" t="s">
        <v>18</v>
      </c>
    </row>
    <row r="239" spans="1:8" ht="40.5" x14ac:dyDescent="0.25">
      <c r="A239" s="32"/>
      <c r="B239" s="179"/>
      <c r="C239" s="179" t="s">
        <v>377</v>
      </c>
      <c r="D239" s="179"/>
      <c r="E239" s="32" t="s">
        <v>806</v>
      </c>
      <c r="F239" s="32" t="s">
        <v>18</v>
      </c>
      <c r="G239" s="179" t="s">
        <v>956</v>
      </c>
      <c r="H239" s="32" t="s">
        <v>957</v>
      </c>
    </row>
    <row r="240" spans="1:8" ht="121.5" x14ac:dyDescent="0.25">
      <c r="A240" s="32">
        <v>4</v>
      </c>
      <c r="B240" s="179" t="s">
        <v>89</v>
      </c>
      <c r="C240" s="179" t="s">
        <v>176</v>
      </c>
      <c r="D240" s="179" t="s">
        <v>899</v>
      </c>
      <c r="E240" s="32" t="s">
        <v>807</v>
      </c>
      <c r="F240" s="32" t="s">
        <v>18</v>
      </c>
      <c r="G240" s="32" t="s">
        <v>18</v>
      </c>
      <c r="H240" s="32" t="s">
        <v>900</v>
      </c>
    </row>
    <row r="241" spans="1:8" ht="20.25" x14ac:dyDescent="0.25">
      <c r="A241" s="32"/>
      <c r="B241" s="179"/>
      <c r="C241" s="179" t="s">
        <v>185</v>
      </c>
      <c r="D241" s="179" t="s">
        <v>899</v>
      </c>
      <c r="E241" s="32" t="s">
        <v>807</v>
      </c>
      <c r="F241" s="32" t="s">
        <v>18</v>
      </c>
      <c r="G241" s="32" t="s">
        <v>18</v>
      </c>
      <c r="H241" s="32" t="s">
        <v>901</v>
      </c>
    </row>
    <row r="242" spans="1:8" ht="20.25" x14ac:dyDescent="0.25">
      <c r="A242" s="32"/>
      <c r="B242" s="179"/>
      <c r="C242" s="179" t="s">
        <v>89</v>
      </c>
      <c r="D242" s="179" t="s">
        <v>881</v>
      </c>
      <c r="E242" s="32" t="s">
        <v>806</v>
      </c>
      <c r="F242" s="32" t="s">
        <v>807</v>
      </c>
      <c r="G242" s="32" t="s">
        <v>18</v>
      </c>
      <c r="H242" s="32" t="s">
        <v>902</v>
      </c>
    </row>
    <row r="243" spans="1:8" ht="20.25" x14ac:dyDescent="0.25">
      <c r="A243" s="32">
        <v>5</v>
      </c>
      <c r="B243" s="179" t="s">
        <v>127</v>
      </c>
      <c r="C243" s="179" t="s">
        <v>127</v>
      </c>
      <c r="D243" s="179" t="s">
        <v>825</v>
      </c>
      <c r="E243" s="32" t="s">
        <v>807</v>
      </c>
      <c r="F243" s="32" t="s">
        <v>18</v>
      </c>
      <c r="G243" s="32" t="s">
        <v>18</v>
      </c>
      <c r="H243" s="32" t="s">
        <v>18</v>
      </c>
    </row>
    <row r="244" spans="1:8" ht="20.25" x14ac:dyDescent="0.25">
      <c r="A244" s="32"/>
      <c r="B244" s="179"/>
      <c r="C244" s="179" t="s">
        <v>172</v>
      </c>
      <c r="D244" s="179" t="s">
        <v>825</v>
      </c>
      <c r="E244" s="32" t="s">
        <v>807</v>
      </c>
      <c r="F244" s="32" t="s">
        <v>18</v>
      </c>
      <c r="G244" s="32" t="s">
        <v>18</v>
      </c>
      <c r="H244" s="32" t="s">
        <v>18</v>
      </c>
    </row>
    <row r="245" spans="1:8" ht="20.25" x14ac:dyDescent="0.25">
      <c r="A245" s="32"/>
      <c r="B245" s="179"/>
      <c r="C245" s="179" t="s">
        <v>873</v>
      </c>
      <c r="D245" s="179" t="s">
        <v>825</v>
      </c>
      <c r="E245" s="32" t="s">
        <v>807</v>
      </c>
      <c r="F245" s="32" t="s">
        <v>18</v>
      </c>
      <c r="G245" s="32" t="s">
        <v>18</v>
      </c>
      <c r="H245" s="32" t="s">
        <v>874</v>
      </c>
    </row>
    <row r="246" spans="1:8" ht="60.75" x14ac:dyDescent="0.25">
      <c r="A246" s="32"/>
      <c r="B246" s="179"/>
      <c r="C246" s="179" t="s">
        <v>250</v>
      </c>
      <c r="D246" s="179" t="s">
        <v>825</v>
      </c>
      <c r="E246" s="32" t="s">
        <v>807</v>
      </c>
      <c r="F246" s="32" t="s">
        <v>18</v>
      </c>
      <c r="G246" s="32" t="s">
        <v>18</v>
      </c>
      <c r="H246" s="32" t="s">
        <v>877</v>
      </c>
    </row>
    <row r="247" spans="1:8" ht="20.25" x14ac:dyDescent="0.25">
      <c r="A247" s="32"/>
      <c r="B247" s="179"/>
      <c r="C247" s="179" t="s">
        <v>173</v>
      </c>
      <c r="D247" s="179" t="s">
        <v>825</v>
      </c>
      <c r="E247" s="32" t="s">
        <v>807</v>
      </c>
      <c r="F247" s="32" t="s">
        <v>18</v>
      </c>
      <c r="G247" s="32" t="s">
        <v>18</v>
      </c>
      <c r="H247" s="32" t="s">
        <v>880</v>
      </c>
    </row>
    <row r="248" spans="1:8" ht="20.25" x14ac:dyDescent="0.25">
      <c r="A248" s="32"/>
      <c r="B248" s="179"/>
      <c r="C248" s="179" t="s">
        <v>202</v>
      </c>
      <c r="D248" s="179" t="s">
        <v>881</v>
      </c>
      <c r="E248" s="32" t="s">
        <v>806</v>
      </c>
      <c r="F248" s="32" t="s">
        <v>807</v>
      </c>
      <c r="G248" s="179"/>
      <c r="H248" s="32" t="s">
        <v>879</v>
      </c>
    </row>
    <row r="249" spans="1:8" ht="20.25" x14ac:dyDescent="0.25">
      <c r="A249" s="32"/>
      <c r="B249" s="179"/>
      <c r="C249" s="179" t="s">
        <v>141</v>
      </c>
      <c r="D249" s="179" t="s">
        <v>825</v>
      </c>
      <c r="E249" s="32" t="s">
        <v>807</v>
      </c>
      <c r="F249" s="32" t="s">
        <v>18</v>
      </c>
      <c r="G249" s="32" t="s">
        <v>18</v>
      </c>
      <c r="H249" s="32" t="s">
        <v>18</v>
      </c>
    </row>
    <row r="250" spans="1:8" ht="121.5" x14ac:dyDescent="0.25">
      <c r="A250" s="32">
        <v>6</v>
      </c>
      <c r="B250" s="179" t="s">
        <v>467</v>
      </c>
      <c r="C250" s="179" t="s">
        <v>207</v>
      </c>
      <c r="D250" s="179" t="s">
        <v>825</v>
      </c>
      <c r="E250" s="32" t="s">
        <v>807</v>
      </c>
      <c r="F250" s="32"/>
      <c r="G250" s="32" t="s">
        <v>913</v>
      </c>
      <c r="H250" s="32" t="s">
        <v>18</v>
      </c>
    </row>
    <row r="251" spans="1:8" ht="20.25" x14ac:dyDescent="0.25">
      <c r="A251" s="32"/>
      <c r="B251" s="179"/>
      <c r="C251" s="179" t="s">
        <v>909</v>
      </c>
      <c r="D251" s="179" t="s">
        <v>825</v>
      </c>
      <c r="E251" s="32"/>
      <c r="F251" s="32"/>
      <c r="G251" s="179"/>
      <c r="H251" s="32" t="s">
        <v>18</v>
      </c>
    </row>
    <row r="252" spans="1:8" ht="40.5" x14ac:dyDescent="0.25">
      <c r="A252" s="32"/>
      <c r="B252" s="179"/>
      <c r="C252" s="179" t="s">
        <v>171</v>
      </c>
      <c r="D252" s="179" t="s">
        <v>825</v>
      </c>
      <c r="E252" s="32" t="s">
        <v>807</v>
      </c>
      <c r="F252" s="179"/>
      <c r="G252" s="179" t="s">
        <v>914</v>
      </c>
      <c r="H252" s="32" t="s">
        <v>18</v>
      </c>
    </row>
    <row r="253" spans="1:8" ht="40.5" x14ac:dyDescent="0.25">
      <c r="A253" s="32"/>
      <c r="B253" s="179"/>
      <c r="C253" s="179" t="s">
        <v>912</v>
      </c>
      <c r="D253" s="179" t="s">
        <v>825</v>
      </c>
      <c r="E253" s="32" t="s">
        <v>807</v>
      </c>
      <c r="F253" s="179"/>
      <c r="G253" s="179"/>
      <c r="H253" s="32" t="s">
        <v>18</v>
      </c>
    </row>
    <row r="254" spans="1:8" ht="40.5" x14ac:dyDescent="0.25">
      <c r="A254" s="32"/>
      <c r="B254" s="179"/>
      <c r="C254" s="179" t="s">
        <v>201</v>
      </c>
      <c r="D254" s="179" t="s">
        <v>825</v>
      </c>
      <c r="E254" s="32" t="s">
        <v>807</v>
      </c>
      <c r="F254" s="179"/>
      <c r="G254" s="179"/>
      <c r="H254" s="179" t="s">
        <v>915</v>
      </c>
    </row>
    <row r="255" spans="1:8" ht="20.25" x14ac:dyDescent="0.25">
      <c r="A255" s="32">
        <v>7</v>
      </c>
      <c r="B255" s="179" t="s">
        <v>91</v>
      </c>
      <c r="C255" s="179" t="s">
        <v>184</v>
      </c>
      <c r="D255" s="179" t="s">
        <v>825</v>
      </c>
      <c r="E255" s="32" t="s">
        <v>807</v>
      </c>
      <c r="F255" s="32" t="s">
        <v>18</v>
      </c>
      <c r="G255" s="32" t="s">
        <v>18</v>
      </c>
      <c r="H255" s="32" t="s">
        <v>18</v>
      </c>
    </row>
    <row r="256" spans="1:8" ht="20.25" x14ac:dyDescent="0.25">
      <c r="A256" s="32"/>
      <c r="B256" s="179"/>
      <c r="C256" s="179" t="s">
        <v>175</v>
      </c>
      <c r="D256" s="179" t="s">
        <v>990</v>
      </c>
      <c r="E256" s="32" t="s">
        <v>807</v>
      </c>
      <c r="F256" s="32" t="s">
        <v>18</v>
      </c>
      <c r="G256" s="32" t="s">
        <v>18</v>
      </c>
      <c r="H256" s="32" t="s">
        <v>18</v>
      </c>
    </row>
    <row r="257" spans="1:8" ht="20.25" x14ac:dyDescent="0.25">
      <c r="A257" s="32"/>
      <c r="B257" s="179"/>
      <c r="C257" s="179" t="s">
        <v>360</v>
      </c>
      <c r="D257" s="179" t="s">
        <v>825</v>
      </c>
      <c r="E257" s="32" t="s">
        <v>807</v>
      </c>
      <c r="F257" s="32" t="s">
        <v>18</v>
      </c>
      <c r="G257" s="32" t="s">
        <v>18</v>
      </c>
      <c r="H257" s="32" t="s">
        <v>18</v>
      </c>
    </row>
    <row r="258" spans="1:8" ht="40.5" x14ac:dyDescent="0.25">
      <c r="A258" s="32">
        <v>8</v>
      </c>
      <c r="B258" s="179" t="s">
        <v>165</v>
      </c>
      <c r="C258" s="179" t="s">
        <v>191</v>
      </c>
      <c r="D258" s="179" t="s">
        <v>825</v>
      </c>
      <c r="E258" s="32" t="s">
        <v>806</v>
      </c>
      <c r="F258" s="32" t="s">
        <v>807</v>
      </c>
      <c r="G258" s="32" t="s">
        <v>855</v>
      </c>
      <c r="H258" s="32" t="s">
        <v>18</v>
      </c>
    </row>
    <row r="259" spans="1:8" ht="182.25" x14ac:dyDescent="0.25">
      <c r="A259" s="32"/>
      <c r="B259" s="179"/>
      <c r="C259" s="179" t="s">
        <v>164</v>
      </c>
      <c r="D259" s="179" t="s">
        <v>852</v>
      </c>
      <c r="E259" s="32" t="s">
        <v>854</v>
      </c>
      <c r="F259" s="32" t="s">
        <v>807</v>
      </c>
      <c r="G259" s="32" t="s">
        <v>18</v>
      </c>
      <c r="H259" s="32" t="s">
        <v>853</v>
      </c>
    </row>
    <row r="260" spans="1:8" ht="20.25" x14ac:dyDescent="0.25">
      <c r="A260" s="32"/>
      <c r="B260" s="179"/>
      <c r="C260" s="179" t="s">
        <v>163</v>
      </c>
      <c r="D260" s="179" t="s">
        <v>852</v>
      </c>
      <c r="E260" s="32" t="s">
        <v>856</v>
      </c>
      <c r="F260" s="32" t="s">
        <v>826</v>
      </c>
      <c r="G260" s="179" t="s">
        <v>18</v>
      </c>
      <c r="H260" s="32" t="s">
        <v>18</v>
      </c>
    </row>
    <row r="261" spans="1:8" ht="40.5" x14ac:dyDescent="0.25">
      <c r="A261" s="32"/>
      <c r="B261" s="179"/>
      <c r="C261" s="179" t="s">
        <v>200</v>
      </c>
      <c r="D261" s="179" t="s">
        <v>825</v>
      </c>
      <c r="E261" s="32" t="s">
        <v>806</v>
      </c>
      <c r="F261" s="32" t="s">
        <v>807</v>
      </c>
      <c r="G261" s="179" t="s">
        <v>857</v>
      </c>
      <c r="H261" s="32" t="s">
        <v>18</v>
      </c>
    </row>
    <row r="262" spans="1:8" ht="20.25" x14ac:dyDescent="0.25">
      <c r="A262" s="32">
        <v>9</v>
      </c>
      <c r="B262" s="179" t="s">
        <v>46</v>
      </c>
      <c r="C262" s="179" t="s">
        <v>46</v>
      </c>
      <c r="D262" s="179" t="s">
        <v>825</v>
      </c>
      <c r="E262" s="32" t="s">
        <v>807</v>
      </c>
      <c r="F262" s="32" t="s">
        <v>18</v>
      </c>
      <c r="G262" s="179"/>
      <c r="H262" s="32" t="s">
        <v>18</v>
      </c>
    </row>
    <row r="263" spans="1:8" ht="20.25" x14ac:dyDescent="0.25">
      <c r="A263" s="32"/>
      <c r="B263" s="179"/>
      <c r="C263" s="179" t="s">
        <v>979</v>
      </c>
      <c r="D263" s="179" t="s">
        <v>825</v>
      </c>
      <c r="E263" s="32" t="s">
        <v>807</v>
      </c>
      <c r="F263" s="32" t="s">
        <v>18</v>
      </c>
      <c r="G263" s="179"/>
      <c r="H263" s="32" t="s">
        <v>18</v>
      </c>
    </row>
    <row r="264" spans="1:8" ht="20.25" x14ac:dyDescent="0.25">
      <c r="A264" s="32"/>
      <c r="B264" s="179"/>
      <c r="C264" s="179" t="s">
        <v>142</v>
      </c>
      <c r="D264" s="179" t="s">
        <v>825</v>
      </c>
      <c r="E264" s="32" t="s">
        <v>806</v>
      </c>
      <c r="F264" s="32" t="s">
        <v>807</v>
      </c>
      <c r="G264" s="179" t="s">
        <v>980</v>
      </c>
      <c r="H264" s="32" t="s">
        <v>18</v>
      </c>
    </row>
    <row r="265" spans="1:8" ht="20.25" x14ac:dyDescent="0.25">
      <c r="A265" s="32">
        <v>10</v>
      </c>
      <c r="B265" s="179" t="s">
        <v>20</v>
      </c>
      <c r="C265" s="179" t="s">
        <v>20</v>
      </c>
      <c r="D265" s="179" t="s">
        <v>825</v>
      </c>
      <c r="E265" s="32" t="s">
        <v>807</v>
      </c>
      <c r="F265" s="32" t="s">
        <v>18</v>
      </c>
      <c r="G265" s="179"/>
      <c r="H265" s="32" t="s">
        <v>18</v>
      </c>
    </row>
    <row r="266" spans="1:8" ht="40.5" x14ac:dyDescent="0.25">
      <c r="A266" s="32">
        <v>11</v>
      </c>
      <c r="B266" s="179" t="s">
        <v>25</v>
      </c>
      <c r="C266" s="179" t="s">
        <v>805</v>
      </c>
      <c r="D266" s="179" t="s">
        <v>803</v>
      </c>
      <c r="E266" s="32" t="s">
        <v>804</v>
      </c>
      <c r="F266" s="32" t="s">
        <v>18</v>
      </c>
      <c r="G266" s="32" t="s">
        <v>18</v>
      </c>
      <c r="H266" s="32" t="s">
        <v>18</v>
      </c>
    </row>
    <row r="267" spans="1:8" ht="202.5" x14ac:dyDescent="0.25">
      <c r="A267" s="32"/>
      <c r="B267" s="179"/>
      <c r="C267" s="179" t="s">
        <v>794</v>
      </c>
      <c r="D267" s="179" t="s">
        <v>803</v>
      </c>
      <c r="E267" s="32" t="s">
        <v>806</v>
      </c>
      <c r="F267" s="32" t="s">
        <v>807</v>
      </c>
      <c r="G267" s="179" t="s">
        <v>808</v>
      </c>
      <c r="H267" s="32" t="s">
        <v>18</v>
      </c>
    </row>
    <row r="268" spans="1:8" ht="40.5" x14ac:dyDescent="0.25">
      <c r="A268" s="32">
        <v>12</v>
      </c>
      <c r="B268" s="179" t="s">
        <v>468</v>
      </c>
      <c r="C268" s="179" t="s">
        <v>179</v>
      </c>
      <c r="D268" s="179" t="s">
        <v>825</v>
      </c>
      <c r="E268" s="32" t="s">
        <v>807</v>
      </c>
      <c r="F268" s="32" t="s">
        <v>18</v>
      </c>
      <c r="G268" s="32" t="s">
        <v>18</v>
      </c>
      <c r="H268" s="32" t="s">
        <v>18</v>
      </c>
    </row>
    <row r="269" spans="1:8" ht="40.5" x14ac:dyDescent="0.25">
      <c r="A269" s="32"/>
      <c r="B269" s="179"/>
      <c r="C269" s="179" t="s">
        <v>187</v>
      </c>
      <c r="D269" s="179" t="s">
        <v>18</v>
      </c>
      <c r="E269" s="32" t="s">
        <v>1025</v>
      </c>
      <c r="F269" s="32" t="s">
        <v>1026</v>
      </c>
      <c r="G269" s="179" t="s">
        <v>1028</v>
      </c>
      <c r="H269" s="179" t="s">
        <v>1029</v>
      </c>
    </row>
    <row r="270" spans="1:8" ht="20.25" x14ac:dyDescent="0.25">
      <c r="A270" s="32"/>
      <c r="B270" s="179"/>
      <c r="C270" s="179" t="s">
        <v>252</v>
      </c>
      <c r="D270" s="179" t="s">
        <v>825</v>
      </c>
      <c r="E270" s="32" t="s">
        <v>807</v>
      </c>
      <c r="F270" s="32" t="s">
        <v>18</v>
      </c>
      <c r="G270" s="32" t="s">
        <v>18</v>
      </c>
      <c r="H270" s="32" t="s">
        <v>18</v>
      </c>
    </row>
    <row r="271" spans="1:8" ht="40.5" x14ac:dyDescent="0.25">
      <c r="A271" s="32"/>
      <c r="B271" s="179"/>
      <c r="C271" s="179" t="s">
        <v>178</v>
      </c>
      <c r="D271" s="179" t="s">
        <v>18</v>
      </c>
      <c r="E271" s="32" t="s">
        <v>1025</v>
      </c>
      <c r="F271" s="32" t="s">
        <v>1026</v>
      </c>
      <c r="G271" s="179" t="s">
        <v>1028</v>
      </c>
      <c r="H271" s="32" t="s">
        <v>18</v>
      </c>
    </row>
    <row r="272" spans="1:8" ht="20.25" x14ac:dyDescent="0.25">
      <c r="A272" s="32"/>
      <c r="B272" s="179"/>
      <c r="C272" s="179" t="s">
        <v>188</v>
      </c>
      <c r="D272" s="179" t="s">
        <v>825</v>
      </c>
      <c r="E272" s="32" t="s">
        <v>807</v>
      </c>
      <c r="F272" s="32" t="s">
        <v>1025</v>
      </c>
      <c r="G272" s="32" t="s">
        <v>1025</v>
      </c>
      <c r="H272" s="32" t="s">
        <v>18</v>
      </c>
    </row>
    <row r="273" spans="1:8" ht="40.5" x14ac:dyDescent="0.25">
      <c r="A273" s="32"/>
      <c r="B273" s="179"/>
      <c r="C273" s="179" t="s">
        <v>58</v>
      </c>
      <c r="D273" s="179" t="s">
        <v>1027</v>
      </c>
      <c r="E273" s="32" t="s">
        <v>807</v>
      </c>
      <c r="F273" s="32" t="s">
        <v>1025</v>
      </c>
      <c r="G273" s="32" t="s">
        <v>1025</v>
      </c>
      <c r="H273" s="179" t="s">
        <v>1030</v>
      </c>
    </row>
    <row r="274" spans="1:8" ht="20.25" x14ac:dyDescent="0.25">
      <c r="A274" s="32"/>
      <c r="B274" s="179"/>
      <c r="C274" s="179"/>
      <c r="D274" s="179" t="s">
        <v>825</v>
      </c>
      <c r="E274" s="179"/>
      <c r="F274" s="32"/>
      <c r="G274" s="32"/>
      <c r="H274" s="179"/>
    </row>
    <row r="275" spans="1:8" ht="20.25" x14ac:dyDescent="0.25">
      <c r="A275" s="32"/>
      <c r="B275" s="179"/>
      <c r="C275" s="179" t="s">
        <v>177</v>
      </c>
      <c r="D275" s="179" t="s">
        <v>1027</v>
      </c>
      <c r="E275" s="32" t="s">
        <v>807</v>
      </c>
      <c r="F275" s="32" t="s">
        <v>1025</v>
      </c>
      <c r="G275" s="32" t="s">
        <v>1025</v>
      </c>
      <c r="H275" s="32" t="s">
        <v>18</v>
      </c>
    </row>
    <row r="276" spans="1:8" ht="20.25" x14ac:dyDescent="0.25">
      <c r="A276" s="32"/>
      <c r="B276" s="179"/>
      <c r="C276" s="179"/>
      <c r="D276" s="179" t="s">
        <v>825</v>
      </c>
      <c r="E276" s="179"/>
      <c r="F276" s="179"/>
      <c r="G276" s="179"/>
      <c r="H276" s="179"/>
    </row>
    <row r="277" spans="1:8" ht="60.75" x14ac:dyDescent="0.25">
      <c r="A277" s="32">
        <v>13</v>
      </c>
      <c r="B277" s="179" t="s">
        <v>167</v>
      </c>
      <c r="C277" s="179" t="s">
        <v>167</v>
      </c>
      <c r="D277" s="179" t="s">
        <v>824</v>
      </c>
      <c r="E277" s="32" t="s">
        <v>807</v>
      </c>
      <c r="F277" s="32" t="s">
        <v>826</v>
      </c>
      <c r="G277" s="179" t="s">
        <v>827</v>
      </c>
      <c r="H277" s="32" t="s">
        <v>18</v>
      </c>
    </row>
    <row r="278" spans="1:8" ht="60.75" x14ac:dyDescent="0.25">
      <c r="A278" s="32"/>
      <c r="B278" s="179"/>
      <c r="C278" s="179" t="s">
        <v>821</v>
      </c>
      <c r="D278" s="179" t="s">
        <v>825</v>
      </c>
      <c r="E278" s="32" t="s">
        <v>806</v>
      </c>
      <c r="F278" s="32" t="s">
        <v>807</v>
      </c>
      <c r="G278" s="179" t="s">
        <v>828</v>
      </c>
      <c r="H278" s="32" t="s">
        <v>18</v>
      </c>
    </row>
    <row r="279" spans="1:8" ht="60.75" x14ac:dyDescent="0.25">
      <c r="A279" s="32"/>
      <c r="B279" s="179"/>
      <c r="C279" s="179" t="s">
        <v>341</v>
      </c>
      <c r="D279" s="179" t="s">
        <v>825</v>
      </c>
      <c r="E279" s="32" t="s">
        <v>806</v>
      </c>
      <c r="F279" s="32" t="s">
        <v>807</v>
      </c>
      <c r="G279" s="179" t="s">
        <v>829</v>
      </c>
      <c r="H279" s="32" t="s">
        <v>18</v>
      </c>
    </row>
    <row r="280" spans="1:8" ht="81" x14ac:dyDescent="0.25">
      <c r="A280" s="32"/>
      <c r="B280" s="179"/>
      <c r="C280" s="179" t="s">
        <v>339</v>
      </c>
      <c r="D280" s="179" t="s">
        <v>825</v>
      </c>
      <c r="E280" s="32" t="s">
        <v>806</v>
      </c>
      <c r="F280" s="32" t="s">
        <v>807</v>
      </c>
      <c r="G280" s="179" t="s">
        <v>830</v>
      </c>
      <c r="H280" s="32" t="s">
        <v>18</v>
      </c>
    </row>
    <row r="281" spans="1:8" ht="60.75" x14ac:dyDescent="0.25">
      <c r="A281" s="32"/>
      <c r="B281" s="179"/>
      <c r="C281" s="179" t="s">
        <v>822</v>
      </c>
      <c r="D281" s="179" t="s">
        <v>825</v>
      </c>
      <c r="E281" s="32" t="s">
        <v>806</v>
      </c>
      <c r="F281" s="32" t="s">
        <v>807</v>
      </c>
      <c r="G281" s="179" t="s">
        <v>831</v>
      </c>
      <c r="H281" s="32" t="s">
        <v>18</v>
      </c>
    </row>
    <row r="282" spans="1:8" ht="81" x14ac:dyDescent="0.25">
      <c r="A282" s="32"/>
      <c r="B282" s="179"/>
      <c r="C282" s="179" t="s">
        <v>823</v>
      </c>
      <c r="D282" s="179" t="s">
        <v>825</v>
      </c>
      <c r="E282" s="32" t="s">
        <v>806</v>
      </c>
      <c r="F282" s="32" t="s">
        <v>807</v>
      </c>
      <c r="G282" s="179" t="s">
        <v>832</v>
      </c>
      <c r="H282" s="32" t="s">
        <v>18</v>
      </c>
    </row>
    <row r="283" spans="1:8" ht="20.25" x14ac:dyDescent="0.25">
      <c r="A283" s="16"/>
      <c r="B283" s="16"/>
      <c r="C283" s="16"/>
      <c r="D283" s="16"/>
      <c r="E283" s="17"/>
      <c r="F283" s="16"/>
      <c r="G283" s="16"/>
      <c r="H283" s="17"/>
    </row>
    <row r="284" spans="1:8" ht="20.25" x14ac:dyDescent="0.25">
      <c r="A284" s="16"/>
      <c r="B284" s="16"/>
      <c r="C284" s="16"/>
      <c r="D284" s="16"/>
      <c r="E284" s="16"/>
      <c r="F284" s="16"/>
      <c r="G284" s="16"/>
    </row>
    <row r="285" spans="1:8" ht="20.25" x14ac:dyDescent="0.25">
      <c r="A285" s="16"/>
      <c r="B285" s="16"/>
      <c r="C285" s="16"/>
      <c r="D285" s="16"/>
      <c r="E285" s="16"/>
      <c r="F285" s="16"/>
      <c r="G285" s="16"/>
    </row>
    <row r="286" spans="1:8" ht="20.25" x14ac:dyDescent="0.25">
      <c r="A286" s="16"/>
      <c r="B286" s="16"/>
      <c r="C286" s="16"/>
      <c r="D286" s="16"/>
      <c r="E286" s="16"/>
      <c r="F286" s="16"/>
      <c r="G286" s="16"/>
    </row>
    <row r="287" spans="1:8" ht="20.25" x14ac:dyDescent="0.25">
      <c r="A287" s="16"/>
      <c r="B287" s="16"/>
      <c r="C287" s="16"/>
      <c r="D287" s="16"/>
      <c r="E287" s="16"/>
      <c r="F287" s="16"/>
      <c r="G287" s="16"/>
    </row>
    <row r="288" spans="1:8" ht="20.25" x14ac:dyDescent="0.25">
      <c r="A288" s="16"/>
      <c r="B288" s="16"/>
      <c r="C288" s="16"/>
      <c r="D288" s="16"/>
      <c r="E288" s="16"/>
      <c r="F288" s="16"/>
      <c r="G288" s="16"/>
    </row>
    <row r="289" spans="1:7" ht="20.25" x14ac:dyDescent="0.25">
      <c r="A289" s="16"/>
      <c r="B289" s="16"/>
      <c r="C289" s="16"/>
      <c r="D289" s="16"/>
      <c r="E289" s="16"/>
      <c r="F289" s="16"/>
      <c r="G289" s="16"/>
    </row>
    <row r="290" spans="1:7" ht="20.25" x14ac:dyDescent="0.25">
      <c r="A290" s="16"/>
      <c r="B290" s="16"/>
      <c r="C290" s="16"/>
      <c r="D290" s="16"/>
      <c r="E290" s="16"/>
      <c r="F290" s="16"/>
      <c r="G290" s="16"/>
    </row>
    <row r="291" spans="1:7" ht="20.25" x14ac:dyDescent="0.25">
      <c r="A291" s="16"/>
      <c r="B291" s="16"/>
      <c r="C291" s="16"/>
      <c r="D291" s="16"/>
      <c r="E291" s="16"/>
      <c r="F291" s="16"/>
      <c r="G291" s="16"/>
    </row>
    <row r="292" spans="1:7" ht="20.25" x14ac:dyDescent="0.25">
      <c r="A292" s="16"/>
      <c r="B292" s="16"/>
      <c r="C292" s="16"/>
      <c r="D292" s="16"/>
      <c r="E292" s="16"/>
      <c r="F292" s="16"/>
      <c r="G292" s="16"/>
    </row>
    <row r="293" spans="1:7" ht="20.25" x14ac:dyDescent="0.25">
      <c r="A293" s="16"/>
      <c r="B293" s="16"/>
      <c r="C293" s="16"/>
      <c r="D293" s="16"/>
      <c r="E293" s="16"/>
      <c r="F293" s="16"/>
      <c r="G293" s="16"/>
    </row>
    <row r="294" spans="1:7" ht="20.25" x14ac:dyDescent="0.25">
      <c r="A294" s="16"/>
      <c r="B294" s="16"/>
      <c r="C294" s="16"/>
      <c r="D294" s="16"/>
      <c r="E294" s="16"/>
      <c r="F294" s="16"/>
      <c r="G294" s="16"/>
    </row>
    <row r="295" spans="1:7" ht="20.25" x14ac:dyDescent="0.25">
      <c r="A295" s="16"/>
      <c r="B295" s="16"/>
      <c r="C295" s="16"/>
      <c r="D295" s="16"/>
      <c r="E295" s="16"/>
      <c r="F295" s="16"/>
      <c r="G295" s="16"/>
    </row>
    <row r="296" spans="1:7" ht="20.25" x14ac:dyDescent="0.25">
      <c r="A296" s="16"/>
      <c r="B296" s="16"/>
      <c r="C296" s="16"/>
      <c r="D296" s="16"/>
      <c r="E296" s="16"/>
      <c r="F296" s="16"/>
      <c r="G296" s="16"/>
    </row>
    <row r="297" spans="1:7" ht="20.25" x14ac:dyDescent="0.25">
      <c r="A297" s="16"/>
      <c r="B297" s="16"/>
      <c r="C297" s="16"/>
      <c r="D297" s="16"/>
      <c r="E297" s="16"/>
      <c r="F297" s="16"/>
      <c r="G297" s="16"/>
    </row>
    <row r="298" spans="1:7" ht="20.25" x14ac:dyDescent="0.25">
      <c r="A298" s="16"/>
      <c r="B298" s="16"/>
      <c r="C298" s="16"/>
      <c r="D298" s="16"/>
      <c r="E298" s="16"/>
      <c r="F298" s="16"/>
      <c r="G298" s="16"/>
    </row>
    <row r="299" spans="1:7" ht="20.25" x14ac:dyDescent="0.25">
      <c r="A299" s="16"/>
      <c r="B299" s="16"/>
      <c r="C299" s="16"/>
      <c r="D299" s="16"/>
      <c r="E299" s="16"/>
      <c r="F299" s="16"/>
      <c r="G299" s="16"/>
    </row>
    <row r="300" spans="1:7" ht="20.25" x14ac:dyDescent="0.25">
      <c r="A300" s="16"/>
      <c r="B300" s="16"/>
      <c r="C300" s="16"/>
      <c r="D300" s="16"/>
      <c r="E300" s="16"/>
      <c r="F300" s="16"/>
      <c r="G300" s="16"/>
    </row>
    <row r="301" spans="1:7" ht="20.25" x14ac:dyDescent="0.25">
      <c r="A301" s="16"/>
      <c r="B301" s="16"/>
      <c r="C301" s="16"/>
      <c r="D301" s="16"/>
      <c r="E301" s="16"/>
      <c r="F301" s="16"/>
      <c r="G301" s="16"/>
    </row>
    <row r="302" spans="1:7" ht="20.25" x14ac:dyDescent="0.25">
      <c r="A302" s="16"/>
      <c r="B302" s="16"/>
      <c r="C302" s="16"/>
      <c r="D302" s="16"/>
      <c r="E302" s="16"/>
      <c r="F302" s="16"/>
      <c r="G302" s="16"/>
    </row>
    <row r="303" spans="1:7" ht="20.25" x14ac:dyDescent="0.25">
      <c r="A303" s="16"/>
      <c r="B303" s="16"/>
      <c r="C303" s="16"/>
      <c r="D303" s="16"/>
      <c r="E303" s="16"/>
      <c r="F303" s="16"/>
      <c r="G303" s="16"/>
    </row>
    <row r="304" spans="1:7" ht="20.25" x14ac:dyDescent="0.25">
      <c r="A304" s="16"/>
      <c r="B304" s="16"/>
      <c r="C304" s="16"/>
      <c r="D304" s="16"/>
      <c r="E304" s="16"/>
      <c r="F304" s="16"/>
      <c r="G304" s="16"/>
    </row>
    <row r="305" spans="1:7" ht="20.25" x14ac:dyDescent="0.25">
      <c r="A305" s="16"/>
      <c r="B305" s="16"/>
      <c r="C305" s="16"/>
      <c r="D305" s="16"/>
      <c r="E305" s="16"/>
      <c r="F305" s="16"/>
      <c r="G305" s="16"/>
    </row>
    <row r="306" spans="1:7" ht="20.25" x14ac:dyDescent="0.25">
      <c r="A306" s="16"/>
      <c r="B306" s="16"/>
      <c r="C306" s="16"/>
      <c r="D306" s="16"/>
      <c r="E306" s="16"/>
      <c r="F306" s="16"/>
      <c r="G306" s="16"/>
    </row>
    <row r="307" spans="1:7" ht="20.25" x14ac:dyDescent="0.25">
      <c r="A307" s="16"/>
      <c r="B307" s="16"/>
      <c r="C307" s="16"/>
      <c r="D307" s="16"/>
      <c r="E307" s="16"/>
      <c r="F307" s="16"/>
      <c r="G307" s="16"/>
    </row>
    <row r="308" spans="1:7" ht="20.25" x14ac:dyDescent="0.25">
      <c r="A308" s="16"/>
      <c r="B308" s="16"/>
      <c r="C308" s="16"/>
      <c r="D308" s="16"/>
      <c r="E308" s="16"/>
      <c r="F308" s="16"/>
      <c r="G308" s="16"/>
    </row>
    <row r="309" spans="1:7" ht="20.25" x14ac:dyDescent="0.25">
      <c r="A309" s="16"/>
      <c r="B309" s="16"/>
      <c r="C309" s="16"/>
      <c r="D309" s="16"/>
      <c r="E309" s="16"/>
      <c r="F309" s="16"/>
      <c r="G309" s="16"/>
    </row>
    <row r="310" spans="1:7" ht="20.25" x14ac:dyDescent="0.25">
      <c r="A310" s="16"/>
      <c r="B310" s="16"/>
      <c r="C310" s="16"/>
      <c r="D310" s="16"/>
      <c r="E310" s="16"/>
      <c r="F310" s="16"/>
      <c r="G310" s="16"/>
    </row>
    <row r="311" spans="1:7" ht="20.25" x14ac:dyDescent="0.25">
      <c r="A311" s="16"/>
      <c r="B311" s="16"/>
      <c r="C311" s="16"/>
      <c r="D311" s="16"/>
      <c r="E311" s="16"/>
      <c r="F311" s="16"/>
      <c r="G311" s="16"/>
    </row>
    <row r="312" spans="1:7" ht="20.25" x14ac:dyDescent="0.25">
      <c r="A312" s="16"/>
      <c r="B312" s="16"/>
      <c r="C312" s="16"/>
      <c r="D312" s="16"/>
      <c r="E312" s="16"/>
      <c r="F312" s="16"/>
      <c r="G312" s="16"/>
    </row>
    <row r="313" spans="1:7" ht="20.25" x14ac:dyDescent="0.25">
      <c r="A313" s="16"/>
      <c r="B313" s="16"/>
      <c r="C313" s="16"/>
      <c r="D313" s="16"/>
      <c r="E313" s="16"/>
      <c r="F313" s="16"/>
      <c r="G313" s="16"/>
    </row>
    <row r="314" spans="1:7" ht="20.25" x14ac:dyDescent="0.25">
      <c r="A314" s="16"/>
      <c r="B314" s="16"/>
      <c r="C314" s="16"/>
      <c r="D314" s="16"/>
      <c r="E314" s="16"/>
      <c r="F314" s="16"/>
      <c r="G314" s="16"/>
    </row>
    <row r="315" spans="1:7" ht="20.25" x14ac:dyDescent="0.25">
      <c r="A315" s="16"/>
      <c r="B315" s="16"/>
      <c r="C315" s="16"/>
      <c r="D315" s="16"/>
      <c r="E315" s="16"/>
      <c r="F315" s="16"/>
      <c r="G315" s="16"/>
    </row>
    <row r="316" spans="1:7" ht="20.25" x14ac:dyDescent="0.25">
      <c r="A316" s="16"/>
      <c r="B316" s="16"/>
      <c r="C316" s="16"/>
      <c r="D316" s="16"/>
      <c r="E316" s="16"/>
      <c r="F316" s="16"/>
      <c r="G316" s="16"/>
    </row>
    <row r="317" spans="1:7" ht="20.25" x14ac:dyDescent="0.25">
      <c r="A317" s="16"/>
      <c r="B317" s="16"/>
      <c r="C317" s="16"/>
      <c r="D317" s="16"/>
      <c r="E317" s="16"/>
      <c r="F317" s="16"/>
      <c r="G317" s="16"/>
    </row>
    <row r="318" spans="1:7" ht="20.25" x14ac:dyDescent="0.25">
      <c r="A318" s="16"/>
      <c r="B318" s="16"/>
      <c r="C318" s="16"/>
      <c r="D318" s="16"/>
      <c r="E318" s="16"/>
      <c r="F318" s="16"/>
      <c r="G318" s="16"/>
    </row>
    <row r="319" spans="1:7" ht="20.25" x14ac:dyDescent="0.25">
      <c r="A319" s="16"/>
      <c r="B319" s="16"/>
      <c r="C319" s="16"/>
      <c r="D319" s="16"/>
      <c r="E319" s="16"/>
      <c r="F319" s="16"/>
      <c r="G319" s="16"/>
    </row>
    <row r="320" spans="1:7" ht="20.25" x14ac:dyDescent="0.25">
      <c r="A320" s="16"/>
      <c r="B320" s="16"/>
      <c r="C320" s="16"/>
      <c r="D320" s="16"/>
      <c r="E320" s="16"/>
      <c r="F320" s="16"/>
      <c r="G320" s="16"/>
    </row>
    <row r="321" spans="1:7" ht="20.25" x14ac:dyDescent="0.25">
      <c r="A321" s="16"/>
      <c r="B321" s="16"/>
      <c r="C321" s="16"/>
      <c r="D321" s="16"/>
      <c r="E321" s="16"/>
      <c r="F321" s="16"/>
      <c r="G321" s="16"/>
    </row>
    <row r="322" spans="1:7" ht="20.25" x14ac:dyDescent="0.25">
      <c r="A322" s="16"/>
      <c r="B322" s="16"/>
      <c r="C322" s="16"/>
      <c r="D322" s="16"/>
      <c r="E322" s="16"/>
      <c r="F322" s="16"/>
      <c r="G322" s="16"/>
    </row>
    <row r="323" spans="1:7" ht="20.25" x14ac:dyDescent="0.25">
      <c r="A323" s="16"/>
      <c r="B323" s="16"/>
      <c r="C323" s="16"/>
      <c r="D323" s="16"/>
      <c r="E323" s="16"/>
      <c r="F323" s="16"/>
      <c r="G323" s="16"/>
    </row>
    <row r="324" spans="1:7" ht="20.25" x14ac:dyDescent="0.25">
      <c r="A324" s="16"/>
      <c r="B324" s="16"/>
      <c r="C324" s="16"/>
      <c r="D324" s="16"/>
      <c r="E324" s="16"/>
      <c r="F324" s="16"/>
      <c r="G324" s="16"/>
    </row>
    <row r="325" spans="1:7" ht="20.25" x14ac:dyDescent="0.25">
      <c r="A325" s="16"/>
      <c r="B325" s="16"/>
      <c r="C325" s="16"/>
      <c r="D325" s="16"/>
      <c r="E325" s="16"/>
      <c r="F325" s="16"/>
      <c r="G325" s="16"/>
    </row>
    <row r="326" spans="1:7" ht="20.25" x14ac:dyDescent="0.25">
      <c r="A326" s="16"/>
      <c r="B326" s="16"/>
      <c r="C326" s="16"/>
      <c r="D326" s="16"/>
      <c r="E326" s="16"/>
      <c r="F326" s="16"/>
      <c r="G326" s="16"/>
    </row>
    <row r="327" spans="1:7" ht="20.25" x14ac:dyDescent="0.25">
      <c r="A327" s="16"/>
      <c r="B327" s="16"/>
      <c r="C327" s="16"/>
      <c r="D327" s="16"/>
      <c r="E327" s="16"/>
      <c r="F327" s="16"/>
      <c r="G327" s="16"/>
    </row>
    <row r="328" spans="1:7" ht="20.25" x14ac:dyDescent="0.25">
      <c r="A328" s="16"/>
      <c r="B328" s="16"/>
      <c r="C328" s="16"/>
      <c r="D328" s="16"/>
      <c r="E328" s="16"/>
      <c r="F328" s="16"/>
      <c r="G328" s="16"/>
    </row>
    <row r="329" spans="1:7" ht="20.25" x14ac:dyDescent="0.25">
      <c r="A329" s="16"/>
      <c r="B329" s="16"/>
      <c r="C329" s="16"/>
      <c r="D329" s="16"/>
      <c r="E329" s="16"/>
      <c r="F329" s="16"/>
      <c r="G329" s="16"/>
    </row>
    <row r="330" spans="1:7" ht="20.25" x14ac:dyDescent="0.25">
      <c r="A330" s="16"/>
      <c r="B330" s="16"/>
      <c r="C330" s="16"/>
      <c r="D330" s="16"/>
      <c r="E330" s="16"/>
      <c r="F330" s="16"/>
      <c r="G330" s="16"/>
    </row>
    <row r="331" spans="1:7" ht="20.25" x14ac:dyDescent="0.25">
      <c r="A331" s="16"/>
      <c r="B331" s="16"/>
      <c r="C331" s="16"/>
      <c r="D331" s="16"/>
      <c r="E331" s="16"/>
      <c r="F331" s="16"/>
      <c r="G331" s="16"/>
    </row>
    <row r="332" spans="1:7" ht="20.25" x14ac:dyDescent="0.25">
      <c r="A332" s="16"/>
      <c r="B332" s="16"/>
      <c r="C332" s="16"/>
      <c r="D332" s="16"/>
      <c r="E332" s="16"/>
      <c r="F332" s="16"/>
      <c r="G332" s="16"/>
    </row>
    <row r="333" spans="1:7" ht="20.25" x14ac:dyDescent="0.25">
      <c r="A333" s="16"/>
      <c r="B333" s="16"/>
      <c r="C333" s="16"/>
      <c r="D333" s="16"/>
      <c r="E333" s="16"/>
      <c r="F333" s="16"/>
      <c r="G333" s="16"/>
    </row>
    <row r="334" spans="1:7" ht="20.25" x14ac:dyDescent="0.25">
      <c r="A334" s="16"/>
      <c r="B334" s="16"/>
      <c r="C334" s="16"/>
      <c r="D334" s="16"/>
      <c r="E334" s="16"/>
      <c r="F334" s="16"/>
      <c r="G334" s="16"/>
    </row>
    <row r="335" spans="1:7" ht="20.25" x14ac:dyDescent="0.25">
      <c r="A335" s="16"/>
      <c r="B335" s="16"/>
      <c r="C335" s="16"/>
      <c r="D335" s="16"/>
      <c r="E335" s="16"/>
      <c r="F335" s="16"/>
      <c r="G335" s="16"/>
    </row>
    <row r="336" spans="1:7" ht="20.25" x14ac:dyDescent="0.25">
      <c r="A336" s="16"/>
      <c r="B336" s="16"/>
      <c r="C336" s="16"/>
      <c r="D336" s="16"/>
      <c r="E336" s="16"/>
      <c r="F336" s="16"/>
      <c r="G336" s="16"/>
    </row>
    <row r="337" spans="1:7" ht="20.25" x14ac:dyDescent="0.25">
      <c r="A337" s="16"/>
      <c r="B337" s="16"/>
      <c r="C337" s="16"/>
      <c r="D337" s="16"/>
      <c r="E337" s="16"/>
      <c r="F337" s="16"/>
      <c r="G337" s="16"/>
    </row>
    <row r="338" spans="1:7" ht="20.25" x14ac:dyDescent="0.25">
      <c r="A338" s="16"/>
      <c r="B338" s="16"/>
      <c r="C338" s="16"/>
      <c r="D338" s="16"/>
      <c r="E338" s="16"/>
      <c r="F338" s="16"/>
      <c r="G338" s="16"/>
    </row>
    <row r="339" spans="1:7" ht="20.25" x14ac:dyDescent="0.25">
      <c r="A339" s="16"/>
      <c r="B339" s="16"/>
      <c r="C339" s="16"/>
      <c r="D339" s="16"/>
      <c r="E339" s="16"/>
      <c r="F339" s="16"/>
      <c r="G339" s="16"/>
    </row>
    <row r="340" spans="1:7" ht="20.25" x14ac:dyDescent="0.25">
      <c r="A340" s="16"/>
      <c r="B340" s="16"/>
      <c r="C340" s="16"/>
      <c r="D340" s="16"/>
      <c r="E340" s="16"/>
      <c r="F340" s="16"/>
      <c r="G340" s="16"/>
    </row>
    <row r="341" spans="1:7" ht="20.25" x14ac:dyDescent="0.25">
      <c r="A341" s="16"/>
      <c r="B341" s="16"/>
      <c r="C341" s="16"/>
      <c r="D341" s="16"/>
      <c r="E341" s="16"/>
      <c r="F341" s="16"/>
      <c r="G341" s="16"/>
    </row>
    <row r="342" spans="1:7" ht="20.25" x14ac:dyDescent="0.25">
      <c r="A342" s="16"/>
      <c r="B342" s="16"/>
      <c r="C342" s="16"/>
      <c r="D342" s="16"/>
      <c r="E342" s="16"/>
      <c r="F342" s="16"/>
      <c r="G342" s="16"/>
    </row>
    <row r="343" spans="1:7" ht="20.25" x14ac:dyDescent="0.25">
      <c r="A343" s="16"/>
      <c r="B343" s="16"/>
      <c r="C343" s="16"/>
      <c r="D343" s="16"/>
      <c r="E343" s="16"/>
      <c r="F343" s="16"/>
      <c r="G343" s="16"/>
    </row>
    <row r="344" spans="1:7" ht="20.25" x14ac:dyDescent="0.25">
      <c r="A344" s="16"/>
      <c r="B344" s="16"/>
      <c r="C344" s="16"/>
      <c r="D344" s="16"/>
      <c r="E344" s="16"/>
      <c r="F344" s="16"/>
      <c r="G344" s="16"/>
    </row>
    <row r="345" spans="1:7" ht="20.25" x14ac:dyDescent="0.25">
      <c r="A345" s="16"/>
      <c r="B345" s="16"/>
      <c r="C345" s="16"/>
      <c r="D345" s="16"/>
      <c r="E345" s="16"/>
      <c r="F345" s="16"/>
      <c r="G345" s="16"/>
    </row>
    <row r="346" spans="1:7" ht="20.25" x14ac:dyDescent="0.25">
      <c r="A346" s="16"/>
      <c r="B346" s="16"/>
      <c r="C346" s="16"/>
      <c r="D346" s="16"/>
      <c r="E346" s="16"/>
      <c r="F346" s="16"/>
      <c r="G346" s="16"/>
    </row>
    <row r="347" spans="1:7" ht="20.25" x14ac:dyDescent="0.25">
      <c r="A347" s="16"/>
      <c r="B347" s="16"/>
      <c r="C347" s="16"/>
      <c r="D347" s="16"/>
      <c r="E347" s="16"/>
      <c r="F347" s="16"/>
      <c r="G347" s="16"/>
    </row>
    <row r="348" spans="1:7" ht="20.25" x14ac:dyDescent="0.25">
      <c r="A348" s="16"/>
      <c r="B348" s="16"/>
      <c r="C348" s="16"/>
      <c r="D348" s="16"/>
      <c r="E348" s="16"/>
      <c r="F348" s="16"/>
      <c r="G348" s="16"/>
    </row>
    <row r="349" spans="1:7" ht="20.25" x14ac:dyDescent="0.25">
      <c r="A349" s="16"/>
      <c r="B349" s="16"/>
      <c r="C349" s="16"/>
      <c r="D349" s="16"/>
      <c r="E349" s="16"/>
      <c r="F349" s="16"/>
      <c r="G349" s="16"/>
    </row>
    <row r="350" spans="1:7" ht="20.25" x14ac:dyDescent="0.25">
      <c r="A350" s="16"/>
      <c r="B350" s="16"/>
      <c r="C350" s="16"/>
      <c r="D350" s="16"/>
      <c r="E350" s="16"/>
      <c r="F350" s="16"/>
      <c r="G350" s="16"/>
    </row>
    <row r="351" spans="1:7" ht="20.25" x14ac:dyDescent="0.25">
      <c r="A351" s="16"/>
      <c r="B351" s="16"/>
      <c r="C351" s="16"/>
      <c r="D351" s="16"/>
      <c r="E351" s="16"/>
      <c r="F351" s="16"/>
      <c r="G351" s="16"/>
    </row>
    <row r="352" spans="1:7" ht="20.25" x14ac:dyDescent="0.25">
      <c r="A352" s="16"/>
      <c r="B352" s="16"/>
      <c r="C352" s="16"/>
      <c r="D352" s="16"/>
      <c r="E352" s="16"/>
      <c r="F352" s="16"/>
      <c r="G352" s="16"/>
    </row>
    <row r="353" spans="1:7" ht="20.25" x14ac:dyDescent="0.25">
      <c r="A353" s="16"/>
      <c r="B353" s="16"/>
      <c r="C353" s="16"/>
      <c r="D353" s="16"/>
      <c r="E353" s="16"/>
      <c r="F353" s="16"/>
      <c r="G353" s="16"/>
    </row>
    <row r="354" spans="1:7" ht="20.25" x14ac:dyDescent="0.25">
      <c r="A354" s="16"/>
      <c r="B354" s="16"/>
      <c r="C354" s="16"/>
      <c r="D354" s="16"/>
      <c r="E354" s="16"/>
      <c r="F354" s="16"/>
      <c r="G354" s="16"/>
    </row>
    <row r="355" spans="1:7" ht="20.25" x14ac:dyDescent="0.25">
      <c r="A355" s="16"/>
      <c r="B355" s="16"/>
      <c r="C355" s="16"/>
      <c r="D355" s="16"/>
      <c r="E355" s="16"/>
      <c r="F355" s="16"/>
      <c r="G355" s="16"/>
    </row>
    <row r="356" spans="1:7" ht="20.25" x14ac:dyDescent="0.25">
      <c r="A356" s="16"/>
      <c r="B356" s="16"/>
      <c r="C356" s="16"/>
      <c r="D356" s="16"/>
      <c r="E356" s="16"/>
      <c r="F356" s="16"/>
      <c r="G356" s="16"/>
    </row>
    <row r="357" spans="1:7" ht="20.25" x14ac:dyDescent="0.25">
      <c r="A357" s="16"/>
      <c r="B357" s="16"/>
      <c r="C357" s="16"/>
      <c r="D357" s="16"/>
      <c r="E357" s="16"/>
      <c r="F357" s="16"/>
      <c r="G357" s="16"/>
    </row>
    <row r="358" spans="1:7" ht="20.25" x14ac:dyDescent="0.25">
      <c r="A358" s="16"/>
      <c r="B358" s="16"/>
      <c r="C358" s="16"/>
      <c r="D358" s="16"/>
      <c r="E358" s="16"/>
      <c r="F358" s="16"/>
      <c r="G358" s="16"/>
    </row>
    <row r="359" spans="1:7" ht="20.25" x14ac:dyDescent="0.25">
      <c r="A359" s="16"/>
      <c r="B359" s="16"/>
      <c r="C359" s="16"/>
      <c r="D359" s="16"/>
      <c r="E359" s="16"/>
      <c r="F359" s="16"/>
      <c r="G359" s="16"/>
    </row>
    <row r="360" spans="1:7" ht="20.25" x14ac:dyDescent="0.25">
      <c r="A360" s="16"/>
      <c r="B360" s="16"/>
      <c r="C360" s="16"/>
      <c r="D360" s="16"/>
      <c r="E360" s="16"/>
      <c r="F360" s="16"/>
      <c r="G360" s="16"/>
    </row>
    <row r="361" spans="1:7" ht="20.25" x14ac:dyDescent="0.25">
      <c r="A361" s="16"/>
      <c r="B361" s="16"/>
      <c r="C361" s="16"/>
      <c r="D361" s="16"/>
      <c r="E361" s="16"/>
      <c r="F361" s="16"/>
      <c r="G361" s="16"/>
    </row>
    <row r="362" spans="1:7" ht="20.25" x14ac:dyDescent="0.25">
      <c r="A362" s="16"/>
      <c r="B362" s="16"/>
      <c r="C362" s="16"/>
      <c r="D362" s="16"/>
      <c r="E362" s="16"/>
      <c r="F362" s="16"/>
      <c r="G362" s="16"/>
    </row>
    <row r="363" spans="1:7" ht="20.25" x14ac:dyDescent="0.25">
      <c r="A363" s="16"/>
      <c r="B363" s="16"/>
      <c r="C363" s="16"/>
      <c r="D363" s="16"/>
      <c r="E363" s="16"/>
      <c r="F363" s="16"/>
      <c r="G363" s="16"/>
    </row>
    <row r="364" spans="1:7" ht="20.25" x14ac:dyDescent="0.25">
      <c r="A364" s="16"/>
      <c r="B364" s="16"/>
      <c r="C364" s="16"/>
      <c r="D364" s="16"/>
      <c r="E364" s="16"/>
      <c r="F364" s="16"/>
      <c r="G364" s="16"/>
    </row>
    <row r="365" spans="1:7" ht="20.25" x14ac:dyDescent="0.25">
      <c r="A365" s="16"/>
      <c r="B365" s="16"/>
      <c r="C365" s="16"/>
      <c r="D365" s="16"/>
      <c r="E365" s="16"/>
      <c r="F365" s="16"/>
      <c r="G365" s="16"/>
    </row>
    <row r="366" spans="1:7" ht="20.25" x14ac:dyDescent="0.25">
      <c r="A366" s="16"/>
      <c r="B366" s="16"/>
      <c r="C366" s="16"/>
      <c r="D366" s="16"/>
      <c r="E366" s="16"/>
      <c r="F366" s="16"/>
      <c r="G366" s="16"/>
    </row>
    <row r="367" spans="1:7" ht="20.25" x14ac:dyDescent="0.25">
      <c r="A367" s="16"/>
      <c r="B367" s="16"/>
      <c r="C367" s="16"/>
      <c r="D367" s="16"/>
      <c r="E367" s="16"/>
      <c r="F367" s="16"/>
      <c r="G367" s="16"/>
    </row>
    <row r="368" spans="1:7" ht="20.25" x14ac:dyDescent="0.25">
      <c r="A368" s="16"/>
      <c r="B368" s="16"/>
      <c r="C368" s="16"/>
      <c r="D368" s="16"/>
      <c r="E368" s="16"/>
      <c r="F368" s="16"/>
      <c r="G368" s="16"/>
    </row>
    <row r="369" spans="1:7" ht="20.25" x14ac:dyDescent="0.25">
      <c r="A369" s="16"/>
      <c r="B369" s="16"/>
      <c r="C369" s="16"/>
      <c r="D369" s="16"/>
      <c r="E369" s="16"/>
      <c r="F369" s="16"/>
      <c r="G369" s="16"/>
    </row>
    <row r="370" spans="1:7" ht="20.25" x14ac:dyDescent="0.25">
      <c r="A370" s="16"/>
      <c r="B370" s="16"/>
      <c r="C370" s="16"/>
      <c r="D370" s="16"/>
      <c r="E370" s="16"/>
      <c r="F370" s="16"/>
      <c r="G370" s="16"/>
    </row>
    <row r="371" spans="1:7" ht="20.25" x14ac:dyDescent="0.25">
      <c r="A371" s="16"/>
      <c r="B371" s="16"/>
      <c r="C371" s="16"/>
      <c r="D371" s="16"/>
      <c r="E371" s="16"/>
      <c r="F371" s="16"/>
      <c r="G371" s="16"/>
    </row>
    <row r="372" spans="1:7" ht="20.25" x14ac:dyDescent="0.25">
      <c r="A372" s="16"/>
      <c r="B372" s="16"/>
      <c r="C372" s="16"/>
      <c r="D372" s="16"/>
      <c r="E372" s="16"/>
      <c r="F372" s="16"/>
      <c r="G372" s="16"/>
    </row>
    <row r="373" spans="1:7" ht="20.25" x14ac:dyDescent="0.25">
      <c r="A373" s="16"/>
      <c r="B373" s="16"/>
      <c r="C373" s="16"/>
      <c r="D373" s="16"/>
      <c r="E373" s="16"/>
      <c r="F373" s="16"/>
      <c r="G373" s="16"/>
    </row>
    <row r="374" spans="1:7" ht="20.25" x14ac:dyDescent="0.25">
      <c r="A374" s="16"/>
      <c r="B374" s="16"/>
      <c r="C374" s="16"/>
      <c r="D374" s="16"/>
      <c r="E374" s="16"/>
      <c r="F374" s="16"/>
      <c r="G374" s="16"/>
    </row>
    <row r="375" spans="1:7" ht="20.25" x14ac:dyDescent="0.25">
      <c r="A375" s="16"/>
      <c r="B375" s="16"/>
      <c r="C375" s="16"/>
      <c r="D375" s="16"/>
      <c r="E375" s="16"/>
      <c r="F375" s="16"/>
      <c r="G375" s="16"/>
    </row>
    <row r="376" spans="1:7" ht="20.25" x14ac:dyDescent="0.25">
      <c r="A376" s="16"/>
      <c r="B376" s="16"/>
      <c r="C376" s="16"/>
      <c r="D376" s="16"/>
      <c r="E376" s="16"/>
      <c r="F376" s="16"/>
      <c r="G376" s="16"/>
    </row>
    <row r="377" spans="1:7" ht="20.25" x14ac:dyDescent="0.25">
      <c r="A377" s="16"/>
      <c r="B377" s="16"/>
      <c r="C377" s="16"/>
      <c r="D377" s="16"/>
      <c r="E377" s="16"/>
      <c r="F377" s="16"/>
      <c r="G377" s="16"/>
    </row>
    <row r="378" spans="1:7" ht="20.25" x14ac:dyDescent="0.25">
      <c r="A378" s="16"/>
      <c r="B378" s="16"/>
      <c r="C378" s="16"/>
      <c r="D378" s="16"/>
      <c r="E378" s="16"/>
      <c r="F378" s="16"/>
      <c r="G378" s="16"/>
    </row>
    <row r="379" spans="1:7" ht="20.25" x14ac:dyDescent="0.25">
      <c r="A379" s="16"/>
      <c r="B379" s="16"/>
      <c r="C379" s="16"/>
      <c r="D379" s="16"/>
      <c r="E379" s="16"/>
      <c r="F379" s="16"/>
      <c r="G379" s="16"/>
    </row>
    <row r="380" spans="1:7" ht="20.25" x14ac:dyDescent="0.25">
      <c r="A380" s="16"/>
      <c r="B380" s="16"/>
      <c r="C380" s="16"/>
      <c r="D380" s="16"/>
      <c r="E380" s="16"/>
      <c r="F380" s="16"/>
      <c r="G380" s="16"/>
    </row>
    <row r="381" spans="1:7" ht="20.25" x14ac:dyDescent="0.25">
      <c r="A381" s="16"/>
      <c r="B381" s="16"/>
      <c r="C381" s="16"/>
      <c r="D381" s="16"/>
      <c r="E381" s="16"/>
      <c r="F381" s="16"/>
      <c r="G381" s="16"/>
    </row>
    <row r="382" spans="1:7" ht="20.25" x14ac:dyDescent="0.25">
      <c r="A382" s="16"/>
      <c r="B382" s="16"/>
      <c r="C382" s="16"/>
      <c r="D382" s="16"/>
      <c r="E382" s="16"/>
      <c r="F382" s="16"/>
      <c r="G382" s="16"/>
    </row>
    <row r="383" spans="1:7" ht="20.25" x14ac:dyDescent="0.25">
      <c r="A383" s="16"/>
      <c r="B383" s="16"/>
      <c r="C383" s="16"/>
      <c r="D383" s="16"/>
      <c r="E383" s="16"/>
      <c r="F383" s="16"/>
      <c r="G383" s="16"/>
    </row>
    <row r="384" spans="1:7" ht="20.25" x14ac:dyDescent="0.25">
      <c r="A384" s="16"/>
      <c r="B384" s="16"/>
      <c r="C384" s="16"/>
      <c r="D384" s="16"/>
      <c r="E384" s="16"/>
      <c r="F384" s="16"/>
      <c r="G384" s="16"/>
    </row>
    <row r="385" spans="1:7" ht="20.25" x14ac:dyDescent="0.25">
      <c r="A385" s="16"/>
      <c r="B385" s="16"/>
      <c r="C385" s="16"/>
      <c r="D385" s="16"/>
      <c r="E385" s="16"/>
      <c r="F385" s="16"/>
      <c r="G385" s="16"/>
    </row>
    <row r="386" spans="1:7" ht="20.25" x14ac:dyDescent="0.25">
      <c r="A386" s="16"/>
      <c r="B386" s="16"/>
      <c r="C386" s="16"/>
      <c r="D386" s="16"/>
      <c r="E386" s="16"/>
      <c r="F386" s="16"/>
      <c r="G386" s="16"/>
    </row>
    <row r="387" spans="1:7" ht="20.25" x14ac:dyDescent="0.25">
      <c r="A387" s="16"/>
      <c r="B387" s="16"/>
      <c r="C387" s="16"/>
      <c r="D387" s="16"/>
      <c r="E387" s="16"/>
      <c r="F387" s="16"/>
      <c r="G387" s="16"/>
    </row>
    <row r="388" spans="1:7" ht="20.25" x14ac:dyDescent="0.25">
      <c r="A388" s="16"/>
      <c r="B388" s="16"/>
      <c r="C388" s="16"/>
      <c r="D388" s="16"/>
      <c r="E388" s="16"/>
      <c r="F388" s="16"/>
      <c r="G388" s="16"/>
    </row>
    <row r="389" spans="1:7" ht="20.25" x14ac:dyDescent="0.25">
      <c r="A389" s="16"/>
      <c r="B389" s="16"/>
      <c r="C389" s="16"/>
      <c r="D389" s="16"/>
      <c r="E389" s="16"/>
      <c r="F389" s="16"/>
      <c r="G389" s="16"/>
    </row>
    <row r="390" spans="1:7" ht="20.25" x14ac:dyDescent="0.25">
      <c r="A390" s="16"/>
      <c r="B390" s="16"/>
      <c r="C390" s="16"/>
      <c r="D390" s="16"/>
      <c r="E390" s="16"/>
      <c r="F390" s="16"/>
      <c r="G390" s="16"/>
    </row>
    <row r="391" spans="1:7" ht="20.25" x14ac:dyDescent="0.25">
      <c r="A391" s="16"/>
      <c r="B391" s="16"/>
      <c r="C391" s="16"/>
      <c r="D391" s="16"/>
      <c r="E391" s="16"/>
      <c r="F391" s="16"/>
      <c r="G391" s="16"/>
    </row>
    <row r="392" spans="1:7" ht="20.25" x14ac:dyDescent="0.25">
      <c r="A392" s="16"/>
      <c r="B392" s="16"/>
      <c r="C392" s="16"/>
      <c r="D392" s="16"/>
      <c r="E392" s="16"/>
      <c r="F392" s="16"/>
      <c r="G392" s="16"/>
    </row>
    <row r="393" spans="1:7" ht="20.25" x14ac:dyDescent="0.25">
      <c r="A393" s="16"/>
      <c r="B393" s="16"/>
      <c r="C393" s="16"/>
      <c r="D393" s="16"/>
      <c r="E393" s="16"/>
      <c r="F393" s="16"/>
      <c r="G393" s="16"/>
    </row>
    <row r="394" spans="1:7" ht="20.25" x14ac:dyDescent="0.25">
      <c r="A394" s="16"/>
      <c r="B394" s="16"/>
      <c r="C394" s="16"/>
      <c r="D394" s="16"/>
      <c r="E394" s="16"/>
      <c r="F394" s="16"/>
      <c r="G394" s="16"/>
    </row>
    <row r="395" spans="1:7" ht="20.25" x14ac:dyDescent="0.25">
      <c r="A395" s="16"/>
      <c r="B395" s="16"/>
      <c r="C395" s="16"/>
      <c r="D395" s="16"/>
      <c r="E395" s="16"/>
      <c r="F395" s="16"/>
      <c r="G395" s="16"/>
    </row>
    <row r="396" spans="1:7" ht="20.25" x14ac:dyDescent="0.25">
      <c r="A396" s="16"/>
      <c r="B396" s="16"/>
      <c r="C396" s="16"/>
      <c r="D396" s="16"/>
      <c r="E396" s="16"/>
      <c r="F396" s="16"/>
      <c r="G396" s="16"/>
    </row>
    <row r="397" spans="1:7" ht="20.25" x14ac:dyDescent="0.25">
      <c r="A397" s="16"/>
      <c r="B397" s="16"/>
      <c r="C397" s="16"/>
      <c r="D397" s="16"/>
      <c r="E397" s="16"/>
      <c r="F397" s="16"/>
      <c r="G397" s="16"/>
    </row>
    <row r="398" spans="1:7" ht="20.25" x14ac:dyDescent="0.25">
      <c r="A398" s="16"/>
      <c r="B398" s="16"/>
      <c r="C398" s="16"/>
      <c r="D398" s="16"/>
      <c r="E398" s="16"/>
      <c r="F398" s="16"/>
      <c r="G398" s="16"/>
    </row>
    <row r="399" spans="1:7" ht="20.25" x14ac:dyDescent="0.25">
      <c r="A399" s="16"/>
      <c r="B399" s="16"/>
      <c r="C399" s="16"/>
      <c r="D399" s="16"/>
      <c r="E399" s="16"/>
      <c r="F399" s="16"/>
      <c r="G399" s="16"/>
    </row>
    <row r="400" spans="1:7" ht="20.25" x14ac:dyDescent="0.25">
      <c r="A400" s="16"/>
      <c r="B400" s="16"/>
      <c r="C400" s="16"/>
      <c r="D400" s="16"/>
      <c r="E400" s="16"/>
      <c r="F400" s="16"/>
      <c r="G400" s="16"/>
    </row>
    <row r="401" spans="1:7" ht="20.25" x14ac:dyDescent="0.25">
      <c r="A401" s="16"/>
      <c r="B401" s="16"/>
      <c r="C401" s="16"/>
      <c r="D401" s="16"/>
      <c r="E401" s="16"/>
      <c r="F401" s="16"/>
      <c r="G401" s="16"/>
    </row>
    <row r="402" spans="1:7" ht="20.25" x14ac:dyDescent="0.25">
      <c r="A402" s="16"/>
      <c r="B402" s="16"/>
      <c r="C402" s="16"/>
      <c r="D402" s="16"/>
      <c r="E402" s="16"/>
      <c r="F402" s="16"/>
      <c r="G402" s="16"/>
    </row>
    <row r="403" spans="1:7" ht="20.25" x14ac:dyDescent="0.25">
      <c r="A403" s="16"/>
      <c r="B403" s="16"/>
      <c r="C403" s="16"/>
      <c r="D403" s="16"/>
      <c r="E403" s="16"/>
      <c r="F403" s="16"/>
      <c r="G403" s="16"/>
    </row>
    <row r="404" spans="1:7" ht="20.25" x14ac:dyDescent="0.25">
      <c r="A404" s="16"/>
      <c r="B404" s="16"/>
      <c r="C404" s="16"/>
      <c r="D404" s="16"/>
      <c r="E404" s="16"/>
      <c r="F404" s="16"/>
      <c r="G404" s="16"/>
    </row>
    <row r="405" spans="1:7" ht="20.25" x14ac:dyDescent="0.25">
      <c r="A405" s="16"/>
      <c r="B405" s="16"/>
      <c r="C405" s="16"/>
      <c r="D405" s="16"/>
      <c r="E405" s="16"/>
      <c r="F405" s="16"/>
      <c r="G405" s="16"/>
    </row>
    <row r="406" spans="1:7" ht="20.25" x14ac:dyDescent="0.25">
      <c r="A406" s="16"/>
      <c r="B406" s="16"/>
      <c r="C406" s="16"/>
      <c r="D406" s="16"/>
      <c r="E406" s="16"/>
      <c r="F406" s="16"/>
      <c r="G406" s="16"/>
    </row>
    <row r="407" spans="1:7" ht="20.25" x14ac:dyDescent="0.25">
      <c r="A407" s="16"/>
      <c r="B407" s="16"/>
      <c r="C407" s="16"/>
      <c r="D407" s="16"/>
      <c r="E407" s="16"/>
      <c r="F407" s="16"/>
      <c r="G407" s="16"/>
    </row>
    <row r="408" spans="1:7" ht="20.25" x14ac:dyDescent="0.25">
      <c r="A408" s="16"/>
      <c r="B408" s="16"/>
      <c r="C408" s="16"/>
      <c r="D408" s="16"/>
      <c r="E408" s="16"/>
      <c r="F408" s="16"/>
      <c r="G408" s="16"/>
    </row>
    <row r="409" spans="1:7" ht="20.25" x14ac:dyDescent="0.25">
      <c r="A409" s="16"/>
      <c r="B409" s="16"/>
      <c r="C409" s="16"/>
      <c r="D409" s="16"/>
      <c r="E409" s="16"/>
      <c r="F409" s="16"/>
      <c r="G409" s="16"/>
    </row>
    <row r="410" spans="1:7" ht="20.25" x14ac:dyDescent="0.25">
      <c r="A410" s="16"/>
      <c r="B410" s="16"/>
      <c r="C410" s="16"/>
      <c r="D410" s="16"/>
      <c r="E410" s="16"/>
      <c r="F410" s="16"/>
      <c r="G410" s="16"/>
    </row>
    <row r="411" spans="1:7" ht="20.25" x14ac:dyDescent="0.25">
      <c r="A411" s="16"/>
      <c r="B411" s="16"/>
      <c r="C411" s="16"/>
      <c r="D411" s="16"/>
      <c r="E411" s="16"/>
      <c r="F411" s="16"/>
      <c r="G411" s="16"/>
    </row>
    <row r="412" spans="1:7" ht="20.25" x14ac:dyDescent="0.25">
      <c r="A412" s="16"/>
      <c r="B412" s="16"/>
      <c r="C412" s="16"/>
      <c r="D412" s="16"/>
      <c r="E412" s="16"/>
      <c r="F412" s="16"/>
      <c r="G412" s="16"/>
    </row>
    <row r="413" spans="1:7" ht="20.25" x14ac:dyDescent="0.25">
      <c r="A413" s="16"/>
      <c r="B413" s="16"/>
      <c r="C413" s="16"/>
      <c r="D413" s="16"/>
      <c r="E413" s="16"/>
      <c r="F413" s="16"/>
      <c r="G413" s="16"/>
    </row>
    <row r="414" spans="1:7" ht="20.25" x14ac:dyDescent="0.25">
      <c r="A414" s="16"/>
      <c r="B414" s="16"/>
      <c r="C414" s="16"/>
      <c r="D414" s="16"/>
      <c r="E414" s="16"/>
      <c r="F414" s="16"/>
      <c r="G414" s="16"/>
    </row>
    <row r="415" spans="1:7" ht="20.25" x14ac:dyDescent="0.25">
      <c r="A415" s="16"/>
      <c r="B415" s="16"/>
      <c r="C415" s="16"/>
      <c r="D415" s="16"/>
      <c r="E415" s="16"/>
      <c r="F415" s="16"/>
      <c r="G415" s="16"/>
    </row>
    <row r="416" spans="1:7" ht="20.25" x14ac:dyDescent="0.25">
      <c r="A416" s="16"/>
      <c r="B416" s="16"/>
      <c r="C416" s="16"/>
      <c r="D416" s="16"/>
      <c r="E416" s="16"/>
      <c r="F416" s="16"/>
      <c r="G416" s="16"/>
    </row>
    <row r="417" spans="1:7" ht="20.25" x14ac:dyDescent="0.25">
      <c r="A417" s="16"/>
      <c r="B417" s="16"/>
      <c r="C417" s="16"/>
      <c r="D417" s="16"/>
      <c r="E417" s="16"/>
      <c r="F417" s="16"/>
      <c r="G417" s="16"/>
    </row>
    <row r="418" spans="1:7" ht="20.25" x14ac:dyDescent="0.25">
      <c r="A418" s="16"/>
      <c r="B418" s="16"/>
      <c r="C418" s="16"/>
      <c r="D418" s="16"/>
      <c r="E418" s="16"/>
      <c r="F418" s="16"/>
      <c r="G418" s="16"/>
    </row>
    <row r="419" spans="1:7" ht="20.25" x14ac:dyDescent="0.25">
      <c r="A419" s="16"/>
      <c r="B419" s="16"/>
      <c r="C419" s="16"/>
      <c r="D419" s="16"/>
      <c r="E419" s="16"/>
      <c r="F419" s="16"/>
      <c r="G419" s="16"/>
    </row>
    <row r="420" spans="1:7" ht="20.25" x14ac:dyDescent="0.25">
      <c r="A420" s="16"/>
      <c r="B420" s="16"/>
      <c r="C420" s="16"/>
      <c r="D420" s="16"/>
      <c r="E420" s="16"/>
      <c r="F420" s="16"/>
      <c r="G420" s="16"/>
    </row>
    <row r="421" spans="1:7" ht="20.25" x14ac:dyDescent="0.25">
      <c r="A421" s="16"/>
      <c r="B421" s="16"/>
      <c r="C421" s="16"/>
      <c r="D421" s="16"/>
      <c r="E421" s="16"/>
      <c r="F421" s="16"/>
      <c r="G421" s="16"/>
    </row>
    <row r="422" spans="1:7" ht="20.25" x14ac:dyDescent="0.25">
      <c r="A422" s="16"/>
      <c r="B422" s="16"/>
      <c r="C422" s="16"/>
      <c r="D422" s="16"/>
      <c r="E422" s="16"/>
      <c r="F422" s="16"/>
      <c r="G422" s="16"/>
    </row>
    <row r="423" spans="1:7" ht="20.25" x14ac:dyDescent="0.25">
      <c r="A423" s="16"/>
      <c r="B423" s="16"/>
      <c r="C423" s="16"/>
      <c r="D423" s="16"/>
      <c r="E423" s="16"/>
      <c r="F423" s="16"/>
      <c r="G423" s="16"/>
    </row>
    <row r="424" spans="1:7" ht="20.25" x14ac:dyDescent="0.25">
      <c r="A424" s="16"/>
      <c r="B424" s="16"/>
      <c r="C424" s="16"/>
      <c r="D424" s="16"/>
      <c r="E424" s="16"/>
      <c r="F424" s="16"/>
      <c r="G424" s="16"/>
    </row>
    <row r="425" spans="1:7" ht="20.25" x14ac:dyDescent="0.25">
      <c r="A425" s="16"/>
      <c r="B425" s="16"/>
      <c r="C425" s="16"/>
      <c r="D425" s="16"/>
      <c r="E425" s="16"/>
      <c r="F425" s="16"/>
      <c r="G425" s="16"/>
    </row>
    <row r="426" spans="1:7" ht="20.25" x14ac:dyDescent="0.25">
      <c r="A426" s="16"/>
      <c r="B426" s="16"/>
      <c r="C426" s="16"/>
      <c r="D426" s="16"/>
      <c r="E426" s="16"/>
      <c r="F426" s="16"/>
      <c r="G426" s="16"/>
    </row>
    <row r="427" spans="1:7" ht="20.25" x14ac:dyDescent="0.25">
      <c r="A427" s="16"/>
      <c r="B427" s="16"/>
      <c r="C427" s="16"/>
      <c r="D427" s="16"/>
      <c r="E427" s="16"/>
      <c r="F427" s="16"/>
      <c r="G427" s="16"/>
    </row>
    <row r="428" spans="1:7" ht="20.25" x14ac:dyDescent="0.25">
      <c r="A428" s="16"/>
      <c r="B428" s="16"/>
      <c r="C428" s="16"/>
      <c r="D428" s="16"/>
      <c r="E428" s="16"/>
      <c r="F428" s="16"/>
      <c r="G428" s="16"/>
    </row>
    <row r="429" spans="1:7" ht="20.25" x14ac:dyDescent="0.25">
      <c r="A429" s="16"/>
      <c r="B429" s="16"/>
      <c r="C429" s="16"/>
      <c r="D429" s="16"/>
      <c r="E429" s="16"/>
      <c r="F429" s="16"/>
      <c r="G429" s="16"/>
    </row>
    <row r="430" spans="1:7" ht="20.25" x14ac:dyDescent="0.25">
      <c r="A430" s="16"/>
      <c r="B430" s="16"/>
      <c r="C430" s="16"/>
      <c r="D430" s="16"/>
      <c r="E430" s="16"/>
      <c r="F430" s="16"/>
      <c r="G430" s="16"/>
    </row>
    <row r="431" spans="1:7" ht="20.25" x14ac:dyDescent="0.25">
      <c r="A431" s="16"/>
      <c r="B431" s="16"/>
      <c r="C431" s="16"/>
      <c r="D431" s="16"/>
      <c r="E431" s="16"/>
      <c r="F431" s="16"/>
      <c r="G431" s="16"/>
    </row>
    <row r="432" spans="1:7" ht="20.25" x14ac:dyDescent="0.25">
      <c r="A432" s="16"/>
      <c r="B432" s="16"/>
      <c r="C432" s="16"/>
      <c r="D432" s="16"/>
      <c r="E432" s="16"/>
      <c r="F432" s="16"/>
      <c r="G432" s="16"/>
    </row>
    <row r="433" spans="1:7" ht="20.25" x14ac:dyDescent="0.25">
      <c r="A433" s="16"/>
      <c r="B433" s="16"/>
      <c r="C433" s="16"/>
      <c r="D433" s="16"/>
      <c r="E433" s="16"/>
      <c r="F433" s="16"/>
      <c r="G433" s="16"/>
    </row>
    <row r="434" spans="1:7" ht="20.25" x14ac:dyDescent="0.25">
      <c r="A434" s="16"/>
      <c r="B434" s="16"/>
      <c r="C434" s="16"/>
      <c r="D434" s="16"/>
      <c r="E434" s="16"/>
      <c r="F434" s="16"/>
      <c r="G434" s="16"/>
    </row>
    <row r="435" spans="1:7" ht="20.25" x14ac:dyDescent="0.25">
      <c r="A435" s="16"/>
      <c r="B435" s="16"/>
      <c r="C435" s="16"/>
      <c r="D435" s="16"/>
      <c r="E435" s="16"/>
      <c r="F435" s="16"/>
      <c r="G435" s="16"/>
    </row>
    <row r="436" spans="1:7" ht="20.25" x14ac:dyDescent="0.25">
      <c r="A436" s="16"/>
      <c r="B436" s="16"/>
      <c r="C436" s="16"/>
      <c r="D436" s="16"/>
      <c r="E436" s="16"/>
      <c r="F436" s="16"/>
      <c r="G436" s="16"/>
    </row>
    <row r="437" spans="1:7" ht="20.25" x14ac:dyDescent="0.25">
      <c r="A437" s="16"/>
      <c r="B437" s="16"/>
      <c r="C437" s="16"/>
      <c r="D437" s="16"/>
      <c r="E437" s="16"/>
      <c r="F437" s="16"/>
      <c r="G437" s="16"/>
    </row>
  </sheetData>
  <mergeCells count="5">
    <mergeCell ref="A173:H173"/>
    <mergeCell ref="A229:H229"/>
    <mergeCell ref="A117:H117"/>
    <mergeCell ref="A60:H60"/>
    <mergeCell ref="A2:H2"/>
  </mergeCells>
  <pageMargins left="0.31496062992125984" right="0.19685039370078741" top="0.31496062992125984" bottom="0.35433070866141736" header="0.31496062992125984" footer="0.31496062992125984"/>
  <pageSetup scale="75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G344"/>
  <sheetViews>
    <sheetView topLeftCell="A81" workbookViewId="0">
      <selection activeCell="E82" sqref="E82"/>
    </sheetView>
  </sheetViews>
  <sheetFormatPr defaultColWidth="26.42578125" defaultRowHeight="20.25" x14ac:dyDescent="0.25"/>
  <cols>
    <col min="1" max="1" width="6.85546875" style="16" bestFit="1" customWidth="1"/>
    <col min="2" max="2" width="14.5703125" style="16" bestFit="1" customWidth="1"/>
    <col min="3" max="3" width="14.5703125" style="16" customWidth="1"/>
    <col min="4" max="4" width="29.42578125" style="16" bestFit="1" customWidth="1"/>
    <col min="5" max="5" width="38.85546875" style="16" customWidth="1"/>
    <col min="6" max="6" width="44.42578125" style="16" customWidth="1"/>
    <col min="7" max="7" width="41.28515625" style="16" customWidth="1"/>
    <col min="8" max="16384" width="26.42578125" style="16"/>
  </cols>
  <sheetData>
    <row r="2" spans="1:7" x14ac:dyDescent="0.25">
      <c r="A2" s="603" t="s">
        <v>1656</v>
      </c>
      <c r="B2" s="603"/>
      <c r="C2" s="603"/>
      <c r="D2" s="603"/>
      <c r="E2" s="603"/>
      <c r="F2" s="603"/>
      <c r="G2" s="603"/>
    </row>
    <row r="3" spans="1:7" ht="40.5" x14ac:dyDescent="0.25">
      <c r="A3" s="1" t="s">
        <v>211</v>
      </c>
      <c r="B3" s="1" t="s">
        <v>217</v>
      </c>
      <c r="C3" s="1" t="s">
        <v>788</v>
      </c>
      <c r="D3" s="1" t="s">
        <v>789</v>
      </c>
      <c r="E3" s="1" t="s">
        <v>790</v>
      </c>
      <c r="F3" s="1" t="s">
        <v>791</v>
      </c>
      <c r="G3" s="1" t="s">
        <v>216</v>
      </c>
    </row>
    <row r="4" spans="1:7" ht="225" customHeight="1" x14ac:dyDescent="0.25">
      <c r="A4" s="1">
        <v>1</v>
      </c>
      <c r="B4" s="1" t="s">
        <v>186</v>
      </c>
      <c r="C4" s="1" t="s">
        <v>39</v>
      </c>
      <c r="D4" s="1" t="s">
        <v>930</v>
      </c>
      <c r="E4" s="13" t="s">
        <v>18</v>
      </c>
      <c r="F4" s="1" t="s">
        <v>931</v>
      </c>
      <c r="G4" s="1"/>
    </row>
    <row r="5" spans="1:7" x14ac:dyDescent="0.25">
      <c r="A5" s="1"/>
      <c r="B5" s="1"/>
      <c r="C5" s="1" t="s">
        <v>186</v>
      </c>
      <c r="D5" s="1" t="s">
        <v>792</v>
      </c>
      <c r="E5" s="13" t="s">
        <v>18</v>
      </c>
      <c r="F5" s="13" t="s">
        <v>18</v>
      </c>
      <c r="G5" s="13" t="s">
        <v>18</v>
      </c>
    </row>
    <row r="6" spans="1:7" x14ac:dyDescent="0.25">
      <c r="A6" s="1">
        <v>2</v>
      </c>
      <c r="B6" s="1" t="s">
        <v>257</v>
      </c>
      <c r="C6" s="1" t="s">
        <v>257</v>
      </c>
      <c r="D6" s="1" t="s">
        <v>792</v>
      </c>
      <c r="E6" s="13" t="s">
        <v>18</v>
      </c>
      <c r="F6" s="13" t="s">
        <v>18</v>
      </c>
      <c r="G6" s="13" t="s">
        <v>18</v>
      </c>
    </row>
    <row r="7" spans="1:7" x14ac:dyDescent="0.25">
      <c r="A7" s="1"/>
      <c r="B7" s="1"/>
      <c r="C7" s="1" t="s">
        <v>946</v>
      </c>
      <c r="D7" s="1" t="s">
        <v>792</v>
      </c>
      <c r="E7" s="13" t="s">
        <v>18</v>
      </c>
      <c r="F7" s="13" t="s">
        <v>18</v>
      </c>
      <c r="G7" s="13" t="s">
        <v>18</v>
      </c>
    </row>
    <row r="8" spans="1:7" x14ac:dyDescent="0.25">
      <c r="A8" s="1"/>
      <c r="B8" s="1"/>
      <c r="C8" s="1" t="s">
        <v>947</v>
      </c>
      <c r="D8" s="1" t="s">
        <v>792</v>
      </c>
      <c r="E8" s="13" t="s">
        <v>18</v>
      </c>
      <c r="F8" s="13" t="s">
        <v>18</v>
      </c>
      <c r="G8" s="13" t="s">
        <v>18</v>
      </c>
    </row>
    <row r="9" spans="1:7" x14ac:dyDescent="0.25">
      <c r="A9" s="1">
        <v>3</v>
      </c>
      <c r="B9" s="1" t="s">
        <v>83</v>
      </c>
      <c r="C9" s="1" t="s">
        <v>170</v>
      </c>
      <c r="D9" s="1" t="s">
        <v>792</v>
      </c>
      <c r="E9" s="13" t="s">
        <v>18</v>
      </c>
      <c r="F9" s="13" t="s">
        <v>18</v>
      </c>
      <c r="G9" s="13" t="s">
        <v>18</v>
      </c>
    </row>
    <row r="10" spans="1:7" x14ac:dyDescent="0.25">
      <c r="A10" s="1"/>
      <c r="B10" s="1"/>
      <c r="C10" s="1" t="s">
        <v>19</v>
      </c>
      <c r="D10" s="1" t="s">
        <v>792</v>
      </c>
      <c r="E10" s="13" t="s">
        <v>18</v>
      </c>
      <c r="F10" s="13" t="s">
        <v>18</v>
      </c>
      <c r="G10" s="13" t="s">
        <v>18</v>
      </c>
    </row>
    <row r="11" spans="1:7" ht="79.5" customHeight="1" x14ac:dyDescent="0.25">
      <c r="A11" s="1"/>
      <c r="B11" s="1"/>
      <c r="C11" s="1" t="s">
        <v>383</v>
      </c>
      <c r="D11" s="1" t="s">
        <v>952</v>
      </c>
      <c r="E11" s="276" t="s">
        <v>953</v>
      </c>
      <c r="F11" s="13"/>
      <c r="G11" s="1" t="s">
        <v>1674</v>
      </c>
    </row>
    <row r="12" spans="1:7" ht="40.5" x14ac:dyDescent="0.25">
      <c r="A12" s="1"/>
      <c r="B12" s="1"/>
      <c r="C12" s="1" t="s">
        <v>377</v>
      </c>
      <c r="D12" s="1" t="s">
        <v>792</v>
      </c>
      <c r="E12" s="13" t="s">
        <v>18</v>
      </c>
      <c r="F12" s="13" t="s">
        <v>18</v>
      </c>
      <c r="G12" s="13" t="s">
        <v>1675</v>
      </c>
    </row>
    <row r="13" spans="1:7" ht="51" customHeight="1" x14ac:dyDescent="0.25">
      <c r="A13" s="1">
        <v>4</v>
      </c>
      <c r="B13" s="1" t="s">
        <v>89</v>
      </c>
      <c r="C13" s="1" t="s">
        <v>176</v>
      </c>
      <c r="D13" s="1" t="s">
        <v>792</v>
      </c>
      <c r="E13" s="13" t="s">
        <v>18</v>
      </c>
      <c r="F13" s="13" t="s">
        <v>18</v>
      </c>
      <c r="G13" s="13" t="s">
        <v>898</v>
      </c>
    </row>
    <row r="14" spans="1:7" ht="40.5" x14ac:dyDescent="0.25">
      <c r="A14" s="1"/>
      <c r="B14" s="1"/>
      <c r="C14" s="1" t="s">
        <v>185</v>
      </c>
      <c r="D14" s="1" t="s">
        <v>792</v>
      </c>
      <c r="E14" s="13" t="s">
        <v>18</v>
      </c>
      <c r="F14" s="13" t="s">
        <v>18</v>
      </c>
      <c r="G14" s="13" t="s">
        <v>898</v>
      </c>
    </row>
    <row r="15" spans="1:7" x14ac:dyDescent="0.25">
      <c r="A15" s="1"/>
      <c r="B15" s="1"/>
      <c r="C15" s="1" t="s">
        <v>89</v>
      </c>
      <c r="D15" s="1" t="s">
        <v>792</v>
      </c>
      <c r="E15" s="13" t="s">
        <v>18</v>
      </c>
      <c r="F15" s="13" t="s">
        <v>18</v>
      </c>
      <c r="G15" s="1"/>
    </row>
    <row r="16" spans="1:7" x14ac:dyDescent="0.25">
      <c r="A16" s="1">
        <v>5</v>
      </c>
      <c r="B16" s="1" t="s">
        <v>127</v>
      </c>
      <c r="C16" s="1" t="s">
        <v>127</v>
      </c>
      <c r="D16" s="1" t="s">
        <v>792</v>
      </c>
      <c r="E16" s="13" t="s">
        <v>18</v>
      </c>
      <c r="F16" s="13" t="s">
        <v>18</v>
      </c>
      <c r="G16" s="1" t="s">
        <v>18</v>
      </c>
    </row>
    <row r="17" spans="1:7" x14ac:dyDescent="0.25">
      <c r="A17" s="1"/>
      <c r="B17" s="1"/>
      <c r="C17" s="1" t="s">
        <v>172</v>
      </c>
      <c r="D17" s="1" t="s">
        <v>792</v>
      </c>
      <c r="E17" s="13" t="s">
        <v>18</v>
      </c>
      <c r="F17" s="13" t="s">
        <v>18</v>
      </c>
      <c r="G17" s="13" t="s">
        <v>18</v>
      </c>
    </row>
    <row r="18" spans="1:7" x14ac:dyDescent="0.25">
      <c r="A18" s="1"/>
      <c r="B18" s="1"/>
      <c r="C18" s="1" t="s">
        <v>174</v>
      </c>
      <c r="D18" s="1" t="s">
        <v>792</v>
      </c>
      <c r="E18" s="13" t="s">
        <v>18</v>
      </c>
      <c r="F18" s="13" t="s">
        <v>18</v>
      </c>
      <c r="G18" s="13" t="s">
        <v>18</v>
      </c>
    </row>
    <row r="19" spans="1:7" x14ac:dyDescent="0.25">
      <c r="A19" s="1"/>
      <c r="B19" s="1"/>
      <c r="C19" s="1" t="s">
        <v>250</v>
      </c>
      <c r="D19" s="1" t="s">
        <v>792</v>
      </c>
      <c r="E19" s="13" t="s">
        <v>18</v>
      </c>
      <c r="F19" s="13" t="s">
        <v>18</v>
      </c>
      <c r="G19" s="13" t="s">
        <v>18</v>
      </c>
    </row>
    <row r="20" spans="1:7" x14ac:dyDescent="0.25">
      <c r="A20" s="1"/>
      <c r="B20" s="1"/>
      <c r="C20" s="1" t="s">
        <v>173</v>
      </c>
      <c r="D20" s="1" t="s">
        <v>792</v>
      </c>
      <c r="E20" s="13" t="s">
        <v>18</v>
      </c>
      <c r="F20" s="13" t="s">
        <v>18</v>
      </c>
      <c r="G20" s="13" t="s">
        <v>18</v>
      </c>
    </row>
    <row r="21" spans="1:7" x14ac:dyDescent="0.25">
      <c r="A21" s="1"/>
      <c r="B21" s="1"/>
      <c r="C21" s="1" t="s">
        <v>202</v>
      </c>
      <c r="D21" s="1" t="s">
        <v>792</v>
      </c>
      <c r="E21" s="13" t="s">
        <v>18</v>
      </c>
      <c r="F21" s="13" t="s">
        <v>18</v>
      </c>
      <c r="G21" s="13" t="s">
        <v>18</v>
      </c>
    </row>
    <row r="22" spans="1:7" ht="40.5" x14ac:dyDescent="0.25">
      <c r="A22" s="1"/>
      <c r="B22" s="1"/>
      <c r="C22" s="1" t="s">
        <v>887</v>
      </c>
      <c r="D22" s="1" t="s">
        <v>792</v>
      </c>
      <c r="E22" s="13" t="s">
        <v>18</v>
      </c>
      <c r="F22" s="13" t="s">
        <v>18</v>
      </c>
      <c r="G22" s="276" t="s">
        <v>898</v>
      </c>
    </row>
    <row r="23" spans="1:7" x14ac:dyDescent="0.25">
      <c r="A23" s="1">
        <v>6</v>
      </c>
      <c r="B23" s="1" t="s">
        <v>467</v>
      </c>
      <c r="C23" s="1" t="s">
        <v>207</v>
      </c>
      <c r="D23" s="1" t="s">
        <v>792</v>
      </c>
      <c r="E23" s="13"/>
      <c r="F23" s="13"/>
      <c r="G23" s="1"/>
    </row>
    <row r="24" spans="1:7" ht="60.75" x14ac:dyDescent="0.25">
      <c r="A24" s="1"/>
      <c r="B24" s="1"/>
      <c r="C24" s="1" t="s">
        <v>909</v>
      </c>
      <c r="D24" s="1" t="s">
        <v>826</v>
      </c>
      <c r="E24" s="13"/>
      <c r="F24" s="13"/>
      <c r="G24" s="1" t="s">
        <v>910</v>
      </c>
    </row>
    <row r="25" spans="1:7" ht="256.5" customHeight="1" x14ac:dyDescent="0.25">
      <c r="A25" s="1"/>
      <c r="B25" s="1"/>
      <c r="C25" s="1" t="s">
        <v>171</v>
      </c>
      <c r="D25" s="1" t="s">
        <v>792</v>
      </c>
      <c r="E25" s="13"/>
      <c r="F25" s="267" t="s">
        <v>911</v>
      </c>
      <c r="G25" s="1" t="s">
        <v>1049</v>
      </c>
    </row>
    <row r="26" spans="1:7" ht="40.5" x14ac:dyDescent="0.25">
      <c r="A26" s="1"/>
      <c r="B26" s="1"/>
      <c r="C26" s="1" t="s">
        <v>912</v>
      </c>
      <c r="D26" s="1" t="s">
        <v>792</v>
      </c>
      <c r="E26" s="13" t="s">
        <v>18</v>
      </c>
      <c r="F26" s="13" t="s">
        <v>18</v>
      </c>
      <c r="G26" s="13" t="s">
        <v>18</v>
      </c>
    </row>
    <row r="27" spans="1:7" x14ac:dyDescent="0.25">
      <c r="A27" s="1"/>
      <c r="B27" s="1"/>
      <c r="C27" s="1" t="s">
        <v>201</v>
      </c>
      <c r="D27" s="1" t="s">
        <v>1050</v>
      </c>
      <c r="E27" s="13" t="s">
        <v>18</v>
      </c>
      <c r="F27" s="13" t="s">
        <v>18</v>
      </c>
      <c r="G27" s="13" t="s">
        <v>18</v>
      </c>
    </row>
    <row r="28" spans="1:7" ht="294" x14ac:dyDescent="0.25">
      <c r="A28" s="1">
        <v>7</v>
      </c>
      <c r="B28" s="1" t="s">
        <v>91</v>
      </c>
      <c r="C28" s="1" t="s">
        <v>184</v>
      </c>
      <c r="D28" s="1" t="s">
        <v>792</v>
      </c>
      <c r="E28" s="13" t="s">
        <v>18</v>
      </c>
      <c r="F28" s="275" t="s">
        <v>1051</v>
      </c>
      <c r="G28" s="275" t="s">
        <v>986</v>
      </c>
    </row>
    <row r="29" spans="1:7" x14ac:dyDescent="0.25">
      <c r="A29" s="1"/>
      <c r="B29" s="1"/>
      <c r="C29" s="1" t="s">
        <v>175</v>
      </c>
      <c r="D29" s="1" t="s">
        <v>792</v>
      </c>
      <c r="E29" s="13" t="s">
        <v>18</v>
      </c>
      <c r="F29" s="13" t="s">
        <v>18</v>
      </c>
      <c r="G29" s="13" t="s">
        <v>18</v>
      </c>
    </row>
    <row r="30" spans="1:7" x14ac:dyDescent="0.25">
      <c r="A30" s="1"/>
      <c r="B30" s="1"/>
      <c r="C30" s="1" t="s">
        <v>360</v>
      </c>
      <c r="D30" s="1" t="s">
        <v>792</v>
      </c>
      <c r="E30" s="13" t="s">
        <v>18</v>
      </c>
      <c r="F30" s="13" t="s">
        <v>18</v>
      </c>
      <c r="G30" s="13" t="s">
        <v>18</v>
      </c>
    </row>
    <row r="31" spans="1:7" x14ac:dyDescent="0.25">
      <c r="A31" s="1">
        <v>8</v>
      </c>
      <c r="B31" s="1" t="s">
        <v>165</v>
      </c>
      <c r="C31" s="1" t="s">
        <v>191</v>
      </c>
      <c r="D31" s="1" t="s">
        <v>792</v>
      </c>
      <c r="E31" s="13" t="s">
        <v>18</v>
      </c>
      <c r="F31" s="13" t="s">
        <v>18</v>
      </c>
      <c r="G31" s="1" t="s">
        <v>18</v>
      </c>
    </row>
    <row r="32" spans="1:7" x14ac:dyDescent="0.25">
      <c r="A32" s="1"/>
      <c r="B32" s="1"/>
      <c r="C32" s="1" t="s">
        <v>164</v>
      </c>
      <c r="D32" s="1" t="s">
        <v>792</v>
      </c>
      <c r="E32" s="13" t="s">
        <v>18</v>
      </c>
      <c r="F32" s="13" t="s">
        <v>18</v>
      </c>
      <c r="G32" s="1" t="s">
        <v>18</v>
      </c>
    </row>
    <row r="33" spans="1:7" x14ac:dyDescent="0.25">
      <c r="A33" s="1"/>
      <c r="B33" s="1"/>
      <c r="C33" s="1" t="s">
        <v>163</v>
      </c>
      <c r="D33" s="1" t="s">
        <v>792</v>
      </c>
      <c r="E33" s="13" t="s">
        <v>18</v>
      </c>
      <c r="F33" s="13" t="s">
        <v>18</v>
      </c>
      <c r="G33" s="1" t="s">
        <v>18</v>
      </c>
    </row>
    <row r="34" spans="1:7" x14ac:dyDescent="0.25">
      <c r="A34" s="1"/>
      <c r="B34" s="1"/>
      <c r="C34" s="1" t="s">
        <v>200</v>
      </c>
      <c r="D34" s="1" t="s">
        <v>792</v>
      </c>
      <c r="E34" s="13" t="s">
        <v>18</v>
      </c>
      <c r="F34" s="13" t="s">
        <v>18</v>
      </c>
      <c r="G34" s="1" t="s">
        <v>18</v>
      </c>
    </row>
    <row r="35" spans="1:7" x14ac:dyDescent="0.25">
      <c r="A35" s="1">
        <v>9</v>
      </c>
      <c r="B35" s="1" t="s">
        <v>46</v>
      </c>
      <c r="C35" s="1" t="s">
        <v>46</v>
      </c>
      <c r="D35" s="1" t="s">
        <v>792</v>
      </c>
      <c r="E35" s="13" t="s">
        <v>18</v>
      </c>
      <c r="F35" s="13" t="s">
        <v>18</v>
      </c>
      <c r="G35" s="13" t="s">
        <v>18</v>
      </c>
    </row>
    <row r="36" spans="1:7" x14ac:dyDescent="0.25">
      <c r="A36" s="1"/>
      <c r="B36" s="1"/>
      <c r="C36" s="1" t="s">
        <v>979</v>
      </c>
      <c r="D36" s="1" t="s">
        <v>792</v>
      </c>
      <c r="E36" s="13" t="s">
        <v>18</v>
      </c>
      <c r="F36" s="13" t="s">
        <v>18</v>
      </c>
      <c r="G36" s="13" t="s">
        <v>18</v>
      </c>
    </row>
    <row r="37" spans="1:7" x14ac:dyDescent="0.25">
      <c r="A37" s="1"/>
      <c r="B37" s="1"/>
      <c r="C37" s="1" t="s">
        <v>142</v>
      </c>
      <c r="D37" s="1" t="s">
        <v>792</v>
      </c>
      <c r="E37" s="13" t="s">
        <v>18</v>
      </c>
      <c r="F37" s="13" t="s">
        <v>18</v>
      </c>
      <c r="G37" s="13" t="s">
        <v>18</v>
      </c>
    </row>
    <row r="38" spans="1:7" x14ac:dyDescent="0.25">
      <c r="A38" s="1">
        <v>10</v>
      </c>
      <c r="B38" s="1" t="s">
        <v>20</v>
      </c>
      <c r="C38" s="1" t="s">
        <v>20</v>
      </c>
      <c r="D38" s="1" t="s">
        <v>792</v>
      </c>
      <c r="E38" s="13" t="s">
        <v>18</v>
      </c>
      <c r="F38" s="13" t="s">
        <v>18</v>
      </c>
      <c r="G38" s="13" t="s">
        <v>18</v>
      </c>
    </row>
    <row r="39" spans="1:7" ht="81" x14ac:dyDescent="0.25">
      <c r="A39" s="1">
        <v>11</v>
      </c>
      <c r="B39" s="1" t="s">
        <v>25</v>
      </c>
      <c r="C39" s="1" t="s">
        <v>255</v>
      </c>
      <c r="D39" s="1" t="s">
        <v>792</v>
      </c>
      <c r="E39" s="13" t="s">
        <v>18</v>
      </c>
      <c r="F39" s="13" t="s">
        <v>18</v>
      </c>
      <c r="G39" s="1" t="s">
        <v>793</v>
      </c>
    </row>
    <row r="40" spans="1:7" ht="121.5" x14ac:dyDescent="0.25">
      <c r="A40" s="1"/>
      <c r="B40" s="1"/>
      <c r="C40" s="1" t="s">
        <v>794</v>
      </c>
      <c r="D40" s="1" t="s">
        <v>795</v>
      </c>
      <c r="E40" s="13" t="s">
        <v>18</v>
      </c>
      <c r="F40" s="13" t="s">
        <v>18</v>
      </c>
      <c r="G40" s="1" t="s">
        <v>796</v>
      </c>
    </row>
    <row r="41" spans="1:7" ht="183" thickBot="1" x14ac:dyDescent="0.3">
      <c r="A41" s="1"/>
      <c r="B41" s="1"/>
      <c r="C41" s="1" t="s">
        <v>773</v>
      </c>
      <c r="D41" s="1" t="s">
        <v>797</v>
      </c>
      <c r="E41" s="13" t="s">
        <v>798</v>
      </c>
      <c r="F41" s="13" t="s">
        <v>18</v>
      </c>
      <c r="G41" s="1" t="s">
        <v>18</v>
      </c>
    </row>
    <row r="42" spans="1:7" ht="41.25" thickBot="1" x14ac:dyDescent="0.3">
      <c r="A42" s="1">
        <v>12</v>
      </c>
      <c r="B42" s="1" t="s">
        <v>267</v>
      </c>
      <c r="C42" s="1" t="s">
        <v>1022</v>
      </c>
      <c r="D42" s="1" t="s">
        <v>1019</v>
      </c>
      <c r="E42" s="250" t="s">
        <v>18</v>
      </c>
      <c r="F42" s="250" t="s">
        <v>18</v>
      </c>
      <c r="G42" s="250" t="s">
        <v>18</v>
      </c>
    </row>
    <row r="43" spans="1:7" ht="21" thickBot="1" x14ac:dyDescent="0.3">
      <c r="A43" s="1"/>
      <c r="B43" s="1"/>
      <c r="C43" s="1" t="s">
        <v>179</v>
      </c>
      <c r="D43" s="1" t="s">
        <v>1019</v>
      </c>
      <c r="E43" s="251" t="s">
        <v>18</v>
      </c>
      <c r="F43" s="251" t="s">
        <v>18</v>
      </c>
      <c r="G43" s="251" t="s">
        <v>18</v>
      </c>
    </row>
    <row r="44" spans="1:7" ht="21" thickBot="1" x14ac:dyDescent="0.3">
      <c r="A44" s="1"/>
      <c r="B44" s="1"/>
      <c r="C44" s="1" t="s">
        <v>1020</v>
      </c>
      <c r="D44" s="1" t="s">
        <v>1019</v>
      </c>
      <c r="E44" s="251" t="s">
        <v>18</v>
      </c>
      <c r="F44" s="251" t="s">
        <v>18</v>
      </c>
      <c r="G44" s="251" t="s">
        <v>18</v>
      </c>
    </row>
    <row r="45" spans="1:7" ht="41.25" thickBot="1" x14ac:dyDescent="0.3">
      <c r="A45" s="1"/>
      <c r="B45" s="1"/>
      <c r="C45" s="1" t="s">
        <v>1021</v>
      </c>
      <c r="D45" s="1" t="s">
        <v>1019</v>
      </c>
      <c r="E45" s="251" t="s">
        <v>18</v>
      </c>
      <c r="F45" s="251" t="s">
        <v>18</v>
      </c>
      <c r="G45" s="251" t="s">
        <v>18</v>
      </c>
    </row>
    <row r="46" spans="1:7" ht="21" thickBot="1" x14ac:dyDescent="0.3">
      <c r="A46" s="1"/>
      <c r="B46" s="1"/>
      <c r="C46" s="1" t="s">
        <v>178</v>
      </c>
      <c r="D46" s="1" t="s">
        <v>1019</v>
      </c>
      <c r="E46" s="251" t="s">
        <v>18</v>
      </c>
      <c r="F46" s="251" t="s">
        <v>18</v>
      </c>
      <c r="G46" s="251" t="s">
        <v>18</v>
      </c>
    </row>
    <row r="47" spans="1:7" ht="21" thickBot="1" x14ac:dyDescent="0.3">
      <c r="A47" s="1"/>
      <c r="B47" s="1"/>
      <c r="C47" s="1" t="s">
        <v>58</v>
      </c>
      <c r="D47" s="1" t="s">
        <v>1019</v>
      </c>
      <c r="E47" s="251" t="s">
        <v>18</v>
      </c>
      <c r="F47" s="251" t="s">
        <v>18</v>
      </c>
      <c r="G47" s="251" t="s">
        <v>18</v>
      </c>
    </row>
    <row r="48" spans="1:7" ht="21" thickBot="1" x14ac:dyDescent="0.3">
      <c r="A48" s="1"/>
      <c r="B48" s="1"/>
      <c r="C48" s="1" t="s">
        <v>177</v>
      </c>
      <c r="D48" s="1" t="s">
        <v>1019</v>
      </c>
      <c r="E48" s="251" t="s">
        <v>18</v>
      </c>
      <c r="F48" s="251" t="s">
        <v>18</v>
      </c>
      <c r="G48" s="251" t="s">
        <v>18</v>
      </c>
    </row>
    <row r="49" spans="1:7" ht="61.5" thickBot="1" x14ac:dyDescent="0.3">
      <c r="A49" s="1"/>
      <c r="B49" s="1"/>
      <c r="C49" s="1" t="s">
        <v>1023</v>
      </c>
      <c r="D49" s="1" t="s">
        <v>1019</v>
      </c>
      <c r="E49" s="251" t="s">
        <v>18</v>
      </c>
      <c r="F49" s="251" t="s">
        <v>18</v>
      </c>
      <c r="G49" s="251" t="s">
        <v>18</v>
      </c>
    </row>
    <row r="50" spans="1:7" ht="61.5" thickBot="1" x14ac:dyDescent="0.3">
      <c r="A50" s="1"/>
      <c r="B50" s="1"/>
      <c r="C50" s="1" t="s">
        <v>1024</v>
      </c>
      <c r="D50" s="1" t="s">
        <v>1019</v>
      </c>
      <c r="E50" s="251" t="s">
        <v>18</v>
      </c>
      <c r="F50" s="251" t="s">
        <v>18</v>
      </c>
      <c r="G50" s="251" t="s">
        <v>18</v>
      </c>
    </row>
    <row r="51" spans="1:7" ht="182.25" x14ac:dyDescent="0.25">
      <c r="A51" s="1">
        <v>13</v>
      </c>
      <c r="B51" s="1" t="s">
        <v>167</v>
      </c>
      <c r="C51" s="1" t="s">
        <v>818</v>
      </c>
      <c r="D51" s="1" t="s">
        <v>792</v>
      </c>
      <c r="E51" s="1" t="s">
        <v>819</v>
      </c>
      <c r="F51" s="13" t="s">
        <v>18</v>
      </c>
      <c r="G51" s="1" t="s">
        <v>18</v>
      </c>
    </row>
    <row r="52" spans="1:7" x14ac:dyDescent="0.25">
      <c r="A52" s="1"/>
      <c r="B52" s="1"/>
      <c r="C52" s="1" t="s">
        <v>822</v>
      </c>
      <c r="D52" s="1" t="s">
        <v>792</v>
      </c>
      <c r="E52" s="1"/>
      <c r="F52" s="13" t="s">
        <v>18</v>
      </c>
      <c r="G52" s="1" t="s">
        <v>18</v>
      </c>
    </row>
    <row r="53" spans="1:7" x14ac:dyDescent="0.25">
      <c r="E53" s="17"/>
      <c r="F53" s="17"/>
    </row>
    <row r="54" spans="1:7" x14ac:dyDescent="0.25">
      <c r="E54" s="17"/>
      <c r="F54" s="17"/>
    </row>
    <row r="56" spans="1:7" x14ac:dyDescent="0.25">
      <c r="A56" s="603" t="s">
        <v>1484</v>
      </c>
      <c r="B56" s="603"/>
      <c r="C56" s="603"/>
      <c r="D56" s="603"/>
      <c r="E56" s="603"/>
      <c r="F56" s="603"/>
      <c r="G56" s="603"/>
    </row>
    <row r="57" spans="1:7" ht="40.5" x14ac:dyDescent="0.25">
      <c r="A57" s="1" t="s">
        <v>211</v>
      </c>
      <c r="B57" s="1" t="s">
        <v>217</v>
      </c>
      <c r="C57" s="1" t="s">
        <v>788</v>
      </c>
      <c r="D57" s="1" t="s">
        <v>789</v>
      </c>
      <c r="E57" s="1" t="s">
        <v>790</v>
      </c>
      <c r="F57" s="1" t="s">
        <v>791</v>
      </c>
      <c r="G57" s="1" t="s">
        <v>216</v>
      </c>
    </row>
    <row r="58" spans="1:7" ht="225" customHeight="1" x14ac:dyDescent="0.25">
      <c r="A58" s="1">
        <v>1</v>
      </c>
      <c r="B58" s="1" t="s">
        <v>186</v>
      </c>
      <c r="C58" s="1" t="s">
        <v>39</v>
      </c>
      <c r="D58" s="1" t="s">
        <v>930</v>
      </c>
      <c r="E58" s="13" t="s">
        <v>18</v>
      </c>
      <c r="F58" s="1" t="s">
        <v>931</v>
      </c>
      <c r="G58" s="1"/>
    </row>
    <row r="59" spans="1:7" x14ac:dyDescent="0.25">
      <c r="A59" s="1"/>
      <c r="B59" s="1"/>
      <c r="C59" s="1" t="s">
        <v>186</v>
      </c>
      <c r="D59" s="1" t="s">
        <v>792</v>
      </c>
      <c r="E59" s="13" t="s">
        <v>18</v>
      </c>
      <c r="F59" s="13" t="s">
        <v>18</v>
      </c>
      <c r="G59" s="13" t="s">
        <v>18</v>
      </c>
    </row>
    <row r="60" spans="1:7" x14ac:dyDescent="0.25">
      <c r="A60" s="1">
        <v>2</v>
      </c>
      <c r="B60" s="1" t="s">
        <v>257</v>
      </c>
      <c r="C60" s="1" t="s">
        <v>257</v>
      </c>
      <c r="D60" s="1" t="s">
        <v>792</v>
      </c>
      <c r="E60" s="13" t="s">
        <v>18</v>
      </c>
      <c r="F60" s="13" t="s">
        <v>18</v>
      </c>
      <c r="G60" s="13" t="s">
        <v>18</v>
      </c>
    </row>
    <row r="61" spans="1:7" x14ac:dyDescent="0.25">
      <c r="A61" s="1"/>
      <c r="B61" s="1"/>
      <c r="C61" s="1" t="s">
        <v>946</v>
      </c>
      <c r="D61" s="1" t="s">
        <v>792</v>
      </c>
      <c r="E61" s="13" t="s">
        <v>18</v>
      </c>
      <c r="F61" s="13" t="s">
        <v>18</v>
      </c>
      <c r="G61" s="13" t="s">
        <v>18</v>
      </c>
    </row>
    <row r="62" spans="1:7" x14ac:dyDescent="0.25">
      <c r="A62" s="1"/>
      <c r="B62" s="1"/>
      <c r="C62" s="1" t="s">
        <v>947</v>
      </c>
      <c r="D62" s="1" t="s">
        <v>792</v>
      </c>
      <c r="E62" s="13" t="s">
        <v>18</v>
      </c>
      <c r="F62" s="13" t="s">
        <v>18</v>
      </c>
      <c r="G62" s="13" t="s">
        <v>18</v>
      </c>
    </row>
    <row r="63" spans="1:7" x14ac:dyDescent="0.25">
      <c r="A63" s="1">
        <v>3</v>
      </c>
      <c r="B63" s="1" t="s">
        <v>83</v>
      </c>
      <c r="C63" s="1" t="s">
        <v>170</v>
      </c>
      <c r="D63" s="1" t="s">
        <v>792</v>
      </c>
      <c r="E63" s="13" t="s">
        <v>18</v>
      </c>
      <c r="F63" s="13" t="s">
        <v>18</v>
      </c>
      <c r="G63" s="13" t="s">
        <v>18</v>
      </c>
    </row>
    <row r="64" spans="1:7" x14ac:dyDescent="0.25">
      <c r="A64" s="1"/>
      <c r="B64" s="1"/>
      <c r="C64" s="1" t="s">
        <v>19</v>
      </c>
      <c r="D64" s="1" t="s">
        <v>792</v>
      </c>
      <c r="E64" s="13" t="s">
        <v>18</v>
      </c>
      <c r="F64" s="13" t="s">
        <v>18</v>
      </c>
      <c r="G64" s="13" t="s">
        <v>18</v>
      </c>
    </row>
    <row r="65" spans="1:7" ht="79.5" customHeight="1" x14ac:dyDescent="0.25">
      <c r="A65" s="1"/>
      <c r="B65" s="1"/>
      <c r="C65" s="1" t="s">
        <v>383</v>
      </c>
      <c r="D65" s="1" t="s">
        <v>952</v>
      </c>
      <c r="E65" s="276" t="s">
        <v>953</v>
      </c>
      <c r="F65" s="13"/>
      <c r="G65" s="1"/>
    </row>
    <row r="66" spans="1:7" x14ac:dyDescent="0.25">
      <c r="A66" s="1"/>
      <c r="B66" s="1"/>
      <c r="C66" s="1" t="s">
        <v>377</v>
      </c>
      <c r="D66" s="1" t="s">
        <v>792</v>
      </c>
      <c r="E66" s="13" t="s">
        <v>18</v>
      </c>
      <c r="F66" s="13" t="s">
        <v>18</v>
      </c>
      <c r="G66" s="13" t="s">
        <v>18</v>
      </c>
    </row>
    <row r="67" spans="1:7" ht="51" customHeight="1" x14ac:dyDescent="0.25">
      <c r="A67" s="1">
        <v>4</v>
      </c>
      <c r="B67" s="1" t="s">
        <v>89</v>
      </c>
      <c r="C67" s="1" t="s">
        <v>176</v>
      </c>
      <c r="D67" s="1" t="s">
        <v>792</v>
      </c>
      <c r="E67" s="13" t="s">
        <v>18</v>
      </c>
      <c r="F67" s="13" t="s">
        <v>18</v>
      </c>
      <c r="G67" s="13" t="s">
        <v>898</v>
      </c>
    </row>
    <row r="68" spans="1:7" ht="40.5" x14ac:dyDescent="0.25">
      <c r="A68" s="1"/>
      <c r="B68" s="1"/>
      <c r="C68" s="1" t="s">
        <v>185</v>
      </c>
      <c r="D68" s="1" t="s">
        <v>792</v>
      </c>
      <c r="E68" s="13" t="s">
        <v>18</v>
      </c>
      <c r="F68" s="13" t="s">
        <v>18</v>
      </c>
      <c r="G68" s="13" t="s">
        <v>898</v>
      </c>
    </row>
    <row r="69" spans="1:7" x14ac:dyDescent="0.25">
      <c r="A69" s="1"/>
      <c r="B69" s="1"/>
      <c r="C69" s="1" t="s">
        <v>89</v>
      </c>
      <c r="D69" s="1" t="s">
        <v>792</v>
      </c>
      <c r="E69" s="13" t="s">
        <v>18</v>
      </c>
      <c r="F69" s="13" t="s">
        <v>18</v>
      </c>
      <c r="G69" s="1"/>
    </row>
    <row r="70" spans="1:7" x14ac:dyDescent="0.25">
      <c r="A70" s="1">
        <v>5</v>
      </c>
      <c r="B70" s="1" t="s">
        <v>127</v>
      </c>
      <c r="C70" s="1" t="s">
        <v>127</v>
      </c>
      <c r="D70" s="1" t="s">
        <v>792</v>
      </c>
      <c r="E70" s="13" t="s">
        <v>18</v>
      </c>
      <c r="F70" s="13" t="s">
        <v>18</v>
      </c>
      <c r="G70" s="1" t="s">
        <v>18</v>
      </c>
    </row>
    <row r="71" spans="1:7" x14ac:dyDescent="0.25">
      <c r="A71" s="1"/>
      <c r="B71" s="1"/>
      <c r="C71" s="1" t="s">
        <v>172</v>
      </c>
      <c r="D71" s="1" t="s">
        <v>792</v>
      </c>
      <c r="E71" s="13" t="s">
        <v>18</v>
      </c>
      <c r="F71" s="13" t="s">
        <v>18</v>
      </c>
      <c r="G71" s="13" t="s">
        <v>18</v>
      </c>
    </row>
    <row r="72" spans="1:7" x14ac:dyDescent="0.25">
      <c r="A72" s="1"/>
      <c r="B72" s="1"/>
      <c r="C72" s="1" t="s">
        <v>174</v>
      </c>
      <c r="D72" s="1" t="s">
        <v>792</v>
      </c>
      <c r="E72" s="13" t="s">
        <v>18</v>
      </c>
      <c r="F72" s="13" t="s">
        <v>18</v>
      </c>
      <c r="G72" s="13" t="s">
        <v>18</v>
      </c>
    </row>
    <row r="73" spans="1:7" x14ac:dyDescent="0.25">
      <c r="A73" s="1"/>
      <c r="B73" s="1"/>
      <c r="C73" s="1" t="s">
        <v>250</v>
      </c>
      <c r="D73" s="1" t="s">
        <v>792</v>
      </c>
      <c r="E73" s="13" t="s">
        <v>18</v>
      </c>
      <c r="F73" s="13" t="s">
        <v>18</v>
      </c>
      <c r="G73" s="13" t="s">
        <v>18</v>
      </c>
    </row>
    <row r="74" spans="1:7" x14ac:dyDescent="0.25">
      <c r="A74" s="1"/>
      <c r="B74" s="1"/>
      <c r="C74" s="1" t="s">
        <v>173</v>
      </c>
      <c r="D74" s="1" t="s">
        <v>792</v>
      </c>
      <c r="E74" s="13" t="s">
        <v>18</v>
      </c>
      <c r="F74" s="13" t="s">
        <v>18</v>
      </c>
      <c r="G74" s="13" t="s">
        <v>18</v>
      </c>
    </row>
    <row r="75" spans="1:7" x14ac:dyDescent="0.25">
      <c r="A75" s="1"/>
      <c r="B75" s="1"/>
      <c r="C75" s="1" t="s">
        <v>202</v>
      </c>
      <c r="D75" s="1" t="s">
        <v>792</v>
      </c>
      <c r="E75" s="13" t="s">
        <v>18</v>
      </c>
      <c r="F75" s="13" t="s">
        <v>18</v>
      </c>
      <c r="G75" s="13" t="s">
        <v>18</v>
      </c>
    </row>
    <row r="76" spans="1:7" ht="40.5" x14ac:dyDescent="0.25">
      <c r="A76" s="1"/>
      <c r="B76" s="1"/>
      <c r="C76" s="1" t="s">
        <v>887</v>
      </c>
      <c r="D76" s="1" t="s">
        <v>792</v>
      </c>
      <c r="E76" s="13" t="s">
        <v>18</v>
      </c>
      <c r="F76" s="13" t="s">
        <v>18</v>
      </c>
      <c r="G76" s="276" t="s">
        <v>898</v>
      </c>
    </row>
    <row r="77" spans="1:7" x14ac:dyDescent="0.25">
      <c r="A77" s="1">
        <v>6</v>
      </c>
      <c r="B77" s="1" t="s">
        <v>467</v>
      </c>
      <c r="C77" s="1" t="s">
        <v>207</v>
      </c>
      <c r="D77" s="1" t="s">
        <v>792</v>
      </c>
      <c r="E77" s="13"/>
      <c r="F77" s="13"/>
      <c r="G77" s="1"/>
    </row>
    <row r="78" spans="1:7" ht="60.75" x14ac:dyDescent="0.25">
      <c r="A78" s="1"/>
      <c r="B78" s="1"/>
      <c r="C78" s="1" t="s">
        <v>909</v>
      </c>
      <c r="D78" s="1" t="s">
        <v>826</v>
      </c>
      <c r="E78" s="13"/>
      <c r="F78" s="13"/>
      <c r="G78" s="1" t="s">
        <v>910</v>
      </c>
    </row>
    <row r="79" spans="1:7" ht="256.5" customHeight="1" x14ac:dyDescent="0.25">
      <c r="A79" s="1"/>
      <c r="B79" s="1"/>
      <c r="C79" s="1" t="s">
        <v>171</v>
      </c>
      <c r="D79" s="1" t="s">
        <v>792</v>
      </c>
      <c r="E79" s="13"/>
      <c r="F79" s="267" t="s">
        <v>911</v>
      </c>
      <c r="G79" s="1" t="s">
        <v>1049</v>
      </c>
    </row>
    <row r="80" spans="1:7" ht="40.5" x14ac:dyDescent="0.25">
      <c r="A80" s="1"/>
      <c r="B80" s="1"/>
      <c r="C80" s="1" t="s">
        <v>912</v>
      </c>
      <c r="D80" s="1" t="s">
        <v>792</v>
      </c>
      <c r="E80" s="13" t="s">
        <v>18</v>
      </c>
      <c r="F80" s="13" t="s">
        <v>18</v>
      </c>
      <c r="G80" s="13" t="s">
        <v>18</v>
      </c>
    </row>
    <row r="81" spans="1:7" x14ac:dyDescent="0.25">
      <c r="A81" s="1"/>
      <c r="B81" s="1"/>
      <c r="C81" s="1" t="s">
        <v>201</v>
      </c>
      <c r="D81" s="1" t="s">
        <v>1050</v>
      </c>
      <c r="E81" s="13" t="s">
        <v>18</v>
      </c>
      <c r="F81" s="13" t="s">
        <v>18</v>
      </c>
      <c r="G81" s="13" t="s">
        <v>18</v>
      </c>
    </row>
    <row r="82" spans="1:7" ht="294" x14ac:dyDescent="0.25">
      <c r="A82" s="1">
        <v>7</v>
      </c>
      <c r="B82" s="1" t="s">
        <v>91</v>
      </c>
      <c r="C82" s="1" t="s">
        <v>184</v>
      </c>
      <c r="D82" s="1" t="s">
        <v>792</v>
      </c>
      <c r="E82" s="13"/>
      <c r="F82" s="275" t="s">
        <v>1051</v>
      </c>
      <c r="G82" s="275" t="s">
        <v>986</v>
      </c>
    </row>
    <row r="83" spans="1:7" x14ac:dyDescent="0.25">
      <c r="A83" s="1"/>
      <c r="B83" s="1"/>
      <c r="C83" s="1" t="s">
        <v>175</v>
      </c>
      <c r="D83" s="1" t="s">
        <v>792</v>
      </c>
      <c r="E83" s="13" t="s">
        <v>18</v>
      </c>
      <c r="F83" s="13" t="s">
        <v>18</v>
      </c>
      <c r="G83" s="13" t="s">
        <v>18</v>
      </c>
    </row>
    <row r="84" spans="1:7" x14ac:dyDescent="0.25">
      <c r="A84" s="1"/>
      <c r="B84" s="1"/>
      <c r="C84" s="1" t="s">
        <v>360</v>
      </c>
      <c r="D84" s="1" t="s">
        <v>792</v>
      </c>
      <c r="E84" s="13" t="s">
        <v>18</v>
      </c>
      <c r="F84" s="13" t="s">
        <v>18</v>
      </c>
      <c r="G84" s="13" t="s">
        <v>18</v>
      </c>
    </row>
    <row r="85" spans="1:7" x14ac:dyDescent="0.25">
      <c r="A85" s="1">
        <v>8</v>
      </c>
      <c r="B85" s="1" t="s">
        <v>165</v>
      </c>
      <c r="C85" s="1" t="s">
        <v>191</v>
      </c>
      <c r="D85" s="1" t="s">
        <v>792</v>
      </c>
      <c r="E85" s="13" t="s">
        <v>18</v>
      </c>
      <c r="F85" s="13" t="s">
        <v>18</v>
      </c>
      <c r="G85" s="1" t="s">
        <v>18</v>
      </c>
    </row>
    <row r="86" spans="1:7" x14ac:dyDescent="0.25">
      <c r="A86" s="1"/>
      <c r="B86" s="1"/>
      <c r="C86" s="1" t="s">
        <v>164</v>
      </c>
      <c r="D86" s="1" t="s">
        <v>792</v>
      </c>
      <c r="E86" s="13" t="s">
        <v>18</v>
      </c>
      <c r="F86" s="13" t="s">
        <v>18</v>
      </c>
      <c r="G86" s="1" t="s">
        <v>18</v>
      </c>
    </row>
    <row r="87" spans="1:7" x14ac:dyDescent="0.25">
      <c r="A87" s="1"/>
      <c r="B87" s="1"/>
      <c r="C87" s="1" t="s">
        <v>163</v>
      </c>
      <c r="D87" s="1" t="s">
        <v>792</v>
      </c>
      <c r="E87" s="13" t="s">
        <v>18</v>
      </c>
      <c r="F87" s="13" t="s">
        <v>18</v>
      </c>
      <c r="G87" s="1" t="s">
        <v>18</v>
      </c>
    </row>
    <row r="88" spans="1:7" x14ac:dyDescent="0.25">
      <c r="A88" s="1"/>
      <c r="B88" s="1"/>
      <c r="C88" s="1" t="s">
        <v>200</v>
      </c>
      <c r="D88" s="1" t="s">
        <v>792</v>
      </c>
      <c r="E88" s="13" t="s">
        <v>18</v>
      </c>
      <c r="F88" s="13" t="s">
        <v>18</v>
      </c>
      <c r="G88" s="1" t="s">
        <v>18</v>
      </c>
    </row>
    <row r="89" spans="1:7" x14ac:dyDescent="0.25">
      <c r="A89" s="1">
        <v>9</v>
      </c>
      <c r="B89" s="1" t="s">
        <v>46</v>
      </c>
      <c r="C89" s="1" t="s">
        <v>46</v>
      </c>
      <c r="D89" s="1" t="s">
        <v>792</v>
      </c>
      <c r="E89" s="13" t="s">
        <v>18</v>
      </c>
      <c r="F89" s="13" t="s">
        <v>18</v>
      </c>
      <c r="G89" s="13" t="s">
        <v>18</v>
      </c>
    </row>
    <row r="90" spans="1:7" x14ac:dyDescent="0.25">
      <c r="A90" s="1"/>
      <c r="B90" s="1"/>
      <c r="C90" s="1" t="s">
        <v>979</v>
      </c>
      <c r="D90" s="1" t="s">
        <v>792</v>
      </c>
      <c r="E90" s="13" t="s">
        <v>18</v>
      </c>
      <c r="F90" s="13" t="s">
        <v>18</v>
      </c>
      <c r="G90" s="13" t="s">
        <v>18</v>
      </c>
    </row>
    <row r="91" spans="1:7" x14ac:dyDescent="0.25">
      <c r="A91" s="1"/>
      <c r="B91" s="1"/>
      <c r="C91" s="1" t="s">
        <v>142</v>
      </c>
      <c r="D91" s="1" t="s">
        <v>792</v>
      </c>
      <c r="E91" s="13" t="s">
        <v>18</v>
      </c>
      <c r="F91" s="13" t="s">
        <v>18</v>
      </c>
      <c r="G91" s="13" t="s">
        <v>18</v>
      </c>
    </row>
    <row r="92" spans="1:7" x14ac:dyDescent="0.25">
      <c r="A92" s="1">
        <v>10</v>
      </c>
      <c r="B92" s="1" t="s">
        <v>20</v>
      </c>
      <c r="C92" s="1" t="s">
        <v>20</v>
      </c>
      <c r="D92" s="1" t="s">
        <v>792</v>
      </c>
      <c r="E92" s="13" t="s">
        <v>18</v>
      </c>
      <c r="F92" s="13" t="s">
        <v>18</v>
      </c>
      <c r="G92" s="13" t="s">
        <v>18</v>
      </c>
    </row>
    <row r="93" spans="1:7" ht="81" x14ac:dyDescent="0.25">
      <c r="A93" s="1">
        <v>11</v>
      </c>
      <c r="B93" s="1" t="s">
        <v>25</v>
      </c>
      <c r="C93" s="1" t="s">
        <v>255</v>
      </c>
      <c r="D93" s="1" t="s">
        <v>792</v>
      </c>
      <c r="E93" s="13" t="s">
        <v>18</v>
      </c>
      <c r="F93" s="13" t="s">
        <v>18</v>
      </c>
      <c r="G93" s="1" t="s">
        <v>793</v>
      </c>
    </row>
    <row r="94" spans="1:7" ht="121.5" x14ac:dyDescent="0.25">
      <c r="A94" s="1"/>
      <c r="B94" s="1"/>
      <c r="C94" s="1" t="s">
        <v>794</v>
      </c>
      <c r="D94" s="1" t="s">
        <v>795</v>
      </c>
      <c r="E94" s="13" t="s">
        <v>18</v>
      </c>
      <c r="F94" s="13" t="s">
        <v>18</v>
      </c>
      <c r="G94" s="1" t="s">
        <v>796</v>
      </c>
    </row>
    <row r="95" spans="1:7" ht="183" thickBot="1" x14ac:dyDescent="0.3">
      <c r="A95" s="1"/>
      <c r="B95" s="1"/>
      <c r="C95" s="1" t="s">
        <v>773</v>
      </c>
      <c r="D95" s="1" t="s">
        <v>797</v>
      </c>
      <c r="E95" s="13" t="s">
        <v>798</v>
      </c>
      <c r="F95" s="13" t="s">
        <v>18</v>
      </c>
      <c r="G95" s="1" t="s">
        <v>18</v>
      </c>
    </row>
    <row r="96" spans="1:7" ht="41.25" thickBot="1" x14ac:dyDescent="0.3">
      <c r="A96" s="1">
        <v>12</v>
      </c>
      <c r="B96" s="1" t="s">
        <v>267</v>
      </c>
      <c r="C96" s="1" t="s">
        <v>1022</v>
      </c>
      <c r="D96" s="1" t="s">
        <v>1019</v>
      </c>
      <c r="E96" s="250" t="s">
        <v>18</v>
      </c>
      <c r="F96" s="250" t="s">
        <v>18</v>
      </c>
      <c r="G96" s="250" t="s">
        <v>18</v>
      </c>
    </row>
    <row r="97" spans="1:7" ht="21" thickBot="1" x14ac:dyDescent="0.3">
      <c r="A97" s="1"/>
      <c r="B97" s="1"/>
      <c r="C97" s="1" t="s">
        <v>179</v>
      </c>
      <c r="D97" s="1" t="s">
        <v>1019</v>
      </c>
      <c r="E97" s="251" t="s">
        <v>18</v>
      </c>
      <c r="F97" s="251" t="s">
        <v>18</v>
      </c>
      <c r="G97" s="251" t="s">
        <v>18</v>
      </c>
    </row>
    <row r="98" spans="1:7" ht="21" thickBot="1" x14ac:dyDescent="0.3">
      <c r="A98" s="1"/>
      <c r="B98" s="1"/>
      <c r="C98" s="1" t="s">
        <v>1020</v>
      </c>
      <c r="D98" s="1" t="s">
        <v>1019</v>
      </c>
      <c r="E98" s="251" t="s">
        <v>18</v>
      </c>
      <c r="F98" s="251" t="s">
        <v>18</v>
      </c>
      <c r="G98" s="251" t="s">
        <v>18</v>
      </c>
    </row>
    <row r="99" spans="1:7" ht="41.25" thickBot="1" x14ac:dyDescent="0.3">
      <c r="A99" s="1"/>
      <c r="B99" s="1"/>
      <c r="C99" s="1" t="s">
        <v>1021</v>
      </c>
      <c r="D99" s="1" t="s">
        <v>1019</v>
      </c>
      <c r="E99" s="251" t="s">
        <v>18</v>
      </c>
      <c r="F99" s="251" t="s">
        <v>18</v>
      </c>
      <c r="G99" s="251" t="s">
        <v>18</v>
      </c>
    </row>
    <row r="100" spans="1:7" ht="21" thickBot="1" x14ac:dyDescent="0.3">
      <c r="A100" s="1"/>
      <c r="B100" s="1"/>
      <c r="C100" s="1" t="s">
        <v>178</v>
      </c>
      <c r="D100" s="1" t="s">
        <v>1019</v>
      </c>
      <c r="E100" s="251" t="s">
        <v>18</v>
      </c>
      <c r="F100" s="251" t="s">
        <v>18</v>
      </c>
      <c r="G100" s="251" t="s">
        <v>18</v>
      </c>
    </row>
    <row r="101" spans="1:7" ht="21" thickBot="1" x14ac:dyDescent="0.3">
      <c r="A101" s="1"/>
      <c r="B101" s="1"/>
      <c r="C101" s="1" t="s">
        <v>58</v>
      </c>
      <c r="D101" s="1" t="s">
        <v>1019</v>
      </c>
      <c r="E101" s="251" t="s">
        <v>18</v>
      </c>
      <c r="F101" s="251" t="s">
        <v>18</v>
      </c>
      <c r="G101" s="251" t="s">
        <v>18</v>
      </c>
    </row>
    <row r="102" spans="1:7" ht="21" thickBot="1" x14ac:dyDescent="0.3">
      <c r="A102" s="1"/>
      <c r="B102" s="1"/>
      <c r="C102" s="1" t="s">
        <v>177</v>
      </c>
      <c r="D102" s="1" t="s">
        <v>1019</v>
      </c>
      <c r="E102" s="251" t="s">
        <v>18</v>
      </c>
      <c r="F102" s="251" t="s">
        <v>18</v>
      </c>
      <c r="G102" s="251" t="s">
        <v>18</v>
      </c>
    </row>
    <row r="103" spans="1:7" ht="61.5" thickBot="1" x14ac:dyDescent="0.3">
      <c r="A103" s="1"/>
      <c r="B103" s="1"/>
      <c r="C103" s="1" t="s">
        <v>1023</v>
      </c>
      <c r="D103" s="1" t="s">
        <v>1019</v>
      </c>
      <c r="E103" s="251" t="s">
        <v>18</v>
      </c>
      <c r="F103" s="251" t="s">
        <v>18</v>
      </c>
      <c r="G103" s="251" t="s">
        <v>18</v>
      </c>
    </row>
    <row r="104" spans="1:7" ht="61.5" thickBot="1" x14ac:dyDescent="0.3">
      <c r="A104" s="1"/>
      <c r="B104" s="1"/>
      <c r="C104" s="1" t="s">
        <v>1024</v>
      </c>
      <c r="D104" s="1" t="s">
        <v>1019</v>
      </c>
      <c r="E104" s="251" t="s">
        <v>18</v>
      </c>
      <c r="F104" s="251" t="s">
        <v>18</v>
      </c>
      <c r="G104" s="251" t="s">
        <v>18</v>
      </c>
    </row>
    <row r="105" spans="1:7" ht="182.25" x14ac:dyDescent="0.25">
      <c r="A105" s="1">
        <v>13</v>
      </c>
      <c r="B105" s="1" t="s">
        <v>167</v>
      </c>
      <c r="C105" s="1" t="s">
        <v>818</v>
      </c>
      <c r="D105" s="1" t="s">
        <v>792</v>
      </c>
      <c r="E105" s="1" t="s">
        <v>819</v>
      </c>
      <c r="F105" s="13" t="s">
        <v>18</v>
      </c>
      <c r="G105" s="1" t="s">
        <v>18</v>
      </c>
    </row>
    <row r="106" spans="1:7" ht="283.5" x14ac:dyDescent="0.25">
      <c r="A106" s="1"/>
      <c r="B106" s="1"/>
      <c r="C106" s="1" t="s">
        <v>167</v>
      </c>
      <c r="D106" s="1" t="s">
        <v>792</v>
      </c>
      <c r="E106" s="1" t="s">
        <v>820</v>
      </c>
      <c r="F106" s="13" t="s">
        <v>18</v>
      </c>
      <c r="G106" s="1" t="s">
        <v>18</v>
      </c>
    </row>
    <row r="107" spans="1:7" x14ac:dyDescent="0.25">
      <c r="E107" s="17"/>
      <c r="F107" s="17"/>
    </row>
    <row r="108" spans="1:7" x14ac:dyDescent="0.25">
      <c r="E108" s="17"/>
      <c r="F108" s="17"/>
    </row>
    <row r="110" spans="1:7" x14ac:dyDescent="0.25">
      <c r="A110" s="603" t="s">
        <v>1235</v>
      </c>
      <c r="B110" s="603"/>
      <c r="C110" s="603"/>
      <c r="D110" s="603"/>
      <c r="E110" s="603"/>
      <c r="F110" s="603"/>
      <c r="G110" s="603"/>
    </row>
    <row r="111" spans="1:7" ht="40.5" x14ac:dyDescent="0.25">
      <c r="A111" s="1" t="s">
        <v>211</v>
      </c>
      <c r="B111" s="1" t="s">
        <v>217</v>
      </c>
      <c r="C111" s="1" t="s">
        <v>788</v>
      </c>
      <c r="D111" s="1" t="s">
        <v>789</v>
      </c>
      <c r="E111" s="1" t="s">
        <v>790</v>
      </c>
      <c r="F111" s="1" t="s">
        <v>791</v>
      </c>
      <c r="G111" s="1" t="s">
        <v>216</v>
      </c>
    </row>
    <row r="112" spans="1:7" ht="225" customHeight="1" x14ac:dyDescent="0.25">
      <c r="A112" s="1">
        <v>1</v>
      </c>
      <c r="B112" s="1" t="s">
        <v>186</v>
      </c>
      <c r="C112" s="1" t="s">
        <v>39</v>
      </c>
      <c r="D112" s="1" t="s">
        <v>930</v>
      </c>
      <c r="E112" s="13" t="s">
        <v>18</v>
      </c>
      <c r="F112" s="1" t="s">
        <v>931</v>
      </c>
      <c r="G112" s="1"/>
    </row>
    <row r="113" spans="1:7" x14ac:dyDescent="0.25">
      <c r="A113" s="1"/>
      <c r="B113" s="1"/>
      <c r="C113" s="1" t="s">
        <v>186</v>
      </c>
      <c r="D113" s="1" t="s">
        <v>792</v>
      </c>
      <c r="E113" s="13" t="s">
        <v>18</v>
      </c>
      <c r="F113" s="13" t="s">
        <v>18</v>
      </c>
      <c r="G113" s="13" t="s">
        <v>18</v>
      </c>
    </row>
    <row r="114" spans="1:7" x14ac:dyDescent="0.25">
      <c r="A114" s="1">
        <v>2</v>
      </c>
      <c r="B114" s="1" t="s">
        <v>257</v>
      </c>
      <c r="C114" s="1" t="s">
        <v>257</v>
      </c>
      <c r="D114" s="1" t="s">
        <v>792</v>
      </c>
      <c r="E114" s="13" t="s">
        <v>18</v>
      </c>
      <c r="F114" s="13" t="s">
        <v>18</v>
      </c>
      <c r="G114" s="13" t="s">
        <v>18</v>
      </c>
    </row>
    <row r="115" spans="1:7" x14ac:dyDescent="0.25">
      <c r="A115" s="1"/>
      <c r="B115" s="1"/>
      <c r="C115" s="1" t="s">
        <v>946</v>
      </c>
      <c r="D115" s="1" t="s">
        <v>792</v>
      </c>
      <c r="E115" s="13" t="s">
        <v>18</v>
      </c>
      <c r="F115" s="13" t="s">
        <v>18</v>
      </c>
      <c r="G115" s="13" t="s">
        <v>18</v>
      </c>
    </row>
    <row r="116" spans="1:7" x14ac:dyDescent="0.25">
      <c r="A116" s="1"/>
      <c r="B116" s="1"/>
      <c r="C116" s="1" t="s">
        <v>947</v>
      </c>
      <c r="D116" s="1" t="s">
        <v>792</v>
      </c>
      <c r="E116" s="13" t="s">
        <v>18</v>
      </c>
      <c r="F116" s="13" t="s">
        <v>18</v>
      </c>
      <c r="G116" s="13" t="s">
        <v>18</v>
      </c>
    </row>
    <row r="117" spans="1:7" x14ac:dyDescent="0.25">
      <c r="A117" s="1">
        <v>3</v>
      </c>
      <c r="B117" s="1" t="s">
        <v>83</v>
      </c>
      <c r="C117" s="1" t="s">
        <v>170</v>
      </c>
      <c r="D117" s="1" t="s">
        <v>792</v>
      </c>
      <c r="E117" s="13" t="s">
        <v>18</v>
      </c>
      <c r="F117" s="13" t="s">
        <v>18</v>
      </c>
      <c r="G117" s="13" t="s">
        <v>18</v>
      </c>
    </row>
    <row r="118" spans="1:7" x14ac:dyDescent="0.25">
      <c r="A118" s="1"/>
      <c r="B118" s="1"/>
      <c r="C118" s="1" t="s">
        <v>19</v>
      </c>
      <c r="D118" s="1" t="s">
        <v>792</v>
      </c>
      <c r="E118" s="13" t="s">
        <v>18</v>
      </c>
      <c r="F118" s="13" t="s">
        <v>18</v>
      </c>
      <c r="G118" s="13" t="s">
        <v>18</v>
      </c>
    </row>
    <row r="119" spans="1:7" ht="79.5" customHeight="1" x14ac:dyDescent="0.25">
      <c r="A119" s="1"/>
      <c r="B119" s="1"/>
      <c r="C119" s="1" t="s">
        <v>383</v>
      </c>
      <c r="D119" s="1" t="s">
        <v>952</v>
      </c>
      <c r="E119" s="276" t="s">
        <v>953</v>
      </c>
      <c r="F119" s="13"/>
      <c r="G119" s="1"/>
    </row>
    <row r="120" spans="1:7" x14ac:dyDescent="0.25">
      <c r="A120" s="1"/>
      <c r="B120" s="1"/>
      <c r="C120" s="1" t="s">
        <v>377</v>
      </c>
      <c r="D120" s="1" t="s">
        <v>792</v>
      </c>
      <c r="E120" s="13" t="s">
        <v>18</v>
      </c>
      <c r="F120" s="13" t="s">
        <v>18</v>
      </c>
      <c r="G120" s="13" t="s">
        <v>18</v>
      </c>
    </row>
    <row r="121" spans="1:7" ht="51" customHeight="1" x14ac:dyDescent="0.25">
      <c r="A121" s="1">
        <v>4</v>
      </c>
      <c r="B121" s="1" t="s">
        <v>89</v>
      </c>
      <c r="C121" s="1" t="s">
        <v>176</v>
      </c>
      <c r="D121" s="1" t="s">
        <v>792</v>
      </c>
      <c r="E121" s="13" t="s">
        <v>18</v>
      </c>
      <c r="F121" s="13" t="s">
        <v>18</v>
      </c>
      <c r="G121" s="13" t="s">
        <v>898</v>
      </c>
    </row>
    <row r="122" spans="1:7" ht="40.5" x14ac:dyDescent="0.25">
      <c r="A122" s="1"/>
      <c r="B122" s="1"/>
      <c r="C122" s="1" t="s">
        <v>185</v>
      </c>
      <c r="D122" s="1" t="s">
        <v>792</v>
      </c>
      <c r="E122" s="13" t="s">
        <v>18</v>
      </c>
      <c r="F122" s="13" t="s">
        <v>18</v>
      </c>
      <c r="G122" s="13" t="s">
        <v>898</v>
      </c>
    </row>
    <row r="123" spans="1:7" x14ac:dyDescent="0.25">
      <c r="A123" s="1"/>
      <c r="B123" s="1"/>
      <c r="C123" s="1" t="s">
        <v>89</v>
      </c>
      <c r="D123" s="1" t="s">
        <v>792</v>
      </c>
      <c r="E123" s="13" t="s">
        <v>18</v>
      </c>
      <c r="F123" s="13" t="s">
        <v>18</v>
      </c>
      <c r="G123" s="1"/>
    </row>
    <row r="124" spans="1:7" x14ac:dyDescent="0.25">
      <c r="A124" s="1">
        <v>5</v>
      </c>
      <c r="B124" s="1" t="s">
        <v>127</v>
      </c>
      <c r="C124" s="1" t="s">
        <v>127</v>
      </c>
      <c r="D124" s="1" t="s">
        <v>792</v>
      </c>
      <c r="E124" s="13" t="s">
        <v>18</v>
      </c>
      <c r="F124" s="13" t="s">
        <v>18</v>
      </c>
      <c r="G124" s="1" t="s">
        <v>18</v>
      </c>
    </row>
    <row r="125" spans="1:7" x14ac:dyDescent="0.25">
      <c r="A125" s="1"/>
      <c r="B125" s="1"/>
      <c r="C125" s="1" t="s">
        <v>172</v>
      </c>
      <c r="D125" s="1" t="s">
        <v>792</v>
      </c>
      <c r="E125" s="13" t="s">
        <v>18</v>
      </c>
      <c r="F125" s="13" t="s">
        <v>18</v>
      </c>
      <c r="G125" s="13" t="s">
        <v>18</v>
      </c>
    </row>
    <row r="126" spans="1:7" x14ac:dyDescent="0.25">
      <c r="A126" s="1"/>
      <c r="B126" s="1"/>
      <c r="C126" s="1" t="s">
        <v>174</v>
      </c>
      <c r="D126" s="1" t="s">
        <v>792</v>
      </c>
      <c r="E126" s="13" t="s">
        <v>18</v>
      </c>
      <c r="F126" s="13" t="s">
        <v>18</v>
      </c>
      <c r="G126" s="13" t="s">
        <v>18</v>
      </c>
    </row>
    <row r="127" spans="1:7" x14ac:dyDescent="0.25">
      <c r="A127" s="1"/>
      <c r="B127" s="1"/>
      <c r="C127" s="1" t="s">
        <v>250</v>
      </c>
      <c r="D127" s="1" t="s">
        <v>792</v>
      </c>
      <c r="E127" s="13" t="s">
        <v>18</v>
      </c>
      <c r="F127" s="13" t="s">
        <v>18</v>
      </c>
      <c r="G127" s="13" t="s">
        <v>18</v>
      </c>
    </row>
    <row r="128" spans="1:7" x14ac:dyDescent="0.25">
      <c r="A128" s="1"/>
      <c r="B128" s="1"/>
      <c r="C128" s="1" t="s">
        <v>173</v>
      </c>
      <c r="D128" s="1" t="s">
        <v>792</v>
      </c>
      <c r="E128" s="13" t="s">
        <v>18</v>
      </c>
      <c r="F128" s="13" t="s">
        <v>18</v>
      </c>
      <c r="G128" s="13" t="s">
        <v>18</v>
      </c>
    </row>
    <row r="129" spans="1:7" x14ac:dyDescent="0.25">
      <c r="A129" s="1"/>
      <c r="B129" s="1"/>
      <c r="C129" s="1" t="s">
        <v>202</v>
      </c>
      <c r="D129" s="1" t="s">
        <v>792</v>
      </c>
      <c r="E129" s="13" t="s">
        <v>18</v>
      </c>
      <c r="F129" s="13" t="s">
        <v>18</v>
      </c>
      <c r="G129" s="13" t="s">
        <v>18</v>
      </c>
    </row>
    <row r="130" spans="1:7" ht="40.5" x14ac:dyDescent="0.25">
      <c r="A130" s="1"/>
      <c r="B130" s="1"/>
      <c r="C130" s="1" t="s">
        <v>887</v>
      </c>
      <c r="D130" s="1" t="s">
        <v>792</v>
      </c>
      <c r="E130" s="13" t="s">
        <v>18</v>
      </c>
      <c r="F130" s="13" t="s">
        <v>18</v>
      </c>
      <c r="G130" s="276" t="s">
        <v>898</v>
      </c>
    </row>
    <row r="131" spans="1:7" x14ac:dyDescent="0.25">
      <c r="A131" s="1">
        <v>6</v>
      </c>
      <c r="B131" s="1" t="s">
        <v>467</v>
      </c>
      <c r="C131" s="1" t="s">
        <v>207</v>
      </c>
      <c r="D131" s="1" t="s">
        <v>792</v>
      </c>
      <c r="E131" s="13"/>
      <c r="F131" s="13"/>
      <c r="G131" s="1"/>
    </row>
    <row r="132" spans="1:7" ht="60.75" x14ac:dyDescent="0.25">
      <c r="A132" s="1"/>
      <c r="B132" s="1"/>
      <c r="C132" s="1" t="s">
        <v>909</v>
      </c>
      <c r="D132" s="1" t="s">
        <v>826</v>
      </c>
      <c r="E132" s="13"/>
      <c r="F132" s="13"/>
      <c r="G132" s="1" t="s">
        <v>910</v>
      </c>
    </row>
    <row r="133" spans="1:7" ht="256.5" customHeight="1" x14ac:dyDescent="0.25">
      <c r="A133" s="1"/>
      <c r="B133" s="1"/>
      <c r="C133" s="1" t="s">
        <v>171</v>
      </c>
      <c r="D133" s="1" t="s">
        <v>792</v>
      </c>
      <c r="E133" s="13"/>
      <c r="F133" s="267" t="s">
        <v>911</v>
      </c>
      <c r="G133" s="1" t="s">
        <v>1049</v>
      </c>
    </row>
    <row r="134" spans="1:7" ht="40.5" x14ac:dyDescent="0.25">
      <c r="A134" s="1"/>
      <c r="B134" s="1"/>
      <c r="C134" s="1" t="s">
        <v>912</v>
      </c>
      <c r="D134" s="1" t="s">
        <v>792</v>
      </c>
      <c r="E134" s="13" t="s">
        <v>18</v>
      </c>
      <c r="F134" s="13" t="s">
        <v>18</v>
      </c>
      <c r="G134" s="13" t="s">
        <v>18</v>
      </c>
    </row>
    <row r="135" spans="1:7" x14ac:dyDescent="0.25">
      <c r="A135" s="1"/>
      <c r="B135" s="1"/>
      <c r="C135" s="1" t="s">
        <v>201</v>
      </c>
      <c r="D135" s="1" t="s">
        <v>1050</v>
      </c>
      <c r="E135" s="13" t="s">
        <v>18</v>
      </c>
      <c r="F135" s="13" t="s">
        <v>18</v>
      </c>
      <c r="G135" s="13" t="s">
        <v>18</v>
      </c>
    </row>
    <row r="136" spans="1:7" ht="294" x14ac:dyDescent="0.25">
      <c r="A136" s="1">
        <v>7</v>
      </c>
      <c r="B136" s="1" t="s">
        <v>91</v>
      </c>
      <c r="C136" s="1" t="s">
        <v>184</v>
      </c>
      <c r="D136" s="1" t="s">
        <v>792</v>
      </c>
      <c r="E136" s="13" t="s">
        <v>18</v>
      </c>
      <c r="F136" s="275" t="s">
        <v>1051</v>
      </c>
      <c r="G136" s="275" t="s">
        <v>986</v>
      </c>
    </row>
    <row r="137" spans="1:7" x14ac:dyDescent="0.25">
      <c r="A137" s="1"/>
      <c r="B137" s="1"/>
      <c r="C137" s="1" t="s">
        <v>175</v>
      </c>
      <c r="D137" s="1" t="s">
        <v>792</v>
      </c>
      <c r="E137" s="13" t="s">
        <v>18</v>
      </c>
      <c r="F137" s="13" t="s">
        <v>18</v>
      </c>
      <c r="G137" s="13" t="s">
        <v>18</v>
      </c>
    </row>
    <row r="138" spans="1:7" x14ac:dyDescent="0.25">
      <c r="A138" s="1"/>
      <c r="B138" s="1"/>
      <c r="C138" s="1" t="s">
        <v>360</v>
      </c>
      <c r="D138" s="1" t="s">
        <v>792</v>
      </c>
      <c r="E138" s="13" t="s">
        <v>18</v>
      </c>
      <c r="F138" s="13" t="s">
        <v>18</v>
      </c>
      <c r="G138" s="13" t="s">
        <v>18</v>
      </c>
    </row>
    <row r="139" spans="1:7" x14ac:dyDescent="0.25">
      <c r="A139" s="1">
        <v>8</v>
      </c>
      <c r="B139" s="1" t="s">
        <v>165</v>
      </c>
      <c r="C139" s="1" t="s">
        <v>191</v>
      </c>
      <c r="D139" s="1" t="s">
        <v>792</v>
      </c>
      <c r="E139" s="13" t="s">
        <v>18</v>
      </c>
      <c r="F139" s="13" t="s">
        <v>18</v>
      </c>
      <c r="G139" s="1" t="s">
        <v>18</v>
      </c>
    </row>
    <row r="140" spans="1:7" x14ac:dyDescent="0.25">
      <c r="A140" s="1"/>
      <c r="B140" s="1"/>
      <c r="C140" s="1" t="s">
        <v>164</v>
      </c>
      <c r="D140" s="1" t="s">
        <v>792</v>
      </c>
      <c r="E140" s="13" t="s">
        <v>18</v>
      </c>
      <c r="F140" s="13" t="s">
        <v>18</v>
      </c>
      <c r="G140" s="1" t="s">
        <v>18</v>
      </c>
    </row>
    <row r="141" spans="1:7" x14ac:dyDescent="0.25">
      <c r="A141" s="1"/>
      <c r="B141" s="1"/>
      <c r="C141" s="1" t="s">
        <v>163</v>
      </c>
      <c r="D141" s="1" t="s">
        <v>792</v>
      </c>
      <c r="E141" s="13" t="s">
        <v>18</v>
      </c>
      <c r="F141" s="13" t="s">
        <v>18</v>
      </c>
      <c r="G141" s="1" t="s">
        <v>18</v>
      </c>
    </row>
    <row r="142" spans="1:7" x14ac:dyDescent="0.25">
      <c r="A142" s="1"/>
      <c r="B142" s="1"/>
      <c r="C142" s="1" t="s">
        <v>200</v>
      </c>
      <c r="D142" s="1" t="s">
        <v>792</v>
      </c>
      <c r="E142" s="13" t="s">
        <v>18</v>
      </c>
      <c r="F142" s="13" t="s">
        <v>18</v>
      </c>
      <c r="G142" s="1" t="s">
        <v>18</v>
      </c>
    </row>
    <row r="143" spans="1:7" x14ac:dyDescent="0.25">
      <c r="A143" s="1">
        <v>9</v>
      </c>
      <c r="B143" s="1" t="s">
        <v>46</v>
      </c>
      <c r="C143" s="1" t="s">
        <v>46</v>
      </c>
      <c r="D143" s="1" t="s">
        <v>792</v>
      </c>
      <c r="E143" s="13" t="s">
        <v>18</v>
      </c>
      <c r="F143" s="13" t="s">
        <v>18</v>
      </c>
      <c r="G143" s="13" t="s">
        <v>18</v>
      </c>
    </row>
    <row r="144" spans="1:7" x14ac:dyDescent="0.25">
      <c r="A144" s="1"/>
      <c r="B144" s="1"/>
      <c r="C144" s="1" t="s">
        <v>979</v>
      </c>
      <c r="D144" s="1" t="s">
        <v>792</v>
      </c>
      <c r="E144" s="13" t="s">
        <v>18</v>
      </c>
      <c r="F144" s="13" t="s">
        <v>18</v>
      </c>
      <c r="G144" s="13" t="s">
        <v>18</v>
      </c>
    </row>
    <row r="145" spans="1:7" x14ac:dyDescent="0.25">
      <c r="A145" s="1"/>
      <c r="B145" s="1"/>
      <c r="C145" s="1" t="s">
        <v>142</v>
      </c>
      <c r="D145" s="1" t="s">
        <v>792</v>
      </c>
      <c r="E145" s="13" t="s">
        <v>18</v>
      </c>
      <c r="F145" s="13" t="s">
        <v>18</v>
      </c>
      <c r="G145" s="13" t="s">
        <v>18</v>
      </c>
    </row>
    <row r="146" spans="1:7" x14ac:dyDescent="0.25">
      <c r="A146" s="1">
        <v>10</v>
      </c>
      <c r="B146" s="1" t="s">
        <v>20</v>
      </c>
      <c r="C146" s="1" t="s">
        <v>20</v>
      </c>
      <c r="D146" s="1" t="s">
        <v>792</v>
      </c>
      <c r="E146" s="13" t="s">
        <v>18</v>
      </c>
      <c r="F146" s="13" t="s">
        <v>18</v>
      </c>
      <c r="G146" s="13" t="s">
        <v>18</v>
      </c>
    </row>
    <row r="147" spans="1:7" ht="81" x14ac:dyDescent="0.25">
      <c r="A147" s="1">
        <v>11</v>
      </c>
      <c r="B147" s="1" t="s">
        <v>25</v>
      </c>
      <c r="C147" s="1" t="s">
        <v>255</v>
      </c>
      <c r="D147" s="1" t="s">
        <v>792</v>
      </c>
      <c r="E147" s="13" t="s">
        <v>18</v>
      </c>
      <c r="F147" s="13" t="s">
        <v>18</v>
      </c>
      <c r="G147" s="1" t="s">
        <v>793</v>
      </c>
    </row>
    <row r="148" spans="1:7" ht="121.5" x14ac:dyDescent="0.25">
      <c r="A148" s="1"/>
      <c r="B148" s="1"/>
      <c r="C148" s="1" t="s">
        <v>794</v>
      </c>
      <c r="D148" s="1" t="s">
        <v>795</v>
      </c>
      <c r="E148" s="13" t="s">
        <v>18</v>
      </c>
      <c r="F148" s="13" t="s">
        <v>18</v>
      </c>
      <c r="G148" s="1" t="s">
        <v>796</v>
      </c>
    </row>
    <row r="149" spans="1:7" ht="183" thickBot="1" x14ac:dyDescent="0.3">
      <c r="A149" s="1"/>
      <c r="B149" s="1"/>
      <c r="C149" s="1" t="s">
        <v>773</v>
      </c>
      <c r="D149" s="1" t="s">
        <v>797</v>
      </c>
      <c r="E149" s="13" t="s">
        <v>798</v>
      </c>
      <c r="F149" s="13" t="s">
        <v>18</v>
      </c>
      <c r="G149" s="1" t="s">
        <v>18</v>
      </c>
    </row>
    <row r="150" spans="1:7" ht="41.25" thickBot="1" x14ac:dyDescent="0.3">
      <c r="A150" s="1">
        <v>12</v>
      </c>
      <c r="B150" s="1" t="s">
        <v>267</v>
      </c>
      <c r="C150" s="1" t="s">
        <v>1022</v>
      </c>
      <c r="D150" s="1" t="s">
        <v>1019</v>
      </c>
      <c r="E150" s="250" t="s">
        <v>18</v>
      </c>
      <c r="F150" s="250" t="s">
        <v>18</v>
      </c>
      <c r="G150" s="250" t="s">
        <v>18</v>
      </c>
    </row>
    <row r="151" spans="1:7" ht="21" thickBot="1" x14ac:dyDescent="0.3">
      <c r="A151" s="1"/>
      <c r="B151" s="1"/>
      <c r="C151" s="1" t="s">
        <v>179</v>
      </c>
      <c r="D151" s="1" t="s">
        <v>1019</v>
      </c>
      <c r="E151" s="251" t="s">
        <v>18</v>
      </c>
      <c r="F151" s="251" t="s">
        <v>18</v>
      </c>
      <c r="G151" s="251" t="s">
        <v>18</v>
      </c>
    </row>
    <row r="152" spans="1:7" ht="21" thickBot="1" x14ac:dyDescent="0.3">
      <c r="A152" s="1"/>
      <c r="B152" s="1"/>
      <c r="C152" s="1" t="s">
        <v>1020</v>
      </c>
      <c r="D152" s="1" t="s">
        <v>1019</v>
      </c>
      <c r="E152" s="251" t="s">
        <v>18</v>
      </c>
      <c r="F152" s="251" t="s">
        <v>18</v>
      </c>
      <c r="G152" s="251" t="s">
        <v>18</v>
      </c>
    </row>
    <row r="153" spans="1:7" ht="41.25" thickBot="1" x14ac:dyDescent="0.3">
      <c r="A153" s="1"/>
      <c r="B153" s="1"/>
      <c r="C153" s="1" t="s">
        <v>1021</v>
      </c>
      <c r="D153" s="1" t="s">
        <v>1019</v>
      </c>
      <c r="E153" s="251" t="s">
        <v>18</v>
      </c>
      <c r="F153" s="251" t="s">
        <v>18</v>
      </c>
      <c r="G153" s="251" t="s">
        <v>18</v>
      </c>
    </row>
    <row r="154" spans="1:7" ht="21" thickBot="1" x14ac:dyDescent="0.3">
      <c r="A154" s="1"/>
      <c r="B154" s="1"/>
      <c r="C154" s="1" t="s">
        <v>178</v>
      </c>
      <c r="D154" s="1" t="s">
        <v>1019</v>
      </c>
      <c r="E154" s="251" t="s">
        <v>18</v>
      </c>
      <c r="F154" s="251" t="s">
        <v>18</v>
      </c>
      <c r="G154" s="251" t="s">
        <v>18</v>
      </c>
    </row>
    <row r="155" spans="1:7" ht="21" thickBot="1" x14ac:dyDescent="0.3">
      <c r="A155" s="1"/>
      <c r="B155" s="1"/>
      <c r="C155" s="1" t="s">
        <v>58</v>
      </c>
      <c r="D155" s="1" t="s">
        <v>1019</v>
      </c>
      <c r="E155" s="251" t="s">
        <v>18</v>
      </c>
      <c r="F155" s="251" t="s">
        <v>18</v>
      </c>
      <c r="G155" s="251" t="s">
        <v>18</v>
      </c>
    </row>
    <row r="156" spans="1:7" ht="21" thickBot="1" x14ac:dyDescent="0.3">
      <c r="A156" s="1"/>
      <c r="B156" s="1"/>
      <c r="C156" s="1" t="s">
        <v>177</v>
      </c>
      <c r="D156" s="1" t="s">
        <v>1019</v>
      </c>
      <c r="E156" s="251" t="s">
        <v>18</v>
      </c>
      <c r="F156" s="251" t="s">
        <v>18</v>
      </c>
      <c r="G156" s="251" t="s">
        <v>18</v>
      </c>
    </row>
    <row r="157" spans="1:7" ht="61.5" thickBot="1" x14ac:dyDescent="0.3">
      <c r="A157" s="1"/>
      <c r="B157" s="1"/>
      <c r="C157" s="1" t="s">
        <v>1023</v>
      </c>
      <c r="D157" s="1" t="s">
        <v>1019</v>
      </c>
      <c r="E157" s="251" t="s">
        <v>18</v>
      </c>
      <c r="F157" s="251" t="s">
        <v>18</v>
      </c>
      <c r="G157" s="251" t="s">
        <v>18</v>
      </c>
    </row>
    <row r="158" spans="1:7" ht="61.5" thickBot="1" x14ac:dyDescent="0.3">
      <c r="A158" s="1"/>
      <c r="B158" s="1"/>
      <c r="C158" s="1" t="s">
        <v>1024</v>
      </c>
      <c r="D158" s="1" t="s">
        <v>1019</v>
      </c>
      <c r="E158" s="251" t="s">
        <v>18</v>
      </c>
      <c r="F158" s="251" t="s">
        <v>18</v>
      </c>
      <c r="G158" s="251" t="s">
        <v>18</v>
      </c>
    </row>
    <row r="159" spans="1:7" ht="182.25" x14ac:dyDescent="0.25">
      <c r="A159" s="1">
        <v>13</v>
      </c>
      <c r="B159" s="1" t="s">
        <v>167</v>
      </c>
      <c r="C159" s="1" t="s">
        <v>818</v>
      </c>
      <c r="D159" s="1" t="s">
        <v>792</v>
      </c>
      <c r="E159" s="1" t="s">
        <v>819</v>
      </c>
      <c r="F159" s="13" t="s">
        <v>18</v>
      </c>
      <c r="G159" s="1" t="s">
        <v>18</v>
      </c>
    </row>
    <row r="160" spans="1:7" ht="283.5" x14ac:dyDescent="0.25">
      <c r="A160" s="1"/>
      <c r="B160" s="1"/>
      <c r="C160" s="1" t="s">
        <v>167</v>
      </c>
      <c r="D160" s="1" t="s">
        <v>792</v>
      </c>
      <c r="E160" s="1" t="s">
        <v>820</v>
      </c>
      <c r="F160" s="13" t="s">
        <v>18</v>
      </c>
      <c r="G160" s="1" t="s">
        <v>18</v>
      </c>
    </row>
    <row r="161" spans="1:7" x14ac:dyDescent="0.25">
      <c r="E161" s="17"/>
      <c r="F161" s="17"/>
    </row>
    <row r="162" spans="1:7" x14ac:dyDescent="0.25">
      <c r="E162" s="17"/>
      <c r="F162" s="17"/>
    </row>
    <row r="163" spans="1:7" x14ac:dyDescent="0.25">
      <c r="A163" s="603" t="s">
        <v>1075</v>
      </c>
      <c r="B163" s="603"/>
      <c r="C163" s="603"/>
      <c r="D163" s="603"/>
      <c r="E163" s="603"/>
      <c r="F163" s="603"/>
      <c r="G163" s="603"/>
    </row>
    <row r="164" spans="1:7" ht="40.5" x14ac:dyDescent="0.25">
      <c r="A164" s="1" t="s">
        <v>211</v>
      </c>
      <c r="B164" s="1" t="s">
        <v>217</v>
      </c>
      <c r="C164" s="1" t="s">
        <v>788</v>
      </c>
      <c r="D164" s="1" t="s">
        <v>789</v>
      </c>
      <c r="E164" s="1" t="s">
        <v>790</v>
      </c>
      <c r="F164" s="1" t="s">
        <v>791</v>
      </c>
      <c r="G164" s="1" t="s">
        <v>216</v>
      </c>
    </row>
    <row r="165" spans="1:7" ht="225" customHeight="1" x14ac:dyDescent="0.25">
      <c r="A165" s="1">
        <v>1</v>
      </c>
      <c r="B165" s="1" t="s">
        <v>186</v>
      </c>
      <c r="C165" s="1" t="s">
        <v>39</v>
      </c>
      <c r="D165" s="1" t="s">
        <v>930</v>
      </c>
      <c r="E165" s="13" t="s">
        <v>18</v>
      </c>
      <c r="F165" s="1" t="s">
        <v>931</v>
      </c>
      <c r="G165" s="1"/>
    </row>
    <row r="166" spans="1:7" x14ac:dyDescent="0.25">
      <c r="A166" s="1"/>
      <c r="B166" s="1"/>
      <c r="C166" s="1" t="s">
        <v>186</v>
      </c>
      <c r="D166" s="1" t="s">
        <v>792</v>
      </c>
      <c r="E166" s="13" t="s">
        <v>18</v>
      </c>
      <c r="F166" s="13" t="s">
        <v>18</v>
      </c>
      <c r="G166" s="13" t="s">
        <v>18</v>
      </c>
    </row>
    <row r="167" spans="1:7" x14ac:dyDescent="0.25">
      <c r="A167" s="1">
        <v>2</v>
      </c>
      <c r="B167" s="1" t="s">
        <v>257</v>
      </c>
      <c r="C167" s="1" t="s">
        <v>257</v>
      </c>
      <c r="D167" s="1" t="s">
        <v>792</v>
      </c>
      <c r="E167" s="13" t="s">
        <v>18</v>
      </c>
      <c r="F167" s="13" t="s">
        <v>18</v>
      </c>
      <c r="G167" s="13" t="s">
        <v>18</v>
      </c>
    </row>
    <row r="168" spans="1:7" x14ac:dyDescent="0.25">
      <c r="A168" s="1"/>
      <c r="B168" s="1"/>
      <c r="C168" s="1" t="s">
        <v>946</v>
      </c>
      <c r="D168" s="1" t="s">
        <v>792</v>
      </c>
      <c r="E168" s="13" t="s">
        <v>18</v>
      </c>
      <c r="F168" s="13" t="s">
        <v>18</v>
      </c>
      <c r="G168" s="13" t="s">
        <v>18</v>
      </c>
    </row>
    <row r="169" spans="1:7" x14ac:dyDescent="0.25">
      <c r="A169" s="1"/>
      <c r="B169" s="1"/>
      <c r="C169" s="1" t="s">
        <v>947</v>
      </c>
      <c r="D169" s="1" t="s">
        <v>792</v>
      </c>
      <c r="E169" s="13" t="s">
        <v>18</v>
      </c>
      <c r="F169" s="13" t="s">
        <v>18</v>
      </c>
      <c r="G169" s="13" t="s">
        <v>18</v>
      </c>
    </row>
    <row r="170" spans="1:7" x14ac:dyDescent="0.25">
      <c r="A170" s="1">
        <v>3</v>
      </c>
      <c r="B170" s="1" t="s">
        <v>83</v>
      </c>
      <c r="C170" s="1" t="s">
        <v>170</v>
      </c>
      <c r="D170" s="1" t="s">
        <v>792</v>
      </c>
      <c r="E170" s="13" t="s">
        <v>18</v>
      </c>
      <c r="F170" s="13" t="s">
        <v>18</v>
      </c>
      <c r="G170" s="13" t="s">
        <v>18</v>
      </c>
    </row>
    <row r="171" spans="1:7" x14ac:dyDescent="0.25">
      <c r="A171" s="1"/>
      <c r="B171" s="1"/>
      <c r="C171" s="1" t="s">
        <v>19</v>
      </c>
      <c r="D171" s="1" t="s">
        <v>792</v>
      </c>
      <c r="E171" s="13" t="s">
        <v>18</v>
      </c>
      <c r="F171" s="13" t="s">
        <v>18</v>
      </c>
      <c r="G171" s="13" t="s">
        <v>18</v>
      </c>
    </row>
    <row r="172" spans="1:7" ht="79.5" customHeight="1" x14ac:dyDescent="0.25">
      <c r="A172" s="1"/>
      <c r="B172" s="1"/>
      <c r="C172" s="1" t="s">
        <v>383</v>
      </c>
      <c r="D172" s="1" t="s">
        <v>952</v>
      </c>
      <c r="E172" s="276" t="s">
        <v>953</v>
      </c>
      <c r="F172" s="13"/>
      <c r="G172" s="1"/>
    </row>
    <row r="173" spans="1:7" x14ac:dyDescent="0.25">
      <c r="A173" s="1"/>
      <c r="B173" s="1"/>
      <c r="C173" s="1" t="s">
        <v>377</v>
      </c>
      <c r="D173" s="1" t="s">
        <v>792</v>
      </c>
      <c r="E173" s="13" t="s">
        <v>18</v>
      </c>
      <c r="F173" s="13" t="s">
        <v>18</v>
      </c>
      <c r="G173" s="13" t="s">
        <v>18</v>
      </c>
    </row>
    <row r="174" spans="1:7" ht="51" customHeight="1" x14ac:dyDescent="0.25">
      <c r="A174" s="1">
        <v>4</v>
      </c>
      <c r="B174" s="1" t="s">
        <v>89</v>
      </c>
      <c r="C174" s="1" t="s">
        <v>176</v>
      </c>
      <c r="D174" s="1" t="s">
        <v>792</v>
      </c>
      <c r="E174" s="13" t="s">
        <v>18</v>
      </c>
      <c r="F174" s="13" t="s">
        <v>18</v>
      </c>
      <c r="G174" s="13" t="s">
        <v>898</v>
      </c>
    </row>
    <row r="175" spans="1:7" ht="40.5" x14ac:dyDescent="0.25">
      <c r="A175" s="1"/>
      <c r="B175" s="1"/>
      <c r="C175" s="1" t="s">
        <v>185</v>
      </c>
      <c r="D175" s="1" t="s">
        <v>792</v>
      </c>
      <c r="E175" s="13" t="s">
        <v>18</v>
      </c>
      <c r="F175" s="13" t="s">
        <v>18</v>
      </c>
      <c r="G175" s="13" t="s">
        <v>898</v>
      </c>
    </row>
    <row r="176" spans="1:7" x14ac:dyDescent="0.25">
      <c r="A176" s="1"/>
      <c r="B176" s="1"/>
      <c r="C176" s="1" t="s">
        <v>89</v>
      </c>
      <c r="D176" s="1" t="s">
        <v>792</v>
      </c>
      <c r="E176" s="13" t="s">
        <v>18</v>
      </c>
      <c r="F176" s="13" t="s">
        <v>18</v>
      </c>
      <c r="G176" s="1"/>
    </row>
    <row r="177" spans="1:7" x14ac:dyDescent="0.25">
      <c r="A177" s="1">
        <v>5</v>
      </c>
      <c r="B177" s="1" t="s">
        <v>127</v>
      </c>
      <c r="C177" s="1" t="s">
        <v>127</v>
      </c>
      <c r="D177" s="1" t="s">
        <v>792</v>
      </c>
      <c r="E177" s="13" t="s">
        <v>18</v>
      </c>
      <c r="F177" s="13" t="s">
        <v>18</v>
      </c>
      <c r="G177" s="1" t="s">
        <v>18</v>
      </c>
    </row>
    <row r="178" spans="1:7" x14ac:dyDescent="0.25">
      <c r="A178" s="1"/>
      <c r="B178" s="1"/>
      <c r="C178" s="1" t="s">
        <v>172</v>
      </c>
      <c r="D178" s="1" t="s">
        <v>792</v>
      </c>
      <c r="E178" s="13" t="s">
        <v>18</v>
      </c>
      <c r="F178" s="13" t="s">
        <v>18</v>
      </c>
      <c r="G178" s="13" t="s">
        <v>18</v>
      </c>
    </row>
    <row r="179" spans="1:7" x14ac:dyDescent="0.25">
      <c r="A179" s="1"/>
      <c r="B179" s="1"/>
      <c r="C179" s="1" t="s">
        <v>174</v>
      </c>
      <c r="D179" s="1" t="s">
        <v>792</v>
      </c>
      <c r="E179" s="13" t="s">
        <v>18</v>
      </c>
      <c r="F179" s="13" t="s">
        <v>18</v>
      </c>
      <c r="G179" s="13" t="s">
        <v>18</v>
      </c>
    </row>
    <row r="180" spans="1:7" x14ac:dyDescent="0.25">
      <c r="A180" s="1"/>
      <c r="B180" s="1"/>
      <c r="C180" s="1" t="s">
        <v>250</v>
      </c>
      <c r="D180" s="1" t="s">
        <v>792</v>
      </c>
      <c r="E180" s="13" t="s">
        <v>18</v>
      </c>
      <c r="F180" s="13" t="s">
        <v>18</v>
      </c>
      <c r="G180" s="13" t="s">
        <v>18</v>
      </c>
    </row>
    <row r="181" spans="1:7" x14ac:dyDescent="0.25">
      <c r="A181" s="1"/>
      <c r="B181" s="1"/>
      <c r="C181" s="1" t="s">
        <v>173</v>
      </c>
      <c r="D181" s="1" t="s">
        <v>792</v>
      </c>
      <c r="E181" s="13" t="s">
        <v>18</v>
      </c>
      <c r="F181" s="13" t="s">
        <v>18</v>
      </c>
      <c r="G181" s="13" t="s">
        <v>18</v>
      </c>
    </row>
    <row r="182" spans="1:7" x14ac:dyDescent="0.25">
      <c r="A182" s="1"/>
      <c r="B182" s="1"/>
      <c r="C182" s="1" t="s">
        <v>202</v>
      </c>
      <c r="D182" s="1" t="s">
        <v>792</v>
      </c>
      <c r="E182" s="13" t="s">
        <v>18</v>
      </c>
      <c r="F182" s="13" t="s">
        <v>18</v>
      </c>
      <c r="G182" s="13" t="s">
        <v>18</v>
      </c>
    </row>
    <row r="183" spans="1:7" ht="40.5" x14ac:dyDescent="0.25">
      <c r="A183" s="1"/>
      <c r="B183" s="1"/>
      <c r="C183" s="1" t="s">
        <v>887</v>
      </c>
      <c r="D183" s="1" t="s">
        <v>792</v>
      </c>
      <c r="E183" s="13" t="s">
        <v>18</v>
      </c>
      <c r="F183" s="13" t="s">
        <v>18</v>
      </c>
      <c r="G183" s="276" t="s">
        <v>898</v>
      </c>
    </row>
    <row r="184" spans="1:7" x14ac:dyDescent="0.25">
      <c r="A184" s="1">
        <v>6</v>
      </c>
      <c r="B184" s="1" t="s">
        <v>467</v>
      </c>
      <c r="C184" s="1" t="s">
        <v>207</v>
      </c>
      <c r="D184" s="1" t="s">
        <v>792</v>
      </c>
      <c r="E184" s="13"/>
      <c r="F184" s="13"/>
      <c r="G184" s="1"/>
    </row>
    <row r="185" spans="1:7" ht="60.75" x14ac:dyDescent="0.25">
      <c r="A185" s="1"/>
      <c r="B185" s="1"/>
      <c r="C185" s="1" t="s">
        <v>909</v>
      </c>
      <c r="D185" s="1" t="s">
        <v>826</v>
      </c>
      <c r="E185" s="13"/>
      <c r="F185" s="13"/>
      <c r="G185" s="1" t="s">
        <v>910</v>
      </c>
    </row>
    <row r="186" spans="1:7" ht="256.5" customHeight="1" x14ac:dyDescent="0.25">
      <c r="A186" s="1"/>
      <c r="B186" s="1"/>
      <c r="C186" s="1" t="s">
        <v>171</v>
      </c>
      <c r="D186" s="1" t="s">
        <v>792</v>
      </c>
      <c r="E186" s="13"/>
      <c r="F186" s="267" t="s">
        <v>911</v>
      </c>
      <c r="G186" s="1" t="s">
        <v>1049</v>
      </c>
    </row>
    <row r="187" spans="1:7" ht="40.5" x14ac:dyDescent="0.25">
      <c r="A187" s="1"/>
      <c r="B187" s="1"/>
      <c r="C187" s="1" t="s">
        <v>912</v>
      </c>
      <c r="D187" s="1" t="s">
        <v>792</v>
      </c>
      <c r="E187" s="13" t="s">
        <v>18</v>
      </c>
      <c r="F187" s="13" t="s">
        <v>18</v>
      </c>
      <c r="G187" s="13" t="s">
        <v>18</v>
      </c>
    </row>
    <row r="188" spans="1:7" x14ac:dyDescent="0.25">
      <c r="A188" s="1"/>
      <c r="B188" s="1"/>
      <c r="C188" s="1" t="s">
        <v>201</v>
      </c>
      <c r="D188" s="1" t="s">
        <v>1050</v>
      </c>
      <c r="E188" s="13" t="s">
        <v>18</v>
      </c>
      <c r="F188" s="13" t="s">
        <v>18</v>
      </c>
      <c r="G188" s="13" t="s">
        <v>18</v>
      </c>
    </row>
    <row r="189" spans="1:7" ht="294" x14ac:dyDescent="0.25">
      <c r="A189" s="1">
        <v>7</v>
      </c>
      <c r="B189" s="1" t="s">
        <v>91</v>
      </c>
      <c r="C189" s="1" t="s">
        <v>184</v>
      </c>
      <c r="D189" s="1" t="s">
        <v>792</v>
      </c>
      <c r="E189" s="13" t="s">
        <v>18</v>
      </c>
      <c r="F189" s="275" t="s">
        <v>1051</v>
      </c>
      <c r="G189" s="275" t="s">
        <v>986</v>
      </c>
    </row>
    <row r="190" spans="1:7" x14ac:dyDescent="0.25">
      <c r="A190" s="1"/>
      <c r="B190" s="1"/>
      <c r="C190" s="1" t="s">
        <v>175</v>
      </c>
      <c r="D190" s="1" t="s">
        <v>792</v>
      </c>
      <c r="E190" s="13" t="s">
        <v>18</v>
      </c>
      <c r="F190" s="13" t="s">
        <v>18</v>
      </c>
      <c r="G190" s="13" t="s">
        <v>18</v>
      </c>
    </row>
    <row r="191" spans="1:7" x14ac:dyDescent="0.25">
      <c r="A191" s="1"/>
      <c r="B191" s="1"/>
      <c r="C191" s="1" t="s">
        <v>360</v>
      </c>
      <c r="D191" s="1" t="s">
        <v>792</v>
      </c>
      <c r="E191" s="13" t="s">
        <v>18</v>
      </c>
      <c r="F191" s="13" t="s">
        <v>18</v>
      </c>
      <c r="G191" s="13" t="s">
        <v>18</v>
      </c>
    </row>
    <row r="192" spans="1:7" x14ac:dyDescent="0.25">
      <c r="A192" s="1">
        <v>8</v>
      </c>
      <c r="B192" s="1" t="s">
        <v>165</v>
      </c>
      <c r="C192" s="1" t="s">
        <v>191</v>
      </c>
      <c r="D192" s="1" t="s">
        <v>792</v>
      </c>
      <c r="E192" s="13" t="s">
        <v>18</v>
      </c>
      <c r="F192" s="13" t="s">
        <v>18</v>
      </c>
      <c r="G192" s="1" t="s">
        <v>18</v>
      </c>
    </row>
    <row r="193" spans="1:7" x14ac:dyDescent="0.25">
      <c r="A193" s="1"/>
      <c r="B193" s="1"/>
      <c r="C193" s="1" t="s">
        <v>164</v>
      </c>
      <c r="D193" s="1" t="s">
        <v>792</v>
      </c>
      <c r="E193" s="13" t="s">
        <v>18</v>
      </c>
      <c r="F193" s="13" t="s">
        <v>18</v>
      </c>
      <c r="G193" s="1" t="s">
        <v>18</v>
      </c>
    </row>
    <row r="194" spans="1:7" x14ac:dyDescent="0.25">
      <c r="A194" s="1"/>
      <c r="B194" s="1"/>
      <c r="C194" s="1" t="s">
        <v>163</v>
      </c>
      <c r="D194" s="1" t="s">
        <v>792</v>
      </c>
      <c r="E194" s="13" t="s">
        <v>18</v>
      </c>
      <c r="F194" s="13" t="s">
        <v>18</v>
      </c>
      <c r="G194" s="1" t="s">
        <v>18</v>
      </c>
    </row>
    <row r="195" spans="1:7" x14ac:dyDescent="0.25">
      <c r="A195" s="1"/>
      <c r="B195" s="1"/>
      <c r="C195" s="1" t="s">
        <v>200</v>
      </c>
      <c r="D195" s="1" t="s">
        <v>792</v>
      </c>
      <c r="E195" s="13" t="s">
        <v>18</v>
      </c>
      <c r="F195" s="13" t="s">
        <v>18</v>
      </c>
      <c r="G195" s="1" t="s">
        <v>18</v>
      </c>
    </row>
    <row r="196" spans="1:7" x14ac:dyDescent="0.25">
      <c r="A196" s="1">
        <v>9</v>
      </c>
      <c r="B196" s="1" t="s">
        <v>46</v>
      </c>
      <c r="C196" s="1" t="s">
        <v>46</v>
      </c>
      <c r="D196" s="1" t="s">
        <v>792</v>
      </c>
      <c r="E196" s="13" t="s">
        <v>18</v>
      </c>
      <c r="F196" s="13" t="s">
        <v>18</v>
      </c>
      <c r="G196" s="13" t="s">
        <v>18</v>
      </c>
    </row>
    <row r="197" spans="1:7" x14ac:dyDescent="0.25">
      <c r="A197" s="1"/>
      <c r="B197" s="1"/>
      <c r="C197" s="1" t="s">
        <v>979</v>
      </c>
      <c r="D197" s="1" t="s">
        <v>792</v>
      </c>
      <c r="E197" s="13" t="s">
        <v>18</v>
      </c>
      <c r="F197" s="13" t="s">
        <v>18</v>
      </c>
      <c r="G197" s="13" t="s">
        <v>18</v>
      </c>
    </row>
    <row r="198" spans="1:7" x14ac:dyDescent="0.25">
      <c r="A198" s="1"/>
      <c r="B198" s="1"/>
      <c r="C198" s="1" t="s">
        <v>142</v>
      </c>
      <c r="D198" s="1" t="s">
        <v>792</v>
      </c>
      <c r="E198" s="13" t="s">
        <v>18</v>
      </c>
      <c r="F198" s="13" t="s">
        <v>18</v>
      </c>
      <c r="G198" s="13" t="s">
        <v>18</v>
      </c>
    </row>
    <row r="199" spans="1:7" x14ac:dyDescent="0.25">
      <c r="A199" s="1">
        <v>10</v>
      </c>
      <c r="B199" s="1" t="s">
        <v>20</v>
      </c>
      <c r="C199" s="1" t="s">
        <v>20</v>
      </c>
      <c r="D199" s="1" t="s">
        <v>792</v>
      </c>
      <c r="E199" s="13" t="s">
        <v>18</v>
      </c>
      <c r="F199" s="13" t="s">
        <v>18</v>
      </c>
      <c r="G199" s="13" t="s">
        <v>18</v>
      </c>
    </row>
    <row r="200" spans="1:7" ht="81" x14ac:dyDescent="0.25">
      <c r="A200" s="1">
        <v>11</v>
      </c>
      <c r="B200" s="1" t="s">
        <v>25</v>
      </c>
      <c r="C200" s="1" t="s">
        <v>255</v>
      </c>
      <c r="D200" s="1" t="s">
        <v>792</v>
      </c>
      <c r="E200" s="13" t="s">
        <v>18</v>
      </c>
      <c r="F200" s="13" t="s">
        <v>18</v>
      </c>
      <c r="G200" s="1" t="s">
        <v>793</v>
      </c>
    </row>
    <row r="201" spans="1:7" ht="121.5" x14ac:dyDescent="0.25">
      <c r="A201" s="1"/>
      <c r="B201" s="1"/>
      <c r="C201" s="1" t="s">
        <v>794</v>
      </c>
      <c r="D201" s="1" t="s">
        <v>795</v>
      </c>
      <c r="E201" s="13" t="s">
        <v>18</v>
      </c>
      <c r="F201" s="13" t="s">
        <v>18</v>
      </c>
      <c r="G201" s="1" t="s">
        <v>796</v>
      </c>
    </row>
    <row r="202" spans="1:7" ht="183" thickBot="1" x14ac:dyDescent="0.3">
      <c r="A202" s="1"/>
      <c r="B202" s="1"/>
      <c r="C202" s="1" t="s">
        <v>773</v>
      </c>
      <c r="D202" s="1" t="s">
        <v>797</v>
      </c>
      <c r="E202" s="13" t="s">
        <v>798</v>
      </c>
      <c r="F202" s="13" t="s">
        <v>18</v>
      </c>
      <c r="G202" s="1" t="s">
        <v>18</v>
      </c>
    </row>
    <row r="203" spans="1:7" ht="41.25" thickBot="1" x14ac:dyDescent="0.3">
      <c r="A203" s="1">
        <v>12</v>
      </c>
      <c r="B203" s="1" t="s">
        <v>267</v>
      </c>
      <c r="C203" s="1" t="s">
        <v>1022</v>
      </c>
      <c r="D203" s="1" t="s">
        <v>1019</v>
      </c>
      <c r="E203" s="250" t="s">
        <v>18</v>
      </c>
      <c r="F203" s="250" t="s">
        <v>18</v>
      </c>
      <c r="G203" s="250" t="s">
        <v>18</v>
      </c>
    </row>
    <row r="204" spans="1:7" ht="21" thickBot="1" x14ac:dyDescent="0.3">
      <c r="A204" s="1"/>
      <c r="B204" s="1"/>
      <c r="C204" s="1" t="s">
        <v>179</v>
      </c>
      <c r="D204" s="1" t="s">
        <v>1019</v>
      </c>
      <c r="E204" s="251" t="s">
        <v>18</v>
      </c>
      <c r="F204" s="251" t="s">
        <v>18</v>
      </c>
      <c r="G204" s="251" t="s">
        <v>18</v>
      </c>
    </row>
    <row r="205" spans="1:7" ht="21" thickBot="1" x14ac:dyDescent="0.3">
      <c r="A205" s="1"/>
      <c r="B205" s="1"/>
      <c r="C205" s="1" t="s">
        <v>1020</v>
      </c>
      <c r="D205" s="1" t="s">
        <v>1019</v>
      </c>
      <c r="E205" s="251" t="s">
        <v>18</v>
      </c>
      <c r="F205" s="251" t="s">
        <v>18</v>
      </c>
      <c r="G205" s="251" t="s">
        <v>18</v>
      </c>
    </row>
    <row r="206" spans="1:7" ht="41.25" thickBot="1" x14ac:dyDescent="0.3">
      <c r="A206" s="1"/>
      <c r="B206" s="1"/>
      <c r="C206" s="1" t="s">
        <v>1021</v>
      </c>
      <c r="D206" s="1" t="s">
        <v>1019</v>
      </c>
      <c r="E206" s="251" t="s">
        <v>18</v>
      </c>
      <c r="F206" s="251" t="s">
        <v>18</v>
      </c>
      <c r="G206" s="251" t="s">
        <v>18</v>
      </c>
    </row>
    <row r="207" spans="1:7" ht="21" thickBot="1" x14ac:dyDescent="0.3">
      <c r="A207" s="1"/>
      <c r="B207" s="1"/>
      <c r="C207" s="1" t="s">
        <v>178</v>
      </c>
      <c r="D207" s="1" t="s">
        <v>1019</v>
      </c>
      <c r="E207" s="251" t="s">
        <v>18</v>
      </c>
      <c r="F207" s="251" t="s">
        <v>18</v>
      </c>
      <c r="G207" s="251" t="s">
        <v>18</v>
      </c>
    </row>
    <row r="208" spans="1:7" ht="21" thickBot="1" x14ac:dyDescent="0.3">
      <c r="A208" s="1"/>
      <c r="B208" s="1"/>
      <c r="C208" s="1" t="s">
        <v>58</v>
      </c>
      <c r="D208" s="1" t="s">
        <v>1019</v>
      </c>
      <c r="E208" s="251" t="s">
        <v>18</v>
      </c>
      <c r="F208" s="251" t="s">
        <v>18</v>
      </c>
      <c r="G208" s="251" t="s">
        <v>18</v>
      </c>
    </row>
    <row r="209" spans="1:7" ht="21" thickBot="1" x14ac:dyDescent="0.3">
      <c r="A209" s="1"/>
      <c r="B209" s="1"/>
      <c r="C209" s="1" t="s">
        <v>177</v>
      </c>
      <c r="D209" s="1" t="s">
        <v>1019</v>
      </c>
      <c r="E209" s="251" t="s">
        <v>18</v>
      </c>
      <c r="F209" s="251" t="s">
        <v>18</v>
      </c>
      <c r="G209" s="251" t="s">
        <v>18</v>
      </c>
    </row>
    <row r="210" spans="1:7" ht="61.5" thickBot="1" x14ac:dyDescent="0.3">
      <c r="A210" s="1"/>
      <c r="B210" s="1"/>
      <c r="C210" s="1" t="s">
        <v>1023</v>
      </c>
      <c r="D210" s="1" t="s">
        <v>1019</v>
      </c>
      <c r="E210" s="251" t="s">
        <v>18</v>
      </c>
      <c r="F210" s="251" t="s">
        <v>18</v>
      </c>
      <c r="G210" s="251" t="s">
        <v>18</v>
      </c>
    </row>
    <row r="211" spans="1:7" ht="61.5" thickBot="1" x14ac:dyDescent="0.3">
      <c r="A211" s="1"/>
      <c r="B211" s="1"/>
      <c r="C211" s="1" t="s">
        <v>1024</v>
      </c>
      <c r="D211" s="1" t="s">
        <v>1019</v>
      </c>
      <c r="E211" s="251" t="s">
        <v>18</v>
      </c>
      <c r="F211" s="251" t="s">
        <v>18</v>
      </c>
      <c r="G211" s="251" t="s">
        <v>18</v>
      </c>
    </row>
    <row r="212" spans="1:7" ht="182.25" x14ac:dyDescent="0.25">
      <c r="A212" s="1">
        <v>13</v>
      </c>
      <c r="B212" s="1" t="s">
        <v>167</v>
      </c>
      <c r="C212" s="1" t="s">
        <v>818</v>
      </c>
      <c r="D212" s="1" t="s">
        <v>792</v>
      </c>
      <c r="E212" s="1" t="s">
        <v>819</v>
      </c>
      <c r="F212" s="13" t="s">
        <v>18</v>
      </c>
      <c r="G212" s="1" t="s">
        <v>18</v>
      </c>
    </row>
    <row r="213" spans="1:7" ht="283.5" x14ac:dyDescent="0.25">
      <c r="A213" s="1"/>
      <c r="B213" s="1"/>
      <c r="C213" s="1" t="s">
        <v>167</v>
      </c>
      <c r="D213" s="1" t="s">
        <v>792</v>
      </c>
      <c r="E213" s="1" t="s">
        <v>820</v>
      </c>
      <c r="F213" s="13" t="s">
        <v>18</v>
      </c>
      <c r="G213" s="1" t="s">
        <v>18</v>
      </c>
    </row>
    <row r="214" spans="1:7" x14ac:dyDescent="0.25">
      <c r="E214" s="17"/>
      <c r="F214" s="17"/>
    </row>
    <row r="215" spans="1:7" x14ac:dyDescent="0.25">
      <c r="E215" s="17"/>
      <c r="F215" s="17"/>
    </row>
    <row r="216" spans="1:7" x14ac:dyDescent="0.25">
      <c r="A216" s="603" t="s">
        <v>1048</v>
      </c>
      <c r="B216" s="603"/>
      <c r="C216" s="603"/>
      <c r="D216" s="603"/>
      <c r="E216" s="603"/>
      <c r="F216" s="603"/>
      <c r="G216" s="603"/>
    </row>
    <row r="217" spans="1:7" ht="40.5" x14ac:dyDescent="0.25">
      <c r="A217" s="1" t="s">
        <v>211</v>
      </c>
      <c r="B217" s="1" t="s">
        <v>217</v>
      </c>
      <c r="C217" s="1" t="s">
        <v>788</v>
      </c>
      <c r="D217" s="1" t="s">
        <v>789</v>
      </c>
      <c r="E217" s="1" t="s">
        <v>790</v>
      </c>
      <c r="F217" s="1" t="s">
        <v>791</v>
      </c>
      <c r="G217" s="1" t="s">
        <v>216</v>
      </c>
    </row>
    <row r="218" spans="1:7" ht="222.75" x14ac:dyDescent="0.25">
      <c r="A218" s="1">
        <v>1</v>
      </c>
      <c r="B218" s="1" t="s">
        <v>186</v>
      </c>
      <c r="C218" s="1" t="s">
        <v>39</v>
      </c>
      <c r="D218" s="1" t="s">
        <v>930</v>
      </c>
      <c r="E218" s="13" t="s">
        <v>18</v>
      </c>
      <c r="F218" s="1" t="s">
        <v>931</v>
      </c>
      <c r="G218" s="1"/>
    </row>
    <row r="219" spans="1:7" x14ac:dyDescent="0.25">
      <c r="A219" s="1"/>
      <c r="B219" s="1"/>
      <c r="C219" s="1" t="s">
        <v>186</v>
      </c>
      <c r="D219" s="1" t="s">
        <v>792</v>
      </c>
      <c r="E219" s="13" t="s">
        <v>18</v>
      </c>
      <c r="F219" s="13" t="s">
        <v>18</v>
      </c>
      <c r="G219" s="13" t="s">
        <v>18</v>
      </c>
    </row>
    <row r="220" spans="1:7" x14ac:dyDescent="0.25">
      <c r="A220" s="1">
        <v>2</v>
      </c>
      <c r="B220" s="1" t="s">
        <v>257</v>
      </c>
      <c r="C220" s="1" t="s">
        <v>257</v>
      </c>
      <c r="D220" s="1" t="s">
        <v>792</v>
      </c>
      <c r="E220" s="13" t="s">
        <v>18</v>
      </c>
      <c r="F220" s="13" t="s">
        <v>18</v>
      </c>
      <c r="G220" s="13" t="s">
        <v>18</v>
      </c>
    </row>
    <row r="221" spans="1:7" x14ac:dyDescent="0.25">
      <c r="A221" s="1"/>
      <c r="B221" s="1"/>
      <c r="C221" s="1" t="s">
        <v>946</v>
      </c>
      <c r="D221" s="1" t="s">
        <v>792</v>
      </c>
      <c r="E221" s="13" t="s">
        <v>18</v>
      </c>
      <c r="F221" s="13" t="s">
        <v>18</v>
      </c>
      <c r="G221" s="13" t="s">
        <v>18</v>
      </c>
    </row>
    <row r="222" spans="1:7" x14ac:dyDescent="0.25">
      <c r="A222" s="1"/>
      <c r="B222" s="1"/>
      <c r="C222" s="1" t="s">
        <v>947</v>
      </c>
      <c r="D222" s="1" t="s">
        <v>792</v>
      </c>
      <c r="E222" s="13" t="s">
        <v>18</v>
      </c>
      <c r="F222" s="13" t="s">
        <v>18</v>
      </c>
      <c r="G222" s="13" t="s">
        <v>18</v>
      </c>
    </row>
    <row r="223" spans="1:7" x14ac:dyDescent="0.25">
      <c r="A223" s="1">
        <v>3</v>
      </c>
      <c r="B223" s="1" t="s">
        <v>83</v>
      </c>
      <c r="C223" s="1" t="s">
        <v>170</v>
      </c>
      <c r="D223" s="1" t="s">
        <v>792</v>
      </c>
      <c r="E223" s="13" t="s">
        <v>18</v>
      </c>
      <c r="F223" s="13" t="s">
        <v>18</v>
      </c>
      <c r="G223" s="13" t="s">
        <v>18</v>
      </c>
    </row>
    <row r="224" spans="1:7" x14ac:dyDescent="0.25">
      <c r="A224" s="1"/>
      <c r="B224" s="1"/>
      <c r="C224" s="1" t="s">
        <v>19</v>
      </c>
      <c r="D224" s="1" t="s">
        <v>792</v>
      </c>
      <c r="E224" s="13" t="s">
        <v>18</v>
      </c>
      <c r="F224" s="13" t="s">
        <v>18</v>
      </c>
      <c r="G224" s="13" t="s">
        <v>18</v>
      </c>
    </row>
    <row r="225" spans="1:7" ht="81" x14ac:dyDescent="0.25">
      <c r="A225" s="1"/>
      <c r="B225" s="1"/>
      <c r="C225" s="1" t="s">
        <v>383</v>
      </c>
      <c r="D225" s="1" t="s">
        <v>952</v>
      </c>
      <c r="E225" s="276" t="s">
        <v>953</v>
      </c>
      <c r="F225" s="13"/>
      <c r="G225" s="1"/>
    </row>
    <row r="226" spans="1:7" x14ac:dyDescent="0.25">
      <c r="A226" s="1"/>
      <c r="B226" s="1"/>
      <c r="C226" s="1" t="s">
        <v>377</v>
      </c>
      <c r="D226" s="1" t="s">
        <v>792</v>
      </c>
      <c r="E226" s="13" t="s">
        <v>18</v>
      </c>
      <c r="F226" s="13" t="s">
        <v>18</v>
      </c>
      <c r="G226" s="13" t="s">
        <v>18</v>
      </c>
    </row>
    <row r="227" spans="1:7" ht="40.5" x14ac:dyDescent="0.25">
      <c r="A227" s="1">
        <v>4</v>
      </c>
      <c r="B227" s="1" t="s">
        <v>89</v>
      </c>
      <c r="C227" s="1" t="s">
        <v>176</v>
      </c>
      <c r="D227" s="1" t="s">
        <v>792</v>
      </c>
      <c r="E227" s="13" t="s">
        <v>18</v>
      </c>
      <c r="F227" s="13" t="s">
        <v>18</v>
      </c>
      <c r="G227" s="13" t="s">
        <v>898</v>
      </c>
    </row>
    <row r="228" spans="1:7" ht="40.5" x14ac:dyDescent="0.25">
      <c r="A228" s="1"/>
      <c r="B228" s="1"/>
      <c r="C228" s="1" t="s">
        <v>185</v>
      </c>
      <c r="D228" s="1" t="s">
        <v>792</v>
      </c>
      <c r="E228" s="13" t="s">
        <v>18</v>
      </c>
      <c r="F228" s="13" t="s">
        <v>18</v>
      </c>
      <c r="G228" s="13" t="s">
        <v>898</v>
      </c>
    </row>
    <row r="229" spans="1:7" x14ac:dyDescent="0.25">
      <c r="A229" s="1"/>
      <c r="B229" s="1"/>
      <c r="C229" s="1" t="s">
        <v>89</v>
      </c>
      <c r="D229" s="1" t="s">
        <v>792</v>
      </c>
      <c r="E229" s="13" t="s">
        <v>18</v>
      </c>
      <c r="F229" s="13" t="s">
        <v>18</v>
      </c>
      <c r="G229" s="1"/>
    </row>
    <row r="230" spans="1:7" x14ac:dyDescent="0.25">
      <c r="A230" s="1">
        <v>5</v>
      </c>
      <c r="B230" s="1" t="s">
        <v>127</v>
      </c>
      <c r="C230" s="1" t="s">
        <v>127</v>
      </c>
      <c r="D230" s="1" t="s">
        <v>792</v>
      </c>
      <c r="E230" s="13" t="s">
        <v>18</v>
      </c>
      <c r="F230" s="13" t="s">
        <v>18</v>
      </c>
      <c r="G230" s="1" t="s">
        <v>18</v>
      </c>
    </row>
    <row r="231" spans="1:7" x14ac:dyDescent="0.25">
      <c r="A231" s="1"/>
      <c r="B231" s="1"/>
      <c r="C231" s="1" t="s">
        <v>172</v>
      </c>
      <c r="D231" s="1" t="s">
        <v>792</v>
      </c>
      <c r="E231" s="13" t="s">
        <v>18</v>
      </c>
      <c r="F231" s="13" t="s">
        <v>18</v>
      </c>
      <c r="G231" s="13" t="s">
        <v>18</v>
      </c>
    </row>
    <row r="232" spans="1:7" x14ac:dyDescent="0.25">
      <c r="A232" s="1"/>
      <c r="B232" s="1"/>
      <c r="C232" s="1" t="s">
        <v>174</v>
      </c>
      <c r="D232" s="1" t="s">
        <v>792</v>
      </c>
      <c r="E232" s="13" t="s">
        <v>18</v>
      </c>
      <c r="F232" s="13" t="s">
        <v>18</v>
      </c>
      <c r="G232" s="13" t="s">
        <v>18</v>
      </c>
    </row>
    <row r="233" spans="1:7" x14ac:dyDescent="0.25">
      <c r="A233" s="1"/>
      <c r="B233" s="1"/>
      <c r="C233" s="1" t="s">
        <v>250</v>
      </c>
      <c r="D233" s="1" t="s">
        <v>792</v>
      </c>
      <c r="E233" s="13" t="s">
        <v>18</v>
      </c>
      <c r="F233" s="13" t="s">
        <v>18</v>
      </c>
      <c r="G233" s="13" t="s">
        <v>18</v>
      </c>
    </row>
    <row r="234" spans="1:7" x14ac:dyDescent="0.25">
      <c r="A234" s="1"/>
      <c r="B234" s="1"/>
      <c r="C234" s="1" t="s">
        <v>173</v>
      </c>
      <c r="D234" s="1" t="s">
        <v>792</v>
      </c>
      <c r="E234" s="13" t="s">
        <v>18</v>
      </c>
      <c r="F234" s="13" t="s">
        <v>18</v>
      </c>
      <c r="G234" s="13" t="s">
        <v>18</v>
      </c>
    </row>
    <row r="235" spans="1:7" x14ac:dyDescent="0.25">
      <c r="A235" s="1"/>
      <c r="B235" s="1"/>
      <c r="C235" s="1" t="s">
        <v>202</v>
      </c>
      <c r="D235" s="1" t="s">
        <v>792</v>
      </c>
      <c r="E235" s="13" t="s">
        <v>18</v>
      </c>
      <c r="F235" s="13" t="s">
        <v>18</v>
      </c>
      <c r="G235" s="13" t="s">
        <v>18</v>
      </c>
    </row>
    <row r="236" spans="1:7" ht="40.5" x14ac:dyDescent="0.25">
      <c r="A236" s="1"/>
      <c r="B236" s="1"/>
      <c r="C236" s="1" t="s">
        <v>887</v>
      </c>
      <c r="D236" s="1" t="s">
        <v>792</v>
      </c>
      <c r="E236" s="13" t="s">
        <v>18</v>
      </c>
      <c r="F236" s="13" t="s">
        <v>18</v>
      </c>
      <c r="G236" s="276" t="s">
        <v>898</v>
      </c>
    </row>
    <row r="237" spans="1:7" x14ac:dyDescent="0.25">
      <c r="A237" s="1">
        <v>6</v>
      </c>
      <c r="B237" s="1" t="s">
        <v>467</v>
      </c>
      <c r="C237" s="1" t="s">
        <v>207</v>
      </c>
      <c r="D237" s="1" t="s">
        <v>792</v>
      </c>
      <c r="E237" s="13"/>
      <c r="F237" s="13"/>
      <c r="G237" s="1"/>
    </row>
    <row r="238" spans="1:7" ht="60.75" x14ac:dyDescent="0.25">
      <c r="A238" s="1"/>
      <c r="B238" s="1"/>
      <c r="C238" s="1" t="s">
        <v>909</v>
      </c>
      <c r="D238" s="1" t="s">
        <v>826</v>
      </c>
      <c r="E238" s="13"/>
      <c r="F238" s="13"/>
      <c r="G238" s="1" t="s">
        <v>910</v>
      </c>
    </row>
    <row r="239" spans="1:7" ht="263.25" x14ac:dyDescent="0.25">
      <c r="A239" s="1"/>
      <c r="B239" s="1"/>
      <c r="C239" s="1" t="s">
        <v>171</v>
      </c>
      <c r="D239" s="1" t="s">
        <v>792</v>
      </c>
      <c r="E239" s="13"/>
      <c r="F239" s="267" t="s">
        <v>911</v>
      </c>
      <c r="G239" s="1" t="s">
        <v>1049</v>
      </c>
    </row>
    <row r="240" spans="1:7" ht="40.5" x14ac:dyDescent="0.25">
      <c r="A240" s="1"/>
      <c r="B240" s="1"/>
      <c r="C240" s="1" t="s">
        <v>912</v>
      </c>
      <c r="D240" s="1" t="s">
        <v>792</v>
      </c>
      <c r="E240" s="13" t="s">
        <v>18</v>
      </c>
      <c r="F240" s="13" t="s">
        <v>18</v>
      </c>
      <c r="G240" s="13" t="s">
        <v>18</v>
      </c>
    </row>
    <row r="241" spans="1:7" x14ac:dyDescent="0.25">
      <c r="A241" s="1"/>
      <c r="B241" s="1"/>
      <c r="C241" s="1" t="s">
        <v>201</v>
      </c>
      <c r="D241" s="1" t="s">
        <v>1050</v>
      </c>
      <c r="E241" s="13" t="s">
        <v>18</v>
      </c>
      <c r="F241" s="13" t="s">
        <v>18</v>
      </c>
      <c r="G241" s="13" t="s">
        <v>18</v>
      </c>
    </row>
    <row r="242" spans="1:7" ht="294" x14ac:dyDescent="0.25">
      <c r="A242" s="1">
        <v>7</v>
      </c>
      <c r="B242" s="1" t="s">
        <v>91</v>
      </c>
      <c r="C242" s="1" t="s">
        <v>184</v>
      </c>
      <c r="D242" s="1" t="s">
        <v>792</v>
      </c>
      <c r="E242" s="13" t="s">
        <v>18</v>
      </c>
      <c r="F242" s="275" t="s">
        <v>1051</v>
      </c>
      <c r="G242" s="275" t="s">
        <v>986</v>
      </c>
    </row>
    <row r="243" spans="1:7" x14ac:dyDescent="0.25">
      <c r="A243" s="1"/>
      <c r="B243" s="1"/>
      <c r="C243" s="1" t="s">
        <v>175</v>
      </c>
      <c r="D243" s="1" t="s">
        <v>792</v>
      </c>
      <c r="E243" s="13" t="s">
        <v>18</v>
      </c>
      <c r="F243" s="13" t="s">
        <v>18</v>
      </c>
      <c r="G243" s="13" t="s">
        <v>18</v>
      </c>
    </row>
    <row r="244" spans="1:7" x14ac:dyDescent="0.25">
      <c r="A244" s="1"/>
      <c r="B244" s="1"/>
      <c r="C244" s="1" t="s">
        <v>360</v>
      </c>
      <c r="D244" s="1" t="s">
        <v>792</v>
      </c>
      <c r="E244" s="13" t="s">
        <v>18</v>
      </c>
      <c r="F244" s="13" t="s">
        <v>18</v>
      </c>
      <c r="G244" s="13" t="s">
        <v>18</v>
      </c>
    </row>
    <row r="245" spans="1:7" x14ac:dyDescent="0.25">
      <c r="A245" s="1">
        <v>8</v>
      </c>
      <c r="B245" s="1" t="s">
        <v>165</v>
      </c>
      <c r="C245" s="1" t="s">
        <v>191</v>
      </c>
      <c r="D245" s="1" t="s">
        <v>792</v>
      </c>
      <c r="E245" s="13" t="s">
        <v>18</v>
      </c>
      <c r="F245" s="13" t="s">
        <v>18</v>
      </c>
      <c r="G245" s="1" t="s">
        <v>18</v>
      </c>
    </row>
    <row r="246" spans="1:7" x14ac:dyDescent="0.25">
      <c r="A246" s="1"/>
      <c r="B246" s="1"/>
      <c r="C246" s="1" t="s">
        <v>164</v>
      </c>
      <c r="D246" s="1" t="s">
        <v>792</v>
      </c>
      <c r="E246" s="13" t="s">
        <v>18</v>
      </c>
      <c r="F246" s="13" t="s">
        <v>18</v>
      </c>
      <c r="G246" s="1" t="s">
        <v>18</v>
      </c>
    </row>
    <row r="247" spans="1:7" x14ac:dyDescent="0.25">
      <c r="A247" s="1"/>
      <c r="B247" s="1"/>
      <c r="C247" s="1" t="s">
        <v>163</v>
      </c>
      <c r="D247" s="1" t="s">
        <v>792</v>
      </c>
      <c r="E247" s="13" t="s">
        <v>18</v>
      </c>
      <c r="F247" s="13" t="s">
        <v>18</v>
      </c>
      <c r="G247" s="1" t="s">
        <v>18</v>
      </c>
    </row>
    <row r="248" spans="1:7" x14ac:dyDescent="0.25">
      <c r="A248" s="1"/>
      <c r="B248" s="1"/>
      <c r="C248" s="1" t="s">
        <v>200</v>
      </c>
      <c r="D248" s="1" t="s">
        <v>792</v>
      </c>
      <c r="E248" s="13" t="s">
        <v>18</v>
      </c>
      <c r="F248" s="13" t="s">
        <v>18</v>
      </c>
      <c r="G248" s="1" t="s">
        <v>18</v>
      </c>
    </row>
    <row r="249" spans="1:7" x14ac:dyDescent="0.25">
      <c r="A249" s="1">
        <v>9</v>
      </c>
      <c r="B249" s="1" t="s">
        <v>46</v>
      </c>
      <c r="C249" s="1" t="s">
        <v>46</v>
      </c>
      <c r="D249" s="1" t="s">
        <v>792</v>
      </c>
      <c r="E249" s="13" t="s">
        <v>18</v>
      </c>
      <c r="F249" s="13" t="s">
        <v>18</v>
      </c>
      <c r="G249" s="13" t="s">
        <v>18</v>
      </c>
    </row>
    <row r="250" spans="1:7" x14ac:dyDescent="0.25">
      <c r="A250" s="1"/>
      <c r="B250" s="1"/>
      <c r="C250" s="1" t="s">
        <v>979</v>
      </c>
      <c r="D250" s="1" t="s">
        <v>792</v>
      </c>
      <c r="E250" s="13" t="s">
        <v>18</v>
      </c>
      <c r="F250" s="13" t="s">
        <v>18</v>
      </c>
      <c r="G250" s="13" t="s">
        <v>18</v>
      </c>
    </row>
    <row r="251" spans="1:7" x14ac:dyDescent="0.25">
      <c r="A251" s="1"/>
      <c r="B251" s="1"/>
      <c r="C251" s="1" t="s">
        <v>142</v>
      </c>
      <c r="D251" s="1" t="s">
        <v>792</v>
      </c>
      <c r="E251" s="13" t="s">
        <v>18</v>
      </c>
      <c r="F251" s="13" t="s">
        <v>18</v>
      </c>
      <c r="G251" s="13" t="s">
        <v>18</v>
      </c>
    </row>
    <row r="252" spans="1:7" x14ac:dyDescent="0.25">
      <c r="A252" s="1">
        <v>10</v>
      </c>
      <c r="B252" s="1" t="s">
        <v>20</v>
      </c>
      <c r="C252" s="1" t="s">
        <v>20</v>
      </c>
      <c r="D252" s="1" t="s">
        <v>792</v>
      </c>
      <c r="E252" s="13" t="s">
        <v>18</v>
      </c>
      <c r="F252" s="13" t="s">
        <v>18</v>
      </c>
      <c r="G252" s="13" t="s">
        <v>18</v>
      </c>
    </row>
    <row r="253" spans="1:7" ht="81" x14ac:dyDescent="0.25">
      <c r="A253" s="1">
        <v>11</v>
      </c>
      <c r="B253" s="1" t="s">
        <v>25</v>
      </c>
      <c r="C253" s="1" t="s">
        <v>255</v>
      </c>
      <c r="D253" s="1" t="s">
        <v>792</v>
      </c>
      <c r="E253" s="13" t="s">
        <v>18</v>
      </c>
      <c r="F253" s="13" t="s">
        <v>18</v>
      </c>
      <c r="G253" s="1" t="s">
        <v>793</v>
      </c>
    </row>
    <row r="254" spans="1:7" ht="121.5" x14ac:dyDescent="0.25">
      <c r="A254" s="1"/>
      <c r="B254" s="1"/>
      <c r="C254" s="1" t="s">
        <v>794</v>
      </c>
      <c r="D254" s="1" t="s">
        <v>795</v>
      </c>
      <c r="E254" s="13" t="s">
        <v>18</v>
      </c>
      <c r="F254" s="13" t="s">
        <v>18</v>
      </c>
      <c r="G254" s="1" t="s">
        <v>796</v>
      </c>
    </row>
    <row r="255" spans="1:7" ht="183" thickBot="1" x14ac:dyDescent="0.3">
      <c r="A255" s="1"/>
      <c r="B255" s="1"/>
      <c r="C255" s="1" t="s">
        <v>773</v>
      </c>
      <c r="D255" s="1" t="s">
        <v>797</v>
      </c>
      <c r="E255" s="13" t="s">
        <v>798</v>
      </c>
      <c r="F255" s="13" t="s">
        <v>18</v>
      </c>
      <c r="G255" s="1" t="s">
        <v>18</v>
      </c>
    </row>
    <row r="256" spans="1:7" ht="41.25" thickBot="1" x14ac:dyDescent="0.3">
      <c r="A256" s="1">
        <v>12</v>
      </c>
      <c r="B256" s="1" t="s">
        <v>267</v>
      </c>
      <c r="C256" s="1" t="s">
        <v>1022</v>
      </c>
      <c r="D256" s="1" t="s">
        <v>1019</v>
      </c>
      <c r="E256" s="250" t="s">
        <v>18</v>
      </c>
      <c r="F256" s="250" t="s">
        <v>18</v>
      </c>
      <c r="G256" s="250" t="s">
        <v>18</v>
      </c>
    </row>
    <row r="257" spans="1:7" ht="21" thickBot="1" x14ac:dyDescent="0.3">
      <c r="A257" s="1"/>
      <c r="B257" s="1"/>
      <c r="C257" s="1" t="s">
        <v>179</v>
      </c>
      <c r="D257" s="1" t="s">
        <v>1019</v>
      </c>
      <c r="E257" s="251" t="s">
        <v>18</v>
      </c>
      <c r="F257" s="251" t="s">
        <v>18</v>
      </c>
      <c r="G257" s="251" t="s">
        <v>18</v>
      </c>
    </row>
    <row r="258" spans="1:7" ht="21" thickBot="1" x14ac:dyDescent="0.3">
      <c r="A258" s="1"/>
      <c r="B258" s="1"/>
      <c r="C258" s="1" t="s">
        <v>1020</v>
      </c>
      <c r="D258" s="1" t="s">
        <v>1019</v>
      </c>
      <c r="E258" s="251" t="s">
        <v>18</v>
      </c>
      <c r="F258" s="251" t="s">
        <v>18</v>
      </c>
      <c r="G258" s="251" t="s">
        <v>18</v>
      </c>
    </row>
    <row r="259" spans="1:7" ht="41.25" thickBot="1" x14ac:dyDescent="0.3">
      <c r="A259" s="1"/>
      <c r="B259" s="1"/>
      <c r="C259" s="1" t="s">
        <v>1021</v>
      </c>
      <c r="D259" s="1" t="s">
        <v>1019</v>
      </c>
      <c r="E259" s="251" t="s">
        <v>18</v>
      </c>
      <c r="F259" s="251" t="s">
        <v>18</v>
      </c>
      <c r="G259" s="251" t="s">
        <v>18</v>
      </c>
    </row>
    <row r="260" spans="1:7" ht="21" thickBot="1" x14ac:dyDescent="0.3">
      <c r="A260" s="1"/>
      <c r="B260" s="1"/>
      <c r="C260" s="1" t="s">
        <v>178</v>
      </c>
      <c r="D260" s="1" t="s">
        <v>1019</v>
      </c>
      <c r="E260" s="251" t="s">
        <v>18</v>
      </c>
      <c r="F260" s="251" t="s">
        <v>18</v>
      </c>
      <c r="G260" s="251" t="s">
        <v>18</v>
      </c>
    </row>
    <row r="261" spans="1:7" ht="21" thickBot="1" x14ac:dyDescent="0.3">
      <c r="A261" s="1"/>
      <c r="B261" s="1"/>
      <c r="C261" s="1" t="s">
        <v>58</v>
      </c>
      <c r="D261" s="1" t="s">
        <v>1019</v>
      </c>
      <c r="E261" s="251" t="s">
        <v>18</v>
      </c>
      <c r="F261" s="251" t="s">
        <v>18</v>
      </c>
      <c r="G261" s="251" t="s">
        <v>18</v>
      </c>
    </row>
    <row r="262" spans="1:7" ht="21" thickBot="1" x14ac:dyDescent="0.3">
      <c r="A262" s="1"/>
      <c r="B262" s="1"/>
      <c r="C262" s="1" t="s">
        <v>177</v>
      </c>
      <c r="D262" s="1" t="s">
        <v>1019</v>
      </c>
      <c r="E262" s="251" t="s">
        <v>18</v>
      </c>
      <c r="F262" s="251" t="s">
        <v>18</v>
      </c>
      <c r="G262" s="251" t="s">
        <v>18</v>
      </c>
    </row>
    <row r="263" spans="1:7" ht="61.5" thickBot="1" x14ac:dyDescent="0.3">
      <c r="A263" s="1"/>
      <c r="B263" s="1"/>
      <c r="C263" s="1" t="s">
        <v>1023</v>
      </c>
      <c r="D263" s="1" t="s">
        <v>1019</v>
      </c>
      <c r="E263" s="251" t="s">
        <v>18</v>
      </c>
      <c r="F263" s="251" t="s">
        <v>18</v>
      </c>
      <c r="G263" s="251" t="s">
        <v>18</v>
      </c>
    </row>
    <row r="264" spans="1:7" ht="61.5" thickBot="1" x14ac:dyDescent="0.3">
      <c r="A264" s="1"/>
      <c r="B264" s="1"/>
      <c r="C264" s="1" t="s">
        <v>1024</v>
      </c>
      <c r="D264" s="1" t="s">
        <v>1019</v>
      </c>
      <c r="E264" s="251" t="s">
        <v>18</v>
      </c>
      <c r="F264" s="251" t="s">
        <v>18</v>
      </c>
      <c r="G264" s="251" t="s">
        <v>18</v>
      </c>
    </row>
    <row r="265" spans="1:7" ht="182.25" x14ac:dyDescent="0.25">
      <c r="A265" s="1">
        <v>13</v>
      </c>
      <c r="B265" s="1" t="s">
        <v>167</v>
      </c>
      <c r="C265" s="1" t="s">
        <v>818</v>
      </c>
      <c r="D265" s="1" t="s">
        <v>792</v>
      </c>
      <c r="E265" s="1" t="s">
        <v>819</v>
      </c>
      <c r="F265" s="13" t="s">
        <v>18</v>
      </c>
      <c r="G265" s="1" t="s">
        <v>18</v>
      </c>
    </row>
    <row r="266" spans="1:7" ht="283.5" x14ac:dyDescent="0.25">
      <c r="A266" s="1"/>
      <c r="B266" s="1"/>
      <c r="C266" s="1" t="s">
        <v>167</v>
      </c>
      <c r="D266" s="1" t="s">
        <v>792</v>
      </c>
      <c r="E266" s="1" t="s">
        <v>820</v>
      </c>
      <c r="F266" s="13" t="s">
        <v>18</v>
      </c>
      <c r="G266" s="1" t="s">
        <v>18</v>
      </c>
    </row>
    <row r="267" spans="1:7" x14ac:dyDescent="0.25">
      <c r="E267" s="17"/>
      <c r="F267" s="17"/>
    </row>
    <row r="268" spans="1:7" x14ac:dyDescent="0.25">
      <c r="E268" s="17"/>
      <c r="F268" s="17"/>
    </row>
    <row r="269" spans="1:7" x14ac:dyDescent="0.25">
      <c r="E269" s="17"/>
      <c r="F269" s="17"/>
    </row>
    <row r="270" spans="1:7" x14ac:dyDescent="0.25">
      <c r="E270" s="17"/>
      <c r="F270" s="17"/>
    </row>
    <row r="271" spans="1:7" x14ac:dyDescent="0.25">
      <c r="E271" s="17"/>
      <c r="F271" s="17"/>
    </row>
    <row r="272" spans="1:7" x14ac:dyDescent="0.25">
      <c r="E272" s="17"/>
      <c r="F272" s="17"/>
    </row>
    <row r="273" spans="5:6" x14ac:dyDescent="0.25">
      <c r="E273" s="17"/>
      <c r="F273" s="17"/>
    </row>
    <row r="274" spans="5:6" x14ac:dyDescent="0.25">
      <c r="E274" s="17"/>
      <c r="F274" s="17"/>
    </row>
    <row r="275" spans="5:6" x14ac:dyDescent="0.25">
      <c r="E275" s="17"/>
      <c r="F275" s="17"/>
    </row>
    <row r="276" spans="5:6" x14ac:dyDescent="0.25">
      <c r="E276" s="17"/>
      <c r="F276" s="17"/>
    </row>
    <row r="277" spans="5:6" x14ac:dyDescent="0.25">
      <c r="E277" s="17"/>
      <c r="F277" s="17"/>
    </row>
    <row r="278" spans="5:6" x14ac:dyDescent="0.25">
      <c r="E278" s="17"/>
      <c r="F278" s="17"/>
    </row>
    <row r="279" spans="5:6" x14ac:dyDescent="0.25">
      <c r="E279" s="17"/>
      <c r="F279" s="17"/>
    </row>
    <row r="280" spans="5:6" x14ac:dyDescent="0.25">
      <c r="E280" s="17"/>
      <c r="F280" s="17"/>
    </row>
    <row r="281" spans="5:6" x14ac:dyDescent="0.25">
      <c r="E281" s="17"/>
      <c r="F281" s="17"/>
    </row>
    <row r="282" spans="5:6" x14ac:dyDescent="0.25">
      <c r="E282" s="17"/>
      <c r="F282" s="17"/>
    </row>
    <row r="283" spans="5:6" x14ac:dyDescent="0.25">
      <c r="E283" s="17"/>
      <c r="F283" s="17"/>
    </row>
    <row r="284" spans="5:6" x14ac:dyDescent="0.25">
      <c r="E284" s="17"/>
      <c r="F284" s="17"/>
    </row>
    <row r="285" spans="5:6" x14ac:dyDescent="0.25">
      <c r="E285" s="17"/>
      <c r="F285" s="17"/>
    </row>
    <row r="286" spans="5:6" x14ac:dyDescent="0.25">
      <c r="E286" s="17"/>
      <c r="F286" s="17"/>
    </row>
    <row r="287" spans="5:6" x14ac:dyDescent="0.25">
      <c r="E287" s="17"/>
      <c r="F287" s="17"/>
    </row>
    <row r="288" spans="5:6" x14ac:dyDescent="0.25">
      <c r="E288" s="17"/>
      <c r="F288" s="17"/>
    </row>
    <row r="289" spans="5:6" x14ac:dyDescent="0.25">
      <c r="E289" s="17"/>
      <c r="F289" s="17"/>
    </row>
    <row r="290" spans="5:6" x14ac:dyDescent="0.25">
      <c r="E290" s="17"/>
      <c r="F290" s="17"/>
    </row>
    <row r="291" spans="5:6" x14ac:dyDescent="0.25">
      <c r="E291" s="17"/>
      <c r="F291" s="17"/>
    </row>
    <row r="292" spans="5:6" x14ac:dyDescent="0.25">
      <c r="E292" s="17"/>
      <c r="F292" s="17"/>
    </row>
    <row r="293" spans="5:6" x14ac:dyDescent="0.25">
      <c r="E293" s="17"/>
      <c r="F293" s="17"/>
    </row>
    <row r="294" spans="5:6" x14ac:dyDescent="0.25">
      <c r="E294" s="17"/>
      <c r="F294" s="17"/>
    </row>
    <row r="295" spans="5:6" x14ac:dyDescent="0.25">
      <c r="E295" s="17"/>
      <c r="F295" s="17"/>
    </row>
    <row r="296" spans="5:6" x14ac:dyDescent="0.25">
      <c r="E296" s="17"/>
      <c r="F296" s="17"/>
    </row>
    <row r="297" spans="5:6" x14ac:dyDescent="0.25">
      <c r="E297" s="17"/>
      <c r="F297" s="17"/>
    </row>
    <row r="298" spans="5:6" x14ac:dyDescent="0.25">
      <c r="E298" s="17"/>
      <c r="F298" s="17"/>
    </row>
    <row r="299" spans="5:6" x14ac:dyDescent="0.25">
      <c r="E299" s="17"/>
      <c r="F299" s="17"/>
    </row>
    <row r="300" spans="5:6" x14ac:dyDescent="0.25">
      <c r="E300" s="17"/>
      <c r="F300" s="17"/>
    </row>
    <row r="301" spans="5:6" x14ac:dyDescent="0.25">
      <c r="E301" s="17"/>
      <c r="F301" s="17"/>
    </row>
    <row r="302" spans="5:6" x14ac:dyDescent="0.25">
      <c r="E302" s="17"/>
      <c r="F302" s="17"/>
    </row>
    <row r="303" spans="5:6" x14ac:dyDescent="0.25">
      <c r="E303" s="17"/>
      <c r="F303" s="17"/>
    </row>
    <row r="304" spans="5:6" x14ac:dyDescent="0.25">
      <c r="E304" s="17"/>
      <c r="F304" s="17"/>
    </row>
    <row r="305" spans="5:6" x14ac:dyDescent="0.25">
      <c r="E305" s="17"/>
      <c r="F305" s="17"/>
    </row>
    <row r="306" spans="5:6" x14ac:dyDescent="0.25">
      <c r="E306" s="17"/>
      <c r="F306" s="17"/>
    </row>
    <row r="307" spans="5:6" x14ac:dyDescent="0.25">
      <c r="E307" s="17"/>
      <c r="F307" s="17"/>
    </row>
    <row r="308" spans="5:6" x14ac:dyDescent="0.25">
      <c r="E308" s="17"/>
      <c r="F308" s="17"/>
    </row>
    <row r="309" spans="5:6" x14ac:dyDescent="0.25">
      <c r="E309" s="17"/>
      <c r="F309" s="17"/>
    </row>
    <row r="310" spans="5:6" x14ac:dyDescent="0.25">
      <c r="E310" s="17"/>
      <c r="F310" s="17"/>
    </row>
    <row r="311" spans="5:6" x14ac:dyDescent="0.25">
      <c r="E311" s="17"/>
      <c r="F311" s="17"/>
    </row>
    <row r="312" spans="5:6" x14ac:dyDescent="0.25">
      <c r="E312" s="17"/>
      <c r="F312" s="17"/>
    </row>
    <row r="313" spans="5:6" x14ac:dyDescent="0.25">
      <c r="E313" s="17"/>
      <c r="F313" s="17"/>
    </row>
    <row r="314" spans="5:6" x14ac:dyDescent="0.25">
      <c r="E314" s="17"/>
      <c r="F314" s="17"/>
    </row>
    <row r="315" spans="5:6" x14ac:dyDescent="0.25">
      <c r="E315" s="17"/>
      <c r="F315" s="17"/>
    </row>
    <row r="316" spans="5:6" x14ac:dyDescent="0.25">
      <c r="E316" s="17"/>
      <c r="F316" s="17"/>
    </row>
    <row r="317" spans="5:6" x14ac:dyDescent="0.25">
      <c r="E317" s="17"/>
      <c r="F317" s="17"/>
    </row>
    <row r="318" spans="5:6" x14ac:dyDescent="0.25">
      <c r="E318" s="17"/>
      <c r="F318" s="17"/>
    </row>
    <row r="319" spans="5:6" x14ac:dyDescent="0.25">
      <c r="E319" s="17"/>
      <c r="F319" s="17"/>
    </row>
    <row r="320" spans="5:6" x14ac:dyDescent="0.25">
      <c r="E320" s="17"/>
      <c r="F320" s="17"/>
    </row>
    <row r="321" spans="5:6" x14ac:dyDescent="0.25">
      <c r="E321" s="17"/>
      <c r="F321" s="17"/>
    </row>
    <row r="322" spans="5:6" x14ac:dyDescent="0.25">
      <c r="E322" s="17"/>
      <c r="F322" s="17"/>
    </row>
    <row r="323" spans="5:6" x14ac:dyDescent="0.25">
      <c r="E323" s="17"/>
      <c r="F323" s="17"/>
    </row>
    <row r="324" spans="5:6" x14ac:dyDescent="0.25">
      <c r="E324" s="17"/>
      <c r="F324" s="17"/>
    </row>
    <row r="325" spans="5:6" x14ac:dyDescent="0.25">
      <c r="E325" s="17"/>
      <c r="F325" s="17"/>
    </row>
    <row r="326" spans="5:6" x14ac:dyDescent="0.25">
      <c r="E326" s="17"/>
      <c r="F326" s="17"/>
    </row>
    <row r="327" spans="5:6" x14ac:dyDescent="0.25">
      <c r="E327" s="17"/>
      <c r="F327" s="17"/>
    </row>
    <row r="328" spans="5:6" x14ac:dyDescent="0.25">
      <c r="E328" s="17"/>
      <c r="F328" s="17"/>
    </row>
    <row r="329" spans="5:6" x14ac:dyDescent="0.25">
      <c r="E329" s="17"/>
      <c r="F329" s="17"/>
    </row>
    <row r="330" spans="5:6" x14ac:dyDescent="0.25">
      <c r="E330" s="17"/>
      <c r="F330" s="17"/>
    </row>
    <row r="331" spans="5:6" x14ac:dyDescent="0.25">
      <c r="E331" s="17"/>
      <c r="F331" s="17"/>
    </row>
    <row r="332" spans="5:6" x14ac:dyDescent="0.25">
      <c r="E332" s="17"/>
      <c r="F332" s="17"/>
    </row>
    <row r="333" spans="5:6" x14ac:dyDescent="0.25">
      <c r="E333" s="17"/>
      <c r="F333" s="17"/>
    </row>
    <row r="334" spans="5:6" x14ac:dyDescent="0.25">
      <c r="E334" s="17"/>
      <c r="F334" s="17"/>
    </row>
    <row r="335" spans="5:6" x14ac:dyDescent="0.25">
      <c r="E335" s="17"/>
      <c r="F335" s="17"/>
    </row>
    <row r="336" spans="5:6" x14ac:dyDescent="0.25">
      <c r="E336" s="17"/>
      <c r="F336" s="17"/>
    </row>
    <row r="337" spans="5:6" x14ac:dyDescent="0.25">
      <c r="E337" s="17"/>
      <c r="F337" s="17"/>
    </row>
    <row r="338" spans="5:6" x14ac:dyDescent="0.25">
      <c r="E338" s="17"/>
      <c r="F338" s="17"/>
    </row>
    <row r="339" spans="5:6" x14ac:dyDescent="0.25">
      <c r="E339" s="17"/>
      <c r="F339" s="17"/>
    </row>
    <row r="340" spans="5:6" x14ac:dyDescent="0.25">
      <c r="E340" s="17"/>
      <c r="F340" s="17"/>
    </row>
    <row r="341" spans="5:6" x14ac:dyDescent="0.25">
      <c r="E341" s="17"/>
      <c r="F341" s="17"/>
    </row>
    <row r="342" spans="5:6" x14ac:dyDescent="0.25">
      <c r="E342" s="17"/>
      <c r="F342" s="17"/>
    </row>
    <row r="343" spans="5:6" x14ac:dyDescent="0.25">
      <c r="E343" s="17"/>
      <c r="F343" s="17"/>
    </row>
    <row r="344" spans="5:6" x14ac:dyDescent="0.25">
      <c r="E344" s="17"/>
      <c r="F344" s="17"/>
    </row>
  </sheetData>
  <mergeCells count="5">
    <mergeCell ref="A163:G163"/>
    <mergeCell ref="A216:G216"/>
    <mergeCell ref="A110:G110"/>
    <mergeCell ref="A56:G56"/>
    <mergeCell ref="A2:G2"/>
  </mergeCells>
  <pageMargins left="0.27559055118110237" right="0.23622047244094491" top="0.39370078740157483" bottom="0.35433070866141736" header="0.31496062992125984" footer="0.31496062992125984"/>
  <pageSetup scale="7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H64"/>
  <sheetViews>
    <sheetView topLeftCell="A3" workbookViewId="0">
      <selection activeCell="C10" sqref="A2:H11"/>
    </sheetView>
  </sheetViews>
  <sheetFormatPr defaultColWidth="8.85546875" defaultRowHeight="15" x14ac:dyDescent="0.25"/>
  <cols>
    <col min="1" max="1" width="14.140625" style="26" customWidth="1"/>
    <col min="2" max="2" width="24.28515625" style="26" customWidth="1"/>
    <col min="3" max="3" width="27" style="27" customWidth="1"/>
    <col min="4" max="4" width="22.7109375" style="26" customWidth="1"/>
    <col min="5" max="5" width="12.7109375" style="26" customWidth="1"/>
    <col min="6" max="6" width="15" style="26" customWidth="1"/>
    <col min="7" max="7" width="51" style="27" customWidth="1"/>
    <col min="8" max="8" width="4.85546875" style="26" hidden="1" customWidth="1"/>
    <col min="9" max="16384" width="8.85546875" style="26"/>
  </cols>
  <sheetData>
    <row r="2" spans="1:8" ht="20.25" x14ac:dyDescent="0.25">
      <c r="A2" s="604" t="s">
        <v>1657</v>
      </c>
      <c r="B2" s="605"/>
      <c r="C2" s="605"/>
      <c r="D2" s="605"/>
      <c r="E2" s="605"/>
      <c r="F2" s="605"/>
      <c r="G2" s="605"/>
      <c r="H2" s="606"/>
    </row>
    <row r="3" spans="1:8" ht="20.25" x14ac:dyDescent="0.25">
      <c r="A3" s="528" t="s">
        <v>152</v>
      </c>
      <c r="B3" s="528" t="s">
        <v>153</v>
      </c>
      <c r="C3" s="558" t="s">
        <v>154</v>
      </c>
      <c r="D3" s="528" t="s">
        <v>155</v>
      </c>
      <c r="E3" s="528"/>
      <c r="F3" s="528"/>
      <c r="G3" s="558" t="s">
        <v>603</v>
      </c>
      <c r="H3" s="528" t="s">
        <v>156</v>
      </c>
    </row>
    <row r="4" spans="1:8" ht="93.75" customHeight="1" x14ac:dyDescent="0.25">
      <c r="A4" s="528"/>
      <c r="B4" s="528"/>
      <c r="C4" s="558"/>
      <c r="D4" s="40" t="s">
        <v>157</v>
      </c>
      <c r="E4" s="40" t="s">
        <v>158</v>
      </c>
      <c r="F4" s="40" t="s">
        <v>159</v>
      </c>
      <c r="G4" s="558"/>
      <c r="H4" s="528"/>
    </row>
    <row r="5" spans="1:8" ht="20.25" x14ac:dyDescent="0.25">
      <c r="A5" s="35">
        <v>1</v>
      </c>
      <c r="B5" s="42" t="s">
        <v>270</v>
      </c>
      <c r="C5" s="202" t="s">
        <v>18</v>
      </c>
      <c r="D5" s="35" t="s">
        <v>18</v>
      </c>
      <c r="E5" s="35" t="s">
        <v>18</v>
      </c>
      <c r="F5" s="35" t="s">
        <v>18</v>
      </c>
      <c r="G5" s="35" t="s">
        <v>18</v>
      </c>
      <c r="H5" s="35" t="s">
        <v>18</v>
      </c>
    </row>
    <row r="6" spans="1:8" ht="20.25" x14ac:dyDescent="0.25">
      <c r="A6" s="35">
        <v>2</v>
      </c>
      <c r="B6" s="42" t="s">
        <v>160</v>
      </c>
      <c r="C6" s="202" t="s">
        <v>18</v>
      </c>
      <c r="D6" s="35" t="s">
        <v>18</v>
      </c>
      <c r="E6" s="35" t="s">
        <v>18</v>
      </c>
      <c r="F6" s="35" t="s">
        <v>18</v>
      </c>
      <c r="G6" s="35" t="s">
        <v>18</v>
      </c>
      <c r="H6" s="35" t="s">
        <v>18</v>
      </c>
    </row>
    <row r="7" spans="1:8" ht="20.25" x14ac:dyDescent="0.25">
      <c r="A7" s="35">
        <v>3</v>
      </c>
      <c r="B7" s="42" t="s">
        <v>190</v>
      </c>
      <c r="C7" s="202" t="s">
        <v>18</v>
      </c>
      <c r="D7" s="35" t="s">
        <v>18</v>
      </c>
      <c r="E7" s="35" t="s">
        <v>18</v>
      </c>
      <c r="F7" s="35" t="s">
        <v>18</v>
      </c>
      <c r="G7" s="35" t="s">
        <v>18</v>
      </c>
      <c r="H7" s="35" t="s">
        <v>18</v>
      </c>
    </row>
    <row r="8" spans="1:8" ht="20.25" x14ac:dyDescent="0.25">
      <c r="A8" s="35">
        <v>4</v>
      </c>
      <c r="B8" s="42" t="s">
        <v>654</v>
      </c>
      <c r="C8" s="202" t="s">
        <v>18</v>
      </c>
      <c r="D8" s="35" t="s">
        <v>18</v>
      </c>
      <c r="E8" s="35" t="s">
        <v>18</v>
      </c>
      <c r="F8" s="35" t="s">
        <v>18</v>
      </c>
      <c r="G8" s="35" t="s">
        <v>18</v>
      </c>
      <c r="H8" s="35" t="s">
        <v>18</v>
      </c>
    </row>
    <row r="9" spans="1:8" ht="20.25" x14ac:dyDescent="0.25">
      <c r="A9" s="35">
        <v>5</v>
      </c>
      <c r="B9" s="42" t="s">
        <v>181</v>
      </c>
      <c r="C9" s="202" t="s">
        <v>18</v>
      </c>
      <c r="D9" s="35" t="s">
        <v>18</v>
      </c>
      <c r="E9" s="35" t="s">
        <v>18</v>
      </c>
      <c r="F9" s="35" t="s">
        <v>18</v>
      </c>
      <c r="G9" s="35" t="s">
        <v>18</v>
      </c>
      <c r="H9" s="35" t="s">
        <v>18</v>
      </c>
    </row>
    <row r="10" spans="1:8" ht="37.5" x14ac:dyDescent="0.25">
      <c r="A10" s="35">
        <v>6</v>
      </c>
      <c r="B10" s="379" t="s">
        <v>161</v>
      </c>
      <c r="C10" s="467" t="s">
        <v>1676</v>
      </c>
      <c r="D10" s="35" t="s">
        <v>18</v>
      </c>
      <c r="E10" s="35" t="s">
        <v>18</v>
      </c>
      <c r="F10" s="35" t="s">
        <v>18</v>
      </c>
      <c r="G10" s="35" t="s">
        <v>18</v>
      </c>
      <c r="H10" s="35" t="s">
        <v>18</v>
      </c>
    </row>
    <row r="11" spans="1:8" ht="20.25" x14ac:dyDescent="0.25">
      <c r="A11" s="35">
        <v>7</v>
      </c>
      <c r="B11" s="42" t="s">
        <v>162</v>
      </c>
      <c r="C11" s="202" t="s">
        <v>18</v>
      </c>
      <c r="D11" s="35" t="s">
        <v>18</v>
      </c>
      <c r="E11" s="35" t="s">
        <v>18</v>
      </c>
      <c r="F11" s="35" t="s">
        <v>18</v>
      </c>
      <c r="G11" s="35" t="s">
        <v>18</v>
      </c>
      <c r="H11" s="442" t="s">
        <v>18</v>
      </c>
    </row>
    <row r="12" spans="1:8" ht="20.25" x14ac:dyDescent="0.25">
      <c r="C12" s="443"/>
      <c r="D12" s="23"/>
      <c r="E12" s="23"/>
      <c r="F12" s="23"/>
      <c r="G12" s="23"/>
    </row>
    <row r="13" spans="1:8" ht="20.25" x14ac:dyDescent="0.25">
      <c r="C13" s="443"/>
      <c r="D13" s="23"/>
      <c r="E13" s="23"/>
      <c r="F13" s="23"/>
      <c r="G13" s="23"/>
    </row>
    <row r="15" spans="1:8" ht="20.25" x14ac:dyDescent="0.25">
      <c r="A15" s="604" t="s">
        <v>1485</v>
      </c>
      <c r="B15" s="605"/>
      <c r="C15" s="605"/>
      <c r="D15" s="605"/>
      <c r="E15" s="605"/>
      <c r="F15" s="605"/>
      <c r="G15" s="605"/>
      <c r="H15" s="606"/>
    </row>
    <row r="16" spans="1:8" ht="20.25" x14ac:dyDescent="0.25">
      <c r="A16" s="528" t="s">
        <v>152</v>
      </c>
      <c r="B16" s="528" t="s">
        <v>153</v>
      </c>
      <c r="C16" s="558" t="s">
        <v>154</v>
      </c>
      <c r="D16" s="528" t="s">
        <v>155</v>
      </c>
      <c r="E16" s="528"/>
      <c r="F16" s="528"/>
      <c r="G16" s="558" t="s">
        <v>603</v>
      </c>
      <c r="H16" s="528" t="s">
        <v>156</v>
      </c>
    </row>
    <row r="17" spans="1:8" ht="93.75" customHeight="1" x14ac:dyDescent="0.25">
      <c r="A17" s="528"/>
      <c r="B17" s="528"/>
      <c r="C17" s="558"/>
      <c r="D17" s="40" t="s">
        <v>157</v>
      </c>
      <c r="E17" s="40" t="s">
        <v>158</v>
      </c>
      <c r="F17" s="40" t="s">
        <v>159</v>
      </c>
      <c r="G17" s="558"/>
      <c r="H17" s="528"/>
    </row>
    <row r="18" spans="1:8" ht="20.25" x14ac:dyDescent="0.25">
      <c r="A18" s="35">
        <v>1</v>
      </c>
      <c r="B18" s="42" t="s">
        <v>270</v>
      </c>
      <c r="C18" s="202" t="s">
        <v>18</v>
      </c>
      <c r="D18" s="35" t="s">
        <v>18</v>
      </c>
      <c r="E18" s="35" t="s">
        <v>18</v>
      </c>
      <c r="F18" s="35" t="s">
        <v>18</v>
      </c>
      <c r="G18" s="35" t="s">
        <v>18</v>
      </c>
      <c r="H18" s="35" t="s">
        <v>18</v>
      </c>
    </row>
    <row r="19" spans="1:8" ht="20.25" x14ac:dyDescent="0.25">
      <c r="A19" s="35">
        <v>2</v>
      </c>
      <c r="B19" s="42" t="s">
        <v>160</v>
      </c>
      <c r="C19" s="202" t="s">
        <v>18</v>
      </c>
      <c r="D19" s="35" t="s">
        <v>18</v>
      </c>
      <c r="E19" s="35" t="s">
        <v>18</v>
      </c>
      <c r="F19" s="35" t="s">
        <v>18</v>
      </c>
      <c r="G19" s="35" t="s">
        <v>18</v>
      </c>
      <c r="H19" s="35" t="s">
        <v>18</v>
      </c>
    </row>
    <row r="20" spans="1:8" ht="60.75" x14ac:dyDescent="0.25">
      <c r="A20" s="35">
        <v>3</v>
      </c>
      <c r="B20" s="42" t="s">
        <v>190</v>
      </c>
      <c r="C20" s="202" t="s">
        <v>1584</v>
      </c>
      <c r="D20" s="35" t="s">
        <v>1585</v>
      </c>
      <c r="E20" s="35" t="s">
        <v>1587</v>
      </c>
      <c r="F20" s="35" t="s">
        <v>1586</v>
      </c>
      <c r="G20" s="35" t="s">
        <v>1588</v>
      </c>
      <c r="H20" s="35" t="s">
        <v>18</v>
      </c>
    </row>
    <row r="21" spans="1:8" ht="60.75" x14ac:dyDescent="0.25">
      <c r="A21" s="35">
        <v>4</v>
      </c>
      <c r="B21" s="42" t="s">
        <v>654</v>
      </c>
      <c r="C21" s="202" t="s">
        <v>1615</v>
      </c>
      <c r="D21" s="35" t="s">
        <v>18</v>
      </c>
      <c r="E21" s="35">
        <v>1</v>
      </c>
      <c r="F21" s="35" t="s">
        <v>1614</v>
      </c>
      <c r="G21" s="35" t="s">
        <v>1553</v>
      </c>
      <c r="H21" s="35" t="s">
        <v>18</v>
      </c>
    </row>
    <row r="22" spans="1:8" ht="20.25" x14ac:dyDescent="0.25">
      <c r="A22" s="35">
        <v>5</v>
      </c>
      <c r="B22" s="42" t="s">
        <v>181</v>
      </c>
      <c r="C22" s="202" t="s">
        <v>18</v>
      </c>
      <c r="D22" s="35" t="s">
        <v>18</v>
      </c>
      <c r="E22" s="35" t="s">
        <v>18</v>
      </c>
      <c r="F22" s="35" t="s">
        <v>18</v>
      </c>
      <c r="G22" s="35" t="s">
        <v>18</v>
      </c>
      <c r="H22" s="35" t="s">
        <v>18</v>
      </c>
    </row>
    <row r="23" spans="1:8" ht="243" x14ac:dyDescent="0.25">
      <c r="A23" s="35">
        <v>6</v>
      </c>
      <c r="B23" s="379" t="s">
        <v>161</v>
      </c>
      <c r="C23" s="202" t="s">
        <v>1613</v>
      </c>
      <c r="D23" s="35" t="s">
        <v>1609</v>
      </c>
      <c r="E23" s="35" t="s">
        <v>1599</v>
      </c>
      <c r="F23" s="35" t="s">
        <v>1608</v>
      </c>
      <c r="G23" s="35" t="s">
        <v>1600</v>
      </c>
      <c r="H23" s="35" t="s">
        <v>18</v>
      </c>
    </row>
    <row r="24" spans="1:8" ht="40.5" x14ac:dyDescent="0.25">
      <c r="A24" s="35">
        <v>7</v>
      </c>
      <c r="B24" s="42" t="s">
        <v>162</v>
      </c>
      <c r="C24" s="202" t="s">
        <v>1589</v>
      </c>
      <c r="D24" s="35" t="s">
        <v>18</v>
      </c>
      <c r="E24" s="35" t="s">
        <v>18</v>
      </c>
      <c r="F24" s="35" t="s">
        <v>456</v>
      </c>
      <c r="G24" s="35" t="s">
        <v>1590</v>
      </c>
      <c r="H24" s="35" t="s">
        <v>18</v>
      </c>
    </row>
    <row r="29" spans="1:8" ht="20.25" x14ac:dyDescent="0.25">
      <c r="A29" s="604" t="s">
        <v>1236</v>
      </c>
      <c r="B29" s="605"/>
      <c r="C29" s="605"/>
      <c r="D29" s="605"/>
      <c r="E29" s="605"/>
      <c r="F29" s="605"/>
      <c r="G29" s="605"/>
      <c r="H29" s="606"/>
    </row>
    <row r="30" spans="1:8" ht="20.25" x14ac:dyDescent="0.25">
      <c r="A30" s="528" t="s">
        <v>152</v>
      </c>
      <c r="B30" s="528" t="s">
        <v>153</v>
      </c>
      <c r="C30" s="558" t="s">
        <v>154</v>
      </c>
      <c r="D30" s="528" t="s">
        <v>155</v>
      </c>
      <c r="E30" s="528"/>
      <c r="F30" s="528"/>
      <c r="G30" s="558" t="s">
        <v>603</v>
      </c>
      <c r="H30" s="528" t="s">
        <v>156</v>
      </c>
    </row>
    <row r="31" spans="1:8" ht="93.75" customHeight="1" x14ac:dyDescent="0.25">
      <c r="A31" s="528"/>
      <c r="B31" s="528"/>
      <c r="C31" s="558"/>
      <c r="D31" s="40" t="s">
        <v>157</v>
      </c>
      <c r="E31" s="40" t="s">
        <v>158</v>
      </c>
      <c r="F31" s="40" t="s">
        <v>159</v>
      </c>
      <c r="G31" s="558"/>
      <c r="H31" s="528"/>
    </row>
    <row r="32" spans="1:8" ht="20.25" x14ac:dyDescent="0.25">
      <c r="A32" s="35">
        <v>1</v>
      </c>
      <c r="B32" s="42" t="s">
        <v>270</v>
      </c>
      <c r="C32" s="202" t="s">
        <v>18</v>
      </c>
      <c r="D32" s="35" t="s">
        <v>18</v>
      </c>
      <c r="E32" s="35" t="s">
        <v>18</v>
      </c>
      <c r="F32" s="35" t="s">
        <v>18</v>
      </c>
      <c r="G32" s="35" t="s">
        <v>18</v>
      </c>
      <c r="H32" s="35" t="s">
        <v>18</v>
      </c>
    </row>
    <row r="33" spans="1:8" ht="20.25" x14ac:dyDescent="0.25">
      <c r="A33" s="35">
        <v>2</v>
      </c>
      <c r="B33" s="42" t="s">
        <v>160</v>
      </c>
      <c r="C33" s="202" t="s">
        <v>18</v>
      </c>
      <c r="D33" s="35" t="s">
        <v>18</v>
      </c>
      <c r="E33" s="35" t="s">
        <v>18</v>
      </c>
      <c r="F33" s="35" t="s">
        <v>18</v>
      </c>
      <c r="G33" s="35" t="s">
        <v>18</v>
      </c>
      <c r="H33" s="35" t="s">
        <v>18</v>
      </c>
    </row>
    <row r="34" spans="1:8" ht="162" x14ac:dyDescent="0.25">
      <c r="A34" s="35">
        <v>3</v>
      </c>
      <c r="B34" s="42" t="s">
        <v>190</v>
      </c>
      <c r="C34" s="202" t="s">
        <v>1370</v>
      </c>
      <c r="D34" s="35" t="s">
        <v>1326</v>
      </c>
      <c r="E34" s="35" t="s">
        <v>1372</v>
      </c>
      <c r="F34" s="35" t="s">
        <v>1343</v>
      </c>
      <c r="G34" s="35" t="s">
        <v>1373</v>
      </c>
      <c r="H34" s="35" t="s">
        <v>18</v>
      </c>
    </row>
    <row r="35" spans="1:8" ht="20.25" x14ac:dyDescent="0.25">
      <c r="A35" s="35">
        <v>4</v>
      </c>
      <c r="B35" s="42" t="s">
        <v>654</v>
      </c>
      <c r="C35" s="202" t="s">
        <v>1341</v>
      </c>
      <c r="D35" s="35" t="s">
        <v>18</v>
      </c>
      <c r="E35" s="35" t="s">
        <v>18</v>
      </c>
      <c r="F35" s="35">
        <v>1</v>
      </c>
      <c r="G35" s="35" t="s">
        <v>1342</v>
      </c>
      <c r="H35" s="35" t="s">
        <v>18</v>
      </c>
    </row>
    <row r="36" spans="1:8" ht="20.25" x14ac:dyDescent="0.25">
      <c r="A36" s="35">
        <v>5</v>
      </c>
      <c r="B36" s="42" t="s">
        <v>181</v>
      </c>
      <c r="C36" s="202" t="s">
        <v>18</v>
      </c>
      <c r="D36" s="35" t="s">
        <v>18</v>
      </c>
      <c r="E36" s="35" t="s">
        <v>18</v>
      </c>
      <c r="F36" s="35" t="s">
        <v>18</v>
      </c>
      <c r="G36" s="35" t="s">
        <v>18</v>
      </c>
      <c r="H36" s="35" t="s">
        <v>18</v>
      </c>
    </row>
    <row r="37" spans="1:8" ht="409.5" customHeight="1" x14ac:dyDescent="0.25">
      <c r="A37" s="35">
        <v>6</v>
      </c>
      <c r="B37" s="607" t="s">
        <v>161</v>
      </c>
      <c r="C37" s="202" t="s">
        <v>1362</v>
      </c>
      <c r="D37" s="35" t="s">
        <v>1364</v>
      </c>
      <c r="E37" s="35" t="s">
        <v>1366</v>
      </c>
      <c r="F37" s="35" t="s">
        <v>1365</v>
      </c>
      <c r="G37" s="35" t="s">
        <v>1367</v>
      </c>
      <c r="H37" s="35" t="s">
        <v>18</v>
      </c>
    </row>
    <row r="38" spans="1:8" ht="81" x14ac:dyDescent="0.25">
      <c r="A38" s="35"/>
      <c r="B38" s="608"/>
      <c r="C38" s="202" t="s">
        <v>1369</v>
      </c>
      <c r="D38" s="35" t="s">
        <v>1363</v>
      </c>
      <c r="E38" s="35" t="s">
        <v>1371</v>
      </c>
      <c r="F38" s="35" t="s">
        <v>1368</v>
      </c>
      <c r="G38" s="35" t="s">
        <v>1374</v>
      </c>
      <c r="H38" s="35"/>
    </row>
    <row r="39" spans="1:8" ht="101.25" x14ac:dyDescent="0.25">
      <c r="A39" s="35">
        <v>7</v>
      </c>
      <c r="B39" s="42" t="s">
        <v>162</v>
      </c>
      <c r="C39" s="202" t="s">
        <v>1338</v>
      </c>
      <c r="D39" s="35" t="s">
        <v>18</v>
      </c>
      <c r="E39" s="35" t="s">
        <v>18</v>
      </c>
      <c r="F39" s="35" t="s">
        <v>1339</v>
      </c>
      <c r="G39" s="35" t="s">
        <v>1340</v>
      </c>
      <c r="H39" s="35" t="s">
        <v>18</v>
      </c>
    </row>
    <row r="43" spans="1:8" ht="20.25" x14ac:dyDescent="0.25">
      <c r="A43" s="604" t="s">
        <v>1076</v>
      </c>
      <c r="B43" s="605"/>
      <c r="C43" s="605"/>
      <c r="D43" s="605"/>
      <c r="E43" s="605"/>
      <c r="F43" s="605"/>
      <c r="G43" s="605"/>
      <c r="H43" s="606"/>
    </row>
    <row r="44" spans="1:8" ht="20.25" x14ac:dyDescent="0.25">
      <c r="A44" s="528" t="s">
        <v>152</v>
      </c>
      <c r="B44" s="528" t="s">
        <v>153</v>
      </c>
      <c r="C44" s="558" t="s">
        <v>154</v>
      </c>
      <c r="D44" s="528" t="s">
        <v>155</v>
      </c>
      <c r="E44" s="528"/>
      <c r="F44" s="528"/>
      <c r="G44" s="558" t="s">
        <v>603</v>
      </c>
      <c r="H44" s="528" t="s">
        <v>156</v>
      </c>
    </row>
    <row r="45" spans="1:8" ht="93.75" customHeight="1" x14ac:dyDescent="0.25">
      <c r="A45" s="528"/>
      <c r="B45" s="528"/>
      <c r="C45" s="558"/>
      <c r="D45" s="40" t="s">
        <v>157</v>
      </c>
      <c r="E45" s="40" t="s">
        <v>158</v>
      </c>
      <c r="F45" s="40" t="s">
        <v>159</v>
      </c>
      <c r="G45" s="558"/>
      <c r="H45" s="528"/>
    </row>
    <row r="46" spans="1:8" ht="20.25" x14ac:dyDescent="0.25">
      <c r="A46" s="35">
        <v>1</v>
      </c>
      <c r="B46" s="42" t="s">
        <v>270</v>
      </c>
      <c r="C46" s="202" t="s">
        <v>18</v>
      </c>
      <c r="D46" s="35" t="s">
        <v>18</v>
      </c>
      <c r="E46" s="35" t="s">
        <v>18</v>
      </c>
      <c r="F46" s="35" t="s">
        <v>18</v>
      </c>
      <c r="G46" s="35" t="s">
        <v>18</v>
      </c>
      <c r="H46" s="35" t="s">
        <v>18</v>
      </c>
    </row>
    <row r="47" spans="1:8" ht="20.25" x14ac:dyDescent="0.25">
      <c r="A47" s="35">
        <v>2</v>
      </c>
      <c r="B47" s="42" t="s">
        <v>160</v>
      </c>
      <c r="C47" s="202" t="s">
        <v>18</v>
      </c>
      <c r="D47" s="35" t="s">
        <v>18</v>
      </c>
      <c r="E47" s="35" t="s">
        <v>18</v>
      </c>
      <c r="F47" s="35" t="s">
        <v>18</v>
      </c>
      <c r="G47" s="35" t="s">
        <v>18</v>
      </c>
      <c r="H47" s="35" t="s">
        <v>18</v>
      </c>
    </row>
    <row r="48" spans="1:8" ht="20.25" x14ac:dyDescent="0.25">
      <c r="A48" s="35">
        <v>3</v>
      </c>
      <c r="B48" s="42" t="s">
        <v>190</v>
      </c>
      <c r="C48" s="202" t="s">
        <v>18</v>
      </c>
      <c r="D48" s="35" t="s">
        <v>18</v>
      </c>
      <c r="E48" s="35" t="s">
        <v>18</v>
      </c>
      <c r="F48" s="35" t="s">
        <v>18</v>
      </c>
      <c r="G48" s="35" t="s">
        <v>18</v>
      </c>
      <c r="H48" s="35" t="s">
        <v>18</v>
      </c>
    </row>
    <row r="49" spans="1:8" ht="20.25" x14ac:dyDescent="0.25">
      <c r="A49" s="35">
        <v>4</v>
      </c>
      <c r="B49" s="42" t="s">
        <v>654</v>
      </c>
      <c r="C49" s="202">
        <v>45710</v>
      </c>
      <c r="D49" s="35" t="s">
        <v>18</v>
      </c>
      <c r="E49" s="35" t="s">
        <v>18</v>
      </c>
      <c r="F49" s="35">
        <v>1</v>
      </c>
      <c r="G49" s="35" t="s">
        <v>1213</v>
      </c>
      <c r="H49" s="35" t="s">
        <v>18</v>
      </c>
    </row>
    <row r="50" spans="1:8" ht="20.25" x14ac:dyDescent="0.25">
      <c r="A50" s="35">
        <v>5</v>
      </c>
      <c r="B50" s="42" t="s">
        <v>181</v>
      </c>
      <c r="C50" s="202" t="s">
        <v>18</v>
      </c>
      <c r="D50" s="35" t="s">
        <v>18</v>
      </c>
      <c r="E50" s="35" t="s">
        <v>18</v>
      </c>
      <c r="F50" s="35" t="s">
        <v>18</v>
      </c>
      <c r="G50" s="35" t="s">
        <v>18</v>
      </c>
      <c r="H50" s="35" t="s">
        <v>18</v>
      </c>
    </row>
    <row r="51" spans="1:8" ht="162" x14ac:dyDescent="0.25">
      <c r="A51" s="35">
        <v>6</v>
      </c>
      <c r="B51" s="42" t="s">
        <v>161</v>
      </c>
      <c r="C51" s="202" t="s">
        <v>1212</v>
      </c>
      <c r="D51" s="35" t="s">
        <v>18</v>
      </c>
      <c r="E51" s="35" t="s">
        <v>18</v>
      </c>
      <c r="F51" s="35" t="s">
        <v>1210</v>
      </c>
      <c r="G51" s="35" t="s">
        <v>1211</v>
      </c>
      <c r="H51" s="35" t="s">
        <v>18</v>
      </c>
    </row>
    <row r="52" spans="1:8" ht="222.75" x14ac:dyDescent="0.25">
      <c r="A52" s="35">
        <v>7</v>
      </c>
      <c r="B52" s="42" t="s">
        <v>162</v>
      </c>
      <c r="C52" s="202" t="s">
        <v>1218</v>
      </c>
      <c r="D52" s="35" t="s">
        <v>18</v>
      </c>
      <c r="E52" s="35" t="s">
        <v>1197</v>
      </c>
      <c r="F52" s="35" t="s">
        <v>1219</v>
      </c>
      <c r="G52" s="35" t="s">
        <v>1220</v>
      </c>
      <c r="H52" s="35" t="s">
        <v>18</v>
      </c>
    </row>
    <row r="55" spans="1:8" ht="20.25" x14ac:dyDescent="0.25">
      <c r="A55" s="604" t="s">
        <v>781</v>
      </c>
      <c r="B55" s="605"/>
      <c r="C55" s="605"/>
      <c r="D55" s="605"/>
      <c r="E55" s="605"/>
      <c r="F55" s="605"/>
      <c r="G55" s="605"/>
      <c r="H55" s="606"/>
    </row>
    <row r="56" spans="1:8" ht="20.25" x14ac:dyDescent="0.25">
      <c r="A56" s="528" t="s">
        <v>152</v>
      </c>
      <c r="B56" s="528" t="s">
        <v>153</v>
      </c>
      <c r="C56" s="558" t="s">
        <v>154</v>
      </c>
      <c r="D56" s="528" t="s">
        <v>155</v>
      </c>
      <c r="E56" s="528"/>
      <c r="F56" s="528"/>
      <c r="G56" s="558" t="s">
        <v>603</v>
      </c>
      <c r="H56" s="528" t="s">
        <v>156</v>
      </c>
    </row>
    <row r="57" spans="1:8" ht="93.75" customHeight="1" x14ac:dyDescent="0.25">
      <c r="A57" s="528"/>
      <c r="B57" s="528"/>
      <c r="C57" s="558"/>
      <c r="D57" s="40" t="s">
        <v>157</v>
      </c>
      <c r="E57" s="40" t="s">
        <v>158</v>
      </c>
      <c r="F57" s="40" t="s">
        <v>159</v>
      </c>
      <c r="G57" s="558"/>
      <c r="H57" s="528"/>
    </row>
    <row r="58" spans="1:8" ht="20.25" x14ac:dyDescent="0.25">
      <c r="A58" s="35">
        <v>1</v>
      </c>
      <c r="B58" s="42" t="s">
        <v>270</v>
      </c>
      <c r="C58" s="202" t="s">
        <v>18</v>
      </c>
      <c r="D58" s="35" t="s">
        <v>18</v>
      </c>
      <c r="E58" s="35" t="s">
        <v>18</v>
      </c>
      <c r="F58" s="35" t="s">
        <v>18</v>
      </c>
      <c r="G58" s="35" t="s">
        <v>18</v>
      </c>
      <c r="H58" s="35" t="s">
        <v>18</v>
      </c>
    </row>
    <row r="59" spans="1:8" ht="20.25" x14ac:dyDescent="0.25">
      <c r="A59" s="35">
        <v>2</v>
      </c>
      <c r="B59" s="42" t="s">
        <v>160</v>
      </c>
      <c r="C59" s="202" t="s">
        <v>18</v>
      </c>
      <c r="D59" s="35" t="s">
        <v>18</v>
      </c>
      <c r="E59" s="35" t="s">
        <v>18</v>
      </c>
      <c r="F59" s="35" t="s">
        <v>18</v>
      </c>
      <c r="G59" s="35" t="s">
        <v>18</v>
      </c>
      <c r="H59" s="35" t="s">
        <v>18</v>
      </c>
    </row>
    <row r="60" spans="1:8" ht="20.25" x14ac:dyDescent="0.25">
      <c r="A60" s="35">
        <v>3</v>
      </c>
      <c r="B60" s="42" t="s">
        <v>190</v>
      </c>
      <c r="C60" s="202" t="s">
        <v>18</v>
      </c>
      <c r="D60" s="35" t="s">
        <v>18</v>
      </c>
      <c r="E60" s="35" t="s">
        <v>18</v>
      </c>
      <c r="F60" s="35" t="s">
        <v>18</v>
      </c>
      <c r="G60" s="35" t="s">
        <v>18</v>
      </c>
      <c r="H60" s="35" t="s">
        <v>18</v>
      </c>
    </row>
    <row r="61" spans="1:8" ht="81" x14ac:dyDescent="0.25">
      <c r="A61" s="35">
        <v>4</v>
      </c>
      <c r="B61" s="42" t="s">
        <v>654</v>
      </c>
      <c r="C61" s="202" t="s">
        <v>786</v>
      </c>
      <c r="D61" s="35" t="s">
        <v>18</v>
      </c>
      <c r="E61" s="35" t="s">
        <v>18</v>
      </c>
      <c r="F61" s="35" t="s">
        <v>456</v>
      </c>
      <c r="G61" s="92" t="s">
        <v>787</v>
      </c>
      <c r="H61" s="35" t="s">
        <v>18</v>
      </c>
    </row>
    <row r="62" spans="1:8" ht="40.5" x14ac:dyDescent="0.25">
      <c r="A62" s="35">
        <v>5</v>
      </c>
      <c r="B62" s="42" t="s">
        <v>181</v>
      </c>
      <c r="C62" s="202" t="s">
        <v>944</v>
      </c>
      <c r="D62" s="35" t="s">
        <v>18</v>
      </c>
      <c r="E62" s="35" t="s">
        <v>456</v>
      </c>
      <c r="F62" s="35" t="s">
        <v>18</v>
      </c>
      <c r="G62" s="92" t="s">
        <v>945</v>
      </c>
      <c r="H62" s="35" t="s">
        <v>18</v>
      </c>
    </row>
    <row r="63" spans="1:8" ht="141.75" x14ac:dyDescent="0.25">
      <c r="A63" s="35">
        <v>6</v>
      </c>
      <c r="B63" s="42" t="s">
        <v>161</v>
      </c>
      <c r="C63" s="202" t="s">
        <v>997</v>
      </c>
      <c r="D63" s="35" t="s">
        <v>18</v>
      </c>
      <c r="E63" s="35" t="s">
        <v>18</v>
      </c>
      <c r="F63" s="35" t="s">
        <v>998</v>
      </c>
      <c r="G63" s="92" t="s">
        <v>999</v>
      </c>
      <c r="H63" s="35" t="s">
        <v>18</v>
      </c>
    </row>
    <row r="64" spans="1:8" ht="60.75" x14ac:dyDescent="0.25">
      <c r="A64" s="35">
        <v>7</v>
      </c>
      <c r="B64" s="42" t="s">
        <v>162</v>
      </c>
      <c r="C64" s="202" t="s">
        <v>1180</v>
      </c>
      <c r="D64" s="35" t="s">
        <v>18</v>
      </c>
      <c r="E64" s="35" t="s">
        <v>18</v>
      </c>
      <c r="F64" s="35" t="s">
        <v>456</v>
      </c>
      <c r="G64" s="92" t="s">
        <v>968</v>
      </c>
      <c r="H64" s="35" t="s">
        <v>18</v>
      </c>
    </row>
  </sheetData>
  <mergeCells count="36">
    <mergeCell ref="A2:H2"/>
    <mergeCell ref="A3:A4"/>
    <mergeCell ref="B3:B4"/>
    <mergeCell ref="C3:C4"/>
    <mergeCell ref="D3:F3"/>
    <mergeCell ref="G3:G4"/>
    <mergeCell ref="H3:H4"/>
    <mergeCell ref="A55:H55"/>
    <mergeCell ref="A56:A57"/>
    <mergeCell ref="B56:B57"/>
    <mergeCell ref="C56:C57"/>
    <mergeCell ref="D56:F56"/>
    <mergeCell ref="G56:G57"/>
    <mergeCell ref="H56:H57"/>
    <mergeCell ref="A43:H43"/>
    <mergeCell ref="A44:A45"/>
    <mergeCell ref="B44:B45"/>
    <mergeCell ref="C44:C45"/>
    <mergeCell ref="D44:F44"/>
    <mergeCell ref="G44:G45"/>
    <mergeCell ref="H44:H45"/>
    <mergeCell ref="B37:B38"/>
    <mergeCell ref="A29:H29"/>
    <mergeCell ref="A30:A31"/>
    <mergeCell ref="B30:B31"/>
    <mergeCell ref="C30:C31"/>
    <mergeCell ref="D30:F30"/>
    <mergeCell ref="G30:G31"/>
    <mergeCell ref="H30:H31"/>
    <mergeCell ref="A15:H15"/>
    <mergeCell ref="A16:A17"/>
    <mergeCell ref="B16:B17"/>
    <mergeCell ref="C16:C17"/>
    <mergeCell ref="D16:F16"/>
    <mergeCell ref="G16:G17"/>
    <mergeCell ref="H16:H17"/>
  </mergeCells>
  <pageMargins left="0.35433070866141736" right="0.35433070866141736" top="0.31496062992125984" bottom="0.31496062992125984" header="0.31496062992125984" footer="0.31496062992125984"/>
  <pageSetup scale="67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G146"/>
  <sheetViews>
    <sheetView zoomScale="115" zoomScaleNormal="115" workbookViewId="0">
      <selection activeCell="C16" sqref="C16"/>
    </sheetView>
  </sheetViews>
  <sheetFormatPr defaultRowHeight="20.25" x14ac:dyDescent="0.25"/>
  <cols>
    <col min="1" max="1" width="9.140625" style="243"/>
    <col min="2" max="2" width="13.140625" style="243" customWidth="1"/>
    <col min="3" max="3" width="41.42578125" style="243" customWidth="1"/>
    <col min="4" max="4" width="17.7109375" style="243" customWidth="1"/>
    <col min="5" max="5" width="12.42578125" style="243" bestFit="1" customWidth="1"/>
    <col min="6" max="6" width="34.7109375" style="243" bestFit="1" customWidth="1"/>
    <col min="7" max="7" width="40.85546875" style="243" customWidth="1"/>
    <col min="8" max="16384" width="9.140625" style="243"/>
  </cols>
  <sheetData>
    <row r="2" spans="1:7" x14ac:dyDescent="0.25">
      <c r="A2" s="609" t="s">
        <v>1658</v>
      </c>
      <c r="B2" s="609"/>
      <c r="C2" s="609"/>
      <c r="D2" s="609"/>
      <c r="E2" s="609"/>
      <c r="F2" s="609"/>
      <c r="G2" s="609"/>
    </row>
    <row r="3" spans="1:7" s="16" customFormat="1" ht="121.5" x14ac:dyDescent="0.25">
      <c r="A3" s="1" t="s">
        <v>149</v>
      </c>
      <c r="B3" s="1" t="s">
        <v>843</v>
      </c>
      <c r="C3" s="1" t="s">
        <v>844</v>
      </c>
      <c r="D3" s="1" t="s">
        <v>340</v>
      </c>
      <c r="E3" s="1" t="s">
        <v>845</v>
      </c>
      <c r="F3" s="1" t="s">
        <v>849</v>
      </c>
      <c r="G3" s="1" t="s">
        <v>846</v>
      </c>
    </row>
    <row r="4" spans="1:7" s="16" customFormat="1" x14ac:dyDescent="0.25">
      <c r="A4" s="1"/>
      <c r="B4" s="1"/>
      <c r="C4" s="1"/>
      <c r="D4" s="1"/>
      <c r="E4" s="244"/>
      <c r="F4" s="1"/>
      <c r="G4" s="1"/>
    </row>
    <row r="5" spans="1:7" s="16" customFormat="1" x14ac:dyDescent="0.25">
      <c r="A5" s="1"/>
      <c r="B5" s="1"/>
      <c r="C5" s="1"/>
      <c r="D5" s="1"/>
      <c r="E5" s="244"/>
      <c r="F5" s="1"/>
      <c r="G5" s="1"/>
    </row>
    <row r="6" spans="1:7" s="16" customFormat="1" x14ac:dyDescent="0.25">
      <c r="A6" s="410"/>
      <c r="B6" s="1"/>
      <c r="C6" s="1"/>
      <c r="D6" s="1"/>
      <c r="E6" s="244"/>
      <c r="F6" s="1"/>
      <c r="G6" s="1"/>
    </row>
    <row r="7" spans="1:7" x14ac:dyDescent="0.25">
      <c r="A7" s="413"/>
      <c r="B7" s="413"/>
      <c r="C7" s="413"/>
      <c r="D7" s="1"/>
      <c r="E7" s="414"/>
      <c r="F7" s="1"/>
      <c r="G7" s="413"/>
    </row>
    <row r="8" spans="1:7" s="16" customFormat="1" x14ac:dyDescent="0.25">
      <c r="A8" s="1"/>
      <c r="B8" s="413"/>
      <c r="C8" s="1"/>
      <c r="D8" s="1"/>
      <c r="E8" s="414"/>
      <c r="F8" s="1"/>
      <c r="G8" s="1"/>
    </row>
    <row r="9" spans="1:7" s="16" customFormat="1" x14ac:dyDescent="0.25">
      <c r="E9" s="259"/>
    </row>
    <row r="10" spans="1:7" s="16" customFormat="1" x14ac:dyDescent="0.25">
      <c r="E10" s="259"/>
    </row>
    <row r="11" spans="1:7" s="16" customFormat="1" x14ac:dyDescent="0.25">
      <c r="E11" s="259"/>
    </row>
    <row r="13" spans="1:7" x14ac:dyDescent="0.25">
      <c r="A13" s="609" t="s">
        <v>1486</v>
      </c>
      <c r="B13" s="609"/>
      <c r="C13" s="609"/>
      <c r="D13" s="609"/>
      <c r="E13" s="609"/>
      <c r="F13" s="609"/>
      <c r="G13" s="609"/>
    </row>
    <row r="14" spans="1:7" s="16" customFormat="1" ht="121.5" x14ac:dyDescent="0.25">
      <c r="A14" s="1" t="s">
        <v>149</v>
      </c>
      <c r="B14" s="1" t="s">
        <v>843</v>
      </c>
      <c r="C14" s="1" t="s">
        <v>844</v>
      </c>
      <c r="D14" s="1" t="s">
        <v>340</v>
      </c>
      <c r="E14" s="1" t="s">
        <v>845</v>
      </c>
      <c r="F14" s="1" t="s">
        <v>849</v>
      </c>
      <c r="G14" s="1" t="s">
        <v>846</v>
      </c>
    </row>
    <row r="15" spans="1:7" s="16" customFormat="1" ht="121.5" x14ac:dyDescent="0.25">
      <c r="A15" s="1">
        <v>1</v>
      </c>
      <c r="B15" s="1" t="s">
        <v>257</v>
      </c>
      <c r="C15" s="1" t="s">
        <v>1503</v>
      </c>
      <c r="D15" s="1" t="s">
        <v>1504</v>
      </c>
      <c r="E15" s="244">
        <v>45766</v>
      </c>
      <c r="F15" s="1" t="s">
        <v>1505</v>
      </c>
      <c r="G15" s="1"/>
    </row>
    <row r="16" spans="1:7" s="16" customFormat="1" ht="81" x14ac:dyDescent="0.25">
      <c r="A16" s="1">
        <v>2</v>
      </c>
      <c r="B16" s="1" t="s">
        <v>191</v>
      </c>
      <c r="C16" s="1" t="s">
        <v>1554</v>
      </c>
      <c r="D16" s="1" t="s">
        <v>1504</v>
      </c>
      <c r="E16" s="244">
        <v>45766</v>
      </c>
      <c r="F16" s="1" t="s">
        <v>1555</v>
      </c>
      <c r="G16" s="1"/>
    </row>
    <row r="17" spans="1:7" s="16" customFormat="1" ht="81" x14ac:dyDescent="0.25">
      <c r="A17" s="410">
        <v>3</v>
      </c>
      <c r="B17" s="1" t="s">
        <v>127</v>
      </c>
      <c r="C17" s="1" t="s">
        <v>1558</v>
      </c>
      <c r="D17" s="1" t="s">
        <v>1559</v>
      </c>
      <c r="E17" s="244">
        <v>45729</v>
      </c>
      <c r="F17" s="1" t="s">
        <v>1560</v>
      </c>
      <c r="G17" s="1"/>
    </row>
    <row r="18" spans="1:7" ht="60.75" x14ac:dyDescent="0.25">
      <c r="A18" s="413">
        <v>4</v>
      </c>
      <c r="B18" s="413" t="s">
        <v>83</v>
      </c>
      <c r="C18" s="413" t="s">
        <v>1632</v>
      </c>
      <c r="D18" s="1" t="s">
        <v>1504</v>
      </c>
      <c r="E18" s="414">
        <v>45766</v>
      </c>
      <c r="F18" s="1" t="s">
        <v>1634</v>
      </c>
      <c r="G18" s="413"/>
    </row>
    <row r="19" spans="1:7" s="16" customFormat="1" ht="60.75" x14ac:dyDescent="0.25">
      <c r="A19" s="1"/>
      <c r="B19" s="413" t="s">
        <v>83</v>
      </c>
      <c r="C19" s="1" t="s">
        <v>1633</v>
      </c>
      <c r="D19" s="1" t="s">
        <v>1504</v>
      </c>
      <c r="E19" s="414">
        <v>45766</v>
      </c>
      <c r="F19" s="1" t="s">
        <v>1634</v>
      </c>
      <c r="G19" s="1"/>
    </row>
    <row r="20" spans="1:7" s="16" customFormat="1" x14ac:dyDescent="0.25">
      <c r="E20" s="259"/>
    </row>
    <row r="21" spans="1:7" s="16" customFormat="1" x14ac:dyDescent="0.25">
      <c r="E21" s="259"/>
    </row>
    <row r="22" spans="1:7" s="16" customFormat="1" x14ac:dyDescent="0.25">
      <c r="E22" s="259"/>
    </row>
    <row r="23" spans="1:7" s="16" customFormat="1" x14ac:dyDescent="0.25">
      <c r="E23" s="259"/>
    </row>
    <row r="24" spans="1:7" s="16" customFormat="1" x14ac:dyDescent="0.25">
      <c r="E24" s="259"/>
    </row>
    <row r="26" spans="1:7" x14ac:dyDescent="0.25">
      <c r="A26" s="609" t="s">
        <v>1237</v>
      </c>
      <c r="B26" s="609"/>
      <c r="C26" s="609"/>
      <c r="D26" s="609"/>
      <c r="E26" s="609"/>
      <c r="F26" s="609"/>
      <c r="G26" s="609"/>
    </row>
    <row r="27" spans="1:7" s="16" customFormat="1" ht="121.5" x14ac:dyDescent="0.25">
      <c r="A27" s="1" t="s">
        <v>149</v>
      </c>
      <c r="B27" s="1" t="s">
        <v>843</v>
      </c>
      <c r="C27" s="1" t="s">
        <v>844</v>
      </c>
      <c r="D27" s="1" t="s">
        <v>340</v>
      </c>
      <c r="E27" s="1" t="s">
        <v>845</v>
      </c>
      <c r="F27" s="1" t="s">
        <v>849</v>
      </c>
      <c r="G27" s="1" t="s">
        <v>846</v>
      </c>
    </row>
    <row r="28" spans="1:7" s="16" customFormat="1" ht="40.5" x14ac:dyDescent="0.25">
      <c r="A28" s="1">
        <v>1</v>
      </c>
      <c r="B28" s="1" t="s">
        <v>127</v>
      </c>
      <c r="C28" s="1" t="s">
        <v>1242</v>
      </c>
      <c r="D28" s="1" t="s">
        <v>1243</v>
      </c>
      <c r="E28" s="244">
        <v>45729</v>
      </c>
      <c r="F28" s="1" t="s">
        <v>1244</v>
      </c>
      <c r="G28" s="1" t="s">
        <v>1244</v>
      </c>
    </row>
    <row r="29" spans="1:7" s="16" customFormat="1" ht="40.5" x14ac:dyDescent="0.25">
      <c r="A29" s="1">
        <v>2</v>
      </c>
      <c r="B29" s="1" t="s">
        <v>1292</v>
      </c>
      <c r="C29" s="1" t="s">
        <v>1293</v>
      </c>
      <c r="D29" s="1" t="s">
        <v>1294</v>
      </c>
      <c r="E29" s="244">
        <v>45728</v>
      </c>
      <c r="F29" s="1" t="s">
        <v>1295</v>
      </c>
      <c r="G29" s="1"/>
    </row>
    <row r="30" spans="1:7" s="16" customFormat="1" ht="72" customHeight="1" x14ac:dyDescent="0.25">
      <c r="A30" s="1">
        <v>3</v>
      </c>
      <c r="B30" s="1" t="s">
        <v>46</v>
      </c>
      <c r="C30" s="1" t="s">
        <v>1319</v>
      </c>
      <c r="D30" s="1" t="s">
        <v>1356</v>
      </c>
      <c r="E30" s="244">
        <v>45726</v>
      </c>
      <c r="F30" s="1" t="s">
        <v>850</v>
      </c>
      <c r="G30" s="1" t="s">
        <v>1318</v>
      </c>
    </row>
    <row r="31" spans="1:7" s="16" customFormat="1" ht="40.5" x14ac:dyDescent="0.25">
      <c r="A31" s="1">
        <v>4</v>
      </c>
      <c r="B31" s="1" t="s">
        <v>83</v>
      </c>
      <c r="C31" s="1" t="s">
        <v>1332</v>
      </c>
      <c r="D31" s="1" t="s">
        <v>1333</v>
      </c>
      <c r="E31" s="244">
        <v>45723</v>
      </c>
      <c r="F31" s="1" t="s">
        <v>850</v>
      </c>
      <c r="G31" s="1" t="s">
        <v>1334</v>
      </c>
    </row>
    <row r="32" spans="1:7" s="16" customFormat="1" ht="409.5" x14ac:dyDescent="0.25">
      <c r="A32" s="1"/>
      <c r="B32" s="1"/>
      <c r="C32" s="1" t="s">
        <v>1353</v>
      </c>
      <c r="D32" s="1" t="s">
        <v>1355</v>
      </c>
      <c r="E32" s="244">
        <v>45747</v>
      </c>
      <c r="F32" s="1" t="s">
        <v>1357</v>
      </c>
      <c r="G32" s="1" t="s">
        <v>1358</v>
      </c>
    </row>
    <row r="33" spans="1:7" s="16" customFormat="1" ht="409.5" x14ac:dyDescent="0.25">
      <c r="A33" s="1"/>
      <c r="B33" s="1"/>
      <c r="C33" s="1" t="s">
        <v>1354</v>
      </c>
      <c r="D33" s="1"/>
      <c r="E33" s="244"/>
      <c r="F33" s="1"/>
      <c r="G33" s="1"/>
    </row>
    <row r="34" spans="1:7" s="16" customFormat="1" x14ac:dyDescent="0.25">
      <c r="E34" s="259"/>
    </row>
    <row r="35" spans="1:7" s="16" customFormat="1" x14ac:dyDescent="0.25">
      <c r="E35" s="259"/>
    </row>
    <row r="36" spans="1:7" x14ac:dyDescent="0.25">
      <c r="A36" s="609" t="s">
        <v>1077</v>
      </c>
      <c r="B36" s="609"/>
      <c r="C36" s="609"/>
      <c r="D36" s="609"/>
      <c r="E36" s="609"/>
      <c r="F36" s="609"/>
      <c r="G36" s="609"/>
    </row>
    <row r="37" spans="1:7" s="16" customFormat="1" ht="121.5" x14ac:dyDescent="0.25">
      <c r="A37" s="1" t="s">
        <v>149</v>
      </c>
      <c r="B37" s="1" t="s">
        <v>843</v>
      </c>
      <c r="C37" s="1" t="s">
        <v>844</v>
      </c>
      <c r="D37" s="1" t="s">
        <v>340</v>
      </c>
      <c r="E37" s="1" t="s">
        <v>845</v>
      </c>
      <c r="F37" s="1" t="s">
        <v>849</v>
      </c>
      <c r="G37" s="1" t="s">
        <v>846</v>
      </c>
    </row>
    <row r="38" spans="1:7" s="16" customFormat="1" ht="40.5" x14ac:dyDescent="0.25">
      <c r="A38" s="1"/>
      <c r="B38" s="1" t="s">
        <v>185</v>
      </c>
      <c r="C38" s="1" t="s">
        <v>1198</v>
      </c>
      <c r="D38" s="1" t="s">
        <v>893</v>
      </c>
      <c r="E38" s="244">
        <v>45706</v>
      </c>
      <c r="F38" s="1" t="s">
        <v>1199</v>
      </c>
      <c r="G38" s="1" t="s">
        <v>850</v>
      </c>
    </row>
    <row r="39" spans="1:7" s="16" customFormat="1" x14ac:dyDescent="0.25">
      <c r="E39" s="259"/>
      <c r="F39" s="260"/>
    </row>
    <row r="40" spans="1:7" x14ac:dyDescent="0.25">
      <c r="A40" s="609" t="s">
        <v>1045</v>
      </c>
      <c r="B40" s="609"/>
      <c r="C40" s="609"/>
      <c r="D40" s="609"/>
      <c r="E40" s="609"/>
      <c r="F40" s="609"/>
      <c r="G40" s="609"/>
    </row>
    <row r="41" spans="1:7" s="16" customFormat="1" ht="121.5" x14ac:dyDescent="0.25">
      <c r="A41" s="1" t="s">
        <v>149</v>
      </c>
      <c r="B41" s="1" t="s">
        <v>843</v>
      </c>
      <c r="C41" s="1" t="s">
        <v>844</v>
      </c>
      <c r="D41" s="1" t="s">
        <v>340</v>
      </c>
      <c r="E41" s="1" t="s">
        <v>845</v>
      </c>
      <c r="F41" s="1" t="s">
        <v>849</v>
      </c>
      <c r="G41" s="1" t="s">
        <v>846</v>
      </c>
    </row>
    <row r="42" spans="1:7" s="16" customFormat="1" ht="101.25" x14ac:dyDescent="0.25">
      <c r="A42" s="1">
        <v>1</v>
      </c>
      <c r="B42" s="1" t="s">
        <v>164</v>
      </c>
      <c r="C42" s="1" t="s">
        <v>847</v>
      </c>
      <c r="D42" s="1" t="s">
        <v>848</v>
      </c>
      <c r="E42" s="244">
        <v>45683</v>
      </c>
      <c r="F42" s="1" t="s">
        <v>850</v>
      </c>
      <c r="G42" s="1" t="s">
        <v>851</v>
      </c>
    </row>
    <row r="43" spans="1:7" s="16" customFormat="1" ht="60.75" x14ac:dyDescent="0.25">
      <c r="A43" s="1">
        <v>2</v>
      </c>
      <c r="B43" s="1" t="s">
        <v>176</v>
      </c>
      <c r="C43" s="1" t="s">
        <v>890</v>
      </c>
      <c r="D43" s="1" t="s">
        <v>893</v>
      </c>
      <c r="E43" s="244">
        <v>45683</v>
      </c>
      <c r="F43" s="1" t="s">
        <v>850</v>
      </c>
      <c r="G43" s="1" t="s">
        <v>895</v>
      </c>
    </row>
    <row r="44" spans="1:7" s="16" customFormat="1" ht="40.5" x14ac:dyDescent="0.25">
      <c r="A44" s="1">
        <v>3</v>
      </c>
      <c r="B44" s="1" t="s">
        <v>176</v>
      </c>
      <c r="C44" s="1" t="s">
        <v>891</v>
      </c>
      <c r="D44" s="1" t="s">
        <v>894</v>
      </c>
      <c r="E44" s="244">
        <v>45683</v>
      </c>
      <c r="F44" s="1" t="s">
        <v>850</v>
      </c>
      <c r="G44" s="1" t="s">
        <v>896</v>
      </c>
    </row>
    <row r="45" spans="1:7" s="16" customFormat="1" x14ac:dyDescent="0.25">
      <c r="A45" s="1">
        <v>4</v>
      </c>
      <c r="B45" s="1" t="s">
        <v>185</v>
      </c>
      <c r="C45" s="1" t="s">
        <v>892</v>
      </c>
      <c r="D45" s="1" t="s">
        <v>893</v>
      </c>
      <c r="E45" s="244">
        <v>45672</v>
      </c>
      <c r="F45" s="1" t="s">
        <v>850</v>
      </c>
      <c r="G45" s="1" t="s">
        <v>897</v>
      </c>
    </row>
    <row r="46" spans="1:7" s="16" customFormat="1" ht="40.5" x14ac:dyDescent="0.25">
      <c r="A46" s="1">
        <v>5</v>
      </c>
      <c r="B46" s="1" t="s">
        <v>186</v>
      </c>
      <c r="C46" s="1" t="s">
        <v>936</v>
      </c>
      <c r="D46" s="1" t="s">
        <v>937</v>
      </c>
      <c r="E46" s="244">
        <v>45683</v>
      </c>
      <c r="F46" s="1" t="s">
        <v>1046</v>
      </c>
      <c r="G46" s="1"/>
    </row>
    <row r="47" spans="1:7" s="16" customFormat="1" x14ac:dyDescent="0.25">
      <c r="A47" s="1">
        <v>6</v>
      </c>
      <c r="B47" s="1" t="s">
        <v>186</v>
      </c>
      <c r="C47" s="1" t="s">
        <v>939</v>
      </c>
      <c r="D47" s="1" t="s">
        <v>940</v>
      </c>
      <c r="E47" s="244">
        <v>45683</v>
      </c>
      <c r="F47" s="1" t="s">
        <v>941</v>
      </c>
      <c r="G47" s="1"/>
    </row>
    <row r="48" spans="1:7" s="16" customFormat="1" ht="40.5" x14ac:dyDescent="0.25">
      <c r="A48" s="1">
        <v>7</v>
      </c>
      <c r="B48" s="1" t="s">
        <v>46</v>
      </c>
      <c r="C48" s="1" t="s">
        <v>969</v>
      </c>
      <c r="D48" s="1" t="s">
        <v>971</v>
      </c>
      <c r="E48" s="244">
        <v>45667</v>
      </c>
      <c r="F48" s="1" t="s">
        <v>850</v>
      </c>
      <c r="G48" s="1" t="s">
        <v>972</v>
      </c>
    </row>
    <row r="49" spans="1:7" s="16" customFormat="1" ht="40.5" x14ac:dyDescent="0.25">
      <c r="A49" s="1">
        <v>8</v>
      </c>
      <c r="B49" s="1" t="s">
        <v>46</v>
      </c>
      <c r="C49" s="1" t="s">
        <v>970</v>
      </c>
      <c r="D49" s="1" t="s">
        <v>971</v>
      </c>
      <c r="E49" s="244">
        <v>45667</v>
      </c>
      <c r="F49" s="1" t="s">
        <v>850</v>
      </c>
      <c r="G49" s="1" t="s">
        <v>972</v>
      </c>
    </row>
    <row r="50" spans="1:7" s="16" customFormat="1" ht="60.75" x14ac:dyDescent="0.25">
      <c r="A50" s="1">
        <v>9</v>
      </c>
      <c r="B50" s="1" t="s">
        <v>46</v>
      </c>
      <c r="C50" s="1" t="s">
        <v>973</v>
      </c>
      <c r="D50" s="1" t="s">
        <v>975</v>
      </c>
      <c r="E50" s="244">
        <v>45683</v>
      </c>
      <c r="F50" s="1" t="s">
        <v>976</v>
      </c>
      <c r="G50" s="1" t="s">
        <v>977</v>
      </c>
    </row>
    <row r="51" spans="1:7" s="16" customFormat="1" ht="81" x14ac:dyDescent="0.25">
      <c r="A51" s="1">
        <v>10</v>
      </c>
      <c r="B51" s="1" t="s">
        <v>46</v>
      </c>
      <c r="C51" s="1" t="s">
        <v>974</v>
      </c>
      <c r="D51" s="1" t="s">
        <v>975</v>
      </c>
      <c r="E51" s="244">
        <v>45683</v>
      </c>
      <c r="F51" s="1" t="s">
        <v>976</v>
      </c>
      <c r="G51" s="1" t="s">
        <v>978</v>
      </c>
    </row>
    <row r="52" spans="1:7" s="16" customFormat="1" ht="40.5" x14ac:dyDescent="0.25">
      <c r="A52" s="1">
        <v>11</v>
      </c>
      <c r="B52" s="1" t="s">
        <v>177</v>
      </c>
      <c r="C52" s="1" t="s">
        <v>1000</v>
      </c>
      <c r="D52" s="1" t="s">
        <v>937</v>
      </c>
      <c r="E52" s="244">
        <v>45683</v>
      </c>
      <c r="F52" s="1" t="s">
        <v>938</v>
      </c>
      <c r="G52" s="1" t="s">
        <v>1004</v>
      </c>
    </row>
    <row r="53" spans="1:7" s="16" customFormat="1" ht="40.5" x14ac:dyDescent="0.25">
      <c r="A53" s="1">
        <v>12</v>
      </c>
      <c r="B53" s="1" t="s">
        <v>188</v>
      </c>
      <c r="C53" s="1" t="s">
        <v>1001</v>
      </c>
      <c r="D53" s="1" t="s">
        <v>1002</v>
      </c>
      <c r="E53" s="244">
        <v>45683</v>
      </c>
      <c r="F53" s="261" t="s">
        <v>1003</v>
      </c>
      <c r="G53" s="1" t="s">
        <v>1005</v>
      </c>
    </row>
    <row r="54" spans="1:7" s="16" customFormat="1" x14ac:dyDescent="0.25">
      <c r="E54" s="259"/>
      <c r="F54" s="260"/>
    </row>
    <row r="55" spans="1:7" s="16" customFormat="1" x14ac:dyDescent="0.25">
      <c r="E55" s="259"/>
      <c r="F55" s="260"/>
    </row>
    <row r="56" spans="1:7" s="16" customFormat="1" x14ac:dyDescent="0.25">
      <c r="E56" s="259"/>
      <c r="F56" s="260"/>
    </row>
    <row r="57" spans="1:7" s="16" customFormat="1" x14ac:dyDescent="0.25">
      <c r="E57" s="259"/>
      <c r="F57" s="260"/>
    </row>
    <row r="58" spans="1:7" s="16" customFormat="1" x14ac:dyDescent="0.25">
      <c r="E58" s="259"/>
      <c r="F58" s="260"/>
    </row>
    <row r="59" spans="1:7" s="16" customFormat="1" x14ac:dyDescent="0.25">
      <c r="E59" s="259"/>
      <c r="F59" s="260"/>
    </row>
    <row r="60" spans="1:7" s="16" customFormat="1" x14ac:dyDescent="0.25">
      <c r="E60" s="259"/>
      <c r="F60" s="260"/>
    </row>
    <row r="61" spans="1:7" s="16" customFormat="1" x14ac:dyDescent="0.25">
      <c r="E61" s="259"/>
      <c r="F61" s="260"/>
    </row>
    <row r="62" spans="1:7" s="16" customFormat="1" x14ac:dyDescent="0.25"/>
    <row r="63" spans="1:7" s="16" customFormat="1" x14ac:dyDescent="0.25"/>
    <row r="64" spans="1:7" s="16" customFormat="1" x14ac:dyDescent="0.25"/>
    <row r="65" s="16" customFormat="1" x14ac:dyDescent="0.25"/>
    <row r="66" s="16" customFormat="1" x14ac:dyDescent="0.25"/>
    <row r="67" s="16" customFormat="1" x14ac:dyDescent="0.25"/>
    <row r="68" s="16" customFormat="1" x14ac:dyDescent="0.25"/>
    <row r="69" s="16" customFormat="1" x14ac:dyDescent="0.25"/>
    <row r="70" s="16" customFormat="1" x14ac:dyDescent="0.25"/>
    <row r="71" s="16" customFormat="1" x14ac:dyDescent="0.25"/>
    <row r="72" s="16" customFormat="1" x14ac:dyDescent="0.25"/>
    <row r="73" s="16" customFormat="1" x14ac:dyDescent="0.25"/>
    <row r="74" s="16" customFormat="1" x14ac:dyDescent="0.25"/>
    <row r="75" s="16" customFormat="1" x14ac:dyDescent="0.25"/>
    <row r="76" s="16" customFormat="1" x14ac:dyDescent="0.25"/>
    <row r="77" s="16" customFormat="1" x14ac:dyDescent="0.25"/>
    <row r="78" s="16" customFormat="1" x14ac:dyDescent="0.25"/>
    <row r="79" s="16" customFormat="1" x14ac:dyDescent="0.25"/>
    <row r="80" s="16" customFormat="1" x14ac:dyDescent="0.25"/>
    <row r="81" s="16" customFormat="1" x14ac:dyDescent="0.25"/>
    <row r="82" s="16" customFormat="1" x14ac:dyDescent="0.25"/>
    <row r="83" s="16" customFormat="1" x14ac:dyDescent="0.25"/>
    <row r="84" s="16" customFormat="1" x14ac:dyDescent="0.25"/>
    <row r="85" s="16" customFormat="1" x14ac:dyDescent="0.25"/>
    <row r="86" s="16" customFormat="1" x14ac:dyDescent="0.25"/>
    <row r="87" s="16" customFormat="1" x14ac:dyDescent="0.25"/>
    <row r="88" s="16" customFormat="1" x14ac:dyDescent="0.25"/>
    <row r="89" s="16" customFormat="1" x14ac:dyDescent="0.25"/>
    <row r="90" s="16" customFormat="1" x14ac:dyDescent="0.25"/>
    <row r="91" s="16" customFormat="1" x14ac:dyDescent="0.25"/>
    <row r="92" s="16" customFormat="1" x14ac:dyDescent="0.25"/>
    <row r="93" s="16" customFormat="1" x14ac:dyDescent="0.25"/>
    <row r="94" s="16" customFormat="1" x14ac:dyDescent="0.25"/>
    <row r="95" s="16" customFormat="1" x14ac:dyDescent="0.25"/>
    <row r="96" s="16" customFormat="1" x14ac:dyDescent="0.25"/>
    <row r="97" s="16" customFormat="1" x14ac:dyDescent="0.25"/>
    <row r="98" s="16" customFormat="1" x14ac:dyDescent="0.25"/>
    <row r="99" s="16" customFormat="1" x14ac:dyDescent="0.25"/>
    <row r="100" s="16" customFormat="1" x14ac:dyDescent="0.25"/>
    <row r="101" s="16" customFormat="1" x14ac:dyDescent="0.25"/>
    <row r="102" s="16" customFormat="1" x14ac:dyDescent="0.25"/>
    <row r="103" s="16" customFormat="1" x14ac:dyDescent="0.25"/>
    <row r="104" s="16" customFormat="1" x14ac:dyDescent="0.25"/>
    <row r="105" s="16" customFormat="1" x14ac:dyDescent="0.25"/>
    <row r="106" s="16" customFormat="1" x14ac:dyDescent="0.25"/>
    <row r="107" s="16" customFormat="1" x14ac:dyDescent="0.25"/>
    <row r="108" s="16" customFormat="1" x14ac:dyDescent="0.25"/>
    <row r="109" s="16" customFormat="1" x14ac:dyDescent="0.25"/>
    <row r="110" s="16" customFormat="1" x14ac:dyDescent="0.25"/>
    <row r="111" s="16" customFormat="1" x14ac:dyDescent="0.25"/>
    <row r="112" s="16" customFormat="1" x14ac:dyDescent="0.25"/>
    <row r="113" s="16" customFormat="1" x14ac:dyDescent="0.25"/>
    <row r="114" s="16" customFormat="1" x14ac:dyDescent="0.25"/>
    <row r="115" s="16" customFormat="1" x14ac:dyDescent="0.25"/>
    <row r="116" s="16" customFormat="1" x14ac:dyDescent="0.25"/>
    <row r="117" s="16" customFormat="1" x14ac:dyDescent="0.25"/>
    <row r="118" s="16" customFormat="1" x14ac:dyDescent="0.25"/>
    <row r="119" s="16" customFormat="1" x14ac:dyDescent="0.25"/>
    <row r="120" s="16" customFormat="1" x14ac:dyDescent="0.25"/>
    <row r="121" s="16" customFormat="1" x14ac:dyDescent="0.25"/>
    <row r="122" s="16" customFormat="1" x14ac:dyDescent="0.25"/>
    <row r="123" s="16" customFormat="1" x14ac:dyDescent="0.25"/>
    <row r="124" s="16" customFormat="1" x14ac:dyDescent="0.25"/>
    <row r="125" s="16" customFormat="1" x14ac:dyDescent="0.25"/>
    <row r="126" s="16" customFormat="1" x14ac:dyDescent="0.25"/>
    <row r="127" s="16" customFormat="1" x14ac:dyDescent="0.25"/>
    <row r="128" s="16" customFormat="1" x14ac:dyDescent="0.25"/>
    <row r="129" s="16" customFormat="1" x14ac:dyDescent="0.25"/>
    <row r="130" s="16" customFormat="1" x14ac:dyDescent="0.25"/>
    <row r="131" s="16" customFormat="1" x14ac:dyDescent="0.25"/>
    <row r="132" s="16" customFormat="1" x14ac:dyDescent="0.25"/>
    <row r="133" s="16" customFormat="1" x14ac:dyDescent="0.25"/>
    <row r="134" s="16" customFormat="1" x14ac:dyDescent="0.25"/>
    <row r="135" s="16" customFormat="1" x14ac:dyDescent="0.25"/>
    <row r="136" s="16" customFormat="1" x14ac:dyDescent="0.25"/>
    <row r="137" s="16" customFormat="1" x14ac:dyDescent="0.25"/>
    <row r="138" s="16" customFormat="1" x14ac:dyDescent="0.25"/>
    <row r="139" s="16" customFormat="1" x14ac:dyDescent="0.25"/>
    <row r="140" s="16" customFormat="1" x14ac:dyDescent="0.25"/>
    <row r="141" s="16" customFormat="1" x14ac:dyDescent="0.25"/>
    <row r="142" s="16" customFormat="1" x14ac:dyDescent="0.25"/>
    <row r="143" s="16" customFormat="1" x14ac:dyDescent="0.25"/>
    <row r="144" s="16" customFormat="1" x14ac:dyDescent="0.25"/>
    <row r="145" s="16" customFormat="1" x14ac:dyDescent="0.25"/>
    <row r="146" s="16" customFormat="1" x14ac:dyDescent="0.25"/>
  </sheetData>
  <mergeCells count="5">
    <mergeCell ref="A36:G36"/>
    <mergeCell ref="A40:G40"/>
    <mergeCell ref="A26:G26"/>
    <mergeCell ref="A13:G13"/>
    <mergeCell ref="A2:G2"/>
  </mergeCells>
  <pageMargins left="0.70866141732283472" right="0.2" top="0.33" bottom="0.44" header="0.31496062992125984" footer="0.31496062992125984"/>
  <pageSetup scale="75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6"/>
  <sheetViews>
    <sheetView workbookViewId="0">
      <selection activeCell="D6" sqref="D6"/>
    </sheetView>
  </sheetViews>
  <sheetFormatPr defaultRowHeight="15" x14ac:dyDescent="0.25"/>
  <cols>
    <col min="2" max="2" width="25.7109375" bestFit="1" customWidth="1"/>
    <col min="3" max="3" width="28.7109375" customWidth="1"/>
    <col min="4" max="4" width="17.85546875" customWidth="1"/>
    <col min="5" max="5" width="12.85546875" customWidth="1"/>
    <col min="6" max="6" width="24.42578125" customWidth="1"/>
    <col min="7" max="7" width="37.85546875" customWidth="1"/>
  </cols>
  <sheetData>
    <row r="1" spans="1:7" ht="40.5" customHeight="1" x14ac:dyDescent="0.25">
      <c r="A1" s="610" t="s">
        <v>1659</v>
      </c>
      <c r="B1" s="611"/>
      <c r="C1" s="611"/>
      <c r="D1" s="611"/>
      <c r="E1" s="611"/>
      <c r="F1" s="611"/>
      <c r="G1" s="612"/>
    </row>
    <row r="2" spans="1:7" ht="40.5" x14ac:dyDescent="0.25">
      <c r="A2" s="388" t="s">
        <v>149</v>
      </c>
      <c r="B2" s="388" t="s">
        <v>1006</v>
      </c>
      <c r="C2" s="388" t="s">
        <v>1007</v>
      </c>
      <c r="D2" s="388" t="s">
        <v>340</v>
      </c>
      <c r="E2" s="388" t="s">
        <v>845</v>
      </c>
      <c r="F2" s="388" t="s">
        <v>1008</v>
      </c>
      <c r="G2" s="388" t="s">
        <v>1009</v>
      </c>
    </row>
    <row r="3" spans="1:7" ht="20.25" x14ac:dyDescent="0.25">
      <c r="A3" s="13"/>
      <c r="B3" s="276"/>
      <c r="C3" s="234"/>
      <c r="D3" s="234"/>
      <c r="E3" s="389"/>
      <c r="F3" s="234"/>
      <c r="G3" s="234"/>
    </row>
    <row r="4" spans="1:7" ht="20.25" x14ac:dyDescent="0.25">
      <c r="A4" s="246"/>
      <c r="B4" s="276"/>
      <c r="C4" s="234"/>
      <c r="D4" s="234"/>
      <c r="E4" s="389"/>
      <c r="F4" s="234"/>
      <c r="G4" s="234"/>
    </row>
    <row r="5" spans="1:7" s="16" customFormat="1" ht="20.25" x14ac:dyDescent="0.25">
      <c r="A5" s="17"/>
      <c r="B5" s="1"/>
      <c r="C5" s="1"/>
      <c r="D5" s="1"/>
      <c r="E5" s="244"/>
      <c r="F5" s="1"/>
      <c r="G5" s="1"/>
    </row>
    <row r="7" spans="1:7" ht="40.5" customHeight="1" x14ac:dyDescent="0.25">
      <c r="A7" s="610" t="s">
        <v>1487</v>
      </c>
      <c r="B7" s="611"/>
      <c r="C7" s="611"/>
      <c r="D7" s="611"/>
      <c r="E7" s="611"/>
      <c r="F7" s="611"/>
      <c r="G7" s="612"/>
    </row>
    <row r="8" spans="1:7" ht="40.5" x14ac:dyDescent="0.25">
      <c r="A8" s="388" t="s">
        <v>149</v>
      </c>
      <c r="B8" s="388" t="s">
        <v>1006</v>
      </c>
      <c r="C8" s="388" t="s">
        <v>1007</v>
      </c>
      <c r="D8" s="388" t="s">
        <v>340</v>
      </c>
      <c r="E8" s="388" t="s">
        <v>845</v>
      </c>
      <c r="F8" s="388" t="s">
        <v>1008</v>
      </c>
      <c r="G8" s="388" t="s">
        <v>1009</v>
      </c>
    </row>
    <row r="9" spans="1:7" ht="56.25" x14ac:dyDescent="0.25">
      <c r="A9" s="13">
        <v>1</v>
      </c>
      <c r="B9" s="276" t="s">
        <v>1510</v>
      </c>
      <c r="C9" s="234" t="s">
        <v>1506</v>
      </c>
      <c r="D9" s="234" t="s">
        <v>1507</v>
      </c>
      <c r="E9" s="389">
        <v>45752</v>
      </c>
      <c r="F9" s="234" t="s">
        <v>1508</v>
      </c>
      <c r="G9" s="234" t="s">
        <v>1509</v>
      </c>
    </row>
    <row r="10" spans="1:7" ht="56.25" x14ac:dyDescent="0.25">
      <c r="A10" s="246">
        <v>2</v>
      </c>
      <c r="B10" s="276" t="s">
        <v>1510</v>
      </c>
      <c r="C10" s="234" t="s">
        <v>1506</v>
      </c>
      <c r="D10" s="234" t="s">
        <v>1507</v>
      </c>
      <c r="E10" s="389">
        <v>45758</v>
      </c>
      <c r="F10" s="234" t="s">
        <v>1508</v>
      </c>
      <c r="G10" s="234" t="s">
        <v>1509</v>
      </c>
    </row>
    <row r="11" spans="1:7" s="16" customFormat="1" ht="40.5" x14ac:dyDescent="0.25">
      <c r="A11" s="17">
        <v>3</v>
      </c>
      <c r="B11" s="1" t="s">
        <v>1612</v>
      </c>
      <c r="C11" s="1" t="s">
        <v>1591</v>
      </c>
      <c r="D11" s="1" t="s">
        <v>893</v>
      </c>
      <c r="E11" s="244">
        <v>45769</v>
      </c>
      <c r="F11" s="1" t="s">
        <v>1610</v>
      </c>
      <c r="G11" s="1" t="s">
        <v>1611</v>
      </c>
    </row>
    <row r="14" spans="1:7" ht="40.5" customHeight="1" x14ac:dyDescent="0.25">
      <c r="A14" s="610" t="s">
        <v>1238</v>
      </c>
      <c r="B14" s="611"/>
      <c r="C14" s="611"/>
      <c r="D14" s="611"/>
      <c r="E14" s="611"/>
      <c r="F14" s="611"/>
      <c r="G14" s="612"/>
    </row>
    <row r="15" spans="1:7" ht="40.5" x14ac:dyDescent="0.25">
      <c r="A15" s="1" t="s">
        <v>149</v>
      </c>
      <c r="B15" s="1" t="s">
        <v>1006</v>
      </c>
      <c r="C15" s="1" t="s">
        <v>1007</v>
      </c>
      <c r="D15" s="1" t="s">
        <v>340</v>
      </c>
      <c r="E15" s="1" t="s">
        <v>845</v>
      </c>
      <c r="F15" s="1" t="s">
        <v>1008</v>
      </c>
      <c r="G15" s="1" t="s">
        <v>1009</v>
      </c>
    </row>
    <row r="16" spans="1:7" ht="20.25" x14ac:dyDescent="0.25">
      <c r="A16" s="13"/>
      <c r="B16" s="32" t="s">
        <v>18</v>
      </c>
      <c r="C16" s="32" t="s">
        <v>18</v>
      </c>
      <c r="D16" s="32" t="s">
        <v>18</v>
      </c>
      <c r="E16" s="32" t="s">
        <v>18</v>
      </c>
      <c r="F16" s="32" t="s">
        <v>18</v>
      </c>
      <c r="G16" s="32" t="s">
        <v>18</v>
      </c>
    </row>
    <row r="19" spans="1:7" ht="40.5" customHeight="1" x14ac:dyDescent="0.25">
      <c r="A19" s="610" t="s">
        <v>1078</v>
      </c>
      <c r="B19" s="611"/>
      <c r="C19" s="611"/>
      <c r="D19" s="611"/>
      <c r="E19" s="611"/>
      <c r="F19" s="611"/>
      <c r="G19" s="612"/>
    </row>
    <row r="20" spans="1:7" ht="40.5" x14ac:dyDescent="0.25">
      <c r="A20" s="1" t="s">
        <v>149</v>
      </c>
      <c r="B20" s="1" t="s">
        <v>1006</v>
      </c>
      <c r="C20" s="1" t="s">
        <v>1007</v>
      </c>
      <c r="D20" s="1" t="s">
        <v>340</v>
      </c>
      <c r="E20" s="1" t="s">
        <v>845</v>
      </c>
      <c r="F20" s="1" t="s">
        <v>1008</v>
      </c>
      <c r="G20" s="1" t="s">
        <v>1009</v>
      </c>
    </row>
    <row r="21" spans="1:7" ht="40.5" x14ac:dyDescent="0.25">
      <c r="A21" s="13">
        <v>1</v>
      </c>
      <c r="B21" s="1" t="s">
        <v>185</v>
      </c>
      <c r="C21" s="1" t="s">
        <v>1200</v>
      </c>
      <c r="D21" s="1" t="s">
        <v>893</v>
      </c>
      <c r="E21" s="244">
        <v>45709</v>
      </c>
      <c r="F21" s="1" t="s">
        <v>1201</v>
      </c>
      <c r="G21" s="1" t="s">
        <v>1202</v>
      </c>
    </row>
    <row r="24" spans="1:7" ht="40.5" customHeight="1" x14ac:dyDescent="0.25">
      <c r="A24" s="610" t="s">
        <v>1047</v>
      </c>
      <c r="B24" s="611"/>
      <c r="C24" s="611"/>
      <c r="D24" s="611"/>
      <c r="E24" s="611"/>
      <c r="F24" s="611"/>
      <c r="G24" s="612"/>
    </row>
    <row r="25" spans="1:7" ht="40.5" x14ac:dyDescent="0.25">
      <c r="A25" s="1" t="s">
        <v>149</v>
      </c>
      <c r="B25" s="1" t="s">
        <v>1006</v>
      </c>
      <c r="C25" s="1" t="s">
        <v>1007</v>
      </c>
      <c r="D25" s="1" t="s">
        <v>340</v>
      </c>
      <c r="E25" s="1" t="s">
        <v>845</v>
      </c>
      <c r="F25" s="1" t="s">
        <v>1008</v>
      </c>
      <c r="G25" s="1" t="s">
        <v>1009</v>
      </c>
    </row>
    <row r="26" spans="1:7" ht="27.75" customHeight="1" x14ac:dyDescent="0.25">
      <c r="A26" s="13">
        <v>1</v>
      </c>
      <c r="B26" s="1" t="s">
        <v>177</v>
      </c>
      <c r="C26" s="1" t="s">
        <v>1010</v>
      </c>
      <c r="D26" s="1" t="s">
        <v>1011</v>
      </c>
      <c r="E26" s="244">
        <v>45664</v>
      </c>
      <c r="F26" s="1" t="s">
        <v>1012</v>
      </c>
      <c r="G26" s="1" t="s">
        <v>1013</v>
      </c>
    </row>
  </sheetData>
  <mergeCells count="5">
    <mergeCell ref="A19:G19"/>
    <mergeCell ref="A24:G24"/>
    <mergeCell ref="A14:G14"/>
    <mergeCell ref="A7:G7"/>
    <mergeCell ref="A1:G1"/>
  </mergeCells>
  <pageMargins left="0.31496062992125984" right="0.70866141732283472" top="0.74803149606299213" bottom="0.74803149606299213" header="0.31496062992125984" footer="0.31496062992125984"/>
  <pageSetup scale="8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AG55"/>
  <sheetViews>
    <sheetView topLeftCell="A4" workbookViewId="0">
      <pane ySplit="3" topLeftCell="A36" activePane="bottomLeft" state="frozen"/>
      <selection activeCell="A4" sqref="A4"/>
      <selection pane="bottomLeft" activeCell="R33" sqref="R33"/>
    </sheetView>
  </sheetViews>
  <sheetFormatPr defaultRowHeight="18.75" x14ac:dyDescent="0.3"/>
  <cols>
    <col min="1" max="1" width="7.28515625" bestFit="1" customWidth="1"/>
    <col min="2" max="2" width="16" customWidth="1"/>
    <col min="3" max="3" width="16.42578125" bestFit="1" customWidth="1"/>
    <col min="4" max="4" width="6" customWidth="1"/>
    <col min="5" max="11" width="4.42578125" bestFit="1" customWidth="1"/>
    <col min="12" max="12" width="5.28515625" customWidth="1"/>
    <col min="13" max="15" width="4.42578125" bestFit="1" customWidth="1"/>
    <col min="16" max="18" width="4.42578125" style="132" bestFit="1" customWidth="1"/>
    <col min="19" max="27" width="4.42578125" style="6" bestFit="1" customWidth="1"/>
    <col min="28" max="28" width="5" style="6" bestFit="1" customWidth="1"/>
    <col min="29" max="29" width="10.140625" style="6" customWidth="1"/>
    <col min="30" max="30" width="13.42578125" style="170" customWidth="1"/>
    <col min="31" max="31" width="4" style="6" bestFit="1" customWidth="1"/>
    <col min="32" max="32" width="7.140625" style="6" customWidth="1"/>
    <col min="33" max="33" width="5.42578125" style="6" customWidth="1"/>
    <col min="34" max="34" width="7.7109375" style="6" customWidth="1"/>
    <col min="35" max="35" width="3.5703125" style="6" bestFit="1" customWidth="1"/>
    <col min="36" max="36" width="1.85546875" style="6" bestFit="1" customWidth="1"/>
    <col min="37" max="37" width="2.7109375" style="6" bestFit="1" customWidth="1"/>
    <col min="38" max="16384" width="9.140625" style="6"/>
  </cols>
  <sheetData>
    <row r="2" spans="1:30" s="33" customFormat="1" ht="74.25" customHeight="1" x14ac:dyDescent="0.3">
      <c r="A2" s="616" t="s">
        <v>782</v>
      </c>
      <c r="B2" s="616"/>
      <c r="C2" s="616"/>
      <c r="D2" s="616"/>
      <c r="E2" s="616"/>
      <c r="F2" s="616"/>
      <c r="G2" s="616"/>
      <c r="H2" s="616"/>
      <c r="I2" s="616"/>
      <c r="J2" s="616"/>
      <c r="K2" s="616"/>
      <c r="L2" s="616"/>
      <c r="M2" s="616"/>
      <c r="N2" s="616"/>
      <c r="O2" s="616"/>
      <c r="P2" s="616"/>
      <c r="Q2" s="616"/>
      <c r="R2" s="616"/>
      <c r="S2" s="616"/>
      <c r="T2" s="616"/>
      <c r="U2" s="616"/>
      <c r="V2" s="616"/>
      <c r="W2" s="616"/>
      <c r="X2" s="616"/>
      <c r="Y2" s="616"/>
      <c r="Z2" s="616"/>
      <c r="AA2" s="616"/>
      <c r="AB2" s="616"/>
      <c r="AD2" s="168"/>
    </row>
    <row r="3" spans="1:30" s="33" customFormat="1" x14ac:dyDescent="0.3">
      <c r="A3" s="88"/>
      <c r="B3" s="444"/>
      <c r="C3" s="91"/>
      <c r="D3" s="617" t="s">
        <v>196</v>
      </c>
      <c r="E3" s="617"/>
      <c r="F3" s="617"/>
      <c r="G3" s="617" t="s">
        <v>193</v>
      </c>
      <c r="H3" s="617"/>
      <c r="I3" s="617"/>
      <c r="J3" s="617" t="s">
        <v>110</v>
      </c>
      <c r="K3" s="617"/>
      <c r="L3" s="617"/>
      <c r="M3" s="617" t="s">
        <v>111</v>
      </c>
      <c r="N3" s="617"/>
      <c r="O3" s="617"/>
      <c r="P3" s="618" t="s">
        <v>112</v>
      </c>
      <c r="Q3" s="618"/>
      <c r="R3" s="618"/>
      <c r="S3" s="619" t="s">
        <v>131</v>
      </c>
      <c r="T3" s="619"/>
      <c r="U3" s="619"/>
      <c r="V3" s="619" t="s">
        <v>114</v>
      </c>
      <c r="W3" s="619"/>
      <c r="X3" s="619"/>
      <c r="Y3" s="619" t="s">
        <v>115</v>
      </c>
      <c r="Z3" s="619"/>
      <c r="AA3" s="619"/>
      <c r="AB3" s="38"/>
      <c r="AD3" s="168"/>
    </row>
    <row r="4" spans="1:30" s="33" customFormat="1" ht="20.25" x14ac:dyDescent="0.3">
      <c r="A4" s="622" t="s">
        <v>782</v>
      </c>
      <c r="B4" s="622"/>
      <c r="C4" s="622"/>
      <c r="D4" s="622"/>
      <c r="E4" s="622"/>
      <c r="F4" s="622"/>
      <c r="G4" s="622"/>
      <c r="H4" s="622"/>
      <c r="I4" s="622"/>
      <c r="J4" s="622"/>
      <c r="K4" s="622"/>
      <c r="L4" s="622"/>
      <c r="M4" s="622"/>
      <c r="N4" s="622"/>
      <c r="O4" s="622"/>
      <c r="P4" s="622"/>
      <c r="Q4" s="622"/>
      <c r="R4" s="622"/>
      <c r="S4" s="622"/>
      <c r="T4" s="622"/>
      <c r="U4" s="622"/>
      <c r="V4" s="622"/>
      <c r="W4" s="622"/>
      <c r="X4" s="622"/>
      <c r="Y4" s="622"/>
      <c r="Z4" s="622"/>
      <c r="AA4" s="622"/>
      <c r="AB4" s="622"/>
      <c r="AD4" s="168"/>
    </row>
    <row r="5" spans="1:30" s="33" customFormat="1" x14ac:dyDescent="0.3">
      <c r="A5" s="88"/>
      <c r="B5" s="444"/>
      <c r="C5" s="91"/>
      <c r="D5" s="617" t="s">
        <v>196</v>
      </c>
      <c r="E5" s="617"/>
      <c r="F5" s="617"/>
      <c r="G5" s="617" t="s">
        <v>193</v>
      </c>
      <c r="H5" s="617"/>
      <c r="I5" s="617"/>
      <c r="J5" s="617" t="s">
        <v>110</v>
      </c>
      <c r="K5" s="617"/>
      <c r="L5" s="617"/>
      <c r="M5" s="617" t="s">
        <v>111</v>
      </c>
      <c r="N5" s="617"/>
      <c r="O5" s="617"/>
      <c r="P5" s="618" t="s">
        <v>112</v>
      </c>
      <c r="Q5" s="618"/>
      <c r="R5" s="618"/>
      <c r="S5" s="619" t="s">
        <v>131</v>
      </c>
      <c r="T5" s="619"/>
      <c r="U5" s="619"/>
      <c r="V5" s="619" t="s">
        <v>114</v>
      </c>
      <c r="W5" s="619"/>
      <c r="X5" s="619"/>
      <c r="Y5" s="619" t="s">
        <v>115</v>
      </c>
      <c r="Z5" s="619"/>
      <c r="AA5" s="619"/>
      <c r="AB5" s="38"/>
      <c r="AD5" s="168"/>
    </row>
    <row r="6" spans="1:30" s="39" customFormat="1" ht="114.75" x14ac:dyDescent="0.25">
      <c r="A6" s="235" t="s">
        <v>152</v>
      </c>
      <c r="B6" s="232" t="s">
        <v>1</v>
      </c>
      <c r="C6" s="446" t="s">
        <v>2</v>
      </c>
      <c r="D6" s="447" t="s">
        <v>197</v>
      </c>
      <c r="E6" s="447" t="s">
        <v>198</v>
      </c>
      <c r="F6" s="447" t="s">
        <v>199</v>
      </c>
      <c r="G6" s="447" t="s">
        <v>197</v>
      </c>
      <c r="H6" s="447" t="s">
        <v>198</v>
      </c>
      <c r="I6" s="447" t="s">
        <v>199</v>
      </c>
      <c r="J6" s="447" t="s">
        <v>197</v>
      </c>
      <c r="K6" s="447" t="s">
        <v>198</v>
      </c>
      <c r="L6" s="447" t="s">
        <v>199</v>
      </c>
      <c r="M6" s="447" t="s">
        <v>197</v>
      </c>
      <c r="N6" s="447" t="s">
        <v>198</v>
      </c>
      <c r="O6" s="447" t="s">
        <v>199</v>
      </c>
      <c r="P6" s="381" t="s">
        <v>197</v>
      </c>
      <c r="Q6" s="381" t="s">
        <v>198</v>
      </c>
      <c r="R6" s="381" t="s">
        <v>199</v>
      </c>
      <c r="S6" s="165" t="s">
        <v>197</v>
      </c>
      <c r="T6" s="165" t="s">
        <v>198</v>
      </c>
      <c r="U6" s="165" t="s">
        <v>199</v>
      </c>
      <c r="V6" s="165" t="s">
        <v>197</v>
      </c>
      <c r="W6" s="165" t="s">
        <v>198</v>
      </c>
      <c r="X6" s="165" t="s">
        <v>199</v>
      </c>
      <c r="Y6" s="165" t="s">
        <v>197</v>
      </c>
      <c r="Z6" s="165" t="s">
        <v>198</v>
      </c>
      <c r="AA6" s="176" t="s">
        <v>199</v>
      </c>
      <c r="AB6" s="176" t="s">
        <v>60</v>
      </c>
      <c r="AD6" s="169"/>
    </row>
    <row r="7" spans="1:30" s="33" customFormat="1" x14ac:dyDescent="0.3">
      <c r="A7" s="88">
        <v>1</v>
      </c>
      <c r="B7" s="620" t="s">
        <v>16</v>
      </c>
      <c r="C7" s="91" t="s">
        <v>17</v>
      </c>
      <c r="D7" s="445">
        <v>2</v>
      </c>
      <c r="E7" s="445" t="s">
        <v>18</v>
      </c>
      <c r="F7" s="445" t="s">
        <v>18</v>
      </c>
      <c r="G7" s="445" t="s">
        <v>18</v>
      </c>
      <c r="H7" s="445" t="s">
        <v>18</v>
      </c>
      <c r="I7" s="445">
        <v>1</v>
      </c>
      <c r="J7" s="445">
        <v>3</v>
      </c>
      <c r="K7" s="445" t="s">
        <v>18</v>
      </c>
      <c r="L7" s="445">
        <v>2</v>
      </c>
      <c r="M7" s="445" t="s">
        <v>18</v>
      </c>
      <c r="N7" s="445" t="s">
        <v>18</v>
      </c>
      <c r="O7" s="445" t="s">
        <v>18</v>
      </c>
      <c r="P7" s="441" t="s">
        <v>18</v>
      </c>
      <c r="Q7" s="441" t="s">
        <v>18</v>
      </c>
      <c r="R7" s="441" t="s">
        <v>18</v>
      </c>
      <c r="S7" s="315" t="s">
        <v>18</v>
      </c>
      <c r="T7" s="315" t="s">
        <v>18</v>
      </c>
      <c r="U7" s="315" t="s">
        <v>18</v>
      </c>
      <c r="V7" s="315" t="s">
        <v>18</v>
      </c>
      <c r="W7" s="315" t="s">
        <v>18</v>
      </c>
      <c r="X7" s="315" t="s">
        <v>18</v>
      </c>
      <c r="Y7" s="315" t="s">
        <v>18</v>
      </c>
      <c r="Z7" s="315" t="s">
        <v>18</v>
      </c>
      <c r="AA7" s="315" t="s">
        <v>18</v>
      </c>
      <c r="AB7" s="315">
        <f>SUM(D7:AA7)</f>
        <v>8</v>
      </c>
      <c r="AD7" s="168"/>
    </row>
    <row r="8" spans="1:30" s="33" customFormat="1" x14ac:dyDescent="0.3">
      <c r="A8" s="88">
        <v>2</v>
      </c>
      <c r="B8" s="620"/>
      <c r="C8" s="91" t="s">
        <v>19</v>
      </c>
      <c r="D8" s="445">
        <v>1</v>
      </c>
      <c r="E8" s="445" t="s">
        <v>18</v>
      </c>
      <c r="F8" s="445" t="s">
        <v>18</v>
      </c>
      <c r="G8" s="445" t="s">
        <v>18</v>
      </c>
      <c r="H8" s="445" t="s">
        <v>18</v>
      </c>
      <c r="I8" s="445" t="s">
        <v>18</v>
      </c>
      <c r="J8" s="445">
        <v>1</v>
      </c>
      <c r="K8" s="445" t="s">
        <v>18</v>
      </c>
      <c r="L8" s="445">
        <v>1</v>
      </c>
      <c r="M8" s="445">
        <v>1</v>
      </c>
      <c r="N8" s="445" t="s">
        <v>18</v>
      </c>
      <c r="O8" s="445">
        <v>1</v>
      </c>
      <c r="P8" s="441" t="s">
        <v>18</v>
      </c>
      <c r="Q8" s="441" t="s">
        <v>18</v>
      </c>
      <c r="R8" s="441" t="s">
        <v>18</v>
      </c>
      <c r="S8" s="315" t="s">
        <v>18</v>
      </c>
      <c r="T8" s="315" t="s">
        <v>18</v>
      </c>
      <c r="U8" s="315" t="s">
        <v>18</v>
      </c>
      <c r="V8" s="315" t="s">
        <v>18</v>
      </c>
      <c r="W8" s="315" t="s">
        <v>18</v>
      </c>
      <c r="X8" s="315" t="s">
        <v>18</v>
      </c>
      <c r="Y8" s="315" t="s">
        <v>18</v>
      </c>
      <c r="Z8" s="315" t="s">
        <v>18</v>
      </c>
      <c r="AA8" s="315" t="s">
        <v>18</v>
      </c>
      <c r="AB8" s="315">
        <f t="shared" ref="AB8:AB51" si="0">SUM(D8:AA8)</f>
        <v>5</v>
      </c>
      <c r="AD8" s="168"/>
    </row>
    <row r="9" spans="1:30" s="33" customFormat="1" x14ac:dyDescent="0.3">
      <c r="A9" s="88">
        <v>3</v>
      </c>
      <c r="B9" s="448" t="s">
        <v>20</v>
      </c>
      <c r="C9" s="91" t="s">
        <v>20</v>
      </c>
      <c r="D9" s="445" t="s">
        <v>18</v>
      </c>
      <c r="E9" s="445" t="s">
        <v>18</v>
      </c>
      <c r="F9" s="445">
        <v>3</v>
      </c>
      <c r="G9" s="445" t="s">
        <v>18</v>
      </c>
      <c r="H9" s="445" t="s">
        <v>18</v>
      </c>
      <c r="I9" s="445">
        <v>1</v>
      </c>
      <c r="J9" s="445" t="s">
        <v>18</v>
      </c>
      <c r="K9" s="445">
        <v>3</v>
      </c>
      <c r="L9" s="445" t="s">
        <v>18</v>
      </c>
      <c r="M9" s="445" t="s">
        <v>18</v>
      </c>
      <c r="N9" s="445">
        <v>2</v>
      </c>
      <c r="O9" s="445">
        <v>2</v>
      </c>
      <c r="P9" s="441" t="s">
        <v>18</v>
      </c>
      <c r="Q9" s="441" t="s">
        <v>18</v>
      </c>
      <c r="R9" s="441" t="s">
        <v>18</v>
      </c>
      <c r="S9" s="315" t="s">
        <v>18</v>
      </c>
      <c r="T9" s="315" t="s">
        <v>18</v>
      </c>
      <c r="U9" s="315" t="s">
        <v>18</v>
      </c>
      <c r="V9" s="315" t="s">
        <v>18</v>
      </c>
      <c r="W9" s="315" t="s">
        <v>18</v>
      </c>
      <c r="X9" s="315" t="s">
        <v>18</v>
      </c>
      <c r="Y9" s="315" t="s">
        <v>18</v>
      </c>
      <c r="Z9" s="315" t="s">
        <v>18</v>
      </c>
      <c r="AA9" s="315" t="s">
        <v>18</v>
      </c>
      <c r="AB9" s="315">
        <f t="shared" si="0"/>
        <v>11</v>
      </c>
      <c r="AD9" s="168"/>
    </row>
    <row r="10" spans="1:30" s="33" customFormat="1" ht="18.75" customHeight="1" x14ac:dyDescent="0.3">
      <c r="A10" s="88">
        <v>4</v>
      </c>
      <c r="B10" s="613" t="s">
        <v>21</v>
      </c>
      <c r="C10" s="91" t="s">
        <v>21</v>
      </c>
      <c r="D10" s="445">
        <v>1</v>
      </c>
      <c r="E10" s="445" t="s">
        <v>18</v>
      </c>
      <c r="F10" s="445">
        <v>2</v>
      </c>
      <c r="G10" s="445">
        <v>1</v>
      </c>
      <c r="H10" s="445" t="s">
        <v>18</v>
      </c>
      <c r="I10" s="445">
        <v>1</v>
      </c>
      <c r="J10" s="445">
        <v>1</v>
      </c>
      <c r="K10" s="445" t="s">
        <v>18</v>
      </c>
      <c r="L10" s="445">
        <v>2</v>
      </c>
      <c r="M10" s="445" t="s">
        <v>18</v>
      </c>
      <c r="N10" s="445">
        <v>1</v>
      </c>
      <c r="O10" s="445" t="s">
        <v>18</v>
      </c>
      <c r="P10" s="441" t="s">
        <v>18</v>
      </c>
      <c r="Q10" s="441" t="s">
        <v>18</v>
      </c>
      <c r="R10" s="441" t="s">
        <v>18</v>
      </c>
      <c r="S10" s="315" t="s">
        <v>18</v>
      </c>
      <c r="T10" s="315" t="s">
        <v>18</v>
      </c>
      <c r="U10" s="315" t="s">
        <v>18</v>
      </c>
      <c r="V10" s="315" t="s">
        <v>18</v>
      </c>
      <c r="W10" s="315" t="s">
        <v>18</v>
      </c>
      <c r="X10" s="315" t="s">
        <v>18</v>
      </c>
      <c r="Y10" s="315" t="s">
        <v>18</v>
      </c>
      <c r="Z10" s="315" t="s">
        <v>18</v>
      </c>
      <c r="AA10" s="315" t="s">
        <v>18</v>
      </c>
      <c r="AB10" s="315">
        <f t="shared" si="0"/>
        <v>9</v>
      </c>
      <c r="AD10" s="168"/>
    </row>
    <row r="11" spans="1:30" s="33" customFormat="1" x14ac:dyDescent="0.3">
      <c r="A11" s="88">
        <v>5</v>
      </c>
      <c r="B11" s="614"/>
      <c r="C11" s="91" t="s">
        <v>22</v>
      </c>
      <c r="D11" s="445">
        <v>2</v>
      </c>
      <c r="E11" s="445" t="s">
        <v>18</v>
      </c>
      <c r="F11" s="445">
        <v>5</v>
      </c>
      <c r="G11" s="445">
        <v>1</v>
      </c>
      <c r="H11" s="445" t="s">
        <v>18</v>
      </c>
      <c r="I11" s="445">
        <v>2</v>
      </c>
      <c r="J11" s="445">
        <v>3</v>
      </c>
      <c r="K11" s="445">
        <v>2</v>
      </c>
      <c r="L11" s="445">
        <v>4</v>
      </c>
      <c r="M11" s="445">
        <v>1</v>
      </c>
      <c r="N11" s="445">
        <v>0</v>
      </c>
      <c r="O11" s="445">
        <v>2</v>
      </c>
      <c r="P11" s="441" t="s">
        <v>18</v>
      </c>
      <c r="Q11" s="441" t="s">
        <v>18</v>
      </c>
      <c r="R11" s="441" t="s">
        <v>18</v>
      </c>
      <c r="S11" s="315" t="s">
        <v>18</v>
      </c>
      <c r="T11" s="315" t="s">
        <v>18</v>
      </c>
      <c r="U11" s="315" t="s">
        <v>18</v>
      </c>
      <c r="V11" s="315" t="s">
        <v>18</v>
      </c>
      <c r="W11" s="315" t="s">
        <v>18</v>
      </c>
      <c r="X11" s="315" t="s">
        <v>18</v>
      </c>
      <c r="Y11" s="315" t="s">
        <v>18</v>
      </c>
      <c r="Z11" s="315" t="s">
        <v>18</v>
      </c>
      <c r="AA11" s="315" t="s">
        <v>18</v>
      </c>
      <c r="AB11" s="315">
        <f t="shared" si="0"/>
        <v>22</v>
      </c>
      <c r="AD11" s="168"/>
    </row>
    <row r="12" spans="1:30" s="33" customFormat="1" x14ac:dyDescent="0.3">
      <c r="A12" s="88">
        <v>6</v>
      </c>
      <c r="B12" s="614"/>
      <c r="C12" s="91" t="s">
        <v>163</v>
      </c>
      <c r="D12" s="445">
        <v>1</v>
      </c>
      <c r="E12" s="445" t="s">
        <v>18</v>
      </c>
      <c r="F12" s="445">
        <v>1</v>
      </c>
      <c r="G12" s="445">
        <v>1</v>
      </c>
      <c r="H12" s="445" t="s">
        <v>18</v>
      </c>
      <c r="I12" s="445">
        <v>2</v>
      </c>
      <c r="J12" s="445">
        <v>1</v>
      </c>
      <c r="K12" s="445" t="s">
        <v>18</v>
      </c>
      <c r="L12" s="445">
        <v>3</v>
      </c>
      <c r="M12" s="445">
        <v>3</v>
      </c>
      <c r="N12" s="445">
        <v>2</v>
      </c>
      <c r="O12" s="445">
        <v>3</v>
      </c>
      <c r="P12" s="441" t="s">
        <v>18</v>
      </c>
      <c r="Q12" s="441" t="s">
        <v>18</v>
      </c>
      <c r="R12" s="441" t="s">
        <v>18</v>
      </c>
      <c r="S12" s="315" t="s">
        <v>18</v>
      </c>
      <c r="T12" s="315" t="s">
        <v>18</v>
      </c>
      <c r="U12" s="315" t="s">
        <v>18</v>
      </c>
      <c r="V12" s="315" t="s">
        <v>18</v>
      </c>
      <c r="W12" s="315" t="s">
        <v>18</v>
      </c>
      <c r="X12" s="315" t="s">
        <v>18</v>
      </c>
      <c r="Y12" s="315" t="s">
        <v>18</v>
      </c>
      <c r="Z12" s="315" t="s">
        <v>18</v>
      </c>
      <c r="AA12" s="315" t="s">
        <v>18</v>
      </c>
      <c r="AB12" s="315">
        <f t="shared" si="0"/>
        <v>17</v>
      </c>
      <c r="AD12" s="168"/>
    </row>
    <row r="13" spans="1:30" s="33" customFormat="1" x14ac:dyDescent="0.3">
      <c r="A13" s="88">
        <v>7</v>
      </c>
      <c r="B13" s="615"/>
      <c r="C13" s="91" t="s">
        <v>200</v>
      </c>
      <c r="D13" s="445" t="s">
        <v>18</v>
      </c>
      <c r="E13" s="445" t="s">
        <v>18</v>
      </c>
      <c r="F13" s="445">
        <v>1</v>
      </c>
      <c r="G13" s="445" t="s">
        <v>18</v>
      </c>
      <c r="H13" s="445" t="s">
        <v>18</v>
      </c>
      <c r="I13" s="445" t="s">
        <v>18</v>
      </c>
      <c r="J13" s="445" t="s">
        <v>18</v>
      </c>
      <c r="K13" s="445" t="s">
        <v>18</v>
      </c>
      <c r="L13" s="445">
        <v>1</v>
      </c>
      <c r="M13" s="445">
        <v>1</v>
      </c>
      <c r="N13" s="445">
        <v>0</v>
      </c>
      <c r="O13" s="445">
        <v>2</v>
      </c>
      <c r="P13" s="441" t="s">
        <v>18</v>
      </c>
      <c r="Q13" s="441" t="s">
        <v>18</v>
      </c>
      <c r="R13" s="441" t="s">
        <v>18</v>
      </c>
      <c r="S13" s="315" t="s">
        <v>18</v>
      </c>
      <c r="T13" s="315" t="s">
        <v>18</v>
      </c>
      <c r="U13" s="315" t="s">
        <v>18</v>
      </c>
      <c r="V13" s="315" t="s">
        <v>18</v>
      </c>
      <c r="W13" s="315" t="s">
        <v>18</v>
      </c>
      <c r="X13" s="315" t="s">
        <v>18</v>
      </c>
      <c r="Y13" s="315" t="s">
        <v>18</v>
      </c>
      <c r="Z13" s="315" t="s">
        <v>18</v>
      </c>
      <c r="AA13" s="315" t="s">
        <v>18</v>
      </c>
      <c r="AB13" s="315">
        <f t="shared" si="0"/>
        <v>5</v>
      </c>
      <c r="AD13" s="168"/>
    </row>
    <row r="14" spans="1:30" s="33" customFormat="1" x14ac:dyDescent="0.3">
      <c r="A14" s="88">
        <v>8</v>
      </c>
      <c r="B14" s="620" t="s">
        <v>23</v>
      </c>
      <c r="C14" s="91" t="s">
        <v>23</v>
      </c>
      <c r="D14" s="445" t="s">
        <v>18</v>
      </c>
      <c r="E14" s="445" t="s">
        <v>18</v>
      </c>
      <c r="F14" s="445" t="s">
        <v>18</v>
      </c>
      <c r="G14" s="445" t="s">
        <v>18</v>
      </c>
      <c r="H14" s="445" t="s">
        <v>18</v>
      </c>
      <c r="I14" s="445" t="s">
        <v>18</v>
      </c>
      <c r="J14" s="445" t="s">
        <v>18</v>
      </c>
      <c r="K14" s="445" t="s">
        <v>18</v>
      </c>
      <c r="L14" s="445" t="s">
        <v>18</v>
      </c>
      <c r="M14" s="445" t="s">
        <v>18</v>
      </c>
      <c r="N14" s="445" t="s">
        <v>18</v>
      </c>
      <c r="O14" s="445" t="s">
        <v>18</v>
      </c>
      <c r="P14" s="441" t="s">
        <v>18</v>
      </c>
      <c r="Q14" s="441" t="s">
        <v>18</v>
      </c>
      <c r="R14" s="441" t="s">
        <v>18</v>
      </c>
      <c r="S14" s="315" t="s">
        <v>18</v>
      </c>
      <c r="T14" s="315" t="s">
        <v>18</v>
      </c>
      <c r="U14" s="315" t="s">
        <v>18</v>
      </c>
      <c r="V14" s="315" t="s">
        <v>18</v>
      </c>
      <c r="W14" s="315" t="s">
        <v>18</v>
      </c>
      <c r="X14" s="315" t="s">
        <v>18</v>
      </c>
      <c r="Y14" s="315" t="s">
        <v>18</v>
      </c>
      <c r="Z14" s="315" t="s">
        <v>18</v>
      </c>
      <c r="AA14" s="315" t="s">
        <v>18</v>
      </c>
      <c r="AB14" s="315">
        <f t="shared" si="0"/>
        <v>0</v>
      </c>
      <c r="AD14" s="168"/>
    </row>
    <row r="15" spans="1:30" s="33" customFormat="1" x14ac:dyDescent="0.3">
      <c r="A15" s="88">
        <v>9</v>
      </c>
      <c r="B15" s="620"/>
      <c r="C15" s="91" t="s">
        <v>74</v>
      </c>
      <c r="D15" s="445" t="s">
        <v>18</v>
      </c>
      <c r="E15" s="445" t="s">
        <v>18</v>
      </c>
      <c r="F15" s="445" t="s">
        <v>18</v>
      </c>
      <c r="G15" s="445" t="s">
        <v>18</v>
      </c>
      <c r="H15" s="445" t="s">
        <v>18</v>
      </c>
      <c r="I15" s="445" t="s">
        <v>18</v>
      </c>
      <c r="J15" s="445" t="s">
        <v>18</v>
      </c>
      <c r="K15" s="445" t="s">
        <v>18</v>
      </c>
      <c r="L15" s="445" t="s">
        <v>18</v>
      </c>
      <c r="M15" s="445" t="s">
        <v>18</v>
      </c>
      <c r="N15" s="445" t="s">
        <v>18</v>
      </c>
      <c r="O15" s="445" t="s">
        <v>18</v>
      </c>
      <c r="P15" s="441" t="s">
        <v>18</v>
      </c>
      <c r="Q15" s="441" t="s">
        <v>18</v>
      </c>
      <c r="R15" s="441" t="s">
        <v>18</v>
      </c>
      <c r="S15" s="315" t="s">
        <v>18</v>
      </c>
      <c r="T15" s="315" t="s">
        <v>18</v>
      </c>
      <c r="U15" s="315" t="s">
        <v>18</v>
      </c>
      <c r="V15" s="315" t="s">
        <v>18</v>
      </c>
      <c r="W15" s="315" t="s">
        <v>18</v>
      </c>
      <c r="X15" s="315" t="s">
        <v>18</v>
      </c>
      <c r="Y15" s="315" t="s">
        <v>18</v>
      </c>
      <c r="Z15" s="315" t="s">
        <v>18</v>
      </c>
      <c r="AA15" s="315" t="s">
        <v>18</v>
      </c>
      <c r="AB15" s="315">
        <f t="shared" si="0"/>
        <v>0</v>
      </c>
      <c r="AD15" s="168"/>
    </row>
    <row r="16" spans="1:30" s="33" customFormat="1" x14ac:dyDescent="0.3">
      <c r="A16" s="88">
        <v>10</v>
      </c>
      <c r="B16" s="620" t="s">
        <v>25</v>
      </c>
      <c r="C16" s="91" t="s">
        <v>26</v>
      </c>
      <c r="D16" s="445">
        <v>1</v>
      </c>
      <c r="E16" s="445" t="s">
        <v>18</v>
      </c>
      <c r="F16" s="445">
        <v>4</v>
      </c>
      <c r="G16" s="445" t="s">
        <v>18</v>
      </c>
      <c r="H16" s="445" t="s">
        <v>18</v>
      </c>
      <c r="I16" s="445">
        <v>3</v>
      </c>
      <c r="J16" s="445">
        <v>5</v>
      </c>
      <c r="K16" s="445" t="s">
        <v>18</v>
      </c>
      <c r="L16" s="445">
        <v>3</v>
      </c>
      <c r="M16" s="445">
        <v>2</v>
      </c>
      <c r="N16" s="445" t="s">
        <v>18</v>
      </c>
      <c r="O16" s="445" t="s">
        <v>18</v>
      </c>
      <c r="P16" s="441" t="s">
        <v>18</v>
      </c>
      <c r="Q16" s="441" t="s">
        <v>18</v>
      </c>
      <c r="R16" s="441" t="s">
        <v>18</v>
      </c>
      <c r="S16" s="315" t="s">
        <v>18</v>
      </c>
      <c r="T16" s="315" t="s">
        <v>18</v>
      </c>
      <c r="U16" s="315" t="s">
        <v>18</v>
      </c>
      <c r="V16" s="315" t="s">
        <v>18</v>
      </c>
      <c r="W16" s="315" t="s">
        <v>18</v>
      </c>
      <c r="X16" s="315" t="s">
        <v>18</v>
      </c>
      <c r="Y16" s="315" t="s">
        <v>18</v>
      </c>
      <c r="Z16" s="315" t="s">
        <v>18</v>
      </c>
      <c r="AA16" s="315" t="s">
        <v>18</v>
      </c>
      <c r="AB16" s="315">
        <f t="shared" si="0"/>
        <v>18</v>
      </c>
      <c r="AD16" s="168"/>
    </row>
    <row r="17" spans="1:30" s="33" customFormat="1" x14ac:dyDescent="0.3">
      <c r="A17" s="88">
        <v>11</v>
      </c>
      <c r="B17" s="620"/>
      <c r="C17" s="91" t="s">
        <v>27</v>
      </c>
      <c r="D17" s="445">
        <v>5</v>
      </c>
      <c r="E17" s="445" t="s">
        <v>18</v>
      </c>
      <c r="F17" s="445">
        <v>1</v>
      </c>
      <c r="G17" s="445">
        <v>1</v>
      </c>
      <c r="H17" s="445" t="s">
        <v>18</v>
      </c>
      <c r="I17" s="445" t="s">
        <v>18</v>
      </c>
      <c r="J17" s="445" t="s">
        <v>18</v>
      </c>
      <c r="K17" s="445" t="s">
        <v>18</v>
      </c>
      <c r="L17" s="445" t="s">
        <v>18</v>
      </c>
      <c r="M17" s="445">
        <v>1</v>
      </c>
      <c r="N17" s="445" t="s">
        <v>18</v>
      </c>
      <c r="O17" s="445">
        <v>3</v>
      </c>
      <c r="P17" s="441" t="s">
        <v>18</v>
      </c>
      <c r="Q17" s="441" t="s">
        <v>18</v>
      </c>
      <c r="R17" s="441" t="s">
        <v>18</v>
      </c>
      <c r="S17" s="315" t="s">
        <v>18</v>
      </c>
      <c r="T17" s="315" t="s">
        <v>18</v>
      </c>
      <c r="U17" s="315" t="s">
        <v>18</v>
      </c>
      <c r="V17" s="315" t="s">
        <v>18</v>
      </c>
      <c r="W17" s="315" t="s">
        <v>18</v>
      </c>
      <c r="X17" s="315" t="s">
        <v>18</v>
      </c>
      <c r="Y17" s="315" t="s">
        <v>18</v>
      </c>
      <c r="Z17" s="315" t="s">
        <v>18</v>
      </c>
      <c r="AA17" s="315" t="s">
        <v>18</v>
      </c>
      <c r="AB17" s="315">
        <f t="shared" si="0"/>
        <v>11</v>
      </c>
      <c r="AD17" s="168"/>
    </row>
    <row r="18" spans="1:30" s="33" customFormat="1" x14ac:dyDescent="0.3">
      <c r="A18" s="88">
        <v>12</v>
      </c>
      <c r="B18" s="620"/>
      <c r="C18" s="91" t="s">
        <v>817</v>
      </c>
      <c r="D18" s="445" t="s">
        <v>18</v>
      </c>
      <c r="E18" s="445" t="s">
        <v>18</v>
      </c>
      <c r="F18" s="445" t="s">
        <v>18</v>
      </c>
      <c r="G18" s="445" t="s">
        <v>18</v>
      </c>
      <c r="H18" s="445" t="s">
        <v>18</v>
      </c>
      <c r="I18" s="445" t="s">
        <v>18</v>
      </c>
      <c r="J18" s="445" t="s">
        <v>18</v>
      </c>
      <c r="K18" s="445" t="s">
        <v>18</v>
      </c>
      <c r="L18" s="445" t="s">
        <v>18</v>
      </c>
      <c r="M18" s="445" t="s">
        <v>18</v>
      </c>
      <c r="N18" s="445" t="s">
        <v>18</v>
      </c>
      <c r="O18" s="445" t="s">
        <v>18</v>
      </c>
      <c r="P18" s="441" t="s">
        <v>18</v>
      </c>
      <c r="Q18" s="441" t="s">
        <v>18</v>
      </c>
      <c r="R18" s="441" t="s">
        <v>18</v>
      </c>
      <c r="S18" s="315" t="s">
        <v>18</v>
      </c>
      <c r="T18" s="315" t="s">
        <v>18</v>
      </c>
      <c r="U18" s="315" t="s">
        <v>18</v>
      </c>
      <c r="V18" s="315" t="s">
        <v>18</v>
      </c>
      <c r="W18" s="315" t="s">
        <v>18</v>
      </c>
      <c r="X18" s="315" t="s">
        <v>18</v>
      </c>
      <c r="Y18" s="315" t="s">
        <v>18</v>
      </c>
      <c r="Z18" s="315" t="s">
        <v>18</v>
      </c>
      <c r="AA18" s="315" t="s">
        <v>18</v>
      </c>
      <c r="AB18" s="315">
        <f t="shared" si="0"/>
        <v>0</v>
      </c>
      <c r="AD18" s="168"/>
    </row>
    <row r="19" spans="1:30" s="33" customFormat="1" x14ac:dyDescent="0.3">
      <c r="A19" s="88">
        <v>13</v>
      </c>
      <c r="B19" s="613" t="s">
        <v>28</v>
      </c>
      <c r="C19" s="91" t="s">
        <v>29</v>
      </c>
      <c r="D19" s="445">
        <v>5</v>
      </c>
      <c r="E19" s="445" t="s">
        <v>18</v>
      </c>
      <c r="F19" s="445">
        <v>16</v>
      </c>
      <c r="G19" s="445">
        <v>3</v>
      </c>
      <c r="H19" s="445">
        <v>1</v>
      </c>
      <c r="I19" s="445">
        <v>18</v>
      </c>
      <c r="J19" s="445">
        <v>11</v>
      </c>
      <c r="K19" s="445">
        <v>1</v>
      </c>
      <c r="L19" s="445">
        <v>4</v>
      </c>
      <c r="M19" s="445">
        <v>15</v>
      </c>
      <c r="N19" s="445" t="s">
        <v>18</v>
      </c>
      <c r="O19" s="445">
        <v>10</v>
      </c>
      <c r="P19" s="441" t="s">
        <v>18</v>
      </c>
      <c r="Q19" s="441" t="s">
        <v>18</v>
      </c>
      <c r="R19" s="441" t="s">
        <v>18</v>
      </c>
      <c r="S19" s="315" t="s">
        <v>18</v>
      </c>
      <c r="T19" s="315" t="s">
        <v>18</v>
      </c>
      <c r="U19" s="315" t="s">
        <v>18</v>
      </c>
      <c r="V19" s="315" t="s">
        <v>18</v>
      </c>
      <c r="W19" s="315" t="s">
        <v>18</v>
      </c>
      <c r="X19" s="315" t="s">
        <v>18</v>
      </c>
      <c r="Y19" s="315" t="s">
        <v>18</v>
      </c>
      <c r="Z19" s="315" t="s">
        <v>18</v>
      </c>
      <c r="AA19" s="315" t="s">
        <v>18</v>
      </c>
      <c r="AB19" s="315">
        <f t="shared" si="0"/>
        <v>84</v>
      </c>
      <c r="AD19" s="168"/>
    </row>
    <row r="20" spans="1:30" s="33" customFormat="1" x14ac:dyDescent="0.3">
      <c r="A20" s="88">
        <v>14</v>
      </c>
      <c r="B20" s="614"/>
      <c r="C20" s="91" t="s">
        <v>30</v>
      </c>
      <c r="D20" s="445">
        <v>1</v>
      </c>
      <c r="E20" s="445" t="s">
        <v>18</v>
      </c>
      <c r="F20" s="445" t="s">
        <v>18</v>
      </c>
      <c r="G20" s="445" t="s">
        <v>18</v>
      </c>
      <c r="H20" s="445" t="s">
        <v>18</v>
      </c>
      <c r="I20" s="445" t="s">
        <v>18</v>
      </c>
      <c r="J20" s="445" t="s">
        <v>18</v>
      </c>
      <c r="K20" s="445" t="s">
        <v>18</v>
      </c>
      <c r="L20" s="445" t="s">
        <v>18</v>
      </c>
      <c r="M20" s="445" t="s">
        <v>18</v>
      </c>
      <c r="N20" s="445" t="s">
        <v>18</v>
      </c>
      <c r="O20" s="445">
        <v>1</v>
      </c>
      <c r="P20" s="441" t="s">
        <v>18</v>
      </c>
      <c r="Q20" s="441" t="s">
        <v>18</v>
      </c>
      <c r="R20" s="441" t="s">
        <v>18</v>
      </c>
      <c r="S20" s="315" t="s">
        <v>18</v>
      </c>
      <c r="T20" s="315" t="s">
        <v>18</v>
      </c>
      <c r="U20" s="315" t="s">
        <v>18</v>
      </c>
      <c r="V20" s="315" t="s">
        <v>18</v>
      </c>
      <c r="W20" s="315" t="s">
        <v>18</v>
      </c>
      <c r="X20" s="315" t="s">
        <v>18</v>
      </c>
      <c r="Y20" s="315" t="s">
        <v>18</v>
      </c>
      <c r="Z20" s="315" t="s">
        <v>18</v>
      </c>
      <c r="AA20" s="315" t="s">
        <v>18</v>
      </c>
      <c r="AB20" s="315">
        <f t="shared" si="0"/>
        <v>2</v>
      </c>
      <c r="AD20" s="168"/>
    </row>
    <row r="21" spans="1:30" s="33" customFormat="1" x14ac:dyDescent="0.3">
      <c r="A21" s="88">
        <v>15</v>
      </c>
      <c r="B21" s="614"/>
      <c r="C21" s="91" t="s">
        <v>31</v>
      </c>
      <c r="D21" s="445">
        <v>3</v>
      </c>
      <c r="E21" s="445" t="s">
        <v>18</v>
      </c>
      <c r="F21" s="445">
        <v>6</v>
      </c>
      <c r="G21" s="445">
        <v>1</v>
      </c>
      <c r="H21" s="445">
        <v>1</v>
      </c>
      <c r="I21" s="445">
        <v>2</v>
      </c>
      <c r="J21" s="445">
        <v>4</v>
      </c>
      <c r="K21" s="445">
        <v>1</v>
      </c>
      <c r="L21" s="445">
        <v>2</v>
      </c>
      <c r="M21" s="445">
        <v>3</v>
      </c>
      <c r="N21" s="445" t="s">
        <v>18</v>
      </c>
      <c r="O21" s="445">
        <v>1</v>
      </c>
      <c r="P21" s="441" t="s">
        <v>18</v>
      </c>
      <c r="Q21" s="441" t="s">
        <v>18</v>
      </c>
      <c r="R21" s="441" t="s">
        <v>18</v>
      </c>
      <c r="S21" s="315" t="s">
        <v>18</v>
      </c>
      <c r="T21" s="315" t="s">
        <v>18</v>
      </c>
      <c r="U21" s="315" t="s">
        <v>18</v>
      </c>
      <c r="V21" s="315" t="s">
        <v>18</v>
      </c>
      <c r="W21" s="315" t="s">
        <v>18</v>
      </c>
      <c r="X21" s="315" t="s">
        <v>18</v>
      </c>
      <c r="Y21" s="315" t="s">
        <v>18</v>
      </c>
      <c r="Z21" s="315" t="s">
        <v>18</v>
      </c>
      <c r="AA21" s="315" t="s">
        <v>18</v>
      </c>
      <c r="AB21" s="315">
        <f t="shared" si="0"/>
        <v>24</v>
      </c>
      <c r="AD21" s="168"/>
    </row>
    <row r="22" spans="1:30" s="33" customFormat="1" x14ac:dyDescent="0.3">
      <c r="A22" s="88">
        <v>16</v>
      </c>
      <c r="B22" s="614"/>
      <c r="C22" s="91" t="s">
        <v>32</v>
      </c>
      <c r="D22" s="445">
        <v>1</v>
      </c>
      <c r="E22" s="445" t="s">
        <v>18</v>
      </c>
      <c r="F22" s="445">
        <v>2</v>
      </c>
      <c r="G22" s="445" t="s">
        <v>18</v>
      </c>
      <c r="H22" s="445">
        <v>1</v>
      </c>
      <c r="I22" s="445" t="s">
        <v>18</v>
      </c>
      <c r="J22" s="445" t="s">
        <v>18</v>
      </c>
      <c r="K22" s="445">
        <v>3</v>
      </c>
      <c r="L22" s="445">
        <v>2</v>
      </c>
      <c r="M22" s="445" t="s">
        <v>18</v>
      </c>
      <c r="N22" s="445" t="s">
        <v>18</v>
      </c>
      <c r="O22" s="445">
        <v>1</v>
      </c>
      <c r="P22" s="441" t="s">
        <v>18</v>
      </c>
      <c r="Q22" s="441" t="s">
        <v>18</v>
      </c>
      <c r="R22" s="441" t="s">
        <v>18</v>
      </c>
      <c r="S22" s="315" t="s">
        <v>18</v>
      </c>
      <c r="T22" s="315" t="s">
        <v>18</v>
      </c>
      <c r="U22" s="315" t="s">
        <v>18</v>
      </c>
      <c r="V22" s="315" t="s">
        <v>18</v>
      </c>
      <c r="W22" s="315" t="s">
        <v>18</v>
      </c>
      <c r="X22" s="315" t="s">
        <v>18</v>
      </c>
      <c r="Y22" s="315" t="s">
        <v>18</v>
      </c>
      <c r="Z22" s="315" t="s">
        <v>18</v>
      </c>
      <c r="AA22" s="315" t="s">
        <v>18</v>
      </c>
      <c r="AB22" s="315">
        <f t="shared" si="0"/>
        <v>10</v>
      </c>
      <c r="AD22" s="168"/>
    </row>
    <row r="23" spans="1:30" s="33" customFormat="1" x14ac:dyDescent="0.3">
      <c r="A23" s="88">
        <v>17</v>
      </c>
      <c r="B23" s="615"/>
      <c r="C23" s="91" t="s">
        <v>201</v>
      </c>
      <c r="D23" s="445" t="s">
        <v>18</v>
      </c>
      <c r="E23" s="445" t="s">
        <v>18</v>
      </c>
      <c r="F23" s="445">
        <v>1</v>
      </c>
      <c r="G23" s="445" t="s">
        <v>18</v>
      </c>
      <c r="H23" s="445" t="s">
        <v>18</v>
      </c>
      <c r="I23" s="445">
        <v>1</v>
      </c>
      <c r="J23" s="445" t="s">
        <v>18</v>
      </c>
      <c r="K23" s="445" t="s">
        <v>18</v>
      </c>
      <c r="L23" s="445">
        <v>1</v>
      </c>
      <c r="M23" s="445" t="s">
        <v>18</v>
      </c>
      <c r="N23" s="445" t="s">
        <v>18</v>
      </c>
      <c r="O23" s="445" t="s">
        <v>18</v>
      </c>
      <c r="P23" s="441" t="s">
        <v>18</v>
      </c>
      <c r="Q23" s="441" t="s">
        <v>18</v>
      </c>
      <c r="R23" s="441" t="s">
        <v>18</v>
      </c>
      <c r="S23" s="315" t="s">
        <v>18</v>
      </c>
      <c r="T23" s="315" t="s">
        <v>18</v>
      </c>
      <c r="U23" s="315" t="s">
        <v>18</v>
      </c>
      <c r="V23" s="315" t="s">
        <v>18</v>
      </c>
      <c r="W23" s="315" t="s">
        <v>18</v>
      </c>
      <c r="X23" s="315" t="s">
        <v>18</v>
      </c>
      <c r="Y23" s="315" t="s">
        <v>18</v>
      </c>
      <c r="Z23" s="315" t="s">
        <v>18</v>
      </c>
      <c r="AA23" s="315" t="s">
        <v>18</v>
      </c>
      <c r="AB23" s="315">
        <f t="shared" si="0"/>
        <v>3</v>
      </c>
      <c r="AD23" s="168"/>
    </row>
    <row r="24" spans="1:30" s="33" customFormat="1" x14ac:dyDescent="0.3">
      <c r="A24" s="88">
        <v>18</v>
      </c>
      <c r="B24" s="613" t="s">
        <v>33</v>
      </c>
      <c r="C24" s="91" t="s">
        <v>33</v>
      </c>
      <c r="D24" s="445">
        <v>60</v>
      </c>
      <c r="E24" s="445">
        <v>20</v>
      </c>
      <c r="F24" s="445">
        <v>130</v>
      </c>
      <c r="G24" s="445">
        <v>37</v>
      </c>
      <c r="H24" s="445" t="s">
        <v>18</v>
      </c>
      <c r="I24" s="445">
        <v>157</v>
      </c>
      <c r="J24" s="445">
        <v>29</v>
      </c>
      <c r="K24" s="445" t="s">
        <v>18</v>
      </c>
      <c r="L24" s="445">
        <v>104</v>
      </c>
      <c r="M24" s="445">
        <v>58</v>
      </c>
      <c r="N24" s="445" t="s">
        <v>18</v>
      </c>
      <c r="O24" s="445">
        <v>120</v>
      </c>
      <c r="P24" s="441" t="s">
        <v>18</v>
      </c>
      <c r="Q24" s="441" t="s">
        <v>18</v>
      </c>
      <c r="R24" s="441" t="s">
        <v>18</v>
      </c>
      <c r="S24" s="315" t="s">
        <v>18</v>
      </c>
      <c r="T24" s="315" t="s">
        <v>18</v>
      </c>
      <c r="U24" s="315" t="s">
        <v>18</v>
      </c>
      <c r="V24" s="315" t="s">
        <v>18</v>
      </c>
      <c r="W24" s="315" t="s">
        <v>18</v>
      </c>
      <c r="X24" s="315" t="s">
        <v>18</v>
      </c>
      <c r="Y24" s="315" t="s">
        <v>18</v>
      </c>
      <c r="Z24" s="315" t="s">
        <v>18</v>
      </c>
      <c r="AA24" s="315" t="s">
        <v>18</v>
      </c>
      <c r="AB24" s="315">
        <f t="shared" si="0"/>
        <v>715</v>
      </c>
      <c r="AD24" s="168"/>
    </row>
    <row r="25" spans="1:30" s="33" customFormat="1" x14ac:dyDescent="0.3">
      <c r="A25" s="88">
        <v>19</v>
      </c>
      <c r="B25" s="614"/>
      <c r="C25" s="91" t="s">
        <v>34</v>
      </c>
      <c r="D25" s="445">
        <v>4</v>
      </c>
      <c r="E25" s="445" t="s">
        <v>18</v>
      </c>
      <c r="F25" s="445">
        <v>1</v>
      </c>
      <c r="G25" s="445" t="s">
        <v>18</v>
      </c>
      <c r="H25" s="445" t="s">
        <v>18</v>
      </c>
      <c r="I25" s="445">
        <v>2</v>
      </c>
      <c r="J25" s="445" t="s">
        <v>18</v>
      </c>
      <c r="K25" s="445" t="s">
        <v>18</v>
      </c>
      <c r="L25" s="445">
        <v>1</v>
      </c>
      <c r="M25" s="445">
        <v>5</v>
      </c>
      <c r="N25" s="445" t="s">
        <v>18</v>
      </c>
      <c r="O25" s="445">
        <v>2</v>
      </c>
      <c r="P25" s="441" t="s">
        <v>18</v>
      </c>
      <c r="Q25" s="441" t="s">
        <v>18</v>
      </c>
      <c r="R25" s="441" t="s">
        <v>18</v>
      </c>
      <c r="S25" s="315" t="s">
        <v>18</v>
      </c>
      <c r="T25" s="315" t="s">
        <v>18</v>
      </c>
      <c r="U25" s="315" t="s">
        <v>18</v>
      </c>
      <c r="V25" s="315" t="s">
        <v>18</v>
      </c>
      <c r="W25" s="315" t="s">
        <v>18</v>
      </c>
      <c r="X25" s="315" t="s">
        <v>18</v>
      </c>
      <c r="Y25" s="315" t="s">
        <v>18</v>
      </c>
      <c r="Z25" s="315" t="s">
        <v>18</v>
      </c>
      <c r="AA25" s="315" t="s">
        <v>18</v>
      </c>
      <c r="AB25" s="315">
        <f t="shared" si="0"/>
        <v>15</v>
      </c>
      <c r="AD25" s="168"/>
    </row>
    <row r="26" spans="1:30" s="33" customFormat="1" x14ac:dyDescent="0.3">
      <c r="A26" s="88">
        <v>20</v>
      </c>
      <c r="B26" s="614"/>
      <c r="C26" s="91" t="s">
        <v>35</v>
      </c>
      <c r="D26" s="445" t="s">
        <v>18</v>
      </c>
      <c r="E26" s="445">
        <v>1</v>
      </c>
      <c r="F26" s="445">
        <v>1</v>
      </c>
      <c r="G26" s="445" t="s">
        <v>18</v>
      </c>
      <c r="H26" s="445" t="s">
        <v>18</v>
      </c>
      <c r="I26" s="445" t="s">
        <v>18</v>
      </c>
      <c r="J26" s="445" t="s">
        <v>18</v>
      </c>
      <c r="K26" s="445">
        <v>1</v>
      </c>
      <c r="L26" s="445">
        <v>1</v>
      </c>
      <c r="M26" s="445">
        <v>1</v>
      </c>
      <c r="N26" s="445" t="s">
        <v>18</v>
      </c>
      <c r="O26" s="445">
        <v>1</v>
      </c>
      <c r="P26" s="441" t="s">
        <v>18</v>
      </c>
      <c r="Q26" s="441" t="s">
        <v>18</v>
      </c>
      <c r="R26" s="441" t="s">
        <v>18</v>
      </c>
      <c r="S26" s="315" t="s">
        <v>18</v>
      </c>
      <c r="T26" s="315" t="s">
        <v>18</v>
      </c>
      <c r="U26" s="315" t="s">
        <v>18</v>
      </c>
      <c r="V26" s="315" t="s">
        <v>18</v>
      </c>
      <c r="W26" s="315" t="s">
        <v>18</v>
      </c>
      <c r="X26" s="315" t="s">
        <v>18</v>
      </c>
      <c r="Y26" s="315" t="s">
        <v>18</v>
      </c>
      <c r="Z26" s="315" t="s">
        <v>18</v>
      </c>
      <c r="AA26" s="315" t="s">
        <v>18</v>
      </c>
      <c r="AB26" s="315">
        <f t="shared" si="0"/>
        <v>6</v>
      </c>
      <c r="AD26" s="168"/>
    </row>
    <row r="27" spans="1:30" s="33" customFormat="1" x14ac:dyDescent="0.3">
      <c r="A27" s="88">
        <v>21</v>
      </c>
      <c r="B27" s="614"/>
      <c r="C27" s="91" t="s">
        <v>36</v>
      </c>
      <c r="D27" s="445" t="s">
        <v>18</v>
      </c>
      <c r="E27" s="445" t="s">
        <v>18</v>
      </c>
      <c r="F27" s="445">
        <v>1</v>
      </c>
      <c r="G27" s="445" t="s">
        <v>18</v>
      </c>
      <c r="H27" s="445">
        <v>1</v>
      </c>
      <c r="I27" s="445">
        <v>2</v>
      </c>
      <c r="J27" s="445" t="s">
        <v>18</v>
      </c>
      <c r="K27" s="445">
        <v>1</v>
      </c>
      <c r="L27" s="445" t="s">
        <v>18</v>
      </c>
      <c r="M27" s="445" t="s">
        <v>18</v>
      </c>
      <c r="N27" s="445" t="s">
        <v>18</v>
      </c>
      <c r="O27" s="445">
        <v>3</v>
      </c>
      <c r="P27" s="441" t="s">
        <v>18</v>
      </c>
      <c r="Q27" s="441" t="s">
        <v>18</v>
      </c>
      <c r="R27" s="441" t="s">
        <v>18</v>
      </c>
      <c r="S27" s="315" t="s">
        <v>18</v>
      </c>
      <c r="T27" s="315" t="s">
        <v>18</v>
      </c>
      <c r="U27" s="315" t="s">
        <v>18</v>
      </c>
      <c r="V27" s="315" t="s">
        <v>18</v>
      </c>
      <c r="W27" s="315" t="s">
        <v>18</v>
      </c>
      <c r="X27" s="315" t="s">
        <v>18</v>
      </c>
      <c r="Y27" s="315" t="s">
        <v>18</v>
      </c>
      <c r="Z27" s="315" t="s">
        <v>18</v>
      </c>
      <c r="AA27" s="315" t="s">
        <v>18</v>
      </c>
      <c r="AB27" s="315">
        <f t="shared" si="0"/>
        <v>8</v>
      </c>
      <c r="AD27" s="168"/>
    </row>
    <row r="28" spans="1:30" s="33" customFormat="1" x14ac:dyDescent="0.3">
      <c r="A28" s="88">
        <v>22</v>
      </c>
      <c r="B28" s="614"/>
      <c r="C28" s="91" t="s">
        <v>37</v>
      </c>
      <c r="D28" s="445">
        <v>4</v>
      </c>
      <c r="E28" s="445">
        <v>2</v>
      </c>
      <c r="F28" s="445">
        <v>2</v>
      </c>
      <c r="G28" s="445">
        <v>2</v>
      </c>
      <c r="H28" s="445">
        <v>1</v>
      </c>
      <c r="I28" s="445">
        <v>2</v>
      </c>
      <c r="J28" s="445" t="s">
        <v>18</v>
      </c>
      <c r="K28" s="445" t="s">
        <v>18</v>
      </c>
      <c r="L28" s="445">
        <v>3</v>
      </c>
      <c r="M28" s="445">
        <v>1</v>
      </c>
      <c r="N28" s="445" t="s">
        <v>18</v>
      </c>
      <c r="O28" s="445">
        <v>2</v>
      </c>
      <c r="P28" s="441" t="s">
        <v>18</v>
      </c>
      <c r="Q28" s="441" t="s">
        <v>18</v>
      </c>
      <c r="R28" s="441" t="s">
        <v>18</v>
      </c>
      <c r="S28" s="315" t="s">
        <v>18</v>
      </c>
      <c r="T28" s="315" t="s">
        <v>18</v>
      </c>
      <c r="U28" s="315" t="s">
        <v>18</v>
      </c>
      <c r="V28" s="315" t="s">
        <v>18</v>
      </c>
      <c r="W28" s="315" t="s">
        <v>18</v>
      </c>
      <c r="X28" s="315" t="s">
        <v>18</v>
      </c>
      <c r="Y28" s="315" t="s">
        <v>18</v>
      </c>
      <c r="Z28" s="315" t="s">
        <v>18</v>
      </c>
      <c r="AA28" s="315" t="s">
        <v>18</v>
      </c>
      <c r="AB28" s="315">
        <f t="shared" si="0"/>
        <v>19</v>
      </c>
      <c r="AD28" s="168"/>
    </row>
    <row r="29" spans="1:30" s="33" customFormat="1" x14ac:dyDescent="0.3">
      <c r="A29" s="88">
        <v>23</v>
      </c>
      <c r="B29" s="614"/>
      <c r="C29" s="91" t="s">
        <v>141</v>
      </c>
      <c r="D29" s="445">
        <v>13</v>
      </c>
      <c r="E29" s="445" t="s">
        <v>18</v>
      </c>
      <c r="F29" s="445">
        <v>21</v>
      </c>
      <c r="G29" s="445" t="s">
        <v>18</v>
      </c>
      <c r="H29" s="445">
        <v>13</v>
      </c>
      <c r="I29" s="445" t="s">
        <v>18</v>
      </c>
      <c r="J29" s="445">
        <v>11</v>
      </c>
      <c r="K29" s="445" t="s">
        <v>18</v>
      </c>
      <c r="L29" s="445">
        <v>14</v>
      </c>
      <c r="M29" s="445">
        <v>12</v>
      </c>
      <c r="N29" s="445" t="s">
        <v>18</v>
      </c>
      <c r="O29" s="445" t="s">
        <v>18</v>
      </c>
      <c r="P29" s="441" t="s">
        <v>18</v>
      </c>
      <c r="Q29" s="441" t="s">
        <v>18</v>
      </c>
      <c r="R29" s="441" t="s">
        <v>18</v>
      </c>
      <c r="S29" s="315" t="s">
        <v>18</v>
      </c>
      <c r="T29" s="315" t="s">
        <v>18</v>
      </c>
      <c r="U29" s="315" t="s">
        <v>18</v>
      </c>
      <c r="V29" s="315" t="s">
        <v>18</v>
      </c>
      <c r="W29" s="315" t="s">
        <v>18</v>
      </c>
      <c r="X29" s="315" t="s">
        <v>18</v>
      </c>
      <c r="Y29" s="315" t="s">
        <v>18</v>
      </c>
      <c r="Z29" s="315" t="s">
        <v>18</v>
      </c>
      <c r="AA29" s="315" t="s">
        <v>18</v>
      </c>
      <c r="AB29" s="315">
        <f t="shared" si="0"/>
        <v>84</v>
      </c>
      <c r="AD29" s="168"/>
    </row>
    <row r="30" spans="1:30" s="33" customFormat="1" x14ac:dyDescent="0.3">
      <c r="A30" s="88">
        <v>24</v>
      </c>
      <c r="B30" s="615"/>
      <c r="C30" s="91" t="s">
        <v>202</v>
      </c>
      <c r="D30" s="445"/>
      <c r="E30" s="445" t="s">
        <v>18</v>
      </c>
      <c r="F30" s="445" t="s">
        <v>18</v>
      </c>
      <c r="G30" s="445" t="s">
        <v>18</v>
      </c>
      <c r="H30" s="445" t="s">
        <v>18</v>
      </c>
      <c r="I30" s="445" t="s">
        <v>18</v>
      </c>
      <c r="J30" s="445" t="s">
        <v>18</v>
      </c>
      <c r="K30" s="445" t="s">
        <v>18</v>
      </c>
      <c r="L30" s="445" t="s">
        <v>18</v>
      </c>
      <c r="M30" s="445" t="s">
        <v>18</v>
      </c>
      <c r="N30" s="445" t="s">
        <v>18</v>
      </c>
      <c r="O30" s="445" t="s">
        <v>18</v>
      </c>
      <c r="P30" s="441" t="s">
        <v>18</v>
      </c>
      <c r="Q30" s="441" t="s">
        <v>18</v>
      </c>
      <c r="R30" s="441" t="s">
        <v>18</v>
      </c>
      <c r="S30" s="315" t="s">
        <v>18</v>
      </c>
      <c r="T30" s="315" t="s">
        <v>18</v>
      </c>
      <c r="U30" s="315" t="s">
        <v>18</v>
      </c>
      <c r="V30" s="315" t="s">
        <v>18</v>
      </c>
      <c r="W30" s="315" t="s">
        <v>18</v>
      </c>
      <c r="X30" s="315" t="s">
        <v>18</v>
      </c>
      <c r="Y30" s="315" t="s">
        <v>18</v>
      </c>
      <c r="Z30" s="315" t="s">
        <v>18</v>
      </c>
      <c r="AA30" s="315" t="s">
        <v>18</v>
      </c>
      <c r="AB30" s="315">
        <f t="shared" si="0"/>
        <v>0</v>
      </c>
      <c r="AD30" s="168"/>
    </row>
    <row r="31" spans="1:30" s="33" customFormat="1" x14ac:dyDescent="0.3">
      <c r="A31" s="88">
        <v>25</v>
      </c>
      <c r="B31" s="620" t="s">
        <v>38</v>
      </c>
      <c r="C31" s="91" t="s">
        <v>38</v>
      </c>
      <c r="D31" s="445" t="s">
        <v>18</v>
      </c>
      <c r="E31" s="445">
        <v>1</v>
      </c>
      <c r="F31" s="445">
        <v>1</v>
      </c>
      <c r="G31" s="445" t="s">
        <v>18</v>
      </c>
      <c r="H31" s="445" t="s">
        <v>18</v>
      </c>
      <c r="I31" s="445">
        <v>1</v>
      </c>
      <c r="J31" s="445">
        <v>1</v>
      </c>
      <c r="K31" s="445" t="s">
        <v>18</v>
      </c>
      <c r="L31" s="445">
        <v>1</v>
      </c>
      <c r="M31" s="445" t="s">
        <v>18</v>
      </c>
      <c r="N31" s="445" t="s">
        <v>18</v>
      </c>
      <c r="O31" s="445" t="s">
        <v>18</v>
      </c>
      <c r="P31" s="441" t="s">
        <v>18</v>
      </c>
      <c r="Q31" s="441" t="s">
        <v>18</v>
      </c>
      <c r="R31" s="441" t="s">
        <v>18</v>
      </c>
      <c r="S31" s="315" t="s">
        <v>18</v>
      </c>
      <c r="T31" s="315" t="s">
        <v>18</v>
      </c>
      <c r="U31" s="315" t="s">
        <v>18</v>
      </c>
      <c r="V31" s="315" t="s">
        <v>18</v>
      </c>
      <c r="W31" s="315" t="s">
        <v>18</v>
      </c>
      <c r="X31" s="315" t="s">
        <v>18</v>
      </c>
      <c r="Y31" s="315" t="s">
        <v>18</v>
      </c>
      <c r="Z31" s="315" t="s">
        <v>18</v>
      </c>
      <c r="AA31" s="315" t="s">
        <v>18</v>
      </c>
      <c r="AB31" s="315">
        <f t="shared" si="0"/>
        <v>5</v>
      </c>
      <c r="AD31" s="168"/>
    </row>
    <row r="32" spans="1:30" s="33" customFormat="1" x14ac:dyDescent="0.3">
      <c r="A32" s="88">
        <v>26</v>
      </c>
      <c r="B32" s="620"/>
      <c r="C32" s="91" t="s">
        <v>39</v>
      </c>
      <c r="D32" s="445" t="s">
        <v>18</v>
      </c>
      <c r="E32" s="445">
        <v>1</v>
      </c>
      <c r="F32" s="445">
        <v>1</v>
      </c>
      <c r="G32" s="445" t="s">
        <v>18</v>
      </c>
      <c r="H32" s="445" t="s">
        <v>18</v>
      </c>
      <c r="I32" s="445" t="s">
        <v>18</v>
      </c>
      <c r="J32" s="445" t="s">
        <v>18</v>
      </c>
      <c r="K32" s="445" t="s">
        <v>18</v>
      </c>
      <c r="L32" s="445" t="s">
        <v>18</v>
      </c>
      <c r="M32" s="445" t="s">
        <v>18</v>
      </c>
      <c r="N32" s="445" t="s">
        <v>18</v>
      </c>
      <c r="O32" s="445" t="s">
        <v>18</v>
      </c>
      <c r="P32" s="441" t="s">
        <v>18</v>
      </c>
      <c r="Q32" s="441" t="s">
        <v>18</v>
      </c>
      <c r="R32" s="441" t="s">
        <v>18</v>
      </c>
      <c r="S32" s="315" t="s">
        <v>18</v>
      </c>
      <c r="T32" s="315" t="s">
        <v>18</v>
      </c>
      <c r="U32" s="315" t="s">
        <v>18</v>
      </c>
      <c r="V32" s="315" t="s">
        <v>18</v>
      </c>
      <c r="W32" s="315" t="s">
        <v>18</v>
      </c>
      <c r="X32" s="315" t="s">
        <v>18</v>
      </c>
      <c r="Y32" s="315" t="s">
        <v>18</v>
      </c>
      <c r="Z32" s="315" t="s">
        <v>18</v>
      </c>
      <c r="AA32" s="315" t="s">
        <v>18</v>
      </c>
      <c r="AB32" s="315">
        <f t="shared" si="0"/>
        <v>2</v>
      </c>
      <c r="AD32" s="168"/>
    </row>
    <row r="33" spans="1:33" s="33" customFormat="1" x14ac:dyDescent="0.3">
      <c r="A33" s="88">
        <v>27</v>
      </c>
      <c r="B33" s="620" t="s">
        <v>88</v>
      </c>
      <c r="C33" s="91" t="s">
        <v>88</v>
      </c>
      <c r="D33" s="445" t="s">
        <v>18</v>
      </c>
      <c r="E33" s="445" t="s">
        <v>18</v>
      </c>
      <c r="F33" s="445" t="s">
        <v>18</v>
      </c>
      <c r="G33" s="445" t="s">
        <v>18</v>
      </c>
      <c r="H33" s="445" t="s">
        <v>18</v>
      </c>
      <c r="I33" s="445" t="s">
        <v>18</v>
      </c>
      <c r="J33" s="445" t="s">
        <v>18</v>
      </c>
      <c r="K33" s="445" t="s">
        <v>18</v>
      </c>
      <c r="L33" s="445" t="s">
        <v>18</v>
      </c>
      <c r="M33" s="445" t="s">
        <v>18</v>
      </c>
      <c r="N33" s="445" t="s">
        <v>18</v>
      </c>
      <c r="O33" s="445" t="s">
        <v>18</v>
      </c>
      <c r="P33" s="441" t="s">
        <v>18</v>
      </c>
      <c r="Q33" s="441" t="s">
        <v>18</v>
      </c>
      <c r="R33" s="441" t="s">
        <v>18</v>
      </c>
      <c r="S33" s="315" t="s">
        <v>18</v>
      </c>
      <c r="T33" s="315" t="s">
        <v>18</v>
      </c>
      <c r="U33" s="315" t="s">
        <v>18</v>
      </c>
      <c r="V33" s="315" t="s">
        <v>18</v>
      </c>
      <c r="W33" s="315" t="s">
        <v>18</v>
      </c>
      <c r="X33" s="315" t="s">
        <v>18</v>
      </c>
      <c r="Y33" s="315" t="s">
        <v>18</v>
      </c>
      <c r="Z33" s="315" t="s">
        <v>18</v>
      </c>
      <c r="AA33" s="315" t="s">
        <v>18</v>
      </c>
      <c r="AB33" s="315">
        <f t="shared" si="0"/>
        <v>0</v>
      </c>
      <c r="AD33" s="168"/>
    </row>
    <row r="34" spans="1:33" s="33" customFormat="1" x14ac:dyDescent="0.3">
      <c r="A34" s="88">
        <v>28</v>
      </c>
      <c r="B34" s="620"/>
      <c r="C34" s="91" t="s">
        <v>41</v>
      </c>
      <c r="D34" s="445" t="s">
        <v>18</v>
      </c>
      <c r="E34" s="445" t="s">
        <v>18</v>
      </c>
      <c r="F34" s="445" t="s">
        <v>18</v>
      </c>
      <c r="G34" s="445" t="s">
        <v>18</v>
      </c>
      <c r="H34" s="445" t="s">
        <v>18</v>
      </c>
      <c r="I34" s="445" t="s">
        <v>18</v>
      </c>
      <c r="J34" s="445" t="s">
        <v>18</v>
      </c>
      <c r="K34" s="445" t="s">
        <v>18</v>
      </c>
      <c r="L34" s="445" t="s">
        <v>18</v>
      </c>
      <c r="M34" s="445" t="s">
        <v>18</v>
      </c>
      <c r="N34" s="445" t="s">
        <v>18</v>
      </c>
      <c r="O34" s="445" t="s">
        <v>18</v>
      </c>
      <c r="P34" s="441" t="s">
        <v>18</v>
      </c>
      <c r="Q34" s="441" t="s">
        <v>18</v>
      </c>
      <c r="R34" s="441" t="s">
        <v>18</v>
      </c>
      <c r="S34" s="315" t="s">
        <v>18</v>
      </c>
      <c r="T34" s="315" t="s">
        <v>18</v>
      </c>
      <c r="U34" s="315" t="s">
        <v>18</v>
      </c>
      <c r="V34" s="315" t="s">
        <v>18</v>
      </c>
      <c r="W34" s="315" t="s">
        <v>18</v>
      </c>
      <c r="X34" s="315" t="s">
        <v>18</v>
      </c>
      <c r="Y34" s="315" t="s">
        <v>18</v>
      </c>
      <c r="Z34" s="315" t="s">
        <v>18</v>
      </c>
      <c r="AA34" s="315" t="s">
        <v>18</v>
      </c>
      <c r="AB34" s="315">
        <f t="shared" si="0"/>
        <v>0</v>
      </c>
      <c r="AD34" s="168"/>
    </row>
    <row r="35" spans="1:33" s="33" customFormat="1" x14ac:dyDescent="0.3">
      <c r="A35" s="88">
        <v>29</v>
      </c>
      <c r="B35" s="620"/>
      <c r="C35" s="91" t="s">
        <v>42</v>
      </c>
      <c r="D35" s="445" t="s">
        <v>18</v>
      </c>
      <c r="E35" s="445" t="s">
        <v>18</v>
      </c>
      <c r="F35" s="445" t="s">
        <v>18</v>
      </c>
      <c r="G35" s="445" t="s">
        <v>18</v>
      </c>
      <c r="H35" s="445" t="s">
        <v>18</v>
      </c>
      <c r="I35" s="445" t="s">
        <v>18</v>
      </c>
      <c r="J35" s="445" t="s">
        <v>18</v>
      </c>
      <c r="K35" s="445" t="s">
        <v>18</v>
      </c>
      <c r="L35" s="445" t="s">
        <v>18</v>
      </c>
      <c r="M35" s="445" t="s">
        <v>18</v>
      </c>
      <c r="N35" s="445" t="s">
        <v>18</v>
      </c>
      <c r="O35" s="445" t="s">
        <v>18</v>
      </c>
      <c r="P35" s="441" t="s">
        <v>18</v>
      </c>
      <c r="Q35" s="441" t="s">
        <v>18</v>
      </c>
      <c r="R35" s="441" t="s">
        <v>18</v>
      </c>
      <c r="S35" s="315" t="s">
        <v>18</v>
      </c>
      <c r="T35" s="315" t="s">
        <v>18</v>
      </c>
      <c r="U35" s="315" t="s">
        <v>18</v>
      </c>
      <c r="V35" s="315" t="s">
        <v>18</v>
      </c>
      <c r="W35" s="315" t="s">
        <v>18</v>
      </c>
      <c r="X35" s="315" t="s">
        <v>18</v>
      </c>
      <c r="Y35" s="315" t="s">
        <v>18</v>
      </c>
      <c r="Z35" s="315" t="s">
        <v>18</v>
      </c>
      <c r="AA35" s="315" t="s">
        <v>18</v>
      </c>
      <c r="AB35" s="315">
        <f t="shared" si="0"/>
        <v>0</v>
      </c>
      <c r="AD35" s="168"/>
    </row>
    <row r="36" spans="1:33" s="33" customFormat="1" x14ac:dyDescent="0.3">
      <c r="A36" s="88">
        <v>30</v>
      </c>
      <c r="B36" s="613" t="s">
        <v>43</v>
      </c>
      <c r="C36" s="91" t="s">
        <v>89</v>
      </c>
      <c r="D36" s="445" t="s">
        <v>18</v>
      </c>
      <c r="E36" s="445">
        <v>2</v>
      </c>
      <c r="F36" s="445" t="s">
        <v>18</v>
      </c>
      <c r="G36" s="445" t="s">
        <v>18</v>
      </c>
      <c r="H36" s="445">
        <v>1</v>
      </c>
      <c r="I36" s="445">
        <v>1</v>
      </c>
      <c r="J36" s="445" t="s">
        <v>18</v>
      </c>
      <c r="K36" s="445" t="s">
        <v>18</v>
      </c>
      <c r="L36" s="445" t="s">
        <v>18</v>
      </c>
      <c r="M36" s="445" t="s">
        <v>18</v>
      </c>
      <c r="N36" s="445" t="s">
        <v>18</v>
      </c>
      <c r="O36" s="445" t="s">
        <v>18</v>
      </c>
      <c r="P36" s="441" t="s">
        <v>18</v>
      </c>
      <c r="Q36" s="441" t="s">
        <v>18</v>
      </c>
      <c r="R36" s="441" t="s">
        <v>18</v>
      </c>
      <c r="S36" s="315" t="s">
        <v>18</v>
      </c>
      <c r="T36" s="315" t="s">
        <v>18</v>
      </c>
      <c r="U36" s="315" t="s">
        <v>18</v>
      </c>
      <c r="V36" s="315" t="s">
        <v>18</v>
      </c>
      <c r="W36" s="315" t="s">
        <v>18</v>
      </c>
      <c r="X36" s="315" t="s">
        <v>18</v>
      </c>
      <c r="Y36" s="315" t="s">
        <v>18</v>
      </c>
      <c r="Z36" s="315" t="s">
        <v>18</v>
      </c>
      <c r="AA36" s="315" t="s">
        <v>18</v>
      </c>
      <c r="AB36" s="315">
        <f t="shared" si="0"/>
        <v>4</v>
      </c>
      <c r="AD36" s="168"/>
    </row>
    <row r="37" spans="1:33" s="33" customFormat="1" x14ac:dyDescent="0.3">
      <c r="A37" s="88">
        <v>31</v>
      </c>
      <c r="B37" s="614"/>
      <c r="C37" s="91" t="s">
        <v>44</v>
      </c>
      <c r="D37" s="445">
        <v>2</v>
      </c>
      <c r="E37" s="445" t="s">
        <v>18</v>
      </c>
      <c r="F37" s="445">
        <v>2</v>
      </c>
      <c r="G37" s="445" t="s">
        <v>18</v>
      </c>
      <c r="H37" s="445">
        <v>1</v>
      </c>
      <c r="I37" s="445">
        <v>1</v>
      </c>
      <c r="J37" s="445" t="s">
        <v>18</v>
      </c>
      <c r="K37" s="445" t="s">
        <v>18</v>
      </c>
      <c r="L37" s="445">
        <v>2</v>
      </c>
      <c r="M37" s="445" t="s">
        <v>18</v>
      </c>
      <c r="N37" s="445" t="s">
        <v>18</v>
      </c>
      <c r="O37" s="445">
        <v>2</v>
      </c>
      <c r="P37" s="441" t="s">
        <v>18</v>
      </c>
      <c r="Q37" s="441" t="s">
        <v>18</v>
      </c>
      <c r="R37" s="441" t="s">
        <v>18</v>
      </c>
      <c r="S37" s="315" t="s">
        <v>18</v>
      </c>
      <c r="T37" s="315" t="s">
        <v>18</v>
      </c>
      <c r="U37" s="315" t="s">
        <v>18</v>
      </c>
      <c r="V37" s="315" t="s">
        <v>18</v>
      </c>
      <c r="W37" s="315" t="s">
        <v>18</v>
      </c>
      <c r="X37" s="315" t="s">
        <v>18</v>
      </c>
      <c r="Y37" s="315" t="s">
        <v>18</v>
      </c>
      <c r="Z37" s="315" t="s">
        <v>18</v>
      </c>
      <c r="AA37" s="315" t="s">
        <v>18</v>
      </c>
      <c r="AB37" s="315">
        <f t="shared" si="0"/>
        <v>10</v>
      </c>
      <c r="AD37" s="168"/>
    </row>
    <row r="38" spans="1:33" s="33" customFormat="1" x14ac:dyDescent="0.3">
      <c r="A38" s="88">
        <v>32</v>
      </c>
      <c r="B38" s="615"/>
      <c r="C38" s="91" t="s">
        <v>45</v>
      </c>
      <c r="D38" s="445">
        <v>3</v>
      </c>
      <c r="E38" s="445" t="s">
        <v>18</v>
      </c>
      <c r="F38" s="445">
        <v>6</v>
      </c>
      <c r="G38" s="445">
        <v>1</v>
      </c>
      <c r="H38" s="445" t="s">
        <v>18</v>
      </c>
      <c r="I38" s="445">
        <v>1</v>
      </c>
      <c r="J38" s="445">
        <v>1</v>
      </c>
      <c r="K38" s="445" t="s">
        <v>18</v>
      </c>
      <c r="L38" s="445">
        <v>2</v>
      </c>
      <c r="M38" s="445">
        <v>1</v>
      </c>
      <c r="N38" s="445" t="s">
        <v>18</v>
      </c>
      <c r="O38" s="445" t="s">
        <v>18</v>
      </c>
      <c r="P38" s="441" t="s">
        <v>18</v>
      </c>
      <c r="Q38" s="441" t="s">
        <v>18</v>
      </c>
      <c r="R38" s="441" t="s">
        <v>18</v>
      </c>
      <c r="S38" s="315" t="s">
        <v>18</v>
      </c>
      <c r="T38" s="315" t="s">
        <v>18</v>
      </c>
      <c r="U38" s="315" t="s">
        <v>18</v>
      </c>
      <c r="V38" s="315" t="s">
        <v>18</v>
      </c>
      <c r="W38" s="315" t="s">
        <v>18</v>
      </c>
      <c r="X38" s="315" t="s">
        <v>18</v>
      </c>
      <c r="Y38" s="315" t="s">
        <v>18</v>
      </c>
      <c r="Z38" s="315" t="s">
        <v>18</v>
      </c>
      <c r="AA38" s="315" t="s">
        <v>18</v>
      </c>
      <c r="AB38" s="315">
        <f t="shared" si="0"/>
        <v>15</v>
      </c>
      <c r="AD38" s="168"/>
    </row>
    <row r="39" spans="1:33" s="33" customFormat="1" x14ac:dyDescent="0.3">
      <c r="A39" s="88">
        <v>33</v>
      </c>
      <c r="B39" s="620" t="s">
        <v>46</v>
      </c>
      <c r="C39" s="91" t="s">
        <v>47</v>
      </c>
      <c r="D39" s="445" t="s">
        <v>18</v>
      </c>
      <c r="E39" s="445" t="s">
        <v>18</v>
      </c>
      <c r="F39" s="445" t="s">
        <v>18</v>
      </c>
      <c r="G39" s="445" t="s">
        <v>18</v>
      </c>
      <c r="H39" s="445" t="s">
        <v>18</v>
      </c>
      <c r="I39" s="445" t="s">
        <v>18</v>
      </c>
      <c r="J39" s="445" t="s">
        <v>18</v>
      </c>
      <c r="K39" s="445" t="s">
        <v>18</v>
      </c>
      <c r="L39" s="445" t="s">
        <v>18</v>
      </c>
      <c r="M39" s="445" t="s">
        <v>18</v>
      </c>
      <c r="N39" s="445" t="s">
        <v>18</v>
      </c>
      <c r="O39" s="445" t="s">
        <v>18</v>
      </c>
      <c r="P39" s="441" t="s">
        <v>18</v>
      </c>
      <c r="Q39" s="441" t="s">
        <v>18</v>
      </c>
      <c r="R39" s="441" t="s">
        <v>18</v>
      </c>
      <c r="S39" s="315" t="s">
        <v>18</v>
      </c>
      <c r="T39" s="315" t="s">
        <v>18</v>
      </c>
      <c r="U39" s="315" t="s">
        <v>18</v>
      </c>
      <c r="V39" s="315" t="s">
        <v>18</v>
      </c>
      <c r="W39" s="315" t="s">
        <v>18</v>
      </c>
      <c r="X39" s="315" t="s">
        <v>18</v>
      </c>
      <c r="Y39" s="315" t="s">
        <v>18</v>
      </c>
      <c r="Z39" s="315" t="s">
        <v>18</v>
      </c>
      <c r="AA39" s="315" t="s">
        <v>18</v>
      </c>
      <c r="AB39" s="315">
        <f t="shared" si="0"/>
        <v>0</v>
      </c>
      <c r="AD39" s="168"/>
    </row>
    <row r="40" spans="1:33" s="33" customFormat="1" x14ac:dyDescent="0.3">
      <c r="A40" s="88">
        <v>34</v>
      </c>
      <c r="B40" s="620"/>
      <c r="C40" s="91" t="s">
        <v>75</v>
      </c>
      <c r="D40" s="445" t="s">
        <v>18</v>
      </c>
      <c r="E40" s="445" t="s">
        <v>18</v>
      </c>
      <c r="F40" s="445" t="s">
        <v>18</v>
      </c>
      <c r="G40" s="445" t="s">
        <v>18</v>
      </c>
      <c r="H40" s="445" t="s">
        <v>18</v>
      </c>
      <c r="I40" s="445" t="s">
        <v>18</v>
      </c>
      <c r="J40" s="445" t="s">
        <v>18</v>
      </c>
      <c r="K40" s="445" t="s">
        <v>18</v>
      </c>
      <c r="L40" s="445" t="s">
        <v>18</v>
      </c>
      <c r="M40" s="445" t="s">
        <v>18</v>
      </c>
      <c r="N40" s="445" t="s">
        <v>18</v>
      </c>
      <c r="O40" s="445" t="s">
        <v>18</v>
      </c>
      <c r="P40" s="441" t="s">
        <v>18</v>
      </c>
      <c r="Q40" s="441" t="s">
        <v>18</v>
      </c>
      <c r="R40" s="441" t="s">
        <v>18</v>
      </c>
      <c r="S40" s="315" t="s">
        <v>18</v>
      </c>
      <c r="T40" s="315" t="s">
        <v>18</v>
      </c>
      <c r="U40" s="315" t="s">
        <v>18</v>
      </c>
      <c r="V40" s="315" t="s">
        <v>18</v>
      </c>
      <c r="W40" s="315" t="s">
        <v>18</v>
      </c>
      <c r="X40" s="315" t="s">
        <v>18</v>
      </c>
      <c r="Y40" s="315" t="s">
        <v>18</v>
      </c>
      <c r="Z40" s="315" t="s">
        <v>18</v>
      </c>
      <c r="AA40" s="315" t="s">
        <v>18</v>
      </c>
      <c r="AB40" s="315">
        <f t="shared" si="0"/>
        <v>0</v>
      </c>
      <c r="AD40" s="168"/>
    </row>
    <row r="41" spans="1:33" s="33" customFormat="1" x14ac:dyDescent="0.3">
      <c r="A41" s="88">
        <v>35</v>
      </c>
      <c r="B41" s="620" t="s">
        <v>49</v>
      </c>
      <c r="C41" s="91" t="s">
        <v>360</v>
      </c>
      <c r="D41" s="445">
        <v>2</v>
      </c>
      <c r="E41" s="445" t="s">
        <v>18</v>
      </c>
      <c r="F41" s="445">
        <v>5</v>
      </c>
      <c r="G41" s="445">
        <v>9</v>
      </c>
      <c r="H41" s="445">
        <v>2</v>
      </c>
      <c r="I41" s="445">
        <v>1</v>
      </c>
      <c r="J41" s="445">
        <v>9</v>
      </c>
      <c r="K41" s="445">
        <v>2</v>
      </c>
      <c r="L41" s="445">
        <v>1</v>
      </c>
      <c r="M41" s="445">
        <v>9</v>
      </c>
      <c r="N41" s="445">
        <v>2</v>
      </c>
      <c r="O41" s="445">
        <v>1</v>
      </c>
      <c r="P41" s="441" t="s">
        <v>18</v>
      </c>
      <c r="Q41" s="441" t="s">
        <v>18</v>
      </c>
      <c r="R41" s="441" t="s">
        <v>18</v>
      </c>
      <c r="S41" s="315" t="s">
        <v>18</v>
      </c>
      <c r="T41" s="315" t="s">
        <v>18</v>
      </c>
      <c r="U41" s="315" t="s">
        <v>18</v>
      </c>
      <c r="V41" s="315" t="s">
        <v>18</v>
      </c>
      <c r="W41" s="315" t="s">
        <v>18</v>
      </c>
      <c r="X41" s="315" t="s">
        <v>18</v>
      </c>
      <c r="Y41" s="315" t="s">
        <v>18</v>
      </c>
      <c r="Z41" s="315" t="s">
        <v>18</v>
      </c>
      <c r="AA41" s="315" t="s">
        <v>18</v>
      </c>
      <c r="AB41" s="315">
        <f t="shared" si="0"/>
        <v>43</v>
      </c>
      <c r="AD41" s="168"/>
    </row>
    <row r="42" spans="1:33" s="33" customFormat="1" x14ac:dyDescent="0.3">
      <c r="A42" s="88">
        <v>36</v>
      </c>
      <c r="B42" s="620"/>
      <c r="C42" s="91" t="s">
        <v>50</v>
      </c>
      <c r="D42" s="445">
        <v>1</v>
      </c>
      <c r="E42" s="445" t="s">
        <v>18</v>
      </c>
      <c r="F42" s="445">
        <v>1</v>
      </c>
      <c r="G42" s="445">
        <v>1</v>
      </c>
      <c r="H42" s="445" t="s">
        <v>18</v>
      </c>
      <c r="I42" s="445">
        <v>1</v>
      </c>
      <c r="J42" s="445" t="s">
        <v>18</v>
      </c>
      <c r="K42" s="445" t="s">
        <v>18</v>
      </c>
      <c r="L42" s="445">
        <v>11</v>
      </c>
      <c r="M42" s="445" t="s">
        <v>18</v>
      </c>
      <c r="N42" s="445" t="s">
        <v>18</v>
      </c>
      <c r="O42" s="445">
        <v>4</v>
      </c>
      <c r="P42" s="441" t="s">
        <v>18</v>
      </c>
      <c r="Q42" s="441" t="s">
        <v>18</v>
      </c>
      <c r="R42" s="441" t="s">
        <v>18</v>
      </c>
      <c r="S42" s="315" t="s">
        <v>18</v>
      </c>
      <c r="T42" s="315" t="s">
        <v>18</v>
      </c>
      <c r="U42" s="315" t="s">
        <v>18</v>
      </c>
      <c r="V42" s="315" t="s">
        <v>18</v>
      </c>
      <c r="W42" s="315" t="s">
        <v>18</v>
      </c>
      <c r="X42" s="315" t="s">
        <v>18</v>
      </c>
      <c r="Y42" s="315" t="s">
        <v>18</v>
      </c>
      <c r="Z42" s="315" t="s">
        <v>18</v>
      </c>
      <c r="AA42" s="315" t="s">
        <v>18</v>
      </c>
      <c r="AB42" s="315">
        <f t="shared" si="0"/>
        <v>19</v>
      </c>
      <c r="AD42" s="168"/>
    </row>
    <row r="43" spans="1:33" s="33" customFormat="1" x14ac:dyDescent="0.3">
      <c r="A43" s="88">
        <v>37</v>
      </c>
      <c r="B43" s="620"/>
      <c r="C43" s="91" t="s">
        <v>51</v>
      </c>
      <c r="D43" s="445">
        <v>2</v>
      </c>
      <c r="E43" s="445">
        <v>1</v>
      </c>
      <c r="F43" s="445">
        <v>45</v>
      </c>
      <c r="G43" s="445">
        <v>2</v>
      </c>
      <c r="H43" s="445">
        <v>2</v>
      </c>
      <c r="I43" s="445">
        <v>60</v>
      </c>
      <c r="J43" s="445" t="s">
        <v>18</v>
      </c>
      <c r="K43" s="445" t="s">
        <v>18</v>
      </c>
      <c r="L43" s="445">
        <v>48</v>
      </c>
      <c r="M43" s="445" t="s">
        <v>18</v>
      </c>
      <c r="N43" s="445" t="s">
        <v>18</v>
      </c>
      <c r="O43" s="445">
        <v>37</v>
      </c>
      <c r="P43" s="441" t="s">
        <v>18</v>
      </c>
      <c r="Q43" s="441" t="s">
        <v>18</v>
      </c>
      <c r="R43" s="441" t="s">
        <v>18</v>
      </c>
      <c r="S43" s="315" t="s">
        <v>18</v>
      </c>
      <c r="T43" s="315" t="s">
        <v>18</v>
      </c>
      <c r="U43" s="315" t="s">
        <v>18</v>
      </c>
      <c r="V43" s="315" t="s">
        <v>18</v>
      </c>
      <c r="W43" s="315" t="s">
        <v>18</v>
      </c>
      <c r="X43" s="315" t="s">
        <v>18</v>
      </c>
      <c r="Y43" s="315" t="s">
        <v>18</v>
      </c>
      <c r="Z43" s="315" t="s">
        <v>18</v>
      </c>
      <c r="AA43" s="315" t="s">
        <v>18</v>
      </c>
      <c r="AB43" s="315">
        <f t="shared" si="0"/>
        <v>197</v>
      </c>
      <c r="AD43" s="168"/>
    </row>
    <row r="44" spans="1:33" s="33" customFormat="1" x14ac:dyDescent="0.3">
      <c r="A44" s="88">
        <v>38</v>
      </c>
      <c r="B44" s="613" t="s">
        <v>52</v>
      </c>
      <c r="C44" s="91" t="s">
        <v>53</v>
      </c>
      <c r="D44" s="445" t="s">
        <v>18</v>
      </c>
      <c r="E44" s="445" t="s">
        <v>18</v>
      </c>
      <c r="F44" s="445" t="s">
        <v>18</v>
      </c>
      <c r="G44" s="445">
        <v>1</v>
      </c>
      <c r="H44" s="445" t="s">
        <v>18</v>
      </c>
      <c r="I44" s="445">
        <v>4</v>
      </c>
      <c r="J44" s="445">
        <v>1</v>
      </c>
      <c r="K44" s="445">
        <v>1</v>
      </c>
      <c r="L44" s="445">
        <v>3</v>
      </c>
      <c r="M44" s="445">
        <v>1</v>
      </c>
      <c r="N44" s="445" t="s">
        <v>18</v>
      </c>
      <c r="O44" s="445">
        <v>6</v>
      </c>
      <c r="P44" s="441" t="s">
        <v>18</v>
      </c>
      <c r="Q44" s="441" t="s">
        <v>18</v>
      </c>
      <c r="R44" s="441" t="s">
        <v>18</v>
      </c>
      <c r="S44" s="315" t="s">
        <v>18</v>
      </c>
      <c r="T44" s="315" t="s">
        <v>18</v>
      </c>
      <c r="U44" s="315" t="s">
        <v>18</v>
      </c>
      <c r="V44" s="315" t="s">
        <v>18</v>
      </c>
      <c r="W44" s="315" t="s">
        <v>18</v>
      </c>
      <c r="X44" s="315" t="s">
        <v>18</v>
      </c>
      <c r="Y44" s="315" t="s">
        <v>18</v>
      </c>
      <c r="Z44" s="315" t="s">
        <v>18</v>
      </c>
      <c r="AA44" s="315" t="s">
        <v>18</v>
      </c>
      <c r="AB44" s="315">
        <f t="shared" si="0"/>
        <v>17</v>
      </c>
      <c r="AD44" s="168"/>
      <c r="AE44" s="168"/>
      <c r="AF44" s="168"/>
    </row>
    <row r="45" spans="1:33" s="33" customFormat="1" x14ac:dyDescent="0.3">
      <c r="A45" s="88">
        <v>39</v>
      </c>
      <c r="B45" s="614"/>
      <c r="C45" s="91" t="s">
        <v>54</v>
      </c>
      <c r="D45" s="445" t="s">
        <v>18</v>
      </c>
      <c r="E45" s="445" t="s">
        <v>18</v>
      </c>
      <c r="F45" s="445" t="s">
        <v>18</v>
      </c>
      <c r="G45" s="445" t="s">
        <v>18</v>
      </c>
      <c r="H45" s="445" t="s">
        <v>18</v>
      </c>
      <c r="I45" s="445">
        <v>4</v>
      </c>
      <c r="J45" s="445" t="s">
        <v>18</v>
      </c>
      <c r="K45" s="445" t="s">
        <v>18</v>
      </c>
      <c r="L45" s="445">
        <v>5</v>
      </c>
      <c r="M45" s="445" t="s">
        <v>18</v>
      </c>
      <c r="N45" s="445" t="s">
        <v>18</v>
      </c>
      <c r="O45" s="445">
        <v>2</v>
      </c>
      <c r="P45" s="441" t="s">
        <v>18</v>
      </c>
      <c r="Q45" s="441" t="s">
        <v>18</v>
      </c>
      <c r="R45" s="441" t="s">
        <v>18</v>
      </c>
      <c r="S45" s="315" t="s">
        <v>18</v>
      </c>
      <c r="T45" s="315" t="s">
        <v>18</v>
      </c>
      <c r="U45" s="315" t="s">
        <v>18</v>
      </c>
      <c r="V45" s="315" t="s">
        <v>18</v>
      </c>
      <c r="W45" s="315" t="s">
        <v>18</v>
      </c>
      <c r="X45" s="315" t="s">
        <v>18</v>
      </c>
      <c r="Y45" s="315" t="s">
        <v>18</v>
      </c>
      <c r="Z45" s="315" t="s">
        <v>18</v>
      </c>
      <c r="AA45" s="315" t="s">
        <v>18</v>
      </c>
      <c r="AB45" s="315">
        <f t="shared" si="0"/>
        <v>11</v>
      </c>
      <c r="AD45" s="168"/>
    </row>
    <row r="46" spans="1:33" s="33" customFormat="1" x14ac:dyDescent="0.3">
      <c r="A46" s="88">
        <v>40</v>
      </c>
      <c r="B46" s="614"/>
      <c r="C46" s="91" t="s">
        <v>55</v>
      </c>
      <c r="D46" s="445" t="s">
        <v>18</v>
      </c>
      <c r="E46" s="445" t="s">
        <v>18</v>
      </c>
      <c r="F46" s="445" t="s">
        <v>18</v>
      </c>
      <c r="G46" s="445">
        <v>3</v>
      </c>
      <c r="H46" s="445" t="s">
        <v>18</v>
      </c>
      <c r="I46" s="445">
        <v>5</v>
      </c>
      <c r="J46" s="445">
        <v>4</v>
      </c>
      <c r="K46" s="445" t="s">
        <v>18</v>
      </c>
      <c r="L46" s="445">
        <v>5</v>
      </c>
      <c r="M46" s="445">
        <v>2</v>
      </c>
      <c r="N46" s="445" t="s">
        <v>18</v>
      </c>
      <c r="O46" s="445">
        <v>2</v>
      </c>
      <c r="P46" s="441" t="s">
        <v>18</v>
      </c>
      <c r="Q46" s="441" t="s">
        <v>18</v>
      </c>
      <c r="R46" s="441" t="s">
        <v>18</v>
      </c>
      <c r="S46" s="315" t="s">
        <v>18</v>
      </c>
      <c r="T46" s="315" t="s">
        <v>18</v>
      </c>
      <c r="U46" s="315" t="s">
        <v>18</v>
      </c>
      <c r="V46" s="315" t="s">
        <v>18</v>
      </c>
      <c r="W46" s="315" t="s">
        <v>18</v>
      </c>
      <c r="X46" s="315" t="s">
        <v>18</v>
      </c>
      <c r="Y46" s="315" t="s">
        <v>18</v>
      </c>
      <c r="Z46" s="315" t="s">
        <v>18</v>
      </c>
      <c r="AA46" s="315" t="s">
        <v>18</v>
      </c>
      <c r="AB46" s="315">
        <f t="shared" si="0"/>
        <v>21</v>
      </c>
      <c r="AD46" s="168"/>
    </row>
    <row r="47" spans="1:33" s="33" customFormat="1" x14ac:dyDescent="0.3">
      <c r="A47" s="88">
        <v>41</v>
      </c>
      <c r="B47" s="614"/>
      <c r="C47" s="91" t="s">
        <v>56</v>
      </c>
      <c r="D47" s="445" t="s">
        <v>18</v>
      </c>
      <c r="E47" s="445" t="s">
        <v>18</v>
      </c>
      <c r="F47" s="445" t="s">
        <v>18</v>
      </c>
      <c r="G47" s="445" t="s">
        <v>18</v>
      </c>
      <c r="H47" s="445" t="s">
        <v>18</v>
      </c>
      <c r="I47" s="445">
        <v>1</v>
      </c>
      <c r="J47" s="445" t="s">
        <v>18</v>
      </c>
      <c r="K47" s="445" t="s">
        <v>18</v>
      </c>
      <c r="L47" s="445">
        <v>3</v>
      </c>
      <c r="M47" s="445" t="s">
        <v>18</v>
      </c>
      <c r="N47" s="445" t="s">
        <v>18</v>
      </c>
      <c r="O47" s="445" t="s">
        <v>18</v>
      </c>
      <c r="P47" s="441" t="s">
        <v>18</v>
      </c>
      <c r="Q47" s="441" t="s">
        <v>18</v>
      </c>
      <c r="R47" s="441" t="s">
        <v>18</v>
      </c>
      <c r="S47" s="315" t="s">
        <v>18</v>
      </c>
      <c r="T47" s="315" t="s">
        <v>18</v>
      </c>
      <c r="U47" s="315" t="s">
        <v>18</v>
      </c>
      <c r="V47" s="315" t="s">
        <v>18</v>
      </c>
      <c r="W47" s="315" t="s">
        <v>18</v>
      </c>
      <c r="X47" s="315" t="s">
        <v>18</v>
      </c>
      <c r="Y47" s="315" t="s">
        <v>18</v>
      </c>
      <c r="Z47" s="315" t="s">
        <v>18</v>
      </c>
      <c r="AA47" s="315" t="s">
        <v>18</v>
      </c>
      <c r="AB47" s="315">
        <f t="shared" si="0"/>
        <v>4</v>
      </c>
      <c r="AD47" s="168"/>
    </row>
    <row r="48" spans="1:33" s="33" customFormat="1" x14ac:dyDescent="0.3">
      <c r="A48" s="88">
        <v>42</v>
      </c>
      <c r="B48" s="614"/>
      <c r="C48" s="91" t="s">
        <v>57</v>
      </c>
      <c r="D48" s="445" t="s">
        <v>18</v>
      </c>
      <c r="E48" s="445" t="s">
        <v>18</v>
      </c>
      <c r="F48" s="445" t="s">
        <v>18</v>
      </c>
      <c r="G48" s="445">
        <v>2</v>
      </c>
      <c r="H48" s="445" t="s">
        <v>18</v>
      </c>
      <c r="I48" s="445">
        <v>4</v>
      </c>
      <c r="J48" s="445">
        <v>1</v>
      </c>
      <c r="K48" s="445" t="s">
        <v>18</v>
      </c>
      <c r="L48" s="445">
        <v>3</v>
      </c>
      <c r="M48" s="445">
        <v>1</v>
      </c>
      <c r="N48" s="445" t="s">
        <v>18</v>
      </c>
      <c r="O48" s="445">
        <v>1</v>
      </c>
      <c r="P48" s="441" t="s">
        <v>18</v>
      </c>
      <c r="Q48" s="441" t="s">
        <v>18</v>
      </c>
      <c r="R48" s="441" t="s">
        <v>18</v>
      </c>
      <c r="S48" s="315" t="s">
        <v>18</v>
      </c>
      <c r="T48" s="315" t="s">
        <v>18</v>
      </c>
      <c r="U48" s="315" t="s">
        <v>18</v>
      </c>
      <c r="V48" s="315" t="s">
        <v>18</v>
      </c>
      <c r="W48" s="315" t="s">
        <v>18</v>
      </c>
      <c r="X48" s="315" t="s">
        <v>18</v>
      </c>
      <c r="Y48" s="315" t="s">
        <v>18</v>
      </c>
      <c r="Z48" s="315" t="s">
        <v>18</v>
      </c>
      <c r="AA48" s="315" t="s">
        <v>18</v>
      </c>
      <c r="AB48" s="315">
        <f t="shared" si="0"/>
        <v>12</v>
      </c>
      <c r="AD48" s="168"/>
      <c r="AE48" s="168"/>
      <c r="AF48" s="168"/>
      <c r="AG48" s="168"/>
    </row>
    <row r="49" spans="1:32" s="33" customFormat="1" x14ac:dyDescent="0.3">
      <c r="A49" s="88">
        <v>43</v>
      </c>
      <c r="B49" s="614"/>
      <c r="C49" s="91" t="s">
        <v>58</v>
      </c>
      <c r="D49" s="445" t="s">
        <v>18</v>
      </c>
      <c r="E49" s="445" t="s">
        <v>18</v>
      </c>
      <c r="F49" s="445" t="s">
        <v>18</v>
      </c>
      <c r="G49" s="445">
        <v>1</v>
      </c>
      <c r="H49" s="445" t="s">
        <v>18</v>
      </c>
      <c r="I49" s="445" t="s">
        <v>18</v>
      </c>
      <c r="J49" s="445">
        <v>1</v>
      </c>
      <c r="K49" s="445" t="s">
        <v>18</v>
      </c>
      <c r="L49" s="445">
        <v>3</v>
      </c>
      <c r="M49" s="445" t="s">
        <v>18</v>
      </c>
      <c r="N49" s="445" t="s">
        <v>18</v>
      </c>
      <c r="O49" s="445" t="s">
        <v>18</v>
      </c>
      <c r="P49" s="441" t="s">
        <v>18</v>
      </c>
      <c r="Q49" s="441" t="s">
        <v>18</v>
      </c>
      <c r="R49" s="441" t="s">
        <v>18</v>
      </c>
      <c r="S49" s="315" t="s">
        <v>18</v>
      </c>
      <c r="T49" s="315" t="s">
        <v>18</v>
      </c>
      <c r="U49" s="315" t="s">
        <v>18</v>
      </c>
      <c r="V49" s="315" t="s">
        <v>18</v>
      </c>
      <c r="W49" s="315" t="s">
        <v>18</v>
      </c>
      <c r="X49" s="315" t="s">
        <v>18</v>
      </c>
      <c r="Y49" s="315" t="s">
        <v>18</v>
      </c>
      <c r="Z49" s="315" t="s">
        <v>18</v>
      </c>
      <c r="AA49" s="315" t="s">
        <v>18</v>
      </c>
      <c r="AB49" s="315">
        <f t="shared" si="0"/>
        <v>5</v>
      </c>
      <c r="AD49" s="168"/>
    </row>
    <row r="50" spans="1:32" s="33" customFormat="1" x14ac:dyDescent="0.3">
      <c r="A50" s="88">
        <v>44</v>
      </c>
      <c r="B50" s="615"/>
      <c r="C50" s="91" t="s">
        <v>187</v>
      </c>
      <c r="D50" s="445" t="s">
        <v>18</v>
      </c>
      <c r="E50" s="445" t="s">
        <v>18</v>
      </c>
      <c r="F50" s="445" t="s">
        <v>18</v>
      </c>
      <c r="G50" s="445" t="s">
        <v>18</v>
      </c>
      <c r="H50" s="445" t="s">
        <v>18</v>
      </c>
      <c r="I50" s="445" t="s">
        <v>18</v>
      </c>
      <c r="J50" s="445" t="s">
        <v>18</v>
      </c>
      <c r="K50" s="445" t="s">
        <v>18</v>
      </c>
      <c r="L50" s="445" t="s">
        <v>18</v>
      </c>
      <c r="M50" s="445" t="s">
        <v>18</v>
      </c>
      <c r="N50" s="445" t="s">
        <v>18</v>
      </c>
      <c r="O50" s="445" t="s">
        <v>18</v>
      </c>
      <c r="P50" s="441" t="s">
        <v>18</v>
      </c>
      <c r="Q50" s="441" t="s">
        <v>18</v>
      </c>
      <c r="R50" s="441" t="s">
        <v>18</v>
      </c>
      <c r="S50" s="315" t="s">
        <v>18</v>
      </c>
      <c r="T50" s="315" t="s">
        <v>18</v>
      </c>
      <c r="U50" s="315" t="s">
        <v>18</v>
      </c>
      <c r="V50" s="315" t="s">
        <v>18</v>
      </c>
      <c r="W50" s="315" t="s">
        <v>18</v>
      </c>
      <c r="X50" s="315" t="s">
        <v>18</v>
      </c>
      <c r="Y50" s="315" t="s">
        <v>18</v>
      </c>
      <c r="Z50" s="315" t="s">
        <v>18</v>
      </c>
      <c r="AA50" s="315" t="s">
        <v>18</v>
      </c>
      <c r="AB50" s="315">
        <f t="shared" si="0"/>
        <v>0</v>
      </c>
      <c r="AD50" s="168"/>
    </row>
    <row r="51" spans="1:32" s="33" customFormat="1" x14ac:dyDescent="0.3">
      <c r="A51" s="88"/>
      <c r="B51" s="444"/>
      <c r="C51" s="91" t="s">
        <v>60</v>
      </c>
      <c r="D51" s="445">
        <f>SUM(D7:D50)</f>
        <v>114</v>
      </c>
      <c r="E51" s="445">
        <f t="shared" ref="E51:AA51" si="1">SUM(E7:E50)</f>
        <v>28</v>
      </c>
      <c r="F51" s="445">
        <f t="shared" si="1"/>
        <v>259</v>
      </c>
      <c r="G51" s="445">
        <f t="shared" si="1"/>
        <v>67</v>
      </c>
      <c r="H51" s="445">
        <f t="shared" si="1"/>
        <v>24</v>
      </c>
      <c r="I51" s="445">
        <f t="shared" si="1"/>
        <v>278</v>
      </c>
      <c r="J51" s="445">
        <f t="shared" si="1"/>
        <v>87</v>
      </c>
      <c r="K51" s="445">
        <f t="shared" si="1"/>
        <v>15</v>
      </c>
      <c r="L51" s="445">
        <f t="shared" si="1"/>
        <v>235</v>
      </c>
      <c r="M51" s="445">
        <f t="shared" si="1"/>
        <v>118</v>
      </c>
      <c r="N51" s="445">
        <f t="shared" si="1"/>
        <v>7</v>
      </c>
      <c r="O51" s="445">
        <f t="shared" si="1"/>
        <v>209</v>
      </c>
      <c r="P51" s="441">
        <f t="shared" si="1"/>
        <v>0</v>
      </c>
      <c r="Q51" s="441">
        <f t="shared" si="1"/>
        <v>0</v>
      </c>
      <c r="R51" s="441">
        <f t="shared" si="1"/>
        <v>0</v>
      </c>
      <c r="S51" s="315">
        <f t="shared" si="1"/>
        <v>0</v>
      </c>
      <c r="T51" s="315">
        <f t="shared" si="1"/>
        <v>0</v>
      </c>
      <c r="U51" s="315">
        <f t="shared" si="1"/>
        <v>0</v>
      </c>
      <c r="V51" s="315">
        <f t="shared" si="1"/>
        <v>0</v>
      </c>
      <c r="W51" s="315">
        <f t="shared" si="1"/>
        <v>0</v>
      </c>
      <c r="X51" s="315">
        <f t="shared" si="1"/>
        <v>0</v>
      </c>
      <c r="Y51" s="315">
        <f t="shared" si="1"/>
        <v>0</v>
      </c>
      <c r="Z51" s="315">
        <f t="shared" si="1"/>
        <v>0</v>
      </c>
      <c r="AA51" s="315">
        <f t="shared" si="1"/>
        <v>0</v>
      </c>
      <c r="AB51" s="315">
        <f t="shared" si="0"/>
        <v>1441</v>
      </c>
      <c r="AD51" s="168"/>
      <c r="AE51" s="168"/>
      <c r="AF51" s="168"/>
    </row>
    <row r="52" spans="1:32" s="33" customFormat="1" x14ac:dyDescent="0.3">
      <c r="A52" s="449"/>
      <c r="B52" s="450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621" t="s">
        <v>203</v>
      </c>
      <c r="Q52" s="621"/>
      <c r="R52" s="621"/>
      <c r="S52" s="621"/>
      <c r="T52" s="621"/>
      <c r="U52" s="621"/>
      <c r="V52" s="621"/>
      <c r="W52" s="621"/>
      <c r="X52" s="621"/>
      <c r="Y52" s="621"/>
      <c r="Z52" s="619">
        <f>D51+G51+J51+M51+P51+S51+V51+Y51</f>
        <v>386</v>
      </c>
      <c r="AA52" s="619"/>
      <c r="AB52" s="619"/>
      <c r="AD52" s="168"/>
    </row>
    <row r="53" spans="1:32" s="33" customFormat="1" x14ac:dyDescent="0.3">
      <c r="A53" s="449"/>
      <c r="B53" s="450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621" t="s">
        <v>204</v>
      </c>
      <c r="Q53" s="621"/>
      <c r="R53" s="621"/>
      <c r="S53" s="621"/>
      <c r="T53" s="621"/>
      <c r="U53" s="621"/>
      <c r="V53" s="621"/>
      <c r="W53" s="621"/>
      <c r="X53" s="621"/>
      <c r="Y53" s="621"/>
      <c r="Z53" s="619">
        <f>E51+H51+K51+N51+Q51+T51+W51+Z51</f>
        <v>74</v>
      </c>
      <c r="AA53" s="619"/>
      <c r="AB53" s="619"/>
      <c r="AD53" s="168"/>
    </row>
    <row r="54" spans="1:32" s="33" customFormat="1" x14ac:dyDescent="0.3">
      <c r="A54" s="449"/>
      <c r="B54" s="450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621" t="s">
        <v>205</v>
      </c>
      <c r="Q54" s="621"/>
      <c r="R54" s="621"/>
      <c r="S54" s="621"/>
      <c r="T54" s="621"/>
      <c r="U54" s="621"/>
      <c r="V54" s="621"/>
      <c r="W54" s="621"/>
      <c r="X54" s="621"/>
      <c r="Y54" s="621"/>
      <c r="Z54" s="619">
        <f>F51+I51+L51+O51+R51+U51+X51+AA51</f>
        <v>981</v>
      </c>
      <c r="AA54" s="619"/>
      <c r="AB54" s="619"/>
      <c r="AD54" s="168"/>
    </row>
    <row r="55" spans="1:32" s="33" customFormat="1" x14ac:dyDescent="0.3">
      <c r="A55" s="449"/>
      <c r="B55" s="450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619" t="s">
        <v>206</v>
      </c>
      <c r="Q55" s="619"/>
      <c r="R55" s="619"/>
      <c r="S55" s="619"/>
      <c r="T55" s="619"/>
      <c r="U55" s="619"/>
      <c r="V55" s="619"/>
      <c r="W55" s="619"/>
      <c r="X55" s="619"/>
      <c r="Y55" s="619"/>
      <c r="Z55" s="619">
        <f>SUM(Z52:Z54)</f>
        <v>1441</v>
      </c>
      <c r="AA55" s="619"/>
      <c r="AB55" s="619"/>
      <c r="AD55" s="168"/>
    </row>
  </sheetData>
  <mergeCells count="38">
    <mergeCell ref="A4:AB4"/>
    <mergeCell ref="D5:F5"/>
    <mergeCell ref="G5:I5"/>
    <mergeCell ref="J5:L5"/>
    <mergeCell ref="M5:O5"/>
    <mergeCell ref="P5:R5"/>
    <mergeCell ref="S5:U5"/>
    <mergeCell ref="V5:X5"/>
    <mergeCell ref="Y5:AA5"/>
    <mergeCell ref="Z52:AB52"/>
    <mergeCell ref="Z53:AB53"/>
    <mergeCell ref="Z54:AB54"/>
    <mergeCell ref="Z55:AB55"/>
    <mergeCell ref="P52:Y52"/>
    <mergeCell ref="P53:Y53"/>
    <mergeCell ref="P54:Y54"/>
    <mergeCell ref="P55:Y55"/>
    <mergeCell ref="B31:B32"/>
    <mergeCell ref="B33:B35"/>
    <mergeCell ref="B39:B40"/>
    <mergeCell ref="B41:B43"/>
    <mergeCell ref="B36:B38"/>
    <mergeCell ref="B10:B13"/>
    <mergeCell ref="B44:B50"/>
    <mergeCell ref="B24:B30"/>
    <mergeCell ref="A2:AB2"/>
    <mergeCell ref="D3:F3"/>
    <mergeCell ref="G3:I3"/>
    <mergeCell ref="J3:L3"/>
    <mergeCell ref="M3:O3"/>
    <mergeCell ref="P3:R3"/>
    <mergeCell ref="S3:U3"/>
    <mergeCell ref="V3:X3"/>
    <mergeCell ref="Y3:AA3"/>
    <mergeCell ref="B7:B8"/>
    <mergeCell ref="B14:B15"/>
    <mergeCell ref="B16:B18"/>
    <mergeCell ref="B19:B23"/>
  </mergeCells>
  <pageMargins left="0.51181102362204722" right="0.27559055118110237" top="0.23622047244094491" bottom="0.19685039370078741" header="0.23622047244094491" footer="0.31496062992125984"/>
  <pageSetup paperSize="9" scale="85" orientation="landscape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K239"/>
  <sheetViews>
    <sheetView zoomScale="130" zoomScaleNormal="130" workbookViewId="0">
      <selection activeCell="A4" sqref="A4:XFD4"/>
    </sheetView>
  </sheetViews>
  <sheetFormatPr defaultRowHeight="18.75" x14ac:dyDescent="0.3"/>
  <cols>
    <col min="1" max="1" width="4.28515625" style="262" customWidth="1"/>
    <col min="2" max="2" width="17.5703125" style="265" customWidth="1"/>
    <col min="3" max="3" width="19.28515625" style="262" customWidth="1"/>
    <col min="4" max="4" width="11.7109375" style="262" customWidth="1"/>
    <col min="5" max="5" width="12.85546875" style="262" customWidth="1"/>
    <col min="6" max="6" width="17.28515625" style="262" customWidth="1"/>
    <col min="7" max="7" width="18" style="262" customWidth="1"/>
    <col min="8" max="8" width="15.85546875" style="262" customWidth="1"/>
    <col min="9" max="9" width="23.5703125" style="262" customWidth="1"/>
    <col min="10" max="10" width="20.85546875" style="262" customWidth="1"/>
    <col min="11" max="11" width="10.28515625" style="262" customWidth="1"/>
    <col min="12" max="12" width="0" style="262" hidden="1" customWidth="1"/>
    <col min="13" max="16384" width="9.140625" style="262"/>
  </cols>
  <sheetData>
    <row r="2" spans="1:11" x14ac:dyDescent="0.3">
      <c r="A2" s="502" t="s">
        <v>1660</v>
      </c>
      <c r="B2" s="502"/>
      <c r="C2" s="502"/>
      <c r="D2" s="502"/>
      <c r="E2" s="502"/>
      <c r="F2" s="502"/>
      <c r="G2" s="502"/>
      <c r="H2" s="502"/>
      <c r="I2" s="502"/>
      <c r="J2" s="502"/>
      <c r="K2" s="502"/>
    </row>
    <row r="3" spans="1:11" ht="56.25" x14ac:dyDescent="0.3">
      <c r="A3" s="126" t="s">
        <v>211</v>
      </c>
      <c r="B3" s="153" t="s">
        <v>1</v>
      </c>
      <c r="C3" s="153" t="s">
        <v>182</v>
      </c>
      <c r="D3" s="126" t="s">
        <v>208</v>
      </c>
      <c r="E3" s="126" t="s">
        <v>209</v>
      </c>
      <c r="F3" s="126" t="s">
        <v>210</v>
      </c>
      <c r="G3" s="126" t="s">
        <v>212</v>
      </c>
      <c r="H3" s="126" t="s">
        <v>213</v>
      </c>
      <c r="I3" s="126" t="s">
        <v>214</v>
      </c>
      <c r="J3" s="126" t="s">
        <v>215</v>
      </c>
      <c r="K3" s="126" t="s">
        <v>216</v>
      </c>
    </row>
    <row r="4" spans="1:11" s="435" customFormat="1" x14ac:dyDescent="0.3">
      <c r="A4" s="233">
        <v>1</v>
      </c>
      <c r="B4" s="479" t="s">
        <v>16</v>
      </c>
      <c r="C4" s="234" t="s">
        <v>17</v>
      </c>
      <c r="D4" s="233">
        <v>6</v>
      </c>
      <c r="E4" s="233" t="s">
        <v>18</v>
      </c>
      <c r="F4" s="233" t="s">
        <v>18</v>
      </c>
      <c r="G4" s="233">
        <v>33</v>
      </c>
      <c r="H4" s="233" t="s">
        <v>18</v>
      </c>
      <c r="I4" s="233" t="s">
        <v>18</v>
      </c>
      <c r="J4" s="233" t="s">
        <v>18</v>
      </c>
      <c r="K4" s="233" t="s">
        <v>18</v>
      </c>
    </row>
    <row r="5" spans="1:11" s="435" customFormat="1" x14ac:dyDescent="0.3">
      <c r="A5" s="233">
        <v>2</v>
      </c>
      <c r="B5" s="479"/>
      <c r="C5" s="234" t="s">
        <v>19</v>
      </c>
      <c r="D5" s="233">
        <v>2</v>
      </c>
      <c r="E5" s="233" t="s">
        <v>18</v>
      </c>
      <c r="F5" s="233" t="s">
        <v>18</v>
      </c>
      <c r="G5" s="233">
        <v>5</v>
      </c>
      <c r="H5" s="233" t="s">
        <v>18</v>
      </c>
      <c r="I5" s="233" t="s">
        <v>18</v>
      </c>
      <c r="J5" s="233" t="s">
        <v>18</v>
      </c>
      <c r="K5" s="233" t="s">
        <v>18</v>
      </c>
    </row>
    <row r="6" spans="1:11" s="435" customFormat="1" x14ac:dyDescent="0.3">
      <c r="A6" s="233">
        <v>3</v>
      </c>
      <c r="B6" s="234" t="s">
        <v>20</v>
      </c>
      <c r="C6" s="234" t="s">
        <v>20</v>
      </c>
      <c r="D6" s="233">
        <v>7</v>
      </c>
      <c r="E6" s="233">
        <v>1</v>
      </c>
      <c r="F6" s="233" t="s">
        <v>18</v>
      </c>
      <c r="G6" s="233">
        <v>8</v>
      </c>
      <c r="H6" s="233" t="s">
        <v>18</v>
      </c>
      <c r="I6" s="233" t="s">
        <v>18</v>
      </c>
      <c r="J6" s="233" t="s">
        <v>18</v>
      </c>
      <c r="K6" s="233" t="s">
        <v>18</v>
      </c>
    </row>
    <row r="7" spans="1:11" s="435" customFormat="1" x14ac:dyDescent="0.3">
      <c r="A7" s="233">
        <v>4</v>
      </c>
      <c r="B7" s="479" t="s">
        <v>21</v>
      </c>
      <c r="C7" s="234" t="s">
        <v>21</v>
      </c>
      <c r="D7" s="233">
        <v>3</v>
      </c>
      <c r="E7" s="233" t="s">
        <v>18</v>
      </c>
      <c r="F7" s="233">
        <v>15</v>
      </c>
      <c r="G7" s="233">
        <v>16</v>
      </c>
      <c r="H7" s="233" t="s">
        <v>18</v>
      </c>
      <c r="I7" s="233" t="s">
        <v>18</v>
      </c>
      <c r="J7" s="233" t="s">
        <v>18</v>
      </c>
      <c r="K7" s="233" t="s">
        <v>18</v>
      </c>
    </row>
    <row r="8" spans="1:11" s="435" customFormat="1" x14ac:dyDescent="0.3">
      <c r="A8" s="233">
        <v>5</v>
      </c>
      <c r="B8" s="479"/>
      <c r="C8" s="234" t="s">
        <v>22</v>
      </c>
      <c r="D8" s="233">
        <v>2</v>
      </c>
      <c r="E8" s="233" t="s">
        <v>18</v>
      </c>
      <c r="F8" s="233" t="s">
        <v>18</v>
      </c>
      <c r="G8" s="233">
        <v>40</v>
      </c>
      <c r="H8" s="233" t="s">
        <v>18</v>
      </c>
      <c r="I8" s="233" t="s">
        <v>18</v>
      </c>
      <c r="J8" s="233" t="s">
        <v>18</v>
      </c>
      <c r="K8" s="233" t="s">
        <v>18</v>
      </c>
    </row>
    <row r="9" spans="1:11" s="435" customFormat="1" x14ac:dyDescent="0.3">
      <c r="A9" s="233">
        <v>5</v>
      </c>
      <c r="B9" s="479"/>
      <c r="C9" s="234" t="s">
        <v>163</v>
      </c>
      <c r="D9" s="233" t="s">
        <v>18</v>
      </c>
      <c r="E9" s="233">
        <v>4</v>
      </c>
      <c r="F9" s="233">
        <v>4</v>
      </c>
      <c r="G9" s="233">
        <v>11</v>
      </c>
      <c r="H9" s="233" t="s">
        <v>18</v>
      </c>
      <c r="I9" s="233" t="s">
        <v>18</v>
      </c>
      <c r="J9" s="233" t="s">
        <v>18</v>
      </c>
      <c r="K9" s="233" t="s">
        <v>18</v>
      </c>
    </row>
    <row r="10" spans="1:11" s="435" customFormat="1" x14ac:dyDescent="0.3">
      <c r="A10" s="233">
        <v>6</v>
      </c>
      <c r="B10" s="479" t="s">
        <v>23</v>
      </c>
      <c r="C10" s="234" t="s">
        <v>23</v>
      </c>
      <c r="D10" s="233">
        <v>2</v>
      </c>
      <c r="E10" s="233">
        <v>7</v>
      </c>
      <c r="F10" s="233">
        <v>7</v>
      </c>
      <c r="G10" s="233">
        <v>2</v>
      </c>
      <c r="H10" s="233" t="s">
        <v>18</v>
      </c>
      <c r="I10" s="233" t="s">
        <v>18</v>
      </c>
      <c r="J10" s="233" t="s">
        <v>18</v>
      </c>
      <c r="K10" s="233" t="s">
        <v>18</v>
      </c>
    </row>
    <row r="11" spans="1:11" s="435" customFormat="1" x14ac:dyDescent="0.3">
      <c r="A11" s="233"/>
      <c r="B11" s="479"/>
      <c r="C11" s="234" t="s">
        <v>821</v>
      </c>
      <c r="D11" s="233">
        <v>1</v>
      </c>
      <c r="E11" s="233" t="s">
        <v>18</v>
      </c>
      <c r="F11" s="233" t="s">
        <v>18</v>
      </c>
      <c r="G11" s="233">
        <v>4</v>
      </c>
      <c r="H11" s="233"/>
      <c r="I11" s="233"/>
      <c r="J11" s="233"/>
      <c r="K11" s="233"/>
    </row>
    <row r="12" spans="1:11" s="435" customFormat="1" ht="37.5" x14ac:dyDescent="0.3">
      <c r="A12" s="233">
        <v>7</v>
      </c>
      <c r="B12" s="479"/>
      <c r="C12" s="234" t="s">
        <v>320</v>
      </c>
      <c r="D12" s="233">
        <v>1</v>
      </c>
      <c r="E12" s="233" t="s">
        <v>18</v>
      </c>
      <c r="F12" s="233" t="s">
        <v>18</v>
      </c>
      <c r="G12" s="233">
        <v>9</v>
      </c>
      <c r="H12" s="233" t="s">
        <v>18</v>
      </c>
      <c r="I12" s="233" t="s">
        <v>18</v>
      </c>
      <c r="J12" s="233" t="s">
        <v>18</v>
      </c>
      <c r="K12" s="233" t="s">
        <v>18</v>
      </c>
    </row>
    <row r="13" spans="1:11" s="435" customFormat="1" x14ac:dyDescent="0.3">
      <c r="A13" s="233">
        <v>8</v>
      </c>
      <c r="B13" s="479" t="s">
        <v>25</v>
      </c>
      <c r="C13" s="234" t="s">
        <v>26</v>
      </c>
      <c r="D13" s="233">
        <v>7</v>
      </c>
      <c r="E13" s="233" t="s">
        <v>18</v>
      </c>
      <c r="F13" s="233" t="s">
        <v>18</v>
      </c>
      <c r="G13" s="233">
        <v>3</v>
      </c>
      <c r="H13" s="233" t="s">
        <v>18</v>
      </c>
      <c r="I13" s="233" t="s">
        <v>18</v>
      </c>
      <c r="J13" s="233" t="s">
        <v>18</v>
      </c>
      <c r="K13" s="233" t="s">
        <v>18</v>
      </c>
    </row>
    <row r="14" spans="1:11" s="435" customFormat="1" x14ac:dyDescent="0.3">
      <c r="A14" s="233"/>
      <c r="B14" s="479"/>
      <c r="C14" s="234" t="s">
        <v>27</v>
      </c>
      <c r="D14" s="233">
        <v>5</v>
      </c>
      <c r="E14" s="233">
        <v>5</v>
      </c>
      <c r="F14" s="233" t="s">
        <v>18</v>
      </c>
      <c r="G14" s="233">
        <v>4</v>
      </c>
      <c r="H14" s="233" t="s">
        <v>18</v>
      </c>
      <c r="I14" s="233" t="s">
        <v>18</v>
      </c>
      <c r="J14" s="233" t="s">
        <v>18</v>
      </c>
      <c r="K14" s="233" t="s">
        <v>18</v>
      </c>
    </row>
    <row r="15" spans="1:11" s="435" customFormat="1" x14ac:dyDescent="0.3">
      <c r="A15" s="233">
        <v>9</v>
      </c>
      <c r="B15" s="479"/>
      <c r="C15" s="234" t="s">
        <v>342</v>
      </c>
      <c r="D15" s="233">
        <v>1</v>
      </c>
      <c r="E15" s="233" t="s">
        <v>18</v>
      </c>
      <c r="F15" s="233" t="s">
        <v>18</v>
      </c>
      <c r="G15" s="233">
        <v>3</v>
      </c>
      <c r="H15" s="233" t="s">
        <v>18</v>
      </c>
      <c r="I15" s="233" t="s">
        <v>18</v>
      </c>
      <c r="J15" s="233" t="s">
        <v>18</v>
      </c>
      <c r="K15" s="233" t="s">
        <v>18</v>
      </c>
    </row>
    <row r="16" spans="1:11" s="435" customFormat="1" x14ac:dyDescent="0.3">
      <c r="A16" s="233">
        <v>10</v>
      </c>
      <c r="B16" s="623" t="s">
        <v>28</v>
      </c>
      <c r="C16" s="234" t="s">
        <v>29</v>
      </c>
      <c r="D16" s="233">
        <v>25</v>
      </c>
      <c r="E16" s="233">
        <v>22</v>
      </c>
      <c r="F16" s="233">
        <v>4</v>
      </c>
      <c r="G16" s="233" t="s">
        <v>18</v>
      </c>
      <c r="H16" s="233" t="s">
        <v>18</v>
      </c>
      <c r="I16" s="233" t="s">
        <v>18</v>
      </c>
      <c r="J16" s="233" t="s">
        <v>18</v>
      </c>
      <c r="K16" s="233" t="s">
        <v>18</v>
      </c>
    </row>
    <row r="17" spans="1:11" s="435" customFormat="1" x14ac:dyDescent="0.3">
      <c r="A17" s="233">
        <v>11</v>
      </c>
      <c r="B17" s="624"/>
      <c r="C17" s="234" t="s">
        <v>30</v>
      </c>
      <c r="D17" s="233">
        <v>2</v>
      </c>
      <c r="E17" s="233" t="s">
        <v>18</v>
      </c>
      <c r="F17" s="233" t="s">
        <v>18</v>
      </c>
      <c r="G17" s="233">
        <v>7</v>
      </c>
      <c r="H17" s="233" t="s">
        <v>18</v>
      </c>
      <c r="I17" s="233" t="s">
        <v>18</v>
      </c>
      <c r="J17" s="233" t="s">
        <v>18</v>
      </c>
      <c r="K17" s="233" t="s">
        <v>18</v>
      </c>
    </row>
    <row r="18" spans="1:11" s="435" customFormat="1" x14ac:dyDescent="0.3">
      <c r="A18" s="233">
        <v>12</v>
      </c>
      <c r="B18" s="624"/>
      <c r="C18" s="234" t="s">
        <v>31</v>
      </c>
      <c r="D18" s="233">
        <v>12</v>
      </c>
      <c r="E18" s="233">
        <v>5</v>
      </c>
      <c r="F18" s="233" t="s">
        <v>18</v>
      </c>
      <c r="G18" s="233" t="s">
        <v>18</v>
      </c>
      <c r="H18" s="233" t="s">
        <v>18</v>
      </c>
      <c r="I18" s="233" t="s">
        <v>18</v>
      </c>
      <c r="J18" s="233" t="s">
        <v>18</v>
      </c>
      <c r="K18" s="233" t="s">
        <v>18</v>
      </c>
    </row>
    <row r="19" spans="1:11" s="435" customFormat="1" x14ac:dyDescent="0.3">
      <c r="A19" s="233">
        <v>13</v>
      </c>
      <c r="B19" s="624"/>
      <c r="C19" s="234" t="s">
        <v>32</v>
      </c>
      <c r="D19" s="233">
        <v>7</v>
      </c>
      <c r="E19" s="233">
        <v>5</v>
      </c>
      <c r="F19" s="233" t="s">
        <v>18</v>
      </c>
      <c r="G19" s="233">
        <v>10</v>
      </c>
      <c r="H19" s="233" t="s">
        <v>18</v>
      </c>
      <c r="I19" s="233" t="s">
        <v>18</v>
      </c>
      <c r="J19" s="233" t="s">
        <v>18</v>
      </c>
      <c r="K19" s="233" t="s">
        <v>18</v>
      </c>
    </row>
    <row r="20" spans="1:11" s="435" customFormat="1" x14ac:dyDescent="0.3">
      <c r="A20" s="233">
        <v>14</v>
      </c>
      <c r="B20" s="625"/>
      <c r="C20" s="234" t="s">
        <v>343</v>
      </c>
      <c r="D20" s="233">
        <v>1</v>
      </c>
      <c r="E20" s="233" t="s">
        <v>18</v>
      </c>
      <c r="F20" s="233" t="s">
        <v>18</v>
      </c>
      <c r="G20" s="233">
        <v>7</v>
      </c>
      <c r="H20" s="233" t="s">
        <v>18</v>
      </c>
      <c r="I20" s="233" t="s">
        <v>18</v>
      </c>
      <c r="J20" s="233" t="s">
        <v>18</v>
      </c>
      <c r="K20" s="233" t="s">
        <v>18</v>
      </c>
    </row>
    <row r="21" spans="1:11" s="435" customFormat="1" x14ac:dyDescent="0.3">
      <c r="A21" s="233">
        <v>15</v>
      </c>
      <c r="B21" s="623" t="s">
        <v>127</v>
      </c>
      <c r="C21" s="234" t="s">
        <v>33</v>
      </c>
      <c r="D21" s="233">
        <v>2</v>
      </c>
      <c r="E21" s="233">
        <v>66</v>
      </c>
      <c r="F21" s="233" t="s">
        <v>18</v>
      </c>
      <c r="G21" s="233">
        <v>16</v>
      </c>
      <c r="H21" s="233" t="s">
        <v>18</v>
      </c>
      <c r="I21" s="233" t="s">
        <v>18</v>
      </c>
      <c r="J21" s="233" t="s">
        <v>18</v>
      </c>
      <c r="K21" s="233" t="s">
        <v>18</v>
      </c>
    </row>
    <row r="22" spans="1:11" s="435" customFormat="1" x14ac:dyDescent="0.3">
      <c r="A22" s="233">
        <v>14</v>
      </c>
      <c r="B22" s="624"/>
      <c r="C22" s="234" t="s">
        <v>34</v>
      </c>
      <c r="D22" s="233">
        <v>16</v>
      </c>
      <c r="E22" s="233">
        <v>11</v>
      </c>
      <c r="F22" s="233">
        <v>4</v>
      </c>
      <c r="G22" s="233">
        <v>4</v>
      </c>
      <c r="H22" s="233" t="s">
        <v>18</v>
      </c>
      <c r="I22" s="233" t="s">
        <v>18</v>
      </c>
      <c r="J22" s="233" t="s">
        <v>18</v>
      </c>
      <c r="K22" s="233" t="s">
        <v>18</v>
      </c>
    </row>
    <row r="23" spans="1:11" s="435" customFormat="1" x14ac:dyDescent="0.3">
      <c r="A23" s="233">
        <v>17</v>
      </c>
      <c r="B23" s="624"/>
      <c r="C23" s="234" t="s">
        <v>35</v>
      </c>
      <c r="D23" s="233">
        <v>9</v>
      </c>
      <c r="E23" s="233">
        <v>3</v>
      </c>
      <c r="F23" s="233">
        <v>1</v>
      </c>
      <c r="G23" s="233">
        <v>20</v>
      </c>
      <c r="H23" s="233" t="s">
        <v>18</v>
      </c>
      <c r="I23" s="233" t="s">
        <v>18</v>
      </c>
      <c r="J23" s="233" t="s">
        <v>18</v>
      </c>
      <c r="K23" s="233" t="s">
        <v>18</v>
      </c>
    </row>
    <row r="24" spans="1:11" s="435" customFormat="1" x14ac:dyDescent="0.3">
      <c r="A24" s="233">
        <v>18</v>
      </c>
      <c r="B24" s="624"/>
      <c r="C24" s="234" t="s">
        <v>36</v>
      </c>
      <c r="D24" s="233">
        <v>22</v>
      </c>
      <c r="E24" s="233" t="s">
        <v>18</v>
      </c>
      <c r="F24" s="233" t="s">
        <v>18</v>
      </c>
      <c r="G24" s="233">
        <v>32</v>
      </c>
      <c r="H24" s="233">
        <v>22</v>
      </c>
      <c r="I24" s="233" t="s">
        <v>18</v>
      </c>
      <c r="J24" s="233" t="s">
        <v>18</v>
      </c>
      <c r="K24" s="233" t="s">
        <v>18</v>
      </c>
    </row>
    <row r="25" spans="1:11" s="435" customFormat="1" x14ac:dyDescent="0.3">
      <c r="A25" s="233">
        <v>19</v>
      </c>
      <c r="B25" s="624"/>
      <c r="C25" s="234" t="s">
        <v>37</v>
      </c>
      <c r="D25" s="233">
        <v>3</v>
      </c>
      <c r="E25" s="233" t="s">
        <v>18</v>
      </c>
      <c r="F25" s="233" t="s">
        <v>18</v>
      </c>
      <c r="G25" s="233">
        <v>6</v>
      </c>
      <c r="H25" s="233">
        <v>2</v>
      </c>
      <c r="I25" s="233" t="s">
        <v>18</v>
      </c>
      <c r="J25" s="233" t="s">
        <v>18</v>
      </c>
      <c r="K25" s="233" t="s">
        <v>18</v>
      </c>
    </row>
    <row r="26" spans="1:11" s="435" customFormat="1" x14ac:dyDescent="0.3">
      <c r="A26" s="233"/>
      <c r="B26" s="625"/>
      <c r="C26" s="234" t="s">
        <v>141</v>
      </c>
      <c r="D26" s="233">
        <v>2</v>
      </c>
      <c r="E26" s="233" t="s">
        <v>18</v>
      </c>
      <c r="F26" s="233" t="s">
        <v>18</v>
      </c>
      <c r="G26" s="233" t="s">
        <v>18</v>
      </c>
      <c r="H26" s="233" t="s">
        <v>18</v>
      </c>
      <c r="I26" s="233" t="s">
        <v>18</v>
      </c>
      <c r="J26" s="233" t="s">
        <v>18</v>
      </c>
      <c r="K26" s="233" t="s">
        <v>18</v>
      </c>
    </row>
    <row r="27" spans="1:11" s="435" customFormat="1" x14ac:dyDescent="0.3">
      <c r="A27" s="233">
        <v>20</v>
      </c>
      <c r="B27" s="479" t="s">
        <v>38</v>
      </c>
      <c r="C27" s="234" t="s">
        <v>38</v>
      </c>
      <c r="D27" s="233">
        <v>32</v>
      </c>
      <c r="E27" s="233" t="s">
        <v>18</v>
      </c>
      <c r="F27" s="233" t="s">
        <v>18</v>
      </c>
      <c r="G27" s="233">
        <v>22</v>
      </c>
      <c r="H27" s="233" t="s">
        <v>18</v>
      </c>
      <c r="I27" s="233" t="s">
        <v>18</v>
      </c>
      <c r="J27" s="233" t="s">
        <v>18</v>
      </c>
      <c r="K27" s="233" t="s">
        <v>18</v>
      </c>
    </row>
    <row r="28" spans="1:11" s="435" customFormat="1" x14ac:dyDescent="0.3">
      <c r="A28" s="233">
        <v>21</v>
      </c>
      <c r="B28" s="479"/>
      <c r="C28" s="234" t="s">
        <v>39</v>
      </c>
      <c r="D28" s="233">
        <v>18</v>
      </c>
      <c r="E28" s="233">
        <v>1</v>
      </c>
      <c r="F28" s="233" t="s">
        <v>18</v>
      </c>
      <c r="G28" s="233">
        <v>17</v>
      </c>
      <c r="H28" s="233" t="s">
        <v>18</v>
      </c>
      <c r="I28" s="233" t="s">
        <v>18</v>
      </c>
      <c r="J28" s="233" t="s">
        <v>18</v>
      </c>
      <c r="K28" s="233" t="s">
        <v>18</v>
      </c>
    </row>
    <row r="29" spans="1:11" s="435" customFormat="1" x14ac:dyDescent="0.3">
      <c r="A29" s="233">
        <v>22</v>
      </c>
      <c r="B29" s="479" t="s">
        <v>88</v>
      </c>
      <c r="C29" s="234" t="s">
        <v>88</v>
      </c>
      <c r="D29" s="233">
        <v>8</v>
      </c>
      <c r="E29" s="233">
        <v>1</v>
      </c>
      <c r="F29" s="233" t="s">
        <v>18</v>
      </c>
      <c r="G29" s="233">
        <v>24</v>
      </c>
      <c r="H29" s="233">
        <v>5</v>
      </c>
      <c r="I29" s="233" t="s">
        <v>18</v>
      </c>
      <c r="J29" s="233" t="s">
        <v>18</v>
      </c>
      <c r="K29" s="233" t="s">
        <v>18</v>
      </c>
    </row>
    <row r="30" spans="1:11" s="435" customFormat="1" x14ac:dyDescent="0.3">
      <c r="A30" s="233">
        <v>23</v>
      </c>
      <c r="B30" s="479"/>
      <c r="C30" s="234" t="s">
        <v>41</v>
      </c>
      <c r="D30" s="233" t="s">
        <v>18</v>
      </c>
      <c r="E30" s="233" t="s">
        <v>18</v>
      </c>
      <c r="F30" s="233" t="s">
        <v>18</v>
      </c>
      <c r="G30" s="233" t="s">
        <v>18</v>
      </c>
      <c r="H30" s="233" t="s">
        <v>18</v>
      </c>
      <c r="I30" s="233" t="s">
        <v>18</v>
      </c>
      <c r="J30" s="233" t="s">
        <v>18</v>
      </c>
      <c r="K30" s="233" t="s">
        <v>18</v>
      </c>
    </row>
    <row r="31" spans="1:11" s="435" customFormat="1" x14ac:dyDescent="0.3">
      <c r="A31" s="233">
        <v>24</v>
      </c>
      <c r="B31" s="479"/>
      <c r="C31" s="234" t="s">
        <v>42</v>
      </c>
      <c r="D31" s="233" t="s">
        <v>18</v>
      </c>
      <c r="E31" s="233" t="s">
        <v>18</v>
      </c>
      <c r="F31" s="233" t="s">
        <v>18</v>
      </c>
      <c r="G31" s="233" t="s">
        <v>18</v>
      </c>
      <c r="H31" s="233" t="s">
        <v>18</v>
      </c>
      <c r="I31" s="233" t="s">
        <v>18</v>
      </c>
      <c r="J31" s="233" t="s">
        <v>18</v>
      </c>
      <c r="K31" s="233" t="s">
        <v>18</v>
      </c>
    </row>
    <row r="32" spans="1:11" s="435" customFormat="1" x14ac:dyDescent="0.3">
      <c r="A32" s="233"/>
      <c r="B32" s="479" t="s">
        <v>43</v>
      </c>
      <c r="C32" s="234" t="s">
        <v>43</v>
      </c>
      <c r="D32" s="233">
        <v>2</v>
      </c>
      <c r="E32" s="233" t="s">
        <v>18</v>
      </c>
      <c r="F32" s="233" t="s">
        <v>18</v>
      </c>
      <c r="G32" s="233">
        <v>7</v>
      </c>
      <c r="H32" s="233" t="s">
        <v>18</v>
      </c>
      <c r="I32" s="233" t="s">
        <v>18</v>
      </c>
      <c r="J32" s="233" t="s">
        <v>18</v>
      </c>
      <c r="K32" s="233" t="s">
        <v>18</v>
      </c>
    </row>
    <row r="33" spans="1:11" s="435" customFormat="1" x14ac:dyDescent="0.3">
      <c r="A33" s="233">
        <v>25</v>
      </c>
      <c r="B33" s="479"/>
      <c r="C33" s="234" t="s">
        <v>44</v>
      </c>
      <c r="D33" s="233">
        <v>3</v>
      </c>
      <c r="E33" s="233" t="s">
        <v>18</v>
      </c>
      <c r="F33" s="233" t="s">
        <v>18</v>
      </c>
      <c r="G33" s="233">
        <v>16</v>
      </c>
      <c r="H33" s="233" t="s">
        <v>18</v>
      </c>
      <c r="I33" s="233" t="s">
        <v>18</v>
      </c>
      <c r="J33" s="233" t="s">
        <v>18</v>
      </c>
      <c r="K33" s="233" t="s">
        <v>18</v>
      </c>
    </row>
    <row r="34" spans="1:11" s="435" customFormat="1" x14ac:dyDescent="0.3">
      <c r="A34" s="233">
        <v>26</v>
      </c>
      <c r="B34" s="479"/>
      <c r="C34" s="234" t="s">
        <v>45</v>
      </c>
      <c r="D34" s="233" t="s">
        <v>18</v>
      </c>
      <c r="E34" s="233" t="s">
        <v>18</v>
      </c>
      <c r="F34" s="233" t="s">
        <v>18</v>
      </c>
      <c r="G34" s="233">
        <v>14</v>
      </c>
      <c r="H34" s="233" t="s">
        <v>18</v>
      </c>
      <c r="I34" s="233" t="s">
        <v>18</v>
      </c>
      <c r="J34" s="233" t="s">
        <v>18</v>
      </c>
      <c r="K34" s="233" t="s">
        <v>18</v>
      </c>
    </row>
    <row r="35" spans="1:11" s="435" customFormat="1" x14ac:dyDescent="0.3">
      <c r="A35" s="436">
        <v>27</v>
      </c>
      <c r="B35" s="479" t="s">
        <v>46</v>
      </c>
      <c r="C35" s="437" t="s">
        <v>47</v>
      </c>
      <c r="D35" s="436">
        <v>15</v>
      </c>
      <c r="E35" s="436" t="s">
        <v>18</v>
      </c>
      <c r="F35" s="436" t="s">
        <v>18</v>
      </c>
      <c r="G35" s="436">
        <v>38</v>
      </c>
      <c r="H35" s="436" t="s">
        <v>18</v>
      </c>
      <c r="I35" s="436" t="s">
        <v>18</v>
      </c>
      <c r="J35" s="436" t="s">
        <v>18</v>
      </c>
      <c r="K35" s="436" t="s">
        <v>18</v>
      </c>
    </row>
    <row r="36" spans="1:11" s="435" customFormat="1" x14ac:dyDescent="0.3">
      <c r="A36" s="233">
        <v>28</v>
      </c>
      <c r="B36" s="479"/>
      <c r="C36" s="234" t="s">
        <v>48</v>
      </c>
      <c r="D36" s="233" t="s">
        <v>18</v>
      </c>
      <c r="E36" s="233" t="s">
        <v>18</v>
      </c>
      <c r="F36" s="233" t="s">
        <v>18</v>
      </c>
      <c r="G36" s="233" t="s">
        <v>18</v>
      </c>
      <c r="H36" s="233" t="s">
        <v>18</v>
      </c>
      <c r="I36" s="233" t="s">
        <v>18</v>
      </c>
      <c r="J36" s="233" t="s">
        <v>18</v>
      </c>
      <c r="K36" s="233" t="s">
        <v>18</v>
      </c>
    </row>
    <row r="37" spans="1:11" s="435" customFormat="1" x14ac:dyDescent="0.3">
      <c r="A37" s="233">
        <v>29</v>
      </c>
      <c r="B37" s="479" t="s">
        <v>49</v>
      </c>
      <c r="C37" s="234" t="s">
        <v>49</v>
      </c>
      <c r="D37" s="233">
        <v>54</v>
      </c>
      <c r="E37" s="233">
        <v>12</v>
      </c>
      <c r="F37" s="233">
        <v>17</v>
      </c>
      <c r="G37" s="233">
        <v>83</v>
      </c>
      <c r="H37" s="233" t="s">
        <v>18</v>
      </c>
      <c r="I37" s="233">
        <v>1</v>
      </c>
      <c r="J37" s="233">
        <v>1</v>
      </c>
      <c r="K37" s="233" t="s">
        <v>18</v>
      </c>
    </row>
    <row r="38" spans="1:11" s="435" customFormat="1" x14ac:dyDescent="0.3">
      <c r="A38" s="233">
        <v>30</v>
      </c>
      <c r="B38" s="479"/>
      <c r="C38" s="234" t="s">
        <v>50</v>
      </c>
      <c r="D38" s="233">
        <v>15</v>
      </c>
      <c r="E38" s="233" t="s">
        <v>18</v>
      </c>
      <c r="F38" s="233" t="s">
        <v>18</v>
      </c>
      <c r="G38" s="233" t="s">
        <v>18</v>
      </c>
      <c r="H38" s="233" t="s">
        <v>18</v>
      </c>
      <c r="I38" s="233" t="s">
        <v>18</v>
      </c>
      <c r="J38" s="233" t="s">
        <v>18</v>
      </c>
      <c r="K38" s="233" t="s">
        <v>18</v>
      </c>
    </row>
    <row r="39" spans="1:11" s="435" customFormat="1" x14ac:dyDescent="0.3">
      <c r="A39" s="233">
        <v>31</v>
      </c>
      <c r="B39" s="479"/>
      <c r="C39" s="234" t="s">
        <v>51</v>
      </c>
      <c r="D39" s="233">
        <v>18</v>
      </c>
      <c r="E39" s="233" t="s">
        <v>18</v>
      </c>
      <c r="F39" s="233" t="s">
        <v>18</v>
      </c>
      <c r="G39" s="233">
        <v>30</v>
      </c>
      <c r="H39" s="233" t="s">
        <v>18</v>
      </c>
      <c r="I39" s="233" t="s">
        <v>18</v>
      </c>
      <c r="J39" s="233" t="s">
        <v>18</v>
      </c>
      <c r="K39" s="233" t="s">
        <v>18</v>
      </c>
    </row>
    <row r="40" spans="1:11" s="435" customFormat="1" x14ac:dyDescent="0.3">
      <c r="A40" s="233">
        <v>32</v>
      </c>
      <c r="B40" s="479" t="s">
        <v>52</v>
      </c>
      <c r="C40" s="234" t="s">
        <v>53</v>
      </c>
      <c r="D40" s="233">
        <v>23</v>
      </c>
      <c r="E40" s="233">
        <v>22</v>
      </c>
      <c r="F40" s="233">
        <v>20</v>
      </c>
      <c r="G40" s="233">
        <v>38</v>
      </c>
      <c r="H40" s="233">
        <v>15</v>
      </c>
      <c r="I40" s="233" t="s">
        <v>18</v>
      </c>
      <c r="J40" s="233" t="s">
        <v>18</v>
      </c>
      <c r="K40" s="233" t="s">
        <v>18</v>
      </c>
    </row>
    <row r="41" spans="1:11" s="435" customFormat="1" x14ac:dyDescent="0.3">
      <c r="A41" s="233">
        <v>33</v>
      </c>
      <c r="B41" s="479"/>
      <c r="C41" s="234" t="s">
        <v>54</v>
      </c>
      <c r="D41" s="233">
        <v>12</v>
      </c>
      <c r="E41" s="233">
        <v>2</v>
      </c>
      <c r="F41" s="233" t="s">
        <v>18</v>
      </c>
      <c r="G41" s="233">
        <v>8</v>
      </c>
      <c r="H41" s="233" t="s">
        <v>18</v>
      </c>
      <c r="I41" s="233" t="s">
        <v>18</v>
      </c>
      <c r="J41" s="233" t="s">
        <v>18</v>
      </c>
      <c r="K41" s="233" t="s">
        <v>18</v>
      </c>
    </row>
    <row r="42" spans="1:11" s="435" customFormat="1" x14ac:dyDescent="0.3">
      <c r="A42" s="233">
        <v>34</v>
      </c>
      <c r="B42" s="479"/>
      <c r="C42" s="234" t="s">
        <v>55</v>
      </c>
      <c r="D42" s="233">
        <v>23</v>
      </c>
      <c r="E42" s="233">
        <v>6</v>
      </c>
      <c r="F42" s="233" t="s">
        <v>18</v>
      </c>
      <c r="G42" s="233">
        <v>15</v>
      </c>
      <c r="H42" s="233" t="s">
        <v>18</v>
      </c>
      <c r="I42" s="233" t="s">
        <v>18</v>
      </c>
      <c r="J42" s="233" t="s">
        <v>18</v>
      </c>
      <c r="K42" s="233" t="s">
        <v>18</v>
      </c>
    </row>
    <row r="43" spans="1:11" s="435" customFormat="1" x14ac:dyDescent="0.3">
      <c r="A43" s="233">
        <v>3</v>
      </c>
      <c r="B43" s="479"/>
      <c r="C43" s="234" t="s">
        <v>56</v>
      </c>
      <c r="D43" s="233">
        <v>11</v>
      </c>
      <c r="E43" s="233">
        <v>1</v>
      </c>
      <c r="F43" s="233" t="s">
        <v>18</v>
      </c>
      <c r="G43" s="233">
        <v>7</v>
      </c>
      <c r="H43" s="233">
        <v>7</v>
      </c>
      <c r="I43" s="233" t="s">
        <v>18</v>
      </c>
      <c r="J43" s="233" t="s">
        <v>18</v>
      </c>
      <c r="K43" s="233" t="s">
        <v>18</v>
      </c>
    </row>
    <row r="44" spans="1:11" s="435" customFormat="1" x14ac:dyDescent="0.3">
      <c r="A44" s="233">
        <v>36</v>
      </c>
      <c r="B44" s="479"/>
      <c r="C44" s="234" t="s">
        <v>57</v>
      </c>
      <c r="D44" s="233">
        <v>4</v>
      </c>
      <c r="E44" s="233" t="s">
        <v>18</v>
      </c>
      <c r="F44" s="233">
        <v>5</v>
      </c>
      <c r="G44" s="233">
        <v>12</v>
      </c>
      <c r="H44" s="233">
        <v>4</v>
      </c>
      <c r="I44" s="233" t="s">
        <v>18</v>
      </c>
      <c r="J44" s="233" t="s">
        <v>18</v>
      </c>
      <c r="K44" s="233" t="s">
        <v>18</v>
      </c>
    </row>
    <row r="45" spans="1:11" s="435" customFormat="1" x14ac:dyDescent="0.3">
      <c r="A45" s="233">
        <v>37</v>
      </c>
      <c r="B45" s="479"/>
      <c r="C45" s="234" t="s">
        <v>58</v>
      </c>
      <c r="D45" s="233">
        <v>1</v>
      </c>
      <c r="E45" s="233" t="s">
        <v>18</v>
      </c>
      <c r="F45" s="233" t="s">
        <v>18</v>
      </c>
      <c r="G45" s="233">
        <v>7</v>
      </c>
      <c r="H45" s="233" t="s">
        <v>18</v>
      </c>
      <c r="I45" s="233" t="s">
        <v>18</v>
      </c>
      <c r="J45" s="233" t="s">
        <v>18</v>
      </c>
      <c r="K45" s="233" t="s">
        <v>18</v>
      </c>
    </row>
    <row r="46" spans="1:11" s="435" customFormat="1" x14ac:dyDescent="0.3">
      <c r="A46" s="233">
        <v>38</v>
      </c>
      <c r="B46" s="479"/>
      <c r="C46" s="234" t="s">
        <v>59</v>
      </c>
      <c r="D46" s="233">
        <v>1</v>
      </c>
      <c r="E46" s="233">
        <v>4</v>
      </c>
      <c r="F46" s="233" t="s">
        <v>18</v>
      </c>
      <c r="G46" s="233">
        <v>7</v>
      </c>
      <c r="H46" s="233" t="s">
        <v>18</v>
      </c>
      <c r="I46" s="233" t="s">
        <v>18</v>
      </c>
      <c r="J46" s="233" t="s">
        <v>18</v>
      </c>
      <c r="K46" s="233" t="s">
        <v>18</v>
      </c>
    </row>
    <row r="47" spans="1:11" x14ac:dyDescent="0.3">
      <c r="A47" s="126"/>
      <c r="B47" s="153"/>
      <c r="C47" s="153" t="s">
        <v>60</v>
      </c>
      <c r="D47" s="126">
        <f>SUM(D4:D46)</f>
        <v>378</v>
      </c>
      <c r="E47" s="126">
        <f t="shared" ref="E47:K47" si="0">SUM(E4:E46)</f>
        <v>178</v>
      </c>
      <c r="F47" s="126">
        <f t="shared" si="0"/>
        <v>77</v>
      </c>
      <c r="G47" s="126">
        <f t="shared" si="0"/>
        <v>585</v>
      </c>
      <c r="H47" s="126">
        <f t="shared" si="0"/>
        <v>55</v>
      </c>
      <c r="I47" s="126">
        <f t="shared" si="0"/>
        <v>1</v>
      </c>
      <c r="J47" s="126">
        <f t="shared" si="0"/>
        <v>1</v>
      </c>
      <c r="K47" s="126">
        <f t="shared" si="0"/>
        <v>0</v>
      </c>
    </row>
    <row r="50" spans="1:11" x14ac:dyDescent="0.3">
      <c r="A50" s="502" t="s">
        <v>1488</v>
      </c>
      <c r="B50" s="502"/>
      <c r="C50" s="502"/>
      <c r="D50" s="502"/>
      <c r="E50" s="502"/>
      <c r="F50" s="502"/>
      <c r="G50" s="502"/>
      <c r="H50" s="502"/>
      <c r="I50" s="502"/>
      <c r="J50" s="502"/>
      <c r="K50" s="502"/>
    </row>
    <row r="51" spans="1:11" ht="56.25" x14ac:dyDescent="0.3">
      <c r="A51" s="126" t="s">
        <v>211</v>
      </c>
      <c r="B51" s="153" t="s">
        <v>1</v>
      </c>
      <c r="C51" s="153" t="s">
        <v>182</v>
      </c>
      <c r="D51" s="126" t="s">
        <v>208</v>
      </c>
      <c r="E51" s="126" t="s">
        <v>209</v>
      </c>
      <c r="F51" s="126" t="s">
        <v>210</v>
      </c>
      <c r="G51" s="126" t="s">
        <v>212</v>
      </c>
      <c r="H51" s="126" t="s">
        <v>213</v>
      </c>
      <c r="I51" s="126" t="s">
        <v>214</v>
      </c>
      <c r="J51" s="126" t="s">
        <v>215</v>
      </c>
      <c r="K51" s="126" t="s">
        <v>216</v>
      </c>
    </row>
    <row r="52" spans="1:11" s="435" customFormat="1" x14ac:dyDescent="0.3">
      <c r="A52" s="233">
        <v>1</v>
      </c>
      <c r="B52" s="479" t="s">
        <v>16</v>
      </c>
      <c r="C52" s="234" t="s">
        <v>17</v>
      </c>
      <c r="D52" s="233">
        <v>6</v>
      </c>
      <c r="E52" s="233" t="s">
        <v>18</v>
      </c>
      <c r="F52" s="233" t="s">
        <v>18</v>
      </c>
      <c r="G52" s="233">
        <v>33</v>
      </c>
      <c r="H52" s="233" t="s">
        <v>18</v>
      </c>
      <c r="I52" s="233" t="s">
        <v>18</v>
      </c>
      <c r="J52" s="233" t="s">
        <v>18</v>
      </c>
      <c r="K52" s="233" t="s">
        <v>18</v>
      </c>
    </row>
    <row r="53" spans="1:11" s="435" customFormat="1" x14ac:dyDescent="0.3">
      <c r="A53" s="233">
        <v>2</v>
      </c>
      <c r="B53" s="479"/>
      <c r="C53" s="234" t="s">
        <v>19</v>
      </c>
      <c r="D53" s="233">
        <v>2</v>
      </c>
      <c r="E53" s="233" t="s">
        <v>18</v>
      </c>
      <c r="F53" s="233" t="s">
        <v>18</v>
      </c>
      <c r="G53" s="233">
        <v>5</v>
      </c>
      <c r="H53" s="233" t="s">
        <v>18</v>
      </c>
      <c r="I53" s="233" t="s">
        <v>18</v>
      </c>
      <c r="J53" s="233" t="s">
        <v>18</v>
      </c>
      <c r="K53" s="233" t="s">
        <v>18</v>
      </c>
    </row>
    <row r="54" spans="1:11" s="435" customFormat="1" x14ac:dyDescent="0.3">
      <c r="A54" s="233">
        <v>3</v>
      </c>
      <c r="B54" s="234" t="s">
        <v>20</v>
      </c>
      <c r="C54" s="234" t="s">
        <v>20</v>
      </c>
      <c r="D54" s="233">
        <v>7</v>
      </c>
      <c r="E54" s="233">
        <v>1</v>
      </c>
      <c r="F54" s="233" t="s">
        <v>18</v>
      </c>
      <c r="G54" s="233">
        <v>8</v>
      </c>
      <c r="H54" s="233" t="s">
        <v>18</v>
      </c>
      <c r="I54" s="233" t="s">
        <v>18</v>
      </c>
      <c r="J54" s="233" t="s">
        <v>18</v>
      </c>
      <c r="K54" s="233" t="s">
        <v>18</v>
      </c>
    </row>
    <row r="55" spans="1:11" s="435" customFormat="1" x14ac:dyDescent="0.3">
      <c r="A55" s="233">
        <v>4</v>
      </c>
      <c r="B55" s="479" t="s">
        <v>21</v>
      </c>
      <c r="C55" s="234" t="s">
        <v>21</v>
      </c>
      <c r="D55" s="233">
        <v>3</v>
      </c>
      <c r="E55" s="233" t="s">
        <v>18</v>
      </c>
      <c r="F55" s="233">
        <v>15</v>
      </c>
      <c r="G55" s="233">
        <v>16</v>
      </c>
      <c r="H55" s="233" t="s">
        <v>18</v>
      </c>
      <c r="I55" s="233" t="s">
        <v>18</v>
      </c>
      <c r="J55" s="233" t="s">
        <v>18</v>
      </c>
      <c r="K55" s="233" t="s">
        <v>18</v>
      </c>
    </row>
    <row r="56" spans="1:11" s="435" customFormat="1" x14ac:dyDescent="0.3">
      <c r="A56" s="233">
        <v>5</v>
      </c>
      <c r="B56" s="479"/>
      <c r="C56" s="234" t="s">
        <v>22</v>
      </c>
      <c r="D56" s="233">
        <v>2</v>
      </c>
      <c r="E56" s="233" t="s">
        <v>18</v>
      </c>
      <c r="F56" s="233" t="s">
        <v>18</v>
      </c>
      <c r="G56" s="233">
        <v>40</v>
      </c>
      <c r="H56" s="233" t="s">
        <v>18</v>
      </c>
      <c r="I56" s="233" t="s">
        <v>18</v>
      </c>
      <c r="J56" s="233" t="s">
        <v>18</v>
      </c>
      <c r="K56" s="233" t="s">
        <v>18</v>
      </c>
    </row>
    <row r="57" spans="1:11" s="435" customFormat="1" x14ac:dyDescent="0.3">
      <c r="A57" s="233">
        <v>5</v>
      </c>
      <c r="B57" s="479"/>
      <c r="C57" s="234" t="s">
        <v>163</v>
      </c>
      <c r="D57" s="233" t="s">
        <v>18</v>
      </c>
      <c r="E57" s="233">
        <v>4</v>
      </c>
      <c r="F57" s="233">
        <v>4</v>
      </c>
      <c r="G57" s="233">
        <v>11</v>
      </c>
      <c r="H57" s="233" t="s">
        <v>18</v>
      </c>
      <c r="I57" s="233" t="s">
        <v>18</v>
      </c>
      <c r="J57" s="233" t="s">
        <v>18</v>
      </c>
      <c r="K57" s="233" t="s">
        <v>18</v>
      </c>
    </row>
    <row r="58" spans="1:11" s="435" customFormat="1" x14ac:dyDescent="0.3">
      <c r="A58" s="233">
        <v>6</v>
      </c>
      <c r="B58" s="479" t="s">
        <v>23</v>
      </c>
      <c r="C58" s="234" t="s">
        <v>23</v>
      </c>
      <c r="D58" s="233">
        <v>2</v>
      </c>
      <c r="E58" s="233">
        <v>7</v>
      </c>
      <c r="F58" s="233">
        <v>7</v>
      </c>
      <c r="G58" s="233">
        <v>2</v>
      </c>
      <c r="H58" s="233" t="s">
        <v>18</v>
      </c>
      <c r="I58" s="233" t="s">
        <v>18</v>
      </c>
      <c r="J58" s="233" t="s">
        <v>18</v>
      </c>
      <c r="K58" s="233" t="s">
        <v>18</v>
      </c>
    </row>
    <row r="59" spans="1:11" s="435" customFormat="1" x14ac:dyDescent="0.3">
      <c r="A59" s="233"/>
      <c r="B59" s="479"/>
      <c r="C59" s="234" t="s">
        <v>821</v>
      </c>
      <c r="D59" s="233">
        <v>1</v>
      </c>
      <c r="E59" s="233" t="s">
        <v>18</v>
      </c>
      <c r="F59" s="233" t="s">
        <v>18</v>
      </c>
      <c r="G59" s="233">
        <v>4</v>
      </c>
      <c r="H59" s="233"/>
      <c r="I59" s="233"/>
      <c r="J59" s="233"/>
      <c r="K59" s="233"/>
    </row>
    <row r="60" spans="1:11" s="435" customFormat="1" ht="37.5" x14ac:dyDescent="0.3">
      <c r="A60" s="233">
        <v>7</v>
      </c>
      <c r="B60" s="479"/>
      <c r="C60" s="234" t="s">
        <v>320</v>
      </c>
      <c r="D60" s="233">
        <v>1</v>
      </c>
      <c r="E60" s="233" t="s">
        <v>18</v>
      </c>
      <c r="F60" s="233" t="s">
        <v>18</v>
      </c>
      <c r="G60" s="233">
        <v>9</v>
      </c>
      <c r="H60" s="233" t="s">
        <v>18</v>
      </c>
      <c r="I60" s="233" t="s">
        <v>18</v>
      </c>
      <c r="J60" s="233" t="s">
        <v>18</v>
      </c>
      <c r="K60" s="233" t="s">
        <v>18</v>
      </c>
    </row>
    <row r="61" spans="1:11" s="435" customFormat="1" x14ac:dyDescent="0.3">
      <c r="A61" s="233">
        <v>8</v>
      </c>
      <c r="B61" s="479" t="s">
        <v>25</v>
      </c>
      <c r="C61" s="234" t="s">
        <v>26</v>
      </c>
      <c r="D61" s="233">
        <v>7</v>
      </c>
      <c r="E61" s="233" t="s">
        <v>18</v>
      </c>
      <c r="F61" s="233" t="s">
        <v>18</v>
      </c>
      <c r="G61" s="233">
        <v>3</v>
      </c>
      <c r="H61" s="233" t="s">
        <v>18</v>
      </c>
      <c r="I61" s="233" t="s">
        <v>18</v>
      </c>
      <c r="J61" s="233" t="s">
        <v>18</v>
      </c>
      <c r="K61" s="233" t="s">
        <v>18</v>
      </c>
    </row>
    <row r="62" spans="1:11" s="435" customFormat="1" x14ac:dyDescent="0.3">
      <c r="A62" s="233"/>
      <c r="B62" s="479"/>
      <c r="C62" s="234" t="s">
        <v>27</v>
      </c>
      <c r="D62" s="233">
        <v>5</v>
      </c>
      <c r="E62" s="233">
        <v>5</v>
      </c>
      <c r="F62" s="233" t="s">
        <v>18</v>
      </c>
      <c r="G62" s="233">
        <v>4</v>
      </c>
      <c r="H62" s="233" t="s">
        <v>18</v>
      </c>
      <c r="I62" s="233" t="s">
        <v>18</v>
      </c>
      <c r="J62" s="233" t="s">
        <v>18</v>
      </c>
      <c r="K62" s="233" t="s">
        <v>18</v>
      </c>
    </row>
    <row r="63" spans="1:11" s="435" customFormat="1" x14ac:dyDescent="0.3">
      <c r="A63" s="233">
        <v>9</v>
      </c>
      <c r="B63" s="479"/>
      <c r="C63" s="234" t="s">
        <v>342</v>
      </c>
      <c r="D63" s="233">
        <v>1</v>
      </c>
      <c r="E63" s="233" t="s">
        <v>18</v>
      </c>
      <c r="F63" s="233" t="s">
        <v>18</v>
      </c>
      <c r="G63" s="233">
        <v>3</v>
      </c>
      <c r="H63" s="233" t="s">
        <v>18</v>
      </c>
      <c r="I63" s="233" t="s">
        <v>18</v>
      </c>
      <c r="J63" s="233" t="s">
        <v>18</v>
      </c>
      <c r="K63" s="233" t="s">
        <v>18</v>
      </c>
    </row>
    <row r="64" spans="1:11" s="435" customFormat="1" x14ac:dyDescent="0.3">
      <c r="A64" s="233">
        <v>10</v>
      </c>
      <c r="B64" s="623" t="s">
        <v>28</v>
      </c>
      <c r="C64" s="234" t="s">
        <v>29</v>
      </c>
      <c r="D64" s="233">
        <v>25</v>
      </c>
      <c r="E64" s="233">
        <v>22</v>
      </c>
      <c r="F64" s="233">
        <v>4</v>
      </c>
      <c r="G64" s="233" t="s">
        <v>18</v>
      </c>
      <c r="H64" s="233" t="s">
        <v>18</v>
      </c>
      <c r="I64" s="233" t="s">
        <v>18</v>
      </c>
      <c r="J64" s="233" t="s">
        <v>18</v>
      </c>
      <c r="K64" s="233" t="s">
        <v>18</v>
      </c>
    </row>
    <row r="65" spans="1:11" s="435" customFormat="1" x14ac:dyDescent="0.3">
      <c r="A65" s="233">
        <v>11</v>
      </c>
      <c r="B65" s="624"/>
      <c r="C65" s="234" t="s">
        <v>30</v>
      </c>
      <c r="D65" s="233">
        <v>2</v>
      </c>
      <c r="E65" s="233" t="s">
        <v>18</v>
      </c>
      <c r="F65" s="233" t="s">
        <v>18</v>
      </c>
      <c r="G65" s="233">
        <v>7</v>
      </c>
      <c r="H65" s="233" t="s">
        <v>18</v>
      </c>
      <c r="I65" s="233" t="s">
        <v>18</v>
      </c>
      <c r="J65" s="233" t="s">
        <v>18</v>
      </c>
      <c r="K65" s="233" t="s">
        <v>18</v>
      </c>
    </row>
    <row r="66" spans="1:11" s="435" customFormat="1" x14ac:dyDescent="0.3">
      <c r="A66" s="233">
        <v>12</v>
      </c>
      <c r="B66" s="624"/>
      <c r="C66" s="234" t="s">
        <v>31</v>
      </c>
      <c r="D66" s="233">
        <v>12</v>
      </c>
      <c r="E66" s="233">
        <v>5</v>
      </c>
      <c r="F66" s="233" t="s">
        <v>18</v>
      </c>
      <c r="G66" s="233" t="s">
        <v>18</v>
      </c>
      <c r="H66" s="233" t="s">
        <v>18</v>
      </c>
      <c r="I66" s="233" t="s">
        <v>18</v>
      </c>
      <c r="J66" s="233" t="s">
        <v>18</v>
      </c>
      <c r="K66" s="233" t="s">
        <v>18</v>
      </c>
    </row>
    <row r="67" spans="1:11" s="435" customFormat="1" x14ac:dyDescent="0.3">
      <c r="A67" s="233">
        <v>13</v>
      </c>
      <c r="B67" s="624"/>
      <c r="C67" s="234" t="s">
        <v>32</v>
      </c>
      <c r="D67" s="233">
        <v>7</v>
      </c>
      <c r="E67" s="233">
        <v>5</v>
      </c>
      <c r="F67" s="233" t="s">
        <v>18</v>
      </c>
      <c r="G67" s="233">
        <v>10</v>
      </c>
      <c r="H67" s="233" t="s">
        <v>18</v>
      </c>
      <c r="I67" s="233" t="s">
        <v>18</v>
      </c>
      <c r="J67" s="233" t="s">
        <v>18</v>
      </c>
      <c r="K67" s="233" t="s">
        <v>18</v>
      </c>
    </row>
    <row r="68" spans="1:11" s="435" customFormat="1" x14ac:dyDescent="0.3">
      <c r="A68" s="233">
        <v>14</v>
      </c>
      <c r="B68" s="625"/>
      <c r="C68" s="234" t="s">
        <v>343</v>
      </c>
      <c r="D68" s="233">
        <v>1</v>
      </c>
      <c r="E68" s="233" t="s">
        <v>18</v>
      </c>
      <c r="F68" s="233" t="s">
        <v>18</v>
      </c>
      <c r="G68" s="233">
        <v>7</v>
      </c>
      <c r="H68" s="233" t="s">
        <v>18</v>
      </c>
      <c r="I68" s="233" t="s">
        <v>18</v>
      </c>
      <c r="J68" s="233" t="s">
        <v>18</v>
      </c>
      <c r="K68" s="233" t="s">
        <v>18</v>
      </c>
    </row>
    <row r="69" spans="1:11" s="435" customFormat="1" x14ac:dyDescent="0.3">
      <c r="A69" s="233">
        <v>15</v>
      </c>
      <c r="B69" s="623" t="s">
        <v>127</v>
      </c>
      <c r="C69" s="234" t="s">
        <v>33</v>
      </c>
      <c r="D69" s="233">
        <v>2</v>
      </c>
      <c r="E69" s="233">
        <v>66</v>
      </c>
      <c r="F69" s="233" t="s">
        <v>18</v>
      </c>
      <c r="G69" s="233">
        <v>16</v>
      </c>
      <c r="H69" s="233" t="s">
        <v>18</v>
      </c>
      <c r="I69" s="233" t="s">
        <v>18</v>
      </c>
      <c r="J69" s="233" t="s">
        <v>18</v>
      </c>
      <c r="K69" s="233" t="s">
        <v>18</v>
      </c>
    </row>
    <row r="70" spans="1:11" s="435" customFormat="1" x14ac:dyDescent="0.3">
      <c r="A70" s="233">
        <v>14</v>
      </c>
      <c r="B70" s="624"/>
      <c r="C70" s="234" t="s">
        <v>34</v>
      </c>
      <c r="D70" s="233">
        <v>16</v>
      </c>
      <c r="E70" s="233">
        <v>11</v>
      </c>
      <c r="F70" s="233">
        <v>4</v>
      </c>
      <c r="G70" s="233">
        <v>4</v>
      </c>
      <c r="H70" s="233" t="s">
        <v>18</v>
      </c>
      <c r="I70" s="233" t="s">
        <v>18</v>
      </c>
      <c r="J70" s="233" t="s">
        <v>18</v>
      </c>
      <c r="K70" s="233" t="s">
        <v>18</v>
      </c>
    </row>
    <row r="71" spans="1:11" s="435" customFormat="1" x14ac:dyDescent="0.3">
      <c r="A71" s="233">
        <v>17</v>
      </c>
      <c r="B71" s="624"/>
      <c r="C71" s="234" t="s">
        <v>35</v>
      </c>
      <c r="D71" s="233">
        <v>9</v>
      </c>
      <c r="E71" s="233">
        <v>3</v>
      </c>
      <c r="F71" s="233">
        <v>1</v>
      </c>
      <c r="G71" s="233">
        <v>20</v>
      </c>
      <c r="H71" s="233" t="s">
        <v>18</v>
      </c>
      <c r="I71" s="233" t="s">
        <v>18</v>
      </c>
      <c r="J71" s="233" t="s">
        <v>18</v>
      </c>
      <c r="K71" s="233" t="s">
        <v>18</v>
      </c>
    </row>
    <row r="72" spans="1:11" s="435" customFormat="1" x14ac:dyDescent="0.3">
      <c r="A72" s="233">
        <v>18</v>
      </c>
      <c r="B72" s="624"/>
      <c r="C72" s="234" t="s">
        <v>36</v>
      </c>
      <c r="D72" s="233">
        <v>22</v>
      </c>
      <c r="E72" s="233" t="s">
        <v>18</v>
      </c>
      <c r="F72" s="233" t="s">
        <v>18</v>
      </c>
      <c r="G72" s="233">
        <v>32</v>
      </c>
      <c r="H72" s="233">
        <v>22</v>
      </c>
      <c r="I72" s="233" t="s">
        <v>18</v>
      </c>
      <c r="J72" s="233" t="s">
        <v>18</v>
      </c>
      <c r="K72" s="233" t="s">
        <v>18</v>
      </c>
    </row>
    <row r="73" spans="1:11" s="435" customFormat="1" x14ac:dyDescent="0.3">
      <c r="A73" s="233">
        <v>19</v>
      </c>
      <c r="B73" s="624"/>
      <c r="C73" s="234" t="s">
        <v>37</v>
      </c>
      <c r="D73" s="233">
        <v>3</v>
      </c>
      <c r="E73" s="233" t="s">
        <v>18</v>
      </c>
      <c r="F73" s="233" t="s">
        <v>18</v>
      </c>
      <c r="G73" s="233">
        <v>6</v>
      </c>
      <c r="H73" s="233">
        <v>2</v>
      </c>
      <c r="I73" s="233" t="s">
        <v>18</v>
      </c>
      <c r="J73" s="233" t="s">
        <v>18</v>
      </c>
      <c r="K73" s="233" t="s">
        <v>18</v>
      </c>
    </row>
    <row r="74" spans="1:11" s="435" customFormat="1" x14ac:dyDescent="0.3">
      <c r="A74" s="233"/>
      <c r="B74" s="625"/>
      <c r="C74" s="234" t="s">
        <v>141</v>
      </c>
      <c r="D74" s="233">
        <v>2</v>
      </c>
      <c r="E74" s="233" t="s">
        <v>18</v>
      </c>
      <c r="F74" s="233" t="s">
        <v>18</v>
      </c>
      <c r="G74" s="233" t="s">
        <v>18</v>
      </c>
      <c r="H74" s="233" t="s">
        <v>18</v>
      </c>
      <c r="I74" s="233" t="s">
        <v>18</v>
      </c>
      <c r="J74" s="233" t="s">
        <v>18</v>
      </c>
      <c r="K74" s="233" t="s">
        <v>18</v>
      </c>
    </row>
    <row r="75" spans="1:11" s="435" customFormat="1" x14ac:dyDescent="0.3">
      <c r="A75" s="233">
        <v>20</v>
      </c>
      <c r="B75" s="479" t="s">
        <v>38</v>
      </c>
      <c r="C75" s="234" t="s">
        <v>38</v>
      </c>
      <c r="D75" s="233">
        <v>32</v>
      </c>
      <c r="E75" s="233" t="s">
        <v>18</v>
      </c>
      <c r="F75" s="233" t="s">
        <v>18</v>
      </c>
      <c r="G75" s="233">
        <v>22</v>
      </c>
      <c r="H75" s="233" t="s">
        <v>18</v>
      </c>
      <c r="I75" s="233" t="s">
        <v>18</v>
      </c>
      <c r="J75" s="233" t="s">
        <v>18</v>
      </c>
      <c r="K75" s="233" t="s">
        <v>18</v>
      </c>
    </row>
    <row r="76" spans="1:11" s="435" customFormat="1" x14ac:dyDescent="0.3">
      <c r="A76" s="233">
        <v>21</v>
      </c>
      <c r="B76" s="479"/>
      <c r="C76" s="234" t="s">
        <v>39</v>
      </c>
      <c r="D76" s="233">
        <v>18</v>
      </c>
      <c r="E76" s="233">
        <v>1</v>
      </c>
      <c r="F76" s="233" t="s">
        <v>18</v>
      </c>
      <c r="G76" s="233">
        <v>17</v>
      </c>
      <c r="H76" s="233" t="s">
        <v>18</v>
      </c>
      <c r="I76" s="233" t="s">
        <v>18</v>
      </c>
      <c r="J76" s="233" t="s">
        <v>18</v>
      </c>
      <c r="K76" s="233" t="s">
        <v>18</v>
      </c>
    </row>
    <row r="77" spans="1:11" s="435" customFormat="1" x14ac:dyDescent="0.3">
      <c r="A77" s="233">
        <v>22</v>
      </c>
      <c r="B77" s="479" t="s">
        <v>88</v>
      </c>
      <c r="C77" s="234" t="s">
        <v>88</v>
      </c>
      <c r="D77" s="233">
        <v>8</v>
      </c>
      <c r="E77" s="233">
        <v>1</v>
      </c>
      <c r="F77" s="233" t="s">
        <v>18</v>
      </c>
      <c r="G77" s="233">
        <v>24</v>
      </c>
      <c r="H77" s="233">
        <v>5</v>
      </c>
      <c r="I77" s="233" t="s">
        <v>18</v>
      </c>
      <c r="J77" s="233" t="s">
        <v>18</v>
      </c>
      <c r="K77" s="233" t="s">
        <v>18</v>
      </c>
    </row>
    <row r="78" spans="1:11" s="435" customFormat="1" x14ac:dyDescent="0.3">
      <c r="A78" s="233">
        <v>23</v>
      </c>
      <c r="B78" s="479"/>
      <c r="C78" s="234" t="s">
        <v>41</v>
      </c>
      <c r="D78" s="233" t="s">
        <v>18</v>
      </c>
      <c r="E78" s="233" t="s">
        <v>18</v>
      </c>
      <c r="F78" s="233" t="s">
        <v>18</v>
      </c>
      <c r="G78" s="233" t="s">
        <v>18</v>
      </c>
      <c r="H78" s="233" t="s">
        <v>18</v>
      </c>
      <c r="I78" s="233" t="s">
        <v>18</v>
      </c>
      <c r="J78" s="233" t="s">
        <v>18</v>
      </c>
      <c r="K78" s="233" t="s">
        <v>18</v>
      </c>
    </row>
    <row r="79" spans="1:11" s="435" customFormat="1" x14ac:dyDescent="0.3">
      <c r="A79" s="233">
        <v>24</v>
      </c>
      <c r="B79" s="479"/>
      <c r="C79" s="234" t="s">
        <v>42</v>
      </c>
      <c r="D79" s="233" t="s">
        <v>18</v>
      </c>
      <c r="E79" s="233" t="s">
        <v>18</v>
      </c>
      <c r="F79" s="233" t="s">
        <v>18</v>
      </c>
      <c r="G79" s="233" t="s">
        <v>18</v>
      </c>
      <c r="H79" s="233" t="s">
        <v>18</v>
      </c>
      <c r="I79" s="233" t="s">
        <v>18</v>
      </c>
      <c r="J79" s="233" t="s">
        <v>18</v>
      </c>
      <c r="K79" s="233" t="s">
        <v>18</v>
      </c>
    </row>
    <row r="80" spans="1:11" s="435" customFormat="1" x14ac:dyDescent="0.3">
      <c r="A80" s="233"/>
      <c r="B80" s="479" t="s">
        <v>43</v>
      </c>
      <c r="C80" s="234" t="s">
        <v>43</v>
      </c>
      <c r="D80" s="233">
        <v>2</v>
      </c>
      <c r="E80" s="233" t="s">
        <v>18</v>
      </c>
      <c r="F80" s="233" t="s">
        <v>18</v>
      </c>
      <c r="G80" s="233">
        <v>7</v>
      </c>
      <c r="H80" s="233" t="s">
        <v>18</v>
      </c>
      <c r="I80" s="233" t="s">
        <v>18</v>
      </c>
      <c r="J80" s="233" t="s">
        <v>18</v>
      </c>
      <c r="K80" s="233" t="s">
        <v>18</v>
      </c>
    </row>
    <row r="81" spans="1:11" s="435" customFormat="1" x14ac:dyDescent="0.3">
      <c r="A81" s="233">
        <v>25</v>
      </c>
      <c r="B81" s="479"/>
      <c r="C81" s="234" t="s">
        <v>44</v>
      </c>
      <c r="D81" s="233">
        <v>3</v>
      </c>
      <c r="E81" s="233" t="s">
        <v>18</v>
      </c>
      <c r="F81" s="233" t="s">
        <v>18</v>
      </c>
      <c r="G81" s="233">
        <v>16</v>
      </c>
      <c r="H81" s="233" t="s">
        <v>18</v>
      </c>
      <c r="I81" s="233" t="s">
        <v>18</v>
      </c>
      <c r="J81" s="233" t="s">
        <v>18</v>
      </c>
      <c r="K81" s="233" t="s">
        <v>18</v>
      </c>
    </row>
    <row r="82" spans="1:11" s="435" customFormat="1" x14ac:dyDescent="0.3">
      <c r="A82" s="233">
        <v>26</v>
      </c>
      <c r="B82" s="479"/>
      <c r="C82" s="234" t="s">
        <v>45</v>
      </c>
      <c r="D82" s="233" t="s">
        <v>18</v>
      </c>
      <c r="E82" s="233" t="s">
        <v>18</v>
      </c>
      <c r="F82" s="233" t="s">
        <v>18</v>
      </c>
      <c r="G82" s="233">
        <v>14</v>
      </c>
      <c r="H82" s="233" t="s">
        <v>18</v>
      </c>
      <c r="I82" s="233" t="s">
        <v>18</v>
      </c>
      <c r="J82" s="233" t="s">
        <v>18</v>
      </c>
      <c r="K82" s="233" t="s">
        <v>18</v>
      </c>
    </row>
    <row r="83" spans="1:11" s="435" customFormat="1" x14ac:dyDescent="0.3">
      <c r="A83" s="436">
        <v>27</v>
      </c>
      <c r="B83" s="479" t="s">
        <v>46</v>
      </c>
      <c r="C83" s="437" t="s">
        <v>47</v>
      </c>
      <c r="D83" s="436">
        <v>15</v>
      </c>
      <c r="E83" s="436" t="s">
        <v>18</v>
      </c>
      <c r="F83" s="436" t="s">
        <v>18</v>
      </c>
      <c r="G83" s="436">
        <v>38</v>
      </c>
      <c r="H83" s="436" t="s">
        <v>18</v>
      </c>
      <c r="I83" s="436" t="s">
        <v>18</v>
      </c>
      <c r="J83" s="436" t="s">
        <v>18</v>
      </c>
      <c r="K83" s="436" t="s">
        <v>18</v>
      </c>
    </row>
    <row r="84" spans="1:11" s="435" customFormat="1" x14ac:dyDescent="0.3">
      <c r="A84" s="233">
        <v>28</v>
      </c>
      <c r="B84" s="479"/>
      <c r="C84" s="234" t="s">
        <v>48</v>
      </c>
      <c r="D84" s="233" t="s">
        <v>18</v>
      </c>
      <c r="E84" s="233" t="s">
        <v>18</v>
      </c>
      <c r="F84" s="233" t="s">
        <v>18</v>
      </c>
      <c r="G84" s="233" t="s">
        <v>18</v>
      </c>
      <c r="H84" s="233" t="s">
        <v>18</v>
      </c>
      <c r="I84" s="233" t="s">
        <v>18</v>
      </c>
      <c r="J84" s="233" t="s">
        <v>18</v>
      </c>
      <c r="K84" s="233" t="s">
        <v>18</v>
      </c>
    </row>
    <row r="85" spans="1:11" s="435" customFormat="1" x14ac:dyDescent="0.3">
      <c r="A85" s="233">
        <v>29</v>
      </c>
      <c r="B85" s="479" t="s">
        <v>49</v>
      </c>
      <c r="C85" s="234" t="s">
        <v>49</v>
      </c>
      <c r="D85" s="233">
        <v>54</v>
      </c>
      <c r="E85" s="233">
        <v>12</v>
      </c>
      <c r="F85" s="233">
        <v>17</v>
      </c>
      <c r="G85" s="233">
        <v>83</v>
      </c>
      <c r="H85" s="233" t="s">
        <v>18</v>
      </c>
      <c r="I85" s="233">
        <v>1</v>
      </c>
      <c r="J85" s="233">
        <v>1</v>
      </c>
      <c r="K85" s="233" t="s">
        <v>18</v>
      </c>
    </row>
    <row r="86" spans="1:11" s="435" customFormat="1" x14ac:dyDescent="0.3">
      <c r="A86" s="233">
        <v>30</v>
      </c>
      <c r="B86" s="479"/>
      <c r="C86" s="234" t="s">
        <v>50</v>
      </c>
      <c r="D86" s="233">
        <v>15</v>
      </c>
      <c r="E86" s="233" t="s">
        <v>18</v>
      </c>
      <c r="F86" s="233" t="s">
        <v>18</v>
      </c>
      <c r="G86" s="233" t="s">
        <v>18</v>
      </c>
      <c r="H86" s="233" t="s">
        <v>18</v>
      </c>
      <c r="I86" s="233" t="s">
        <v>18</v>
      </c>
      <c r="J86" s="233" t="s">
        <v>18</v>
      </c>
      <c r="K86" s="233" t="s">
        <v>18</v>
      </c>
    </row>
    <row r="87" spans="1:11" s="435" customFormat="1" x14ac:dyDescent="0.3">
      <c r="A87" s="233">
        <v>31</v>
      </c>
      <c r="B87" s="479"/>
      <c r="C87" s="234" t="s">
        <v>51</v>
      </c>
      <c r="D87" s="233">
        <v>18</v>
      </c>
      <c r="E87" s="233" t="s">
        <v>18</v>
      </c>
      <c r="F87" s="233" t="s">
        <v>18</v>
      </c>
      <c r="G87" s="233">
        <v>30</v>
      </c>
      <c r="H87" s="233" t="s">
        <v>18</v>
      </c>
      <c r="I87" s="233" t="s">
        <v>18</v>
      </c>
      <c r="J87" s="233" t="s">
        <v>18</v>
      </c>
      <c r="K87" s="233" t="s">
        <v>18</v>
      </c>
    </row>
    <row r="88" spans="1:11" s="435" customFormat="1" x14ac:dyDescent="0.3">
      <c r="A88" s="233">
        <v>32</v>
      </c>
      <c r="B88" s="479" t="s">
        <v>52</v>
      </c>
      <c r="C88" s="234" t="s">
        <v>53</v>
      </c>
      <c r="D88" s="233">
        <v>23</v>
      </c>
      <c r="E88" s="233">
        <v>22</v>
      </c>
      <c r="F88" s="233">
        <v>20</v>
      </c>
      <c r="G88" s="233">
        <v>38</v>
      </c>
      <c r="H88" s="233">
        <v>15</v>
      </c>
      <c r="I88" s="233" t="s">
        <v>18</v>
      </c>
      <c r="J88" s="233" t="s">
        <v>18</v>
      </c>
      <c r="K88" s="233" t="s">
        <v>18</v>
      </c>
    </row>
    <row r="89" spans="1:11" s="435" customFormat="1" x14ac:dyDescent="0.3">
      <c r="A89" s="233">
        <v>33</v>
      </c>
      <c r="B89" s="479"/>
      <c r="C89" s="234" t="s">
        <v>54</v>
      </c>
      <c r="D89" s="233">
        <v>12</v>
      </c>
      <c r="E89" s="233">
        <v>2</v>
      </c>
      <c r="F89" s="233" t="s">
        <v>18</v>
      </c>
      <c r="G89" s="233">
        <v>8</v>
      </c>
      <c r="H89" s="233" t="s">
        <v>18</v>
      </c>
      <c r="I89" s="233" t="s">
        <v>18</v>
      </c>
      <c r="J89" s="233" t="s">
        <v>18</v>
      </c>
      <c r="K89" s="233" t="s">
        <v>18</v>
      </c>
    </row>
    <row r="90" spans="1:11" s="435" customFormat="1" x14ac:dyDescent="0.3">
      <c r="A90" s="233">
        <v>34</v>
      </c>
      <c r="B90" s="479"/>
      <c r="C90" s="234" t="s">
        <v>55</v>
      </c>
      <c r="D90" s="233">
        <v>23</v>
      </c>
      <c r="E90" s="233">
        <v>6</v>
      </c>
      <c r="F90" s="233" t="s">
        <v>18</v>
      </c>
      <c r="G90" s="233">
        <v>15</v>
      </c>
      <c r="H90" s="233" t="s">
        <v>18</v>
      </c>
      <c r="I90" s="233" t="s">
        <v>18</v>
      </c>
      <c r="J90" s="233" t="s">
        <v>18</v>
      </c>
      <c r="K90" s="233" t="s">
        <v>18</v>
      </c>
    </row>
    <row r="91" spans="1:11" s="435" customFormat="1" x14ac:dyDescent="0.3">
      <c r="A91" s="233">
        <v>3</v>
      </c>
      <c r="B91" s="479"/>
      <c r="C91" s="234" t="s">
        <v>56</v>
      </c>
      <c r="D91" s="233">
        <v>11</v>
      </c>
      <c r="E91" s="233">
        <v>1</v>
      </c>
      <c r="F91" s="233" t="s">
        <v>18</v>
      </c>
      <c r="G91" s="233">
        <v>7</v>
      </c>
      <c r="H91" s="233">
        <v>7</v>
      </c>
      <c r="I91" s="233" t="s">
        <v>18</v>
      </c>
      <c r="J91" s="233" t="s">
        <v>18</v>
      </c>
      <c r="K91" s="233" t="s">
        <v>18</v>
      </c>
    </row>
    <row r="92" spans="1:11" s="435" customFormat="1" x14ac:dyDescent="0.3">
      <c r="A92" s="233">
        <v>36</v>
      </c>
      <c r="B92" s="479"/>
      <c r="C92" s="234" t="s">
        <v>57</v>
      </c>
      <c r="D92" s="233">
        <v>4</v>
      </c>
      <c r="E92" s="233" t="s">
        <v>18</v>
      </c>
      <c r="F92" s="233">
        <v>5</v>
      </c>
      <c r="G92" s="233">
        <v>12</v>
      </c>
      <c r="H92" s="233">
        <v>4</v>
      </c>
      <c r="I92" s="233" t="s">
        <v>18</v>
      </c>
      <c r="J92" s="233" t="s">
        <v>18</v>
      </c>
      <c r="K92" s="233" t="s">
        <v>18</v>
      </c>
    </row>
    <row r="93" spans="1:11" s="435" customFormat="1" x14ac:dyDescent="0.3">
      <c r="A93" s="233">
        <v>37</v>
      </c>
      <c r="B93" s="479"/>
      <c r="C93" s="234" t="s">
        <v>58</v>
      </c>
      <c r="D93" s="233">
        <v>1</v>
      </c>
      <c r="E93" s="233" t="s">
        <v>18</v>
      </c>
      <c r="F93" s="233" t="s">
        <v>18</v>
      </c>
      <c r="G93" s="233">
        <v>7</v>
      </c>
      <c r="H93" s="233" t="s">
        <v>18</v>
      </c>
      <c r="I93" s="233" t="s">
        <v>18</v>
      </c>
      <c r="J93" s="233" t="s">
        <v>18</v>
      </c>
      <c r="K93" s="233" t="s">
        <v>18</v>
      </c>
    </row>
    <row r="94" spans="1:11" s="435" customFormat="1" x14ac:dyDescent="0.3">
      <c r="A94" s="233">
        <v>38</v>
      </c>
      <c r="B94" s="479"/>
      <c r="C94" s="234" t="s">
        <v>59</v>
      </c>
      <c r="D94" s="233">
        <v>1</v>
      </c>
      <c r="E94" s="233">
        <v>4</v>
      </c>
      <c r="F94" s="233" t="s">
        <v>18</v>
      </c>
      <c r="G94" s="233">
        <v>7</v>
      </c>
      <c r="H94" s="233" t="s">
        <v>18</v>
      </c>
      <c r="I94" s="233" t="s">
        <v>18</v>
      </c>
      <c r="J94" s="233" t="s">
        <v>18</v>
      </c>
      <c r="K94" s="233" t="s">
        <v>18</v>
      </c>
    </row>
    <row r="95" spans="1:11" x14ac:dyDescent="0.3">
      <c r="A95" s="126"/>
      <c r="B95" s="153"/>
      <c r="C95" s="153" t="s">
        <v>60</v>
      </c>
      <c r="D95" s="126">
        <f>SUM(D52:D94)</f>
        <v>378</v>
      </c>
      <c r="E95" s="126">
        <f t="shared" ref="E95:K95" si="1">SUM(E52:E94)</f>
        <v>178</v>
      </c>
      <c r="F95" s="126">
        <f t="shared" si="1"/>
        <v>77</v>
      </c>
      <c r="G95" s="126">
        <f t="shared" si="1"/>
        <v>585</v>
      </c>
      <c r="H95" s="126">
        <f t="shared" si="1"/>
        <v>55</v>
      </c>
      <c r="I95" s="126">
        <f t="shared" si="1"/>
        <v>1</v>
      </c>
      <c r="J95" s="126">
        <f t="shared" si="1"/>
        <v>1</v>
      </c>
      <c r="K95" s="126">
        <f t="shared" si="1"/>
        <v>0</v>
      </c>
    </row>
    <row r="99" spans="1:11" x14ac:dyDescent="0.3">
      <c r="A99" s="502" t="s">
        <v>1239</v>
      </c>
      <c r="B99" s="502"/>
      <c r="C99" s="502"/>
      <c r="D99" s="502"/>
      <c r="E99" s="502"/>
      <c r="F99" s="502"/>
      <c r="G99" s="502"/>
      <c r="H99" s="502"/>
      <c r="I99" s="502"/>
      <c r="J99" s="502"/>
      <c r="K99" s="502"/>
    </row>
    <row r="100" spans="1:11" ht="56.25" x14ac:dyDescent="0.3">
      <c r="A100" s="126" t="s">
        <v>211</v>
      </c>
      <c r="B100" s="153" t="s">
        <v>1</v>
      </c>
      <c r="C100" s="153" t="s">
        <v>182</v>
      </c>
      <c r="D100" s="126" t="s">
        <v>208</v>
      </c>
      <c r="E100" s="126" t="s">
        <v>209</v>
      </c>
      <c r="F100" s="126" t="s">
        <v>210</v>
      </c>
      <c r="G100" s="126" t="s">
        <v>212</v>
      </c>
      <c r="H100" s="126" t="s">
        <v>213</v>
      </c>
      <c r="I100" s="126" t="s">
        <v>214</v>
      </c>
      <c r="J100" s="126" t="s">
        <v>215</v>
      </c>
      <c r="K100" s="126" t="s">
        <v>216</v>
      </c>
    </row>
    <row r="101" spans="1:11" x14ac:dyDescent="0.3">
      <c r="A101" s="126">
        <v>1</v>
      </c>
      <c r="B101" s="503" t="s">
        <v>16</v>
      </c>
      <c r="C101" s="153" t="s">
        <v>17</v>
      </c>
      <c r="D101" s="126">
        <v>6</v>
      </c>
      <c r="E101" s="126" t="s">
        <v>18</v>
      </c>
      <c r="F101" s="126" t="s">
        <v>18</v>
      </c>
      <c r="G101" s="126">
        <v>33</v>
      </c>
      <c r="H101" s="126" t="s">
        <v>18</v>
      </c>
      <c r="I101" s="126" t="s">
        <v>18</v>
      </c>
      <c r="J101" s="126" t="s">
        <v>18</v>
      </c>
      <c r="K101" s="126" t="s">
        <v>18</v>
      </c>
    </row>
    <row r="102" spans="1:11" x14ac:dyDescent="0.3">
      <c r="A102" s="126">
        <v>2</v>
      </c>
      <c r="B102" s="503"/>
      <c r="C102" s="153" t="s">
        <v>19</v>
      </c>
      <c r="D102" s="126">
        <v>2</v>
      </c>
      <c r="E102" s="126" t="s">
        <v>18</v>
      </c>
      <c r="F102" s="126" t="s">
        <v>18</v>
      </c>
      <c r="G102" s="126">
        <v>5</v>
      </c>
      <c r="H102" s="126" t="s">
        <v>18</v>
      </c>
      <c r="I102" s="126" t="s">
        <v>18</v>
      </c>
      <c r="J102" s="126" t="s">
        <v>18</v>
      </c>
      <c r="K102" s="126" t="s">
        <v>18</v>
      </c>
    </row>
    <row r="103" spans="1:11" x14ac:dyDescent="0.3">
      <c r="A103" s="126">
        <v>3</v>
      </c>
      <c r="B103" s="153" t="s">
        <v>20</v>
      </c>
      <c r="C103" s="153" t="s">
        <v>20</v>
      </c>
      <c r="D103" s="126">
        <v>8</v>
      </c>
      <c r="E103" s="126" t="s">
        <v>18</v>
      </c>
      <c r="F103" s="126" t="s">
        <v>18</v>
      </c>
      <c r="G103" s="126">
        <v>8</v>
      </c>
      <c r="H103" s="126" t="s">
        <v>18</v>
      </c>
      <c r="I103" s="126" t="s">
        <v>18</v>
      </c>
      <c r="J103" s="126" t="s">
        <v>18</v>
      </c>
      <c r="K103" s="126" t="s">
        <v>18</v>
      </c>
    </row>
    <row r="104" spans="1:11" x14ac:dyDescent="0.3">
      <c r="A104" s="126">
        <v>4</v>
      </c>
      <c r="B104" s="503" t="s">
        <v>21</v>
      </c>
      <c r="C104" s="153" t="s">
        <v>21</v>
      </c>
      <c r="D104" s="126">
        <v>3</v>
      </c>
      <c r="E104" s="126" t="s">
        <v>18</v>
      </c>
      <c r="F104" s="126">
        <v>15</v>
      </c>
      <c r="G104" s="126">
        <v>16</v>
      </c>
      <c r="H104" s="126" t="s">
        <v>18</v>
      </c>
      <c r="I104" s="126" t="s">
        <v>18</v>
      </c>
      <c r="J104" s="126" t="s">
        <v>18</v>
      </c>
      <c r="K104" s="126" t="s">
        <v>18</v>
      </c>
    </row>
    <row r="105" spans="1:11" x14ac:dyDescent="0.3">
      <c r="A105" s="126">
        <v>5</v>
      </c>
      <c r="B105" s="503"/>
      <c r="C105" s="153" t="s">
        <v>22</v>
      </c>
      <c r="D105" s="126">
        <v>2</v>
      </c>
      <c r="E105" s="126" t="s">
        <v>18</v>
      </c>
      <c r="F105" s="126" t="s">
        <v>18</v>
      </c>
      <c r="G105" s="126">
        <v>40</v>
      </c>
      <c r="H105" s="126" t="s">
        <v>18</v>
      </c>
      <c r="I105" s="126" t="s">
        <v>18</v>
      </c>
      <c r="J105" s="126" t="s">
        <v>18</v>
      </c>
      <c r="K105" s="126" t="s">
        <v>18</v>
      </c>
    </row>
    <row r="106" spans="1:11" x14ac:dyDescent="0.3">
      <c r="A106" s="126">
        <v>5</v>
      </c>
      <c r="B106" s="503"/>
      <c r="C106" s="153" t="s">
        <v>163</v>
      </c>
      <c r="D106" s="126" t="s">
        <v>18</v>
      </c>
      <c r="E106" s="126">
        <v>4</v>
      </c>
      <c r="F106" s="126">
        <v>4</v>
      </c>
      <c r="G106" s="126">
        <v>11</v>
      </c>
      <c r="H106" s="126" t="s">
        <v>18</v>
      </c>
      <c r="I106" s="126" t="s">
        <v>18</v>
      </c>
      <c r="J106" s="126" t="s">
        <v>18</v>
      </c>
      <c r="K106" s="126" t="s">
        <v>18</v>
      </c>
    </row>
    <row r="107" spans="1:11" x14ac:dyDescent="0.3">
      <c r="A107" s="126">
        <v>6</v>
      </c>
      <c r="B107" s="503" t="s">
        <v>23</v>
      </c>
      <c r="C107" s="153" t="s">
        <v>23</v>
      </c>
      <c r="D107" s="126">
        <v>2</v>
      </c>
      <c r="E107" s="126">
        <v>7</v>
      </c>
      <c r="F107" s="126">
        <v>7</v>
      </c>
      <c r="G107" s="126">
        <v>2</v>
      </c>
      <c r="H107" s="126" t="s">
        <v>18</v>
      </c>
      <c r="I107" s="126" t="s">
        <v>18</v>
      </c>
      <c r="J107" s="126" t="s">
        <v>18</v>
      </c>
      <c r="K107" s="126" t="s">
        <v>18</v>
      </c>
    </row>
    <row r="108" spans="1:11" x14ac:dyDescent="0.3">
      <c r="A108" s="126"/>
      <c r="B108" s="503"/>
      <c r="C108" s="153" t="s">
        <v>821</v>
      </c>
      <c r="D108" s="126">
        <v>1</v>
      </c>
      <c r="E108" s="126" t="s">
        <v>18</v>
      </c>
      <c r="F108" s="126" t="s">
        <v>18</v>
      </c>
      <c r="G108" s="126">
        <v>4</v>
      </c>
      <c r="H108" s="126"/>
      <c r="I108" s="126"/>
      <c r="J108" s="126"/>
      <c r="K108" s="126"/>
    </row>
    <row r="109" spans="1:11" ht="37.5" x14ac:dyDescent="0.3">
      <c r="A109" s="126">
        <v>7</v>
      </c>
      <c r="B109" s="503"/>
      <c r="C109" s="153" t="s">
        <v>320</v>
      </c>
      <c r="D109" s="126">
        <v>1</v>
      </c>
      <c r="E109" s="126" t="s">
        <v>18</v>
      </c>
      <c r="F109" s="126" t="s">
        <v>18</v>
      </c>
      <c r="G109" s="126">
        <v>9</v>
      </c>
      <c r="H109" s="126" t="s">
        <v>18</v>
      </c>
      <c r="I109" s="126" t="s">
        <v>18</v>
      </c>
      <c r="J109" s="126" t="s">
        <v>18</v>
      </c>
      <c r="K109" s="126" t="s">
        <v>18</v>
      </c>
    </row>
    <row r="110" spans="1:11" x14ac:dyDescent="0.3">
      <c r="A110" s="126">
        <v>8</v>
      </c>
      <c r="B110" s="503" t="s">
        <v>25</v>
      </c>
      <c r="C110" s="153" t="s">
        <v>26</v>
      </c>
      <c r="D110" s="126">
        <v>7</v>
      </c>
      <c r="E110" s="126" t="s">
        <v>18</v>
      </c>
      <c r="F110" s="126" t="s">
        <v>18</v>
      </c>
      <c r="G110" s="126">
        <v>3</v>
      </c>
      <c r="H110" s="126" t="s">
        <v>18</v>
      </c>
      <c r="I110" s="126" t="s">
        <v>18</v>
      </c>
      <c r="J110" s="126" t="s">
        <v>18</v>
      </c>
      <c r="K110" s="126" t="s">
        <v>18</v>
      </c>
    </row>
    <row r="111" spans="1:11" x14ac:dyDescent="0.3">
      <c r="A111" s="126"/>
      <c r="B111" s="503"/>
      <c r="C111" s="153" t="s">
        <v>27</v>
      </c>
      <c r="D111" s="126">
        <v>5</v>
      </c>
      <c r="E111" s="126">
        <v>5</v>
      </c>
      <c r="F111" s="126" t="s">
        <v>18</v>
      </c>
      <c r="G111" s="126">
        <v>4</v>
      </c>
      <c r="H111" s="126" t="s">
        <v>18</v>
      </c>
      <c r="I111" s="126" t="s">
        <v>18</v>
      </c>
      <c r="J111" s="126" t="s">
        <v>18</v>
      </c>
      <c r="K111" s="126" t="s">
        <v>18</v>
      </c>
    </row>
    <row r="112" spans="1:11" x14ac:dyDescent="0.3">
      <c r="A112" s="126">
        <v>9</v>
      </c>
      <c r="B112" s="503"/>
      <c r="C112" s="153" t="s">
        <v>342</v>
      </c>
      <c r="D112" s="126">
        <v>1</v>
      </c>
      <c r="E112" s="126" t="s">
        <v>18</v>
      </c>
      <c r="F112" s="126" t="s">
        <v>18</v>
      </c>
      <c r="G112" s="126">
        <v>3</v>
      </c>
      <c r="H112" s="126" t="s">
        <v>18</v>
      </c>
      <c r="I112" s="126" t="s">
        <v>18</v>
      </c>
      <c r="J112" s="126" t="s">
        <v>18</v>
      </c>
      <c r="K112" s="126" t="s">
        <v>18</v>
      </c>
    </row>
    <row r="113" spans="1:11" x14ac:dyDescent="0.3">
      <c r="A113" s="126">
        <v>10</v>
      </c>
      <c r="B113" s="626" t="s">
        <v>28</v>
      </c>
      <c r="C113" s="153" t="s">
        <v>29</v>
      </c>
      <c r="D113" s="126">
        <v>25</v>
      </c>
      <c r="E113" s="126">
        <v>22</v>
      </c>
      <c r="F113" s="126">
        <v>4</v>
      </c>
      <c r="G113" s="126" t="s">
        <v>18</v>
      </c>
      <c r="H113" s="126" t="s">
        <v>18</v>
      </c>
      <c r="I113" s="126" t="s">
        <v>18</v>
      </c>
      <c r="J113" s="126" t="s">
        <v>18</v>
      </c>
      <c r="K113" s="126" t="s">
        <v>18</v>
      </c>
    </row>
    <row r="114" spans="1:11" x14ac:dyDescent="0.3">
      <c r="A114" s="126">
        <v>11</v>
      </c>
      <c r="B114" s="492"/>
      <c r="C114" s="153" t="s">
        <v>30</v>
      </c>
      <c r="D114" s="126">
        <v>2</v>
      </c>
      <c r="E114" s="126" t="s">
        <v>18</v>
      </c>
      <c r="F114" s="126" t="s">
        <v>18</v>
      </c>
      <c r="G114" s="126">
        <v>7</v>
      </c>
      <c r="H114" s="126" t="s">
        <v>18</v>
      </c>
      <c r="I114" s="126" t="s">
        <v>18</v>
      </c>
      <c r="J114" s="126" t="s">
        <v>18</v>
      </c>
      <c r="K114" s="126" t="s">
        <v>18</v>
      </c>
    </row>
    <row r="115" spans="1:11" x14ac:dyDescent="0.3">
      <c r="A115" s="126">
        <v>12</v>
      </c>
      <c r="B115" s="492"/>
      <c r="C115" s="153" t="s">
        <v>31</v>
      </c>
      <c r="D115" s="126">
        <v>12</v>
      </c>
      <c r="E115" s="126">
        <v>5</v>
      </c>
      <c r="F115" s="126" t="s">
        <v>18</v>
      </c>
      <c r="G115" s="126" t="s">
        <v>18</v>
      </c>
      <c r="H115" s="126" t="s">
        <v>18</v>
      </c>
      <c r="I115" s="126" t="s">
        <v>18</v>
      </c>
      <c r="J115" s="126" t="s">
        <v>18</v>
      </c>
      <c r="K115" s="126" t="s">
        <v>18</v>
      </c>
    </row>
    <row r="116" spans="1:11" x14ac:dyDescent="0.3">
      <c r="A116" s="126">
        <v>13</v>
      </c>
      <c r="B116" s="492"/>
      <c r="C116" s="153" t="s">
        <v>32</v>
      </c>
      <c r="D116" s="126">
        <v>7</v>
      </c>
      <c r="E116" s="126">
        <v>5</v>
      </c>
      <c r="F116" s="126" t="s">
        <v>18</v>
      </c>
      <c r="G116" s="126">
        <v>10</v>
      </c>
      <c r="H116" s="126" t="s">
        <v>18</v>
      </c>
      <c r="I116" s="126" t="s">
        <v>18</v>
      </c>
      <c r="J116" s="126" t="s">
        <v>18</v>
      </c>
      <c r="K116" s="126" t="s">
        <v>18</v>
      </c>
    </row>
    <row r="117" spans="1:11" x14ac:dyDescent="0.3">
      <c r="A117" s="126">
        <v>14</v>
      </c>
      <c r="B117" s="493"/>
      <c r="C117" s="153" t="s">
        <v>343</v>
      </c>
      <c r="D117" s="126">
        <v>1</v>
      </c>
      <c r="E117" s="126" t="s">
        <v>18</v>
      </c>
      <c r="F117" s="126" t="s">
        <v>18</v>
      </c>
      <c r="G117" s="126">
        <v>7</v>
      </c>
      <c r="H117" s="126" t="s">
        <v>18</v>
      </c>
      <c r="I117" s="126" t="s">
        <v>18</v>
      </c>
      <c r="J117" s="126" t="s">
        <v>18</v>
      </c>
      <c r="K117" s="126" t="s">
        <v>18</v>
      </c>
    </row>
    <row r="118" spans="1:11" x14ac:dyDescent="0.3">
      <c r="A118" s="126">
        <v>15</v>
      </c>
      <c r="B118" s="626" t="s">
        <v>127</v>
      </c>
      <c r="C118" s="153" t="s">
        <v>33</v>
      </c>
      <c r="D118" s="126">
        <v>2</v>
      </c>
      <c r="E118" s="126">
        <v>66</v>
      </c>
      <c r="F118" s="126" t="s">
        <v>18</v>
      </c>
      <c r="G118" s="126">
        <v>16</v>
      </c>
      <c r="H118" s="126" t="s">
        <v>18</v>
      </c>
      <c r="I118" s="126" t="s">
        <v>18</v>
      </c>
      <c r="J118" s="126" t="s">
        <v>18</v>
      </c>
      <c r="K118" s="126" t="s">
        <v>18</v>
      </c>
    </row>
    <row r="119" spans="1:11" x14ac:dyDescent="0.3">
      <c r="A119" s="126">
        <v>14</v>
      </c>
      <c r="B119" s="492"/>
      <c r="C119" s="153" t="s">
        <v>34</v>
      </c>
      <c r="D119" s="126">
        <v>16</v>
      </c>
      <c r="E119" s="126">
        <v>11</v>
      </c>
      <c r="F119" s="126">
        <v>4</v>
      </c>
      <c r="G119" s="126">
        <v>4</v>
      </c>
      <c r="H119" s="126" t="s">
        <v>18</v>
      </c>
      <c r="I119" s="126" t="s">
        <v>18</v>
      </c>
      <c r="J119" s="126" t="s">
        <v>18</v>
      </c>
      <c r="K119" s="126" t="s">
        <v>18</v>
      </c>
    </row>
    <row r="120" spans="1:11" x14ac:dyDescent="0.3">
      <c r="A120" s="126">
        <v>17</v>
      </c>
      <c r="B120" s="492"/>
      <c r="C120" s="153" t="s">
        <v>35</v>
      </c>
      <c r="D120" s="126">
        <v>9</v>
      </c>
      <c r="E120" s="126">
        <v>3</v>
      </c>
      <c r="F120" s="126">
        <v>1</v>
      </c>
      <c r="G120" s="126">
        <v>20</v>
      </c>
      <c r="H120" s="126" t="s">
        <v>18</v>
      </c>
      <c r="I120" s="126" t="s">
        <v>18</v>
      </c>
      <c r="J120" s="126" t="s">
        <v>18</v>
      </c>
      <c r="K120" s="126" t="s">
        <v>18</v>
      </c>
    </row>
    <row r="121" spans="1:11" x14ac:dyDescent="0.3">
      <c r="A121" s="126">
        <v>18</v>
      </c>
      <c r="B121" s="492"/>
      <c r="C121" s="153" t="s">
        <v>36</v>
      </c>
      <c r="D121" s="126">
        <v>22</v>
      </c>
      <c r="E121" s="126" t="s">
        <v>18</v>
      </c>
      <c r="F121" s="126" t="s">
        <v>18</v>
      </c>
      <c r="G121" s="126">
        <v>32</v>
      </c>
      <c r="H121" s="126">
        <v>22</v>
      </c>
      <c r="I121" s="126" t="s">
        <v>18</v>
      </c>
      <c r="J121" s="126" t="s">
        <v>18</v>
      </c>
      <c r="K121" s="126" t="s">
        <v>18</v>
      </c>
    </row>
    <row r="122" spans="1:11" x14ac:dyDescent="0.3">
      <c r="A122" s="126">
        <v>19</v>
      </c>
      <c r="B122" s="492"/>
      <c r="C122" s="153" t="s">
        <v>37</v>
      </c>
      <c r="D122" s="126">
        <v>3</v>
      </c>
      <c r="E122" s="126" t="s">
        <v>18</v>
      </c>
      <c r="F122" s="126" t="s">
        <v>18</v>
      </c>
      <c r="G122" s="126">
        <v>6</v>
      </c>
      <c r="H122" s="126">
        <v>2</v>
      </c>
      <c r="I122" s="126" t="s">
        <v>18</v>
      </c>
      <c r="J122" s="126" t="s">
        <v>18</v>
      </c>
      <c r="K122" s="126" t="s">
        <v>18</v>
      </c>
    </row>
    <row r="123" spans="1:11" x14ac:dyDescent="0.3">
      <c r="A123" s="126"/>
      <c r="B123" s="493"/>
      <c r="C123" s="153" t="s">
        <v>141</v>
      </c>
      <c r="D123" s="126">
        <v>2</v>
      </c>
      <c r="E123" s="126" t="s">
        <v>18</v>
      </c>
      <c r="F123" s="126" t="s">
        <v>18</v>
      </c>
      <c r="G123" s="126" t="s">
        <v>18</v>
      </c>
      <c r="H123" s="126" t="s">
        <v>18</v>
      </c>
      <c r="I123" s="126" t="s">
        <v>18</v>
      </c>
      <c r="J123" s="126" t="s">
        <v>18</v>
      </c>
      <c r="K123" s="126" t="s">
        <v>18</v>
      </c>
    </row>
    <row r="124" spans="1:11" x14ac:dyDescent="0.3">
      <c r="A124" s="126">
        <v>20</v>
      </c>
      <c r="B124" s="503" t="s">
        <v>38</v>
      </c>
      <c r="C124" s="153" t="s">
        <v>38</v>
      </c>
      <c r="D124" s="126">
        <v>32</v>
      </c>
      <c r="E124" s="126" t="s">
        <v>18</v>
      </c>
      <c r="F124" s="126" t="s">
        <v>18</v>
      </c>
      <c r="G124" s="126">
        <v>22</v>
      </c>
      <c r="H124" s="126" t="s">
        <v>18</v>
      </c>
      <c r="I124" s="126" t="s">
        <v>18</v>
      </c>
      <c r="J124" s="126" t="s">
        <v>18</v>
      </c>
      <c r="K124" s="126" t="s">
        <v>18</v>
      </c>
    </row>
    <row r="125" spans="1:11" x14ac:dyDescent="0.3">
      <c r="A125" s="126">
        <v>21</v>
      </c>
      <c r="B125" s="503"/>
      <c r="C125" s="153" t="s">
        <v>39</v>
      </c>
      <c r="D125" s="126">
        <v>18</v>
      </c>
      <c r="E125" s="126">
        <v>1</v>
      </c>
      <c r="F125" s="126" t="s">
        <v>18</v>
      </c>
      <c r="G125" s="126">
        <v>17</v>
      </c>
      <c r="H125" s="126" t="s">
        <v>18</v>
      </c>
      <c r="I125" s="126" t="s">
        <v>18</v>
      </c>
      <c r="J125" s="126" t="s">
        <v>18</v>
      </c>
      <c r="K125" s="126" t="s">
        <v>18</v>
      </c>
    </row>
    <row r="126" spans="1:11" x14ac:dyDescent="0.3">
      <c r="A126" s="126">
        <v>22</v>
      </c>
      <c r="B126" s="503" t="s">
        <v>88</v>
      </c>
      <c r="C126" s="153" t="s">
        <v>88</v>
      </c>
      <c r="D126" s="126">
        <v>2</v>
      </c>
      <c r="E126" s="126">
        <v>2</v>
      </c>
      <c r="F126" s="126" t="s">
        <v>18</v>
      </c>
      <c r="G126" s="126">
        <v>24</v>
      </c>
      <c r="H126" s="126" t="s">
        <v>18</v>
      </c>
      <c r="I126" s="126" t="s">
        <v>18</v>
      </c>
      <c r="J126" s="126" t="s">
        <v>18</v>
      </c>
      <c r="K126" s="126" t="s">
        <v>18</v>
      </c>
    </row>
    <row r="127" spans="1:11" x14ac:dyDescent="0.3">
      <c r="A127" s="126">
        <v>23</v>
      </c>
      <c r="B127" s="503"/>
      <c r="C127" s="153" t="s">
        <v>41</v>
      </c>
      <c r="D127" s="126" t="s">
        <v>18</v>
      </c>
      <c r="E127" s="126" t="s">
        <v>18</v>
      </c>
      <c r="F127" s="126" t="s">
        <v>18</v>
      </c>
      <c r="G127" s="126" t="s">
        <v>18</v>
      </c>
      <c r="H127" s="126" t="s">
        <v>18</v>
      </c>
      <c r="I127" s="126" t="s">
        <v>18</v>
      </c>
      <c r="J127" s="126" t="s">
        <v>18</v>
      </c>
      <c r="K127" s="126" t="s">
        <v>18</v>
      </c>
    </row>
    <row r="128" spans="1:11" x14ac:dyDescent="0.3">
      <c r="A128" s="126">
        <v>24</v>
      </c>
      <c r="B128" s="503"/>
      <c r="C128" s="153" t="s">
        <v>42</v>
      </c>
      <c r="D128" s="126" t="s">
        <v>18</v>
      </c>
      <c r="E128" s="126" t="s">
        <v>18</v>
      </c>
      <c r="F128" s="126" t="s">
        <v>18</v>
      </c>
      <c r="G128" s="126" t="s">
        <v>18</v>
      </c>
      <c r="H128" s="126" t="s">
        <v>18</v>
      </c>
      <c r="I128" s="126" t="s">
        <v>18</v>
      </c>
      <c r="J128" s="126" t="s">
        <v>18</v>
      </c>
      <c r="K128" s="126" t="s">
        <v>18</v>
      </c>
    </row>
    <row r="129" spans="1:11" x14ac:dyDescent="0.3">
      <c r="A129" s="126"/>
      <c r="B129" s="503" t="s">
        <v>43</v>
      </c>
      <c r="C129" s="153" t="s">
        <v>43</v>
      </c>
      <c r="D129" s="126">
        <v>2</v>
      </c>
      <c r="E129" s="126" t="s">
        <v>18</v>
      </c>
      <c r="F129" s="126" t="s">
        <v>18</v>
      </c>
      <c r="G129" s="126">
        <v>7</v>
      </c>
      <c r="H129" s="126" t="s">
        <v>18</v>
      </c>
      <c r="I129" s="126" t="s">
        <v>18</v>
      </c>
      <c r="J129" s="126" t="s">
        <v>18</v>
      </c>
      <c r="K129" s="126" t="s">
        <v>18</v>
      </c>
    </row>
    <row r="130" spans="1:11" x14ac:dyDescent="0.3">
      <c r="A130" s="126">
        <v>25</v>
      </c>
      <c r="B130" s="503"/>
      <c r="C130" s="153" t="s">
        <v>44</v>
      </c>
      <c r="D130" s="126">
        <v>3</v>
      </c>
      <c r="E130" s="126" t="s">
        <v>18</v>
      </c>
      <c r="F130" s="126" t="s">
        <v>18</v>
      </c>
      <c r="G130" s="126">
        <v>16</v>
      </c>
      <c r="H130" s="126" t="s">
        <v>18</v>
      </c>
      <c r="I130" s="126" t="s">
        <v>18</v>
      </c>
      <c r="J130" s="126" t="s">
        <v>18</v>
      </c>
      <c r="K130" s="126" t="s">
        <v>18</v>
      </c>
    </row>
    <row r="131" spans="1:11" x14ac:dyDescent="0.3">
      <c r="A131" s="126">
        <v>26</v>
      </c>
      <c r="B131" s="503"/>
      <c r="C131" s="153" t="s">
        <v>45</v>
      </c>
      <c r="D131" s="126" t="s">
        <v>18</v>
      </c>
      <c r="E131" s="126" t="s">
        <v>18</v>
      </c>
      <c r="F131" s="126" t="s">
        <v>18</v>
      </c>
      <c r="G131" s="126">
        <v>14</v>
      </c>
      <c r="H131" s="126" t="s">
        <v>18</v>
      </c>
      <c r="I131" s="126" t="s">
        <v>18</v>
      </c>
      <c r="J131" s="126" t="s">
        <v>18</v>
      </c>
      <c r="K131" s="126" t="s">
        <v>18</v>
      </c>
    </row>
    <row r="132" spans="1:11" x14ac:dyDescent="0.3">
      <c r="A132" s="263">
        <v>27</v>
      </c>
      <c r="B132" s="503" t="s">
        <v>46</v>
      </c>
      <c r="C132" s="264" t="s">
        <v>47</v>
      </c>
      <c r="D132" s="263">
        <v>15</v>
      </c>
      <c r="E132" s="263" t="s">
        <v>18</v>
      </c>
      <c r="F132" s="263" t="s">
        <v>18</v>
      </c>
      <c r="G132" s="263">
        <v>38</v>
      </c>
      <c r="H132" s="263" t="s">
        <v>18</v>
      </c>
      <c r="I132" s="263" t="s">
        <v>18</v>
      </c>
      <c r="J132" s="263" t="s">
        <v>18</v>
      </c>
      <c r="K132" s="263" t="s">
        <v>18</v>
      </c>
    </row>
    <row r="133" spans="1:11" x14ac:dyDescent="0.3">
      <c r="A133" s="126">
        <v>28</v>
      </c>
      <c r="B133" s="503"/>
      <c r="C133" s="153" t="s">
        <v>48</v>
      </c>
      <c r="D133" s="126" t="s">
        <v>18</v>
      </c>
      <c r="E133" s="126" t="s">
        <v>18</v>
      </c>
      <c r="F133" s="126" t="s">
        <v>18</v>
      </c>
      <c r="G133" s="126" t="s">
        <v>18</v>
      </c>
      <c r="H133" s="126" t="s">
        <v>18</v>
      </c>
      <c r="I133" s="126" t="s">
        <v>18</v>
      </c>
      <c r="J133" s="126" t="s">
        <v>18</v>
      </c>
      <c r="K133" s="126" t="s">
        <v>18</v>
      </c>
    </row>
    <row r="134" spans="1:11" x14ac:dyDescent="0.3">
      <c r="A134" s="126">
        <v>29</v>
      </c>
      <c r="B134" s="503" t="s">
        <v>49</v>
      </c>
      <c r="C134" s="153" t="s">
        <v>49</v>
      </c>
      <c r="D134" s="126">
        <v>54</v>
      </c>
      <c r="E134" s="126">
        <v>12</v>
      </c>
      <c r="F134" s="126">
        <v>17</v>
      </c>
      <c r="G134" s="126">
        <v>83</v>
      </c>
      <c r="H134" s="126" t="s">
        <v>18</v>
      </c>
      <c r="I134" s="126">
        <v>1</v>
      </c>
      <c r="J134" s="126">
        <v>1</v>
      </c>
      <c r="K134" s="126" t="s">
        <v>18</v>
      </c>
    </row>
    <row r="135" spans="1:11" x14ac:dyDescent="0.3">
      <c r="A135" s="126">
        <v>30</v>
      </c>
      <c r="B135" s="503"/>
      <c r="C135" s="153" t="s">
        <v>50</v>
      </c>
      <c r="D135" s="126">
        <v>15</v>
      </c>
      <c r="E135" s="126">
        <v>1</v>
      </c>
      <c r="F135" s="126" t="s">
        <v>18</v>
      </c>
      <c r="G135" s="126" t="s">
        <v>18</v>
      </c>
      <c r="H135" s="126" t="s">
        <v>18</v>
      </c>
      <c r="I135" s="126" t="s">
        <v>18</v>
      </c>
      <c r="J135" s="126" t="s">
        <v>18</v>
      </c>
      <c r="K135" s="126" t="s">
        <v>18</v>
      </c>
    </row>
    <row r="136" spans="1:11" x14ac:dyDescent="0.3">
      <c r="A136" s="126">
        <v>31</v>
      </c>
      <c r="B136" s="503"/>
      <c r="C136" s="153" t="s">
        <v>51</v>
      </c>
      <c r="D136" s="126">
        <v>18</v>
      </c>
      <c r="E136" s="126" t="s">
        <v>18</v>
      </c>
      <c r="F136" s="126" t="s">
        <v>18</v>
      </c>
      <c r="G136" s="126">
        <v>30</v>
      </c>
      <c r="H136" s="126" t="s">
        <v>18</v>
      </c>
      <c r="I136" s="126" t="s">
        <v>18</v>
      </c>
      <c r="J136" s="126" t="s">
        <v>18</v>
      </c>
      <c r="K136" s="126" t="s">
        <v>18</v>
      </c>
    </row>
    <row r="137" spans="1:11" x14ac:dyDescent="0.3">
      <c r="A137" s="126">
        <v>32</v>
      </c>
      <c r="B137" s="503" t="s">
        <v>52</v>
      </c>
      <c r="C137" s="153" t="s">
        <v>53</v>
      </c>
      <c r="D137" s="126">
        <v>23</v>
      </c>
      <c r="E137" s="126">
        <v>22</v>
      </c>
      <c r="F137" s="126">
        <v>20</v>
      </c>
      <c r="G137" s="126">
        <v>38</v>
      </c>
      <c r="H137" s="126">
        <v>15</v>
      </c>
      <c r="I137" s="126" t="s">
        <v>18</v>
      </c>
      <c r="J137" s="126" t="s">
        <v>18</v>
      </c>
      <c r="K137" s="126" t="s">
        <v>18</v>
      </c>
    </row>
    <row r="138" spans="1:11" x14ac:dyDescent="0.3">
      <c r="A138" s="126">
        <v>33</v>
      </c>
      <c r="B138" s="503"/>
      <c r="C138" s="153" t="s">
        <v>54</v>
      </c>
      <c r="D138" s="126">
        <v>12</v>
      </c>
      <c r="E138" s="126">
        <v>2</v>
      </c>
      <c r="F138" s="126" t="s">
        <v>18</v>
      </c>
      <c r="G138" s="126">
        <v>8</v>
      </c>
      <c r="H138" s="126" t="s">
        <v>18</v>
      </c>
      <c r="I138" s="126" t="s">
        <v>18</v>
      </c>
      <c r="J138" s="126" t="s">
        <v>18</v>
      </c>
      <c r="K138" s="126" t="s">
        <v>18</v>
      </c>
    </row>
    <row r="139" spans="1:11" x14ac:dyDescent="0.3">
      <c r="A139" s="126">
        <v>34</v>
      </c>
      <c r="B139" s="503"/>
      <c r="C139" s="153" t="s">
        <v>55</v>
      </c>
      <c r="D139" s="126">
        <v>23</v>
      </c>
      <c r="E139" s="126">
        <v>6</v>
      </c>
      <c r="F139" s="126" t="s">
        <v>18</v>
      </c>
      <c r="G139" s="126">
        <v>15</v>
      </c>
      <c r="H139" s="126" t="s">
        <v>18</v>
      </c>
      <c r="I139" s="126" t="s">
        <v>18</v>
      </c>
      <c r="J139" s="126" t="s">
        <v>18</v>
      </c>
      <c r="K139" s="126" t="s">
        <v>18</v>
      </c>
    </row>
    <row r="140" spans="1:11" x14ac:dyDescent="0.3">
      <c r="A140" s="126">
        <v>3</v>
      </c>
      <c r="B140" s="503"/>
      <c r="C140" s="153" t="s">
        <v>56</v>
      </c>
      <c r="D140" s="126">
        <v>11</v>
      </c>
      <c r="E140" s="126">
        <v>1</v>
      </c>
      <c r="F140" s="126" t="s">
        <v>18</v>
      </c>
      <c r="G140" s="126">
        <v>7</v>
      </c>
      <c r="H140" s="126">
        <v>7</v>
      </c>
      <c r="I140" s="126" t="s">
        <v>18</v>
      </c>
      <c r="J140" s="126" t="s">
        <v>18</v>
      </c>
      <c r="K140" s="126" t="s">
        <v>18</v>
      </c>
    </row>
    <row r="141" spans="1:11" x14ac:dyDescent="0.3">
      <c r="A141" s="126">
        <v>36</v>
      </c>
      <c r="B141" s="503"/>
      <c r="C141" s="153" t="s">
        <v>57</v>
      </c>
      <c r="D141" s="126">
        <v>4</v>
      </c>
      <c r="E141" s="126" t="s">
        <v>18</v>
      </c>
      <c r="F141" s="126">
        <v>5</v>
      </c>
      <c r="G141" s="126">
        <v>12</v>
      </c>
      <c r="H141" s="126">
        <v>4</v>
      </c>
      <c r="I141" s="126" t="s">
        <v>18</v>
      </c>
      <c r="J141" s="126" t="s">
        <v>18</v>
      </c>
      <c r="K141" s="126" t="s">
        <v>18</v>
      </c>
    </row>
    <row r="142" spans="1:11" x14ac:dyDescent="0.3">
      <c r="A142" s="126">
        <v>37</v>
      </c>
      <c r="B142" s="503"/>
      <c r="C142" s="153" t="s">
        <v>58</v>
      </c>
      <c r="D142" s="126">
        <v>1</v>
      </c>
      <c r="E142" s="126" t="s">
        <v>18</v>
      </c>
      <c r="F142" s="126" t="s">
        <v>18</v>
      </c>
      <c r="G142" s="126">
        <v>7</v>
      </c>
      <c r="H142" s="126" t="s">
        <v>18</v>
      </c>
      <c r="I142" s="126" t="s">
        <v>18</v>
      </c>
      <c r="J142" s="126" t="s">
        <v>18</v>
      </c>
      <c r="K142" s="126" t="s">
        <v>18</v>
      </c>
    </row>
    <row r="143" spans="1:11" x14ac:dyDescent="0.3">
      <c r="A143" s="126">
        <v>38</v>
      </c>
      <c r="B143" s="503"/>
      <c r="C143" s="153" t="s">
        <v>59</v>
      </c>
      <c r="D143" s="126">
        <v>1</v>
      </c>
      <c r="E143" s="126">
        <v>4</v>
      </c>
      <c r="F143" s="126" t="s">
        <v>18</v>
      </c>
      <c r="G143" s="126">
        <v>7</v>
      </c>
      <c r="H143" s="126" t="s">
        <v>18</v>
      </c>
      <c r="I143" s="126" t="s">
        <v>18</v>
      </c>
      <c r="J143" s="126" t="s">
        <v>18</v>
      </c>
      <c r="K143" s="126" t="s">
        <v>18</v>
      </c>
    </row>
    <row r="144" spans="1:11" x14ac:dyDescent="0.3">
      <c r="A144" s="126"/>
      <c r="B144" s="153"/>
      <c r="C144" s="153" t="s">
        <v>60</v>
      </c>
      <c r="D144" s="126">
        <f>SUM(D101:D143)</f>
        <v>373</v>
      </c>
      <c r="E144" s="126">
        <f t="shared" ref="E144:K144" si="2">SUM(E101:E143)</f>
        <v>179</v>
      </c>
      <c r="F144" s="126">
        <f t="shared" si="2"/>
        <v>77</v>
      </c>
      <c r="G144" s="126">
        <f t="shared" si="2"/>
        <v>585</v>
      </c>
      <c r="H144" s="126">
        <f t="shared" si="2"/>
        <v>50</v>
      </c>
      <c r="I144" s="126">
        <f t="shared" si="2"/>
        <v>1</v>
      </c>
      <c r="J144" s="126">
        <f t="shared" si="2"/>
        <v>1</v>
      </c>
      <c r="K144" s="126">
        <f t="shared" si="2"/>
        <v>0</v>
      </c>
    </row>
    <row r="147" spans="1:11" x14ac:dyDescent="0.3">
      <c r="A147" s="502" t="s">
        <v>1079</v>
      </c>
      <c r="B147" s="502"/>
      <c r="C147" s="502"/>
      <c r="D147" s="502"/>
      <c r="E147" s="502"/>
      <c r="F147" s="502"/>
      <c r="G147" s="502"/>
      <c r="H147" s="502"/>
      <c r="I147" s="502"/>
      <c r="J147" s="502"/>
      <c r="K147" s="502"/>
    </row>
    <row r="148" spans="1:11" ht="56.25" x14ac:dyDescent="0.3">
      <c r="A148" s="126" t="s">
        <v>211</v>
      </c>
      <c r="B148" s="153" t="s">
        <v>1</v>
      </c>
      <c r="C148" s="153" t="s">
        <v>182</v>
      </c>
      <c r="D148" s="126" t="s">
        <v>208</v>
      </c>
      <c r="E148" s="126" t="s">
        <v>209</v>
      </c>
      <c r="F148" s="126" t="s">
        <v>210</v>
      </c>
      <c r="G148" s="126" t="s">
        <v>212</v>
      </c>
      <c r="H148" s="126" t="s">
        <v>213</v>
      </c>
      <c r="I148" s="126" t="s">
        <v>214</v>
      </c>
      <c r="J148" s="126" t="s">
        <v>215</v>
      </c>
      <c r="K148" s="126" t="s">
        <v>216</v>
      </c>
    </row>
    <row r="149" spans="1:11" x14ac:dyDescent="0.3">
      <c r="A149" s="126">
        <v>1</v>
      </c>
      <c r="B149" s="503" t="s">
        <v>16</v>
      </c>
      <c r="C149" s="153" t="s">
        <v>17</v>
      </c>
      <c r="D149" s="126">
        <v>6</v>
      </c>
      <c r="E149" s="126" t="s">
        <v>18</v>
      </c>
      <c r="F149" s="126" t="s">
        <v>18</v>
      </c>
      <c r="G149" s="126">
        <v>33</v>
      </c>
      <c r="H149" s="126" t="s">
        <v>18</v>
      </c>
      <c r="I149" s="126" t="s">
        <v>18</v>
      </c>
      <c r="J149" s="126" t="s">
        <v>18</v>
      </c>
      <c r="K149" s="126" t="s">
        <v>18</v>
      </c>
    </row>
    <row r="150" spans="1:11" x14ac:dyDescent="0.3">
      <c r="A150" s="126">
        <v>2</v>
      </c>
      <c r="B150" s="503"/>
      <c r="C150" s="153" t="s">
        <v>19</v>
      </c>
      <c r="D150" s="126">
        <v>2</v>
      </c>
      <c r="E150" s="126" t="s">
        <v>18</v>
      </c>
      <c r="F150" s="126" t="s">
        <v>18</v>
      </c>
      <c r="G150" s="126">
        <v>5</v>
      </c>
      <c r="H150" s="126" t="s">
        <v>18</v>
      </c>
      <c r="I150" s="126" t="s">
        <v>18</v>
      </c>
      <c r="J150" s="126" t="s">
        <v>18</v>
      </c>
      <c r="K150" s="126" t="s">
        <v>18</v>
      </c>
    </row>
    <row r="151" spans="1:11" x14ac:dyDescent="0.3">
      <c r="A151" s="126">
        <v>3</v>
      </c>
      <c r="B151" s="153" t="s">
        <v>20</v>
      </c>
      <c r="C151" s="153" t="s">
        <v>20</v>
      </c>
      <c r="D151" s="126">
        <v>8</v>
      </c>
      <c r="E151" s="126" t="s">
        <v>18</v>
      </c>
      <c r="F151" s="126" t="s">
        <v>18</v>
      </c>
      <c r="G151" s="126">
        <v>8</v>
      </c>
      <c r="H151" s="126" t="s">
        <v>18</v>
      </c>
      <c r="I151" s="126" t="s">
        <v>18</v>
      </c>
      <c r="J151" s="126" t="s">
        <v>18</v>
      </c>
      <c r="K151" s="126" t="s">
        <v>18</v>
      </c>
    </row>
    <row r="152" spans="1:11" x14ac:dyDescent="0.3">
      <c r="A152" s="126">
        <v>4</v>
      </c>
      <c r="B152" s="503" t="s">
        <v>21</v>
      </c>
      <c r="C152" s="153" t="s">
        <v>21</v>
      </c>
      <c r="D152" s="126">
        <v>3</v>
      </c>
      <c r="E152" s="126" t="s">
        <v>18</v>
      </c>
      <c r="F152" s="126">
        <v>15</v>
      </c>
      <c r="G152" s="126">
        <v>16</v>
      </c>
      <c r="H152" s="126" t="s">
        <v>18</v>
      </c>
      <c r="I152" s="126" t="s">
        <v>18</v>
      </c>
      <c r="J152" s="126" t="s">
        <v>18</v>
      </c>
      <c r="K152" s="126" t="s">
        <v>18</v>
      </c>
    </row>
    <row r="153" spans="1:11" x14ac:dyDescent="0.3">
      <c r="A153" s="126">
        <v>5</v>
      </c>
      <c r="B153" s="503"/>
      <c r="C153" s="153" t="s">
        <v>22</v>
      </c>
      <c r="D153" s="126">
        <v>2</v>
      </c>
      <c r="E153" s="126" t="s">
        <v>18</v>
      </c>
      <c r="F153" s="126" t="s">
        <v>18</v>
      </c>
      <c r="G153" s="126">
        <v>40</v>
      </c>
      <c r="H153" s="126" t="s">
        <v>18</v>
      </c>
      <c r="I153" s="126" t="s">
        <v>18</v>
      </c>
      <c r="J153" s="126" t="s">
        <v>18</v>
      </c>
      <c r="K153" s="126" t="s">
        <v>18</v>
      </c>
    </row>
    <row r="154" spans="1:11" x14ac:dyDescent="0.3">
      <c r="A154" s="126">
        <v>5</v>
      </c>
      <c r="B154" s="503"/>
      <c r="C154" s="153" t="s">
        <v>163</v>
      </c>
      <c r="D154" s="126" t="s">
        <v>18</v>
      </c>
      <c r="E154" s="126">
        <v>4</v>
      </c>
      <c r="F154" s="126">
        <v>4</v>
      </c>
      <c r="G154" s="126">
        <v>11</v>
      </c>
      <c r="H154" s="126" t="s">
        <v>18</v>
      </c>
      <c r="I154" s="126" t="s">
        <v>18</v>
      </c>
      <c r="J154" s="126" t="s">
        <v>18</v>
      </c>
      <c r="K154" s="126" t="s">
        <v>18</v>
      </c>
    </row>
    <row r="155" spans="1:11" x14ac:dyDescent="0.3">
      <c r="A155" s="126">
        <v>6</v>
      </c>
      <c r="B155" s="503" t="s">
        <v>23</v>
      </c>
      <c r="C155" s="153" t="s">
        <v>23</v>
      </c>
      <c r="D155" s="126">
        <v>2</v>
      </c>
      <c r="E155" s="126">
        <v>7</v>
      </c>
      <c r="F155" s="126">
        <v>7</v>
      </c>
      <c r="G155" s="126">
        <v>2</v>
      </c>
      <c r="H155" s="126" t="s">
        <v>18</v>
      </c>
      <c r="I155" s="126" t="s">
        <v>18</v>
      </c>
      <c r="J155" s="126" t="s">
        <v>18</v>
      </c>
      <c r="K155" s="126" t="s">
        <v>18</v>
      </c>
    </row>
    <row r="156" spans="1:11" x14ac:dyDescent="0.3">
      <c r="A156" s="126"/>
      <c r="B156" s="503"/>
      <c r="C156" s="153" t="s">
        <v>821</v>
      </c>
      <c r="D156" s="126">
        <v>1</v>
      </c>
      <c r="E156" s="126" t="s">
        <v>18</v>
      </c>
      <c r="F156" s="126" t="s">
        <v>18</v>
      </c>
      <c r="G156" s="126">
        <v>4</v>
      </c>
      <c r="H156" s="126"/>
      <c r="I156" s="126"/>
      <c r="J156" s="126"/>
      <c r="K156" s="126"/>
    </row>
    <row r="157" spans="1:11" ht="37.5" x14ac:dyDescent="0.3">
      <c r="A157" s="126">
        <v>7</v>
      </c>
      <c r="B157" s="503"/>
      <c r="C157" s="153" t="s">
        <v>320</v>
      </c>
      <c r="D157" s="126">
        <v>1</v>
      </c>
      <c r="E157" s="126" t="s">
        <v>18</v>
      </c>
      <c r="F157" s="126" t="s">
        <v>18</v>
      </c>
      <c r="G157" s="126">
        <v>9</v>
      </c>
      <c r="H157" s="126" t="s">
        <v>18</v>
      </c>
      <c r="I157" s="126" t="s">
        <v>18</v>
      </c>
      <c r="J157" s="126" t="s">
        <v>18</v>
      </c>
      <c r="K157" s="126" t="s">
        <v>18</v>
      </c>
    </row>
    <row r="158" spans="1:11" x14ac:dyDescent="0.3">
      <c r="A158" s="126">
        <v>8</v>
      </c>
      <c r="B158" s="503" t="s">
        <v>25</v>
      </c>
      <c r="C158" s="153" t="s">
        <v>26</v>
      </c>
      <c r="D158" s="126">
        <v>7</v>
      </c>
      <c r="E158" s="126" t="s">
        <v>18</v>
      </c>
      <c r="F158" s="126" t="s">
        <v>18</v>
      </c>
      <c r="G158" s="126">
        <v>3</v>
      </c>
      <c r="H158" s="126" t="s">
        <v>18</v>
      </c>
      <c r="I158" s="126" t="s">
        <v>18</v>
      </c>
      <c r="J158" s="126" t="s">
        <v>18</v>
      </c>
      <c r="K158" s="126" t="s">
        <v>18</v>
      </c>
    </row>
    <row r="159" spans="1:11" x14ac:dyDescent="0.3">
      <c r="A159" s="126"/>
      <c r="B159" s="503"/>
      <c r="C159" s="153" t="s">
        <v>27</v>
      </c>
      <c r="D159" s="126">
        <v>4</v>
      </c>
      <c r="E159" s="126">
        <v>5</v>
      </c>
      <c r="F159" s="126" t="s">
        <v>18</v>
      </c>
      <c r="G159" s="126">
        <v>4</v>
      </c>
      <c r="H159" s="126" t="s">
        <v>18</v>
      </c>
      <c r="I159" s="126" t="s">
        <v>18</v>
      </c>
      <c r="J159" s="126" t="s">
        <v>18</v>
      </c>
      <c r="K159" s="126" t="s">
        <v>18</v>
      </c>
    </row>
    <row r="160" spans="1:11" x14ac:dyDescent="0.3">
      <c r="A160" s="126">
        <v>9</v>
      </c>
      <c r="B160" s="503"/>
      <c r="C160" s="153" t="s">
        <v>342</v>
      </c>
      <c r="D160" s="126">
        <v>1</v>
      </c>
      <c r="E160" s="126" t="s">
        <v>18</v>
      </c>
      <c r="F160" s="126" t="s">
        <v>18</v>
      </c>
      <c r="G160" s="126">
        <v>3</v>
      </c>
      <c r="H160" s="126" t="s">
        <v>18</v>
      </c>
      <c r="I160" s="126" t="s">
        <v>18</v>
      </c>
      <c r="J160" s="126" t="s">
        <v>18</v>
      </c>
      <c r="K160" s="126" t="s">
        <v>18</v>
      </c>
    </row>
    <row r="161" spans="1:11" x14ac:dyDescent="0.3">
      <c r="A161" s="126">
        <v>10</v>
      </c>
      <c r="B161" s="503" t="s">
        <v>28</v>
      </c>
      <c r="C161" s="153" t="s">
        <v>29</v>
      </c>
      <c r="D161" s="126">
        <v>27</v>
      </c>
      <c r="E161" s="126">
        <v>22</v>
      </c>
      <c r="F161" s="126">
        <v>2</v>
      </c>
      <c r="G161" s="126" t="s">
        <v>18</v>
      </c>
      <c r="H161" s="126" t="s">
        <v>18</v>
      </c>
      <c r="I161" s="126" t="s">
        <v>18</v>
      </c>
      <c r="J161" s="126" t="s">
        <v>18</v>
      </c>
      <c r="K161" s="126" t="s">
        <v>18</v>
      </c>
    </row>
    <row r="162" spans="1:11" x14ac:dyDescent="0.3">
      <c r="A162" s="126">
        <v>11</v>
      </c>
      <c r="B162" s="503"/>
      <c r="C162" s="153" t="s">
        <v>30</v>
      </c>
      <c r="D162" s="126">
        <v>2</v>
      </c>
      <c r="E162" s="126" t="s">
        <v>18</v>
      </c>
      <c r="F162" s="126" t="s">
        <v>18</v>
      </c>
      <c r="G162" s="126">
        <v>7</v>
      </c>
      <c r="H162" s="126" t="s">
        <v>18</v>
      </c>
      <c r="I162" s="126" t="s">
        <v>18</v>
      </c>
      <c r="J162" s="126" t="s">
        <v>18</v>
      </c>
      <c r="K162" s="126" t="s">
        <v>18</v>
      </c>
    </row>
    <row r="163" spans="1:11" x14ac:dyDescent="0.3">
      <c r="A163" s="126">
        <v>12</v>
      </c>
      <c r="B163" s="503"/>
      <c r="C163" s="153" t="s">
        <v>31</v>
      </c>
      <c r="D163" s="126">
        <v>17</v>
      </c>
      <c r="E163" s="126" t="s">
        <v>18</v>
      </c>
      <c r="F163" s="126" t="s">
        <v>18</v>
      </c>
      <c r="G163" s="126" t="s">
        <v>18</v>
      </c>
      <c r="H163" s="126" t="s">
        <v>18</v>
      </c>
      <c r="I163" s="126" t="s">
        <v>18</v>
      </c>
      <c r="J163" s="126" t="s">
        <v>18</v>
      </c>
      <c r="K163" s="126" t="s">
        <v>18</v>
      </c>
    </row>
    <row r="164" spans="1:11" x14ac:dyDescent="0.3">
      <c r="A164" s="126">
        <v>13</v>
      </c>
      <c r="B164" s="503"/>
      <c r="C164" s="153" t="s">
        <v>32</v>
      </c>
      <c r="D164" s="126">
        <v>6</v>
      </c>
      <c r="E164" s="126">
        <v>3</v>
      </c>
      <c r="F164" s="126" t="s">
        <v>18</v>
      </c>
      <c r="G164" s="126">
        <v>10</v>
      </c>
      <c r="H164" s="126" t="s">
        <v>18</v>
      </c>
      <c r="I164" s="126" t="s">
        <v>18</v>
      </c>
      <c r="J164" s="126" t="s">
        <v>18</v>
      </c>
      <c r="K164" s="126" t="s">
        <v>18</v>
      </c>
    </row>
    <row r="165" spans="1:11" x14ac:dyDescent="0.3">
      <c r="A165" s="126">
        <v>14</v>
      </c>
      <c r="B165" s="503"/>
      <c r="C165" s="153" t="s">
        <v>343</v>
      </c>
      <c r="D165" s="126">
        <v>1</v>
      </c>
      <c r="E165" s="126" t="s">
        <v>18</v>
      </c>
      <c r="F165" s="126" t="s">
        <v>18</v>
      </c>
      <c r="G165" s="126">
        <v>7</v>
      </c>
      <c r="H165" s="126" t="s">
        <v>18</v>
      </c>
      <c r="I165" s="126" t="s">
        <v>18</v>
      </c>
      <c r="J165" s="126" t="s">
        <v>18</v>
      </c>
      <c r="K165" s="126" t="s">
        <v>18</v>
      </c>
    </row>
    <row r="166" spans="1:11" x14ac:dyDescent="0.3">
      <c r="A166" s="126">
        <v>15</v>
      </c>
      <c r="B166" s="626" t="s">
        <v>127</v>
      </c>
      <c r="C166" s="153" t="s">
        <v>33</v>
      </c>
      <c r="D166" s="126">
        <v>2</v>
      </c>
      <c r="E166" s="126">
        <v>66</v>
      </c>
      <c r="F166" s="126" t="s">
        <v>18</v>
      </c>
      <c r="G166" s="126">
        <v>16</v>
      </c>
      <c r="H166" s="126" t="s">
        <v>18</v>
      </c>
      <c r="I166" s="126" t="s">
        <v>18</v>
      </c>
      <c r="J166" s="126" t="s">
        <v>18</v>
      </c>
      <c r="K166" s="126" t="s">
        <v>18</v>
      </c>
    </row>
    <row r="167" spans="1:11" x14ac:dyDescent="0.3">
      <c r="A167" s="126">
        <v>14</v>
      </c>
      <c r="B167" s="492"/>
      <c r="C167" s="153" t="s">
        <v>34</v>
      </c>
      <c r="D167" s="126">
        <v>16</v>
      </c>
      <c r="E167" s="126">
        <v>11</v>
      </c>
      <c r="F167" s="126">
        <v>4</v>
      </c>
      <c r="G167" s="126">
        <v>4</v>
      </c>
      <c r="H167" s="126" t="s">
        <v>18</v>
      </c>
      <c r="I167" s="126" t="s">
        <v>18</v>
      </c>
      <c r="J167" s="126" t="s">
        <v>18</v>
      </c>
      <c r="K167" s="126" t="s">
        <v>18</v>
      </c>
    </row>
    <row r="168" spans="1:11" x14ac:dyDescent="0.3">
      <c r="A168" s="126">
        <v>17</v>
      </c>
      <c r="B168" s="492"/>
      <c r="C168" s="153" t="s">
        <v>35</v>
      </c>
      <c r="D168" s="126">
        <v>9</v>
      </c>
      <c r="E168" s="126">
        <v>3</v>
      </c>
      <c r="F168" s="126">
        <v>1</v>
      </c>
      <c r="G168" s="126">
        <v>20</v>
      </c>
      <c r="H168" s="126" t="s">
        <v>18</v>
      </c>
      <c r="I168" s="126" t="s">
        <v>18</v>
      </c>
      <c r="J168" s="126" t="s">
        <v>18</v>
      </c>
      <c r="K168" s="126" t="s">
        <v>18</v>
      </c>
    </row>
    <row r="169" spans="1:11" x14ac:dyDescent="0.3">
      <c r="A169" s="126">
        <v>18</v>
      </c>
      <c r="B169" s="492"/>
      <c r="C169" s="153" t="s">
        <v>36</v>
      </c>
      <c r="D169" s="126">
        <v>22</v>
      </c>
      <c r="E169" s="126" t="s">
        <v>18</v>
      </c>
      <c r="F169" s="126" t="s">
        <v>18</v>
      </c>
      <c r="G169" s="126">
        <v>32</v>
      </c>
      <c r="H169" s="126">
        <v>22</v>
      </c>
      <c r="I169" s="126" t="s">
        <v>18</v>
      </c>
      <c r="J169" s="126" t="s">
        <v>18</v>
      </c>
      <c r="K169" s="126" t="s">
        <v>18</v>
      </c>
    </row>
    <row r="170" spans="1:11" x14ac:dyDescent="0.3">
      <c r="A170" s="126">
        <v>19</v>
      </c>
      <c r="B170" s="492"/>
      <c r="C170" s="153" t="s">
        <v>37</v>
      </c>
      <c r="D170" s="126">
        <v>3</v>
      </c>
      <c r="E170" s="126" t="s">
        <v>18</v>
      </c>
      <c r="F170" s="126" t="s">
        <v>18</v>
      </c>
      <c r="G170" s="126">
        <v>6</v>
      </c>
      <c r="H170" s="126">
        <v>2</v>
      </c>
      <c r="I170" s="126" t="s">
        <v>18</v>
      </c>
      <c r="J170" s="126" t="s">
        <v>18</v>
      </c>
      <c r="K170" s="126" t="s">
        <v>18</v>
      </c>
    </row>
    <row r="171" spans="1:11" x14ac:dyDescent="0.3">
      <c r="A171" s="126"/>
      <c r="B171" s="493"/>
      <c r="C171" s="153" t="s">
        <v>141</v>
      </c>
      <c r="D171" s="126">
        <v>2</v>
      </c>
      <c r="E171" s="126" t="s">
        <v>18</v>
      </c>
      <c r="F171" s="126" t="s">
        <v>18</v>
      </c>
      <c r="G171" s="126" t="s">
        <v>18</v>
      </c>
      <c r="H171" s="126" t="s">
        <v>18</v>
      </c>
      <c r="I171" s="126" t="s">
        <v>18</v>
      </c>
      <c r="J171" s="126" t="s">
        <v>18</v>
      </c>
      <c r="K171" s="126" t="s">
        <v>18</v>
      </c>
    </row>
    <row r="172" spans="1:11" x14ac:dyDescent="0.3">
      <c r="A172" s="126">
        <v>20</v>
      </c>
      <c r="B172" s="503" t="s">
        <v>38</v>
      </c>
      <c r="C172" s="153" t="s">
        <v>38</v>
      </c>
      <c r="D172" s="126">
        <v>32</v>
      </c>
      <c r="E172" s="126" t="s">
        <v>18</v>
      </c>
      <c r="F172" s="126" t="s">
        <v>18</v>
      </c>
      <c r="G172" s="126">
        <v>22</v>
      </c>
      <c r="H172" s="126" t="s">
        <v>18</v>
      </c>
      <c r="I172" s="126" t="s">
        <v>18</v>
      </c>
      <c r="J172" s="126" t="s">
        <v>18</v>
      </c>
      <c r="K172" s="126" t="s">
        <v>18</v>
      </c>
    </row>
    <row r="173" spans="1:11" x14ac:dyDescent="0.3">
      <c r="A173" s="126">
        <v>21</v>
      </c>
      <c r="B173" s="503"/>
      <c r="C173" s="153" t="s">
        <v>39</v>
      </c>
      <c r="D173" s="126">
        <v>18</v>
      </c>
      <c r="E173" s="126">
        <v>1</v>
      </c>
      <c r="F173" s="126" t="s">
        <v>18</v>
      </c>
      <c r="G173" s="126">
        <v>17</v>
      </c>
      <c r="H173" s="126" t="s">
        <v>18</v>
      </c>
      <c r="I173" s="126" t="s">
        <v>18</v>
      </c>
      <c r="J173" s="126" t="s">
        <v>18</v>
      </c>
      <c r="K173" s="126" t="s">
        <v>18</v>
      </c>
    </row>
    <row r="174" spans="1:11" x14ac:dyDescent="0.3">
      <c r="A174" s="126">
        <v>22</v>
      </c>
      <c r="B174" s="503" t="s">
        <v>88</v>
      </c>
      <c r="C174" s="153" t="s">
        <v>88</v>
      </c>
      <c r="D174" s="126">
        <v>2</v>
      </c>
      <c r="E174" s="126">
        <v>2</v>
      </c>
      <c r="F174" s="126" t="s">
        <v>18</v>
      </c>
      <c r="G174" s="126">
        <v>24</v>
      </c>
      <c r="H174" s="126" t="s">
        <v>18</v>
      </c>
      <c r="I174" s="126" t="s">
        <v>18</v>
      </c>
      <c r="J174" s="126" t="s">
        <v>18</v>
      </c>
      <c r="K174" s="126" t="s">
        <v>18</v>
      </c>
    </row>
    <row r="175" spans="1:11" x14ac:dyDescent="0.3">
      <c r="A175" s="126">
        <v>23</v>
      </c>
      <c r="B175" s="503"/>
      <c r="C175" s="153" t="s">
        <v>41</v>
      </c>
      <c r="D175" s="126" t="s">
        <v>18</v>
      </c>
      <c r="E175" s="126" t="s">
        <v>18</v>
      </c>
      <c r="F175" s="126" t="s">
        <v>18</v>
      </c>
      <c r="G175" s="126" t="s">
        <v>18</v>
      </c>
      <c r="H175" s="126" t="s">
        <v>18</v>
      </c>
      <c r="I175" s="126" t="s">
        <v>18</v>
      </c>
      <c r="J175" s="126" t="s">
        <v>18</v>
      </c>
      <c r="K175" s="126" t="s">
        <v>18</v>
      </c>
    </row>
    <row r="176" spans="1:11" x14ac:dyDescent="0.3">
      <c r="A176" s="126">
        <v>24</v>
      </c>
      <c r="B176" s="503"/>
      <c r="C176" s="153" t="s">
        <v>42</v>
      </c>
      <c r="D176" s="126" t="s">
        <v>18</v>
      </c>
      <c r="E176" s="126" t="s">
        <v>18</v>
      </c>
      <c r="F176" s="126" t="s">
        <v>18</v>
      </c>
      <c r="G176" s="126" t="s">
        <v>18</v>
      </c>
      <c r="H176" s="126" t="s">
        <v>18</v>
      </c>
      <c r="I176" s="126" t="s">
        <v>18</v>
      </c>
      <c r="J176" s="126" t="s">
        <v>18</v>
      </c>
      <c r="K176" s="126" t="s">
        <v>18</v>
      </c>
    </row>
    <row r="177" spans="1:11" x14ac:dyDescent="0.3">
      <c r="A177" s="126"/>
      <c r="B177" s="503" t="s">
        <v>43</v>
      </c>
      <c r="C177" s="153" t="s">
        <v>43</v>
      </c>
      <c r="D177" s="126">
        <v>2</v>
      </c>
      <c r="E177" s="126" t="s">
        <v>18</v>
      </c>
      <c r="F177" s="126" t="s">
        <v>18</v>
      </c>
      <c r="G177" s="126">
        <v>7</v>
      </c>
      <c r="H177" s="126" t="s">
        <v>18</v>
      </c>
      <c r="I177" s="126" t="s">
        <v>18</v>
      </c>
      <c r="J177" s="126" t="s">
        <v>18</v>
      </c>
      <c r="K177" s="126" t="s">
        <v>18</v>
      </c>
    </row>
    <row r="178" spans="1:11" x14ac:dyDescent="0.3">
      <c r="A178" s="126">
        <v>25</v>
      </c>
      <c r="B178" s="503"/>
      <c r="C178" s="153" t="s">
        <v>44</v>
      </c>
      <c r="D178" s="126">
        <v>3</v>
      </c>
      <c r="E178" s="126" t="s">
        <v>18</v>
      </c>
      <c r="F178" s="126" t="s">
        <v>18</v>
      </c>
      <c r="G178" s="126">
        <v>16</v>
      </c>
      <c r="H178" s="126" t="s">
        <v>18</v>
      </c>
      <c r="I178" s="126" t="s">
        <v>18</v>
      </c>
      <c r="J178" s="126" t="s">
        <v>18</v>
      </c>
      <c r="K178" s="126" t="s">
        <v>18</v>
      </c>
    </row>
    <row r="179" spans="1:11" x14ac:dyDescent="0.3">
      <c r="A179" s="126">
        <v>26</v>
      </c>
      <c r="B179" s="503"/>
      <c r="C179" s="153" t="s">
        <v>45</v>
      </c>
      <c r="D179" s="126" t="s">
        <v>18</v>
      </c>
      <c r="E179" s="126" t="s">
        <v>18</v>
      </c>
      <c r="F179" s="126" t="s">
        <v>18</v>
      </c>
      <c r="G179" s="126">
        <v>14</v>
      </c>
      <c r="H179" s="126" t="s">
        <v>18</v>
      </c>
      <c r="I179" s="126" t="s">
        <v>18</v>
      </c>
      <c r="J179" s="126" t="s">
        <v>18</v>
      </c>
      <c r="K179" s="126" t="s">
        <v>18</v>
      </c>
    </row>
    <row r="180" spans="1:11" x14ac:dyDescent="0.3">
      <c r="A180" s="263">
        <v>27</v>
      </c>
      <c r="B180" s="503" t="s">
        <v>46</v>
      </c>
      <c r="C180" s="264" t="s">
        <v>47</v>
      </c>
      <c r="D180" s="263">
        <v>15</v>
      </c>
      <c r="E180" s="263" t="s">
        <v>18</v>
      </c>
      <c r="F180" s="263" t="s">
        <v>18</v>
      </c>
      <c r="G180" s="263">
        <v>38</v>
      </c>
      <c r="H180" s="263" t="s">
        <v>18</v>
      </c>
      <c r="I180" s="263" t="s">
        <v>18</v>
      </c>
      <c r="J180" s="263" t="s">
        <v>18</v>
      </c>
      <c r="K180" s="263" t="s">
        <v>18</v>
      </c>
    </row>
    <row r="181" spans="1:11" x14ac:dyDescent="0.3">
      <c r="A181" s="126">
        <v>28</v>
      </c>
      <c r="B181" s="503"/>
      <c r="C181" s="153" t="s">
        <v>48</v>
      </c>
      <c r="D181" s="126" t="s">
        <v>18</v>
      </c>
      <c r="E181" s="126" t="s">
        <v>18</v>
      </c>
      <c r="F181" s="126" t="s">
        <v>18</v>
      </c>
      <c r="G181" s="126" t="s">
        <v>18</v>
      </c>
      <c r="H181" s="126" t="s">
        <v>18</v>
      </c>
      <c r="I181" s="126" t="s">
        <v>18</v>
      </c>
      <c r="J181" s="126" t="s">
        <v>18</v>
      </c>
      <c r="K181" s="126" t="s">
        <v>18</v>
      </c>
    </row>
    <row r="182" spans="1:11" x14ac:dyDescent="0.3">
      <c r="A182" s="126">
        <v>29</v>
      </c>
      <c r="B182" s="503" t="s">
        <v>49</v>
      </c>
      <c r="C182" s="153" t="s">
        <v>49</v>
      </c>
      <c r="D182" s="126">
        <v>52</v>
      </c>
      <c r="E182" s="126">
        <v>31</v>
      </c>
      <c r="F182" s="126">
        <v>15</v>
      </c>
      <c r="G182" s="126">
        <v>83</v>
      </c>
      <c r="H182" s="126" t="s">
        <v>18</v>
      </c>
      <c r="I182" s="126" t="s">
        <v>18</v>
      </c>
      <c r="J182" s="126" t="s">
        <v>18</v>
      </c>
      <c r="K182" s="126" t="s">
        <v>18</v>
      </c>
    </row>
    <row r="183" spans="1:11" x14ac:dyDescent="0.3">
      <c r="A183" s="126">
        <v>30</v>
      </c>
      <c r="B183" s="503"/>
      <c r="C183" s="153" t="s">
        <v>50</v>
      </c>
      <c r="D183" s="126">
        <v>14</v>
      </c>
      <c r="E183" s="126">
        <v>1</v>
      </c>
      <c r="F183" s="126" t="s">
        <v>18</v>
      </c>
      <c r="G183" s="126" t="s">
        <v>18</v>
      </c>
      <c r="H183" s="126" t="s">
        <v>18</v>
      </c>
      <c r="I183" s="126" t="s">
        <v>18</v>
      </c>
      <c r="J183" s="126" t="s">
        <v>18</v>
      </c>
      <c r="K183" s="126" t="s">
        <v>18</v>
      </c>
    </row>
    <row r="184" spans="1:11" x14ac:dyDescent="0.3">
      <c r="A184" s="126">
        <v>31</v>
      </c>
      <c r="B184" s="503"/>
      <c r="C184" s="153" t="s">
        <v>51</v>
      </c>
      <c r="D184" s="126">
        <v>15</v>
      </c>
      <c r="E184" s="126" t="s">
        <v>18</v>
      </c>
      <c r="F184" s="126" t="s">
        <v>18</v>
      </c>
      <c r="G184" s="126">
        <v>30</v>
      </c>
      <c r="H184" s="126" t="s">
        <v>18</v>
      </c>
      <c r="I184" s="126" t="s">
        <v>18</v>
      </c>
      <c r="J184" s="126" t="s">
        <v>18</v>
      </c>
      <c r="K184" s="126" t="s">
        <v>18</v>
      </c>
    </row>
    <row r="185" spans="1:11" x14ac:dyDescent="0.3">
      <c r="A185" s="126">
        <v>32</v>
      </c>
      <c r="B185" s="503" t="s">
        <v>52</v>
      </c>
      <c r="C185" s="153" t="s">
        <v>53</v>
      </c>
      <c r="D185" s="126">
        <v>23</v>
      </c>
      <c r="E185" s="126">
        <v>22</v>
      </c>
      <c r="F185" s="126">
        <v>20</v>
      </c>
      <c r="G185" s="126">
        <v>38</v>
      </c>
      <c r="H185" s="126">
        <v>15</v>
      </c>
      <c r="I185" s="126" t="s">
        <v>18</v>
      </c>
      <c r="J185" s="126" t="s">
        <v>18</v>
      </c>
      <c r="K185" s="126" t="s">
        <v>18</v>
      </c>
    </row>
    <row r="186" spans="1:11" x14ac:dyDescent="0.3">
      <c r="A186" s="126">
        <v>33</v>
      </c>
      <c r="B186" s="503"/>
      <c r="C186" s="153" t="s">
        <v>54</v>
      </c>
      <c r="D186" s="126">
        <v>12</v>
      </c>
      <c r="E186" s="126">
        <v>2</v>
      </c>
      <c r="F186" s="126" t="s">
        <v>18</v>
      </c>
      <c r="G186" s="126">
        <v>8</v>
      </c>
      <c r="H186" s="126" t="s">
        <v>18</v>
      </c>
      <c r="I186" s="126" t="s">
        <v>18</v>
      </c>
      <c r="J186" s="126" t="s">
        <v>18</v>
      </c>
      <c r="K186" s="126" t="s">
        <v>18</v>
      </c>
    </row>
    <row r="187" spans="1:11" x14ac:dyDescent="0.3">
      <c r="A187" s="126">
        <v>34</v>
      </c>
      <c r="B187" s="503"/>
      <c r="C187" s="153" t="s">
        <v>55</v>
      </c>
      <c r="D187" s="126">
        <v>23</v>
      </c>
      <c r="E187" s="126">
        <v>6</v>
      </c>
      <c r="F187" s="126" t="s">
        <v>18</v>
      </c>
      <c r="G187" s="126">
        <v>15</v>
      </c>
      <c r="H187" s="126" t="s">
        <v>18</v>
      </c>
      <c r="I187" s="126" t="s">
        <v>18</v>
      </c>
      <c r="J187" s="126" t="s">
        <v>18</v>
      </c>
      <c r="K187" s="126" t="s">
        <v>18</v>
      </c>
    </row>
    <row r="188" spans="1:11" x14ac:dyDescent="0.3">
      <c r="A188" s="126">
        <v>3</v>
      </c>
      <c r="B188" s="503"/>
      <c r="C188" s="153" t="s">
        <v>56</v>
      </c>
      <c r="D188" s="126">
        <v>11</v>
      </c>
      <c r="E188" s="126">
        <v>1</v>
      </c>
      <c r="F188" s="126" t="s">
        <v>18</v>
      </c>
      <c r="G188" s="126">
        <v>7</v>
      </c>
      <c r="H188" s="126">
        <v>7</v>
      </c>
      <c r="I188" s="126" t="s">
        <v>18</v>
      </c>
      <c r="J188" s="126" t="s">
        <v>18</v>
      </c>
      <c r="K188" s="126" t="s">
        <v>18</v>
      </c>
    </row>
    <row r="189" spans="1:11" x14ac:dyDescent="0.3">
      <c r="A189" s="126">
        <v>36</v>
      </c>
      <c r="B189" s="503"/>
      <c r="C189" s="153" t="s">
        <v>57</v>
      </c>
      <c r="D189" s="126">
        <v>4</v>
      </c>
      <c r="E189" s="126" t="s">
        <v>18</v>
      </c>
      <c r="F189" s="126">
        <v>5</v>
      </c>
      <c r="G189" s="126">
        <v>12</v>
      </c>
      <c r="H189" s="126">
        <v>4</v>
      </c>
      <c r="I189" s="126" t="s">
        <v>18</v>
      </c>
      <c r="J189" s="126" t="s">
        <v>18</v>
      </c>
      <c r="K189" s="126" t="s">
        <v>18</v>
      </c>
    </row>
    <row r="190" spans="1:11" x14ac:dyDescent="0.3">
      <c r="A190" s="126">
        <v>37</v>
      </c>
      <c r="B190" s="503"/>
      <c r="C190" s="153" t="s">
        <v>58</v>
      </c>
      <c r="D190" s="126">
        <v>1</v>
      </c>
      <c r="E190" s="126" t="s">
        <v>18</v>
      </c>
      <c r="F190" s="126" t="s">
        <v>18</v>
      </c>
      <c r="G190" s="126">
        <v>7</v>
      </c>
      <c r="H190" s="126" t="s">
        <v>18</v>
      </c>
      <c r="I190" s="126" t="s">
        <v>18</v>
      </c>
      <c r="J190" s="126" t="s">
        <v>18</v>
      </c>
      <c r="K190" s="126" t="s">
        <v>18</v>
      </c>
    </row>
    <row r="191" spans="1:11" x14ac:dyDescent="0.3">
      <c r="A191" s="126">
        <v>38</v>
      </c>
      <c r="B191" s="503"/>
      <c r="C191" s="153" t="s">
        <v>59</v>
      </c>
      <c r="D191" s="126">
        <v>1</v>
      </c>
      <c r="E191" s="126">
        <v>4</v>
      </c>
      <c r="F191" s="126" t="s">
        <v>18</v>
      </c>
      <c r="G191" s="126">
        <v>7</v>
      </c>
      <c r="H191" s="126" t="s">
        <v>18</v>
      </c>
      <c r="I191" s="126" t="s">
        <v>18</v>
      </c>
      <c r="J191" s="126" t="s">
        <v>18</v>
      </c>
      <c r="K191" s="126" t="s">
        <v>18</v>
      </c>
    </row>
    <row r="192" spans="1:11" x14ac:dyDescent="0.3">
      <c r="A192" s="126"/>
      <c r="B192" s="153"/>
      <c r="C192" s="153" t="s">
        <v>60</v>
      </c>
      <c r="D192" s="126">
        <f>SUM(D149:D191)</f>
        <v>372</v>
      </c>
      <c r="E192" s="126">
        <f t="shared" ref="E192:K192" si="3">SUM(E149:E191)</f>
        <v>191</v>
      </c>
      <c r="F192" s="126">
        <f t="shared" si="3"/>
        <v>73</v>
      </c>
      <c r="G192" s="126">
        <f t="shared" si="3"/>
        <v>585</v>
      </c>
      <c r="H192" s="126">
        <f t="shared" si="3"/>
        <v>50</v>
      </c>
      <c r="I192" s="126">
        <f t="shared" si="3"/>
        <v>0</v>
      </c>
      <c r="J192" s="126">
        <f t="shared" si="3"/>
        <v>0</v>
      </c>
      <c r="K192" s="126">
        <f t="shared" si="3"/>
        <v>0</v>
      </c>
    </row>
    <row r="195" spans="1:11" x14ac:dyDescent="0.3">
      <c r="A195" s="502" t="s">
        <v>783</v>
      </c>
      <c r="B195" s="502"/>
      <c r="C195" s="502"/>
      <c r="D195" s="502"/>
      <c r="E195" s="502"/>
      <c r="F195" s="502"/>
      <c r="G195" s="502"/>
      <c r="H195" s="502"/>
      <c r="I195" s="502"/>
      <c r="J195" s="502"/>
      <c r="K195" s="502"/>
    </row>
    <row r="196" spans="1:11" ht="56.25" x14ac:dyDescent="0.3">
      <c r="A196" s="126" t="s">
        <v>211</v>
      </c>
      <c r="B196" s="153" t="s">
        <v>1</v>
      </c>
      <c r="C196" s="153" t="s">
        <v>182</v>
      </c>
      <c r="D196" s="126" t="s">
        <v>208</v>
      </c>
      <c r="E196" s="126" t="s">
        <v>209</v>
      </c>
      <c r="F196" s="126" t="s">
        <v>210</v>
      </c>
      <c r="G196" s="126" t="s">
        <v>212</v>
      </c>
      <c r="H196" s="126" t="s">
        <v>213</v>
      </c>
      <c r="I196" s="126" t="s">
        <v>214</v>
      </c>
      <c r="J196" s="126" t="s">
        <v>215</v>
      </c>
      <c r="K196" s="126" t="s">
        <v>216</v>
      </c>
    </row>
    <row r="197" spans="1:11" x14ac:dyDescent="0.3">
      <c r="A197" s="126">
        <v>1</v>
      </c>
      <c r="B197" s="503" t="s">
        <v>16</v>
      </c>
      <c r="C197" s="153" t="s">
        <v>17</v>
      </c>
      <c r="D197" s="126">
        <v>6</v>
      </c>
      <c r="E197" s="126" t="s">
        <v>18</v>
      </c>
      <c r="F197" s="126" t="s">
        <v>18</v>
      </c>
      <c r="G197" s="126">
        <v>33</v>
      </c>
      <c r="H197" s="126" t="s">
        <v>18</v>
      </c>
      <c r="I197" s="126" t="s">
        <v>18</v>
      </c>
      <c r="J197" s="126" t="s">
        <v>18</v>
      </c>
      <c r="K197" s="126" t="s">
        <v>18</v>
      </c>
    </row>
    <row r="198" spans="1:11" x14ac:dyDescent="0.3">
      <c r="A198" s="126">
        <v>2</v>
      </c>
      <c r="B198" s="503"/>
      <c r="C198" s="153" t="s">
        <v>19</v>
      </c>
      <c r="D198" s="126">
        <v>2</v>
      </c>
      <c r="E198" s="126" t="s">
        <v>18</v>
      </c>
      <c r="F198" s="126" t="s">
        <v>18</v>
      </c>
      <c r="G198" s="126">
        <v>5</v>
      </c>
      <c r="H198" s="126" t="s">
        <v>18</v>
      </c>
      <c r="I198" s="126" t="s">
        <v>18</v>
      </c>
      <c r="J198" s="126" t="s">
        <v>18</v>
      </c>
      <c r="K198" s="126" t="s">
        <v>18</v>
      </c>
    </row>
    <row r="199" spans="1:11" x14ac:dyDescent="0.3">
      <c r="A199" s="126">
        <v>3</v>
      </c>
      <c r="B199" s="153" t="s">
        <v>20</v>
      </c>
      <c r="C199" s="153" t="s">
        <v>20</v>
      </c>
      <c r="D199" s="126">
        <v>8</v>
      </c>
      <c r="E199" s="126" t="s">
        <v>18</v>
      </c>
      <c r="F199" s="126" t="s">
        <v>18</v>
      </c>
      <c r="G199" s="126">
        <v>8</v>
      </c>
      <c r="H199" s="126" t="s">
        <v>18</v>
      </c>
      <c r="I199" s="126" t="s">
        <v>18</v>
      </c>
      <c r="J199" s="126" t="s">
        <v>18</v>
      </c>
      <c r="K199" s="126" t="s">
        <v>18</v>
      </c>
    </row>
    <row r="200" spans="1:11" x14ac:dyDescent="0.3">
      <c r="A200" s="126">
        <v>4</v>
      </c>
      <c r="B200" s="503" t="s">
        <v>21</v>
      </c>
      <c r="C200" s="153" t="s">
        <v>21</v>
      </c>
      <c r="D200" s="126">
        <v>3</v>
      </c>
      <c r="E200" s="126" t="s">
        <v>18</v>
      </c>
      <c r="F200" s="126">
        <v>15</v>
      </c>
      <c r="G200" s="126">
        <v>16</v>
      </c>
      <c r="H200" s="126" t="s">
        <v>18</v>
      </c>
      <c r="I200" s="126" t="s">
        <v>18</v>
      </c>
      <c r="J200" s="126" t="s">
        <v>18</v>
      </c>
      <c r="K200" s="126" t="s">
        <v>18</v>
      </c>
    </row>
    <row r="201" spans="1:11" x14ac:dyDescent="0.3">
      <c r="A201" s="126">
        <v>5</v>
      </c>
      <c r="B201" s="503"/>
      <c r="C201" s="153" t="s">
        <v>22</v>
      </c>
      <c r="D201" s="126">
        <v>2</v>
      </c>
      <c r="E201" s="126" t="s">
        <v>18</v>
      </c>
      <c r="F201" s="126" t="s">
        <v>18</v>
      </c>
      <c r="G201" s="126">
        <v>40</v>
      </c>
      <c r="H201" s="126" t="s">
        <v>18</v>
      </c>
      <c r="I201" s="126" t="s">
        <v>18</v>
      </c>
      <c r="J201" s="126" t="s">
        <v>18</v>
      </c>
      <c r="K201" s="126" t="s">
        <v>18</v>
      </c>
    </row>
    <row r="202" spans="1:11" x14ac:dyDescent="0.3">
      <c r="A202" s="126">
        <v>5</v>
      </c>
      <c r="B202" s="503"/>
      <c r="C202" s="153" t="s">
        <v>163</v>
      </c>
      <c r="D202" s="126" t="s">
        <v>18</v>
      </c>
      <c r="E202" s="126">
        <v>4</v>
      </c>
      <c r="F202" s="126">
        <v>4</v>
      </c>
      <c r="G202" s="126">
        <v>11</v>
      </c>
      <c r="H202" s="126" t="s">
        <v>18</v>
      </c>
      <c r="I202" s="126" t="s">
        <v>18</v>
      </c>
      <c r="J202" s="126" t="s">
        <v>18</v>
      </c>
      <c r="K202" s="126" t="s">
        <v>18</v>
      </c>
    </row>
    <row r="203" spans="1:11" x14ac:dyDescent="0.3">
      <c r="A203" s="126">
        <v>6</v>
      </c>
      <c r="B203" s="503" t="s">
        <v>23</v>
      </c>
      <c r="C203" s="153" t="s">
        <v>23</v>
      </c>
      <c r="D203" s="126">
        <v>2</v>
      </c>
      <c r="E203" s="126">
        <v>7</v>
      </c>
      <c r="F203" s="126">
        <v>7</v>
      </c>
      <c r="G203" s="126">
        <v>2</v>
      </c>
      <c r="H203" s="126" t="s">
        <v>18</v>
      </c>
      <c r="I203" s="126" t="s">
        <v>18</v>
      </c>
      <c r="J203" s="126" t="s">
        <v>18</v>
      </c>
      <c r="K203" s="126" t="s">
        <v>18</v>
      </c>
    </row>
    <row r="204" spans="1:11" ht="37.5" x14ac:dyDescent="0.3">
      <c r="A204" s="126">
        <v>7</v>
      </c>
      <c r="B204" s="503"/>
      <c r="C204" s="153" t="s">
        <v>320</v>
      </c>
      <c r="D204" s="126">
        <v>1</v>
      </c>
      <c r="E204" s="126" t="s">
        <v>18</v>
      </c>
      <c r="F204" s="126" t="s">
        <v>18</v>
      </c>
      <c r="G204" s="126">
        <v>9</v>
      </c>
      <c r="H204" s="126" t="s">
        <v>18</v>
      </c>
      <c r="I204" s="126" t="s">
        <v>18</v>
      </c>
      <c r="J204" s="126" t="s">
        <v>18</v>
      </c>
      <c r="K204" s="126" t="s">
        <v>18</v>
      </c>
    </row>
    <row r="205" spans="1:11" x14ac:dyDescent="0.3">
      <c r="A205" s="126">
        <v>8</v>
      </c>
      <c r="B205" s="503" t="s">
        <v>25</v>
      </c>
      <c r="C205" s="153" t="s">
        <v>26</v>
      </c>
      <c r="D205" s="126">
        <v>7</v>
      </c>
      <c r="E205" s="126" t="s">
        <v>18</v>
      </c>
      <c r="F205" s="126" t="s">
        <v>18</v>
      </c>
      <c r="G205" s="126">
        <v>3</v>
      </c>
      <c r="H205" s="126" t="s">
        <v>18</v>
      </c>
      <c r="I205" s="126" t="s">
        <v>18</v>
      </c>
      <c r="J205" s="126" t="s">
        <v>18</v>
      </c>
      <c r="K205" s="126" t="s">
        <v>18</v>
      </c>
    </row>
    <row r="206" spans="1:11" x14ac:dyDescent="0.3">
      <c r="A206" s="126"/>
      <c r="B206" s="503"/>
      <c r="C206" s="153" t="s">
        <v>27</v>
      </c>
      <c r="D206" s="126">
        <v>4</v>
      </c>
      <c r="E206" s="126">
        <v>5</v>
      </c>
      <c r="F206" s="126" t="s">
        <v>18</v>
      </c>
      <c r="G206" s="126">
        <v>4</v>
      </c>
      <c r="H206" s="126" t="s">
        <v>18</v>
      </c>
      <c r="I206" s="126" t="s">
        <v>18</v>
      </c>
      <c r="J206" s="126" t="s">
        <v>18</v>
      </c>
      <c r="K206" s="126" t="s">
        <v>18</v>
      </c>
    </row>
    <row r="207" spans="1:11" x14ac:dyDescent="0.3">
      <c r="A207" s="126">
        <v>9</v>
      </c>
      <c r="B207" s="503"/>
      <c r="C207" s="153" t="s">
        <v>342</v>
      </c>
      <c r="D207" s="126">
        <v>1</v>
      </c>
      <c r="E207" s="126" t="s">
        <v>18</v>
      </c>
      <c r="F207" s="126" t="s">
        <v>18</v>
      </c>
      <c r="G207" s="126">
        <v>3</v>
      </c>
      <c r="H207" s="126" t="s">
        <v>18</v>
      </c>
      <c r="I207" s="126" t="s">
        <v>18</v>
      </c>
      <c r="J207" s="126" t="s">
        <v>18</v>
      </c>
      <c r="K207" s="126" t="s">
        <v>18</v>
      </c>
    </row>
    <row r="208" spans="1:11" x14ac:dyDescent="0.3">
      <c r="A208" s="126">
        <v>10</v>
      </c>
      <c r="B208" s="503" t="s">
        <v>28</v>
      </c>
      <c r="C208" s="153" t="s">
        <v>29</v>
      </c>
      <c r="D208" s="126">
        <v>27</v>
      </c>
      <c r="E208" s="126">
        <v>22</v>
      </c>
      <c r="F208" s="126">
        <v>2</v>
      </c>
      <c r="G208" s="126" t="s">
        <v>18</v>
      </c>
      <c r="H208" s="126" t="s">
        <v>18</v>
      </c>
      <c r="I208" s="126" t="s">
        <v>18</v>
      </c>
      <c r="J208" s="126" t="s">
        <v>18</v>
      </c>
      <c r="K208" s="126" t="s">
        <v>18</v>
      </c>
    </row>
    <row r="209" spans="1:11" x14ac:dyDescent="0.3">
      <c r="A209" s="126">
        <v>11</v>
      </c>
      <c r="B209" s="503"/>
      <c r="C209" s="153" t="s">
        <v>30</v>
      </c>
      <c r="D209" s="126">
        <v>2</v>
      </c>
      <c r="E209" s="126" t="s">
        <v>18</v>
      </c>
      <c r="F209" s="126" t="s">
        <v>18</v>
      </c>
      <c r="G209" s="126">
        <v>7</v>
      </c>
      <c r="H209" s="126" t="s">
        <v>18</v>
      </c>
      <c r="I209" s="126" t="s">
        <v>18</v>
      </c>
      <c r="J209" s="126" t="s">
        <v>18</v>
      </c>
      <c r="K209" s="126" t="s">
        <v>18</v>
      </c>
    </row>
    <row r="210" spans="1:11" x14ac:dyDescent="0.3">
      <c r="A210" s="126">
        <v>12</v>
      </c>
      <c r="B210" s="503"/>
      <c r="C210" s="153" t="s">
        <v>31</v>
      </c>
      <c r="D210" s="126">
        <v>17</v>
      </c>
      <c r="E210" s="126" t="s">
        <v>18</v>
      </c>
      <c r="F210" s="126" t="s">
        <v>18</v>
      </c>
      <c r="G210" s="126" t="s">
        <v>18</v>
      </c>
      <c r="H210" s="126" t="s">
        <v>18</v>
      </c>
      <c r="I210" s="126" t="s">
        <v>18</v>
      </c>
      <c r="J210" s="126" t="s">
        <v>18</v>
      </c>
      <c r="K210" s="126" t="s">
        <v>18</v>
      </c>
    </row>
    <row r="211" spans="1:11" x14ac:dyDescent="0.3">
      <c r="A211" s="126">
        <v>13</v>
      </c>
      <c r="B211" s="503"/>
      <c r="C211" s="153" t="s">
        <v>32</v>
      </c>
      <c r="D211" s="126">
        <v>6</v>
      </c>
      <c r="E211" s="126">
        <v>3</v>
      </c>
      <c r="F211" s="126" t="s">
        <v>18</v>
      </c>
      <c r="G211" s="126">
        <v>10</v>
      </c>
      <c r="H211" s="126" t="s">
        <v>18</v>
      </c>
      <c r="I211" s="126" t="s">
        <v>18</v>
      </c>
      <c r="J211" s="126" t="s">
        <v>18</v>
      </c>
      <c r="K211" s="126" t="s">
        <v>18</v>
      </c>
    </row>
    <row r="212" spans="1:11" x14ac:dyDescent="0.3">
      <c r="A212" s="126">
        <v>14</v>
      </c>
      <c r="B212" s="503"/>
      <c r="C212" s="153" t="s">
        <v>343</v>
      </c>
      <c r="D212" s="126">
        <v>1</v>
      </c>
      <c r="E212" s="126" t="s">
        <v>18</v>
      </c>
      <c r="F212" s="126" t="s">
        <v>18</v>
      </c>
      <c r="G212" s="126">
        <v>7</v>
      </c>
      <c r="H212" s="126" t="s">
        <v>18</v>
      </c>
      <c r="I212" s="126" t="s">
        <v>18</v>
      </c>
      <c r="J212" s="126" t="s">
        <v>18</v>
      </c>
      <c r="K212" s="126" t="s">
        <v>18</v>
      </c>
    </row>
    <row r="213" spans="1:11" x14ac:dyDescent="0.3">
      <c r="A213" s="126">
        <v>15</v>
      </c>
      <c r="B213" s="626" t="s">
        <v>127</v>
      </c>
      <c r="C213" s="153" t="s">
        <v>33</v>
      </c>
      <c r="D213" s="126">
        <v>2</v>
      </c>
      <c r="E213" s="126">
        <v>66</v>
      </c>
      <c r="F213" s="126" t="s">
        <v>18</v>
      </c>
      <c r="G213" s="126">
        <v>16</v>
      </c>
      <c r="H213" s="126" t="s">
        <v>18</v>
      </c>
      <c r="I213" s="126" t="s">
        <v>18</v>
      </c>
      <c r="J213" s="126" t="s">
        <v>18</v>
      </c>
      <c r="K213" s="126" t="s">
        <v>18</v>
      </c>
    </row>
    <row r="214" spans="1:11" x14ac:dyDescent="0.3">
      <c r="A214" s="126">
        <v>14</v>
      </c>
      <c r="B214" s="492"/>
      <c r="C214" s="153" t="s">
        <v>34</v>
      </c>
      <c r="D214" s="126">
        <v>14</v>
      </c>
      <c r="E214" s="126">
        <v>14</v>
      </c>
      <c r="F214" s="126">
        <v>4</v>
      </c>
      <c r="G214" s="126">
        <v>4</v>
      </c>
      <c r="H214" s="126" t="s">
        <v>18</v>
      </c>
      <c r="I214" s="126" t="s">
        <v>18</v>
      </c>
      <c r="J214" s="126" t="s">
        <v>18</v>
      </c>
      <c r="K214" s="126" t="s">
        <v>18</v>
      </c>
    </row>
    <row r="215" spans="1:11" x14ac:dyDescent="0.3">
      <c r="A215" s="126">
        <v>17</v>
      </c>
      <c r="B215" s="492"/>
      <c r="C215" s="153" t="s">
        <v>35</v>
      </c>
      <c r="D215" s="126">
        <v>11</v>
      </c>
      <c r="E215" s="126">
        <v>2</v>
      </c>
      <c r="F215" s="126">
        <v>0</v>
      </c>
      <c r="G215" s="126">
        <v>20</v>
      </c>
      <c r="H215" s="126" t="s">
        <v>18</v>
      </c>
      <c r="I215" s="126" t="s">
        <v>18</v>
      </c>
      <c r="J215" s="126" t="s">
        <v>18</v>
      </c>
      <c r="K215" s="126" t="s">
        <v>18</v>
      </c>
    </row>
    <row r="216" spans="1:11" x14ac:dyDescent="0.3">
      <c r="A216" s="126">
        <v>18</v>
      </c>
      <c r="B216" s="492"/>
      <c r="C216" s="153" t="s">
        <v>36</v>
      </c>
      <c r="D216" s="126">
        <v>22</v>
      </c>
      <c r="E216" s="126" t="s">
        <v>18</v>
      </c>
      <c r="F216" s="126" t="s">
        <v>18</v>
      </c>
      <c r="G216" s="126">
        <v>32</v>
      </c>
      <c r="H216" s="126">
        <v>22</v>
      </c>
      <c r="I216" s="126" t="s">
        <v>18</v>
      </c>
      <c r="J216" s="126" t="s">
        <v>18</v>
      </c>
      <c r="K216" s="126" t="s">
        <v>18</v>
      </c>
    </row>
    <row r="217" spans="1:11" x14ac:dyDescent="0.3">
      <c r="A217" s="126">
        <v>19</v>
      </c>
      <c r="B217" s="492"/>
      <c r="C217" s="153" t="s">
        <v>37</v>
      </c>
      <c r="D217" s="126">
        <v>3</v>
      </c>
      <c r="E217" s="126" t="s">
        <v>18</v>
      </c>
      <c r="F217" s="126" t="s">
        <v>18</v>
      </c>
      <c r="G217" s="126">
        <v>6</v>
      </c>
      <c r="H217" s="126">
        <v>2</v>
      </c>
      <c r="I217" s="126" t="s">
        <v>18</v>
      </c>
      <c r="J217" s="126" t="s">
        <v>18</v>
      </c>
      <c r="K217" s="126" t="s">
        <v>18</v>
      </c>
    </row>
    <row r="218" spans="1:11" x14ac:dyDescent="0.3">
      <c r="A218" s="126"/>
      <c r="B218" s="493"/>
      <c r="C218" s="153" t="s">
        <v>141</v>
      </c>
      <c r="D218" s="126">
        <v>2</v>
      </c>
      <c r="E218" s="126" t="s">
        <v>18</v>
      </c>
      <c r="F218" s="126" t="s">
        <v>18</v>
      </c>
      <c r="G218" s="126" t="s">
        <v>18</v>
      </c>
      <c r="H218" s="126" t="s">
        <v>18</v>
      </c>
      <c r="I218" s="126" t="s">
        <v>18</v>
      </c>
      <c r="J218" s="126" t="s">
        <v>18</v>
      </c>
      <c r="K218" s="126" t="s">
        <v>18</v>
      </c>
    </row>
    <row r="219" spans="1:11" x14ac:dyDescent="0.3">
      <c r="A219" s="126">
        <v>20</v>
      </c>
      <c r="B219" s="503" t="s">
        <v>38</v>
      </c>
      <c r="C219" s="153" t="s">
        <v>38</v>
      </c>
      <c r="D219" s="126">
        <v>32</v>
      </c>
      <c r="E219" s="126" t="s">
        <v>18</v>
      </c>
      <c r="F219" s="126" t="s">
        <v>18</v>
      </c>
      <c r="G219" s="126">
        <v>22</v>
      </c>
      <c r="H219" s="126" t="s">
        <v>18</v>
      </c>
      <c r="I219" s="126" t="s">
        <v>18</v>
      </c>
      <c r="J219" s="126" t="s">
        <v>18</v>
      </c>
      <c r="K219" s="126" t="s">
        <v>18</v>
      </c>
    </row>
    <row r="220" spans="1:11" x14ac:dyDescent="0.3">
      <c r="A220" s="126">
        <v>21</v>
      </c>
      <c r="B220" s="503"/>
      <c r="C220" s="153" t="s">
        <v>39</v>
      </c>
      <c r="D220" s="126">
        <v>18</v>
      </c>
      <c r="E220" s="126">
        <v>1</v>
      </c>
      <c r="F220" s="126" t="s">
        <v>18</v>
      </c>
      <c r="G220" s="126">
        <v>17</v>
      </c>
      <c r="H220" s="126" t="s">
        <v>18</v>
      </c>
      <c r="I220" s="126" t="s">
        <v>18</v>
      </c>
      <c r="J220" s="126" t="s">
        <v>18</v>
      </c>
      <c r="K220" s="126" t="s">
        <v>18</v>
      </c>
    </row>
    <row r="221" spans="1:11" x14ac:dyDescent="0.3">
      <c r="A221" s="126">
        <v>22</v>
      </c>
      <c r="B221" s="503" t="s">
        <v>88</v>
      </c>
      <c r="C221" s="153" t="s">
        <v>88</v>
      </c>
      <c r="D221" s="126">
        <v>2</v>
      </c>
      <c r="E221" s="126">
        <v>2</v>
      </c>
      <c r="F221" s="126" t="s">
        <v>18</v>
      </c>
      <c r="G221" s="126">
        <v>24</v>
      </c>
      <c r="H221" s="126" t="s">
        <v>18</v>
      </c>
      <c r="I221" s="126" t="s">
        <v>18</v>
      </c>
      <c r="J221" s="126" t="s">
        <v>18</v>
      </c>
      <c r="K221" s="126" t="s">
        <v>18</v>
      </c>
    </row>
    <row r="222" spans="1:11" x14ac:dyDescent="0.3">
      <c r="A222" s="126">
        <v>23</v>
      </c>
      <c r="B222" s="503"/>
      <c r="C222" s="153" t="s">
        <v>41</v>
      </c>
      <c r="D222" s="126" t="s">
        <v>18</v>
      </c>
      <c r="E222" s="126" t="s">
        <v>18</v>
      </c>
      <c r="F222" s="126" t="s">
        <v>18</v>
      </c>
      <c r="G222" s="126" t="s">
        <v>18</v>
      </c>
      <c r="H222" s="126" t="s">
        <v>18</v>
      </c>
      <c r="I222" s="126" t="s">
        <v>18</v>
      </c>
      <c r="J222" s="126" t="s">
        <v>18</v>
      </c>
      <c r="K222" s="126" t="s">
        <v>18</v>
      </c>
    </row>
    <row r="223" spans="1:11" x14ac:dyDescent="0.3">
      <c r="A223" s="126">
        <v>24</v>
      </c>
      <c r="B223" s="503"/>
      <c r="C223" s="153" t="s">
        <v>42</v>
      </c>
      <c r="D223" s="126" t="s">
        <v>18</v>
      </c>
      <c r="E223" s="126" t="s">
        <v>18</v>
      </c>
      <c r="F223" s="126" t="s">
        <v>18</v>
      </c>
      <c r="G223" s="126" t="s">
        <v>18</v>
      </c>
      <c r="H223" s="126" t="s">
        <v>18</v>
      </c>
      <c r="I223" s="126" t="s">
        <v>18</v>
      </c>
      <c r="J223" s="126" t="s">
        <v>18</v>
      </c>
      <c r="K223" s="126" t="s">
        <v>18</v>
      </c>
    </row>
    <row r="224" spans="1:11" x14ac:dyDescent="0.3">
      <c r="A224" s="126"/>
      <c r="B224" s="503" t="s">
        <v>43</v>
      </c>
      <c r="C224" s="153" t="s">
        <v>43</v>
      </c>
      <c r="D224" s="126">
        <v>2</v>
      </c>
      <c r="E224" s="126" t="s">
        <v>18</v>
      </c>
      <c r="F224" s="126" t="s">
        <v>18</v>
      </c>
      <c r="G224" s="126">
        <v>7</v>
      </c>
      <c r="H224" s="126" t="s">
        <v>18</v>
      </c>
      <c r="I224" s="126" t="s">
        <v>18</v>
      </c>
      <c r="J224" s="126" t="s">
        <v>18</v>
      </c>
      <c r="K224" s="126" t="s">
        <v>18</v>
      </c>
    </row>
    <row r="225" spans="1:11" x14ac:dyDescent="0.3">
      <c r="A225" s="126">
        <v>25</v>
      </c>
      <c r="B225" s="503"/>
      <c r="C225" s="153" t="s">
        <v>44</v>
      </c>
      <c r="D225" s="126">
        <v>3</v>
      </c>
      <c r="E225" s="126" t="s">
        <v>18</v>
      </c>
      <c r="F225" s="126" t="s">
        <v>18</v>
      </c>
      <c r="G225" s="126">
        <v>16</v>
      </c>
      <c r="H225" s="126" t="s">
        <v>18</v>
      </c>
      <c r="I225" s="126" t="s">
        <v>18</v>
      </c>
      <c r="J225" s="126" t="s">
        <v>18</v>
      </c>
      <c r="K225" s="126" t="s">
        <v>18</v>
      </c>
    </row>
    <row r="226" spans="1:11" x14ac:dyDescent="0.3">
      <c r="A226" s="126">
        <v>26</v>
      </c>
      <c r="B226" s="503"/>
      <c r="C226" s="153" t="s">
        <v>45</v>
      </c>
      <c r="D226" s="126" t="s">
        <v>18</v>
      </c>
      <c r="E226" s="126" t="s">
        <v>18</v>
      </c>
      <c r="F226" s="126" t="s">
        <v>18</v>
      </c>
      <c r="G226" s="126">
        <v>14</v>
      </c>
      <c r="H226" s="126" t="s">
        <v>18</v>
      </c>
      <c r="I226" s="126" t="s">
        <v>18</v>
      </c>
      <c r="J226" s="126" t="s">
        <v>18</v>
      </c>
      <c r="K226" s="126" t="s">
        <v>18</v>
      </c>
    </row>
    <row r="227" spans="1:11" x14ac:dyDescent="0.3">
      <c r="A227" s="263">
        <v>27</v>
      </c>
      <c r="B227" s="503" t="s">
        <v>46</v>
      </c>
      <c r="C227" s="264" t="s">
        <v>47</v>
      </c>
      <c r="D227" s="263">
        <v>15</v>
      </c>
      <c r="E227" s="263" t="s">
        <v>18</v>
      </c>
      <c r="F227" s="263" t="s">
        <v>18</v>
      </c>
      <c r="G227" s="263">
        <v>38</v>
      </c>
      <c r="H227" s="263" t="s">
        <v>18</v>
      </c>
      <c r="I227" s="263" t="s">
        <v>18</v>
      </c>
      <c r="J227" s="263" t="s">
        <v>18</v>
      </c>
      <c r="K227" s="263" t="s">
        <v>18</v>
      </c>
    </row>
    <row r="228" spans="1:11" x14ac:dyDescent="0.3">
      <c r="A228" s="126">
        <v>28</v>
      </c>
      <c r="B228" s="503"/>
      <c r="C228" s="153" t="s">
        <v>48</v>
      </c>
      <c r="D228" s="126" t="s">
        <v>18</v>
      </c>
      <c r="E228" s="126" t="s">
        <v>18</v>
      </c>
      <c r="F228" s="126" t="s">
        <v>18</v>
      </c>
      <c r="G228" s="126" t="s">
        <v>18</v>
      </c>
      <c r="H228" s="126" t="s">
        <v>18</v>
      </c>
      <c r="I228" s="126" t="s">
        <v>18</v>
      </c>
      <c r="J228" s="126" t="s">
        <v>18</v>
      </c>
      <c r="K228" s="126" t="s">
        <v>18</v>
      </c>
    </row>
    <row r="229" spans="1:11" x14ac:dyDescent="0.3">
      <c r="A229" s="126">
        <v>29</v>
      </c>
      <c r="B229" s="503" t="s">
        <v>49</v>
      </c>
      <c r="C229" s="153" t="s">
        <v>49</v>
      </c>
      <c r="D229" s="126">
        <v>52</v>
      </c>
      <c r="E229" s="126">
        <v>31</v>
      </c>
      <c r="F229" s="126">
        <v>15</v>
      </c>
      <c r="G229" s="126">
        <v>83</v>
      </c>
      <c r="H229" s="126" t="s">
        <v>18</v>
      </c>
      <c r="I229" s="126" t="s">
        <v>18</v>
      </c>
      <c r="J229" s="126" t="s">
        <v>18</v>
      </c>
      <c r="K229" s="126" t="s">
        <v>18</v>
      </c>
    </row>
    <row r="230" spans="1:11" x14ac:dyDescent="0.3">
      <c r="A230" s="126">
        <v>30</v>
      </c>
      <c r="B230" s="503"/>
      <c r="C230" s="153" t="s">
        <v>50</v>
      </c>
      <c r="D230" s="126">
        <v>14</v>
      </c>
      <c r="E230" s="126">
        <v>1</v>
      </c>
      <c r="F230" s="126" t="s">
        <v>18</v>
      </c>
      <c r="G230" s="126" t="s">
        <v>18</v>
      </c>
      <c r="H230" s="126" t="s">
        <v>18</v>
      </c>
      <c r="I230" s="126" t="s">
        <v>18</v>
      </c>
      <c r="J230" s="126" t="s">
        <v>18</v>
      </c>
      <c r="K230" s="126" t="s">
        <v>18</v>
      </c>
    </row>
    <row r="231" spans="1:11" x14ac:dyDescent="0.3">
      <c r="A231" s="126">
        <v>31</v>
      </c>
      <c r="B231" s="503"/>
      <c r="C231" s="153" t="s">
        <v>51</v>
      </c>
      <c r="D231" s="126">
        <v>15</v>
      </c>
      <c r="E231" s="126" t="s">
        <v>18</v>
      </c>
      <c r="F231" s="126" t="s">
        <v>18</v>
      </c>
      <c r="G231" s="126">
        <v>30</v>
      </c>
      <c r="H231" s="126" t="s">
        <v>18</v>
      </c>
      <c r="I231" s="126" t="s">
        <v>18</v>
      </c>
      <c r="J231" s="126" t="s">
        <v>18</v>
      </c>
      <c r="K231" s="126" t="s">
        <v>18</v>
      </c>
    </row>
    <row r="232" spans="1:11" x14ac:dyDescent="0.3">
      <c r="A232" s="126">
        <v>32</v>
      </c>
      <c r="B232" s="503" t="s">
        <v>52</v>
      </c>
      <c r="C232" s="153" t="s">
        <v>53</v>
      </c>
      <c r="D232" s="126">
        <v>23</v>
      </c>
      <c r="E232" s="126">
        <v>22</v>
      </c>
      <c r="F232" s="126">
        <v>20</v>
      </c>
      <c r="G232" s="126">
        <v>38</v>
      </c>
      <c r="H232" s="126">
        <v>15</v>
      </c>
      <c r="I232" s="126" t="s">
        <v>18</v>
      </c>
      <c r="J232" s="126" t="s">
        <v>18</v>
      </c>
      <c r="K232" s="126" t="s">
        <v>18</v>
      </c>
    </row>
    <row r="233" spans="1:11" x14ac:dyDescent="0.3">
      <c r="A233" s="126">
        <v>33</v>
      </c>
      <c r="B233" s="503"/>
      <c r="C233" s="153" t="s">
        <v>54</v>
      </c>
      <c r="D233" s="126">
        <v>12</v>
      </c>
      <c r="E233" s="126">
        <v>2</v>
      </c>
      <c r="F233" s="126" t="s">
        <v>18</v>
      </c>
      <c r="G233" s="126">
        <v>8</v>
      </c>
      <c r="H233" s="126" t="s">
        <v>18</v>
      </c>
      <c r="I233" s="126" t="s">
        <v>18</v>
      </c>
      <c r="J233" s="126" t="s">
        <v>18</v>
      </c>
      <c r="K233" s="126" t="s">
        <v>18</v>
      </c>
    </row>
    <row r="234" spans="1:11" x14ac:dyDescent="0.3">
      <c r="A234" s="126">
        <v>34</v>
      </c>
      <c r="B234" s="503"/>
      <c r="C234" s="153" t="s">
        <v>55</v>
      </c>
      <c r="D234" s="126">
        <v>23</v>
      </c>
      <c r="E234" s="126">
        <v>6</v>
      </c>
      <c r="F234" s="126" t="s">
        <v>18</v>
      </c>
      <c r="G234" s="126">
        <v>15</v>
      </c>
      <c r="H234" s="126" t="s">
        <v>18</v>
      </c>
      <c r="I234" s="126" t="s">
        <v>18</v>
      </c>
      <c r="J234" s="126" t="s">
        <v>18</v>
      </c>
      <c r="K234" s="126" t="s">
        <v>18</v>
      </c>
    </row>
    <row r="235" spans="1:11" x14ac:dyDescent="0.3">
      <c r="A235" s="126">
        <v>3</v>
      </c>
      <c r="B235" s="503"/>
      <c r="C235" s="153" t="s">
        <v>56</v>
      </c>
      <c r="D235" s="126">
        <v>11</v>
      </c>
      <c r="E235" s="126">
        <v>1</v>
      </c>
      <c r="F235" s="126" t="s">
        <v>18</v>
      </c>
      <c r="G235" s="126">
        <v>7</v>
      </c>
      <c r="H235" s="126">
        <v>7</v>
      </c>
      <c r="I235" s="126" t="s">
        <v>18</v>
      </c>
      <c r="J235" s="126" t="s">
        <v>18</v>
      </c>
      <c r="K235" s="126" t="s">
        <v>18</v>
      </c>
    </row>
    <row r="236" spans="1:11" x14ac:dyDescent="0.3">
      <c r="A236" s="126">
        <v>36</v>
      </c>
      <c r="B236" s="503"/>
      <c r="C236" s="153" t="s">
        <v>57</v>
      </c>
      <c r="D236" s="126">
        <v>4</v>
      </c>
      <c r="E236" s="126" t="s">
        <v>18</v>
      </c>
      <c r="F236" s="126">
        <v>5</v>
      </c>
      <c r="G236" s="126">
        <v>12</v>
      </c>
      <c r="H236" s="126">
        <v>4</v>
      </c>
      <c r="I236" s="126" t="s">
        <v>18</v>
      </c>
      <c r="J236" s="126" t="s">
        <v>18</v>
      </c>
      <c r="K236" s="126" t="s">
        <v>18</v>
      </c>
    </row>
    <row r="237" spans="1:11" x14ac:dyDescent="0.3">
      <c r="A237" s="126">
        <v>37</v>
      </c>
      <c r="B237" s="503"/>
      <c r="C237" s="153" t="s">
        <v>58</v>
      </c>
      <c r="D237" s="126">
        <v>1</v>
      </c>
      <c r="E237" s="126" t="s">
        <v>18</v>
      </c>
      <c r="F237" s="126" t="s">
        <v>18</v>
      </c>
      <c r="G237" s="126">
        <v>7</v>
      </c>
      <c r="H237" s="126" t="s">
        <v>18</v>
      </c>
      <c r="I237" s="126" t="s">
        <v>18</v>
      </c>
      <c r="J237" s="126" t="s">
        <v>18</v>
      </c>
      <c r="K237" s="126" t="s">
        <v>18</v>
      </c>
    </row>
    <row r="238" spans="1:11" x14ac:dyDescent="0.3">
      <c r="A238" s="126">
        <v>38</v>
      </c>
      <c r="B238" s="503"/>
      <c r="C238" s="153" t="s">
        <v>59</v>
      </c>
      <c r="D238" s="126">
        <v>1</v>
      </c>
      <c r="E238" s="126">
        <v>4</v>
      </c>
      <c r="F238" s="126" t="s">
        <v>18</v>
      </c>
      <c r="G238" s="126">
        <v>7</v>
      </c>
      <c r="H238" s="126" t="s">
        <v>18</v>
      </c>
      <c r="I238" s="126" t="s">
        <v>18</v>
      </c>
      <c r="J238" s="126" t="s">
        <v>18</v>
      </c>
      <c r="K238" s="126" t="s">
        <v>18</v>
      </c>
    </row>
    <row r="239" spans="1:11" x14ac:dyDescent="0.3">
      <c r="A239" s="126"/>
      <c r="B239" s="153"/>
      <c r="C239" s="153" t="s">
        <v>60</v>
      </c>
      <c r="D239" s="126">
        <f>SUM(D197:D238)</f>
        <v>371</v>
      </c>
      <c r="E239" s="126">
        <f t="shared" ref="E239:K239" si="4">SUM(E197:E238)</f>
        <v>193</v>
      </c>
      <c r="F239" s="126">
        <f t="shared" si="4"/>
        <v>72</v>
      </c>
      <c r="G239" s="126">
        <f t="shared" si="4"/>
        <v>581</v>
      </c>
      <c r="H239" s="126">
        <f t="shared" si="4"/>
        <v>50</v>
      </c>
      <c r="I239" s="126">
        <f t="shared" si="4"/>
        <v>0</v>
      </c>
      <c r="J239" s="126">
        <f t="shared" si="4"/>
        <v>0</v>
      </c>
      <c r="K239" s="126">
        <f t="shared" si="4"/>
        <v>0</v>
      </c>
    </row>
  </sheetData>
  <sheetProtection selectLockedCells="1" selectUnlockedCells="1"/>
  <mergeCells count="65">
    <mergeCell ref="B35:B36"/>
    <mergeCell ref="B37:B39"/>
    <mergeCell ref="B40:B46"/>
    <mergeCell ref="B16:B20"/>
    <mergeCell ref="B21:B26"/>
    <mergeCell ref="B27:B28"/>
    <mergeCell ref="B29:B31"/>
    <mergeCell ref="B32:B34"/>
    <mergeCell ref="A2:K2"/>
    <mergeCell ref="B4:B5"/>
    <mergeCell ref="B7:B9"/>
    <mergeCell ref="B10:B12"/>
    <mergeCell ref="B13:B15"/>
    <mergeCell ref="B227:B228"/>
    <mergeCell ref="B229:B231"/>
    <mergeCell ref="B232:B238"/>
    <mergeCell ref="B208:B212"/>
    <mergeCell ref="B213:B218"/>
    <mergeCell ref="B219:B220"/>
    <mergeCell ref="B221:B223"/>
    <mergeCell ref="B224:B226"/>
    <mergeCell ref="A195:K195"/>
    <mergeCell ref="B197:B198"/>
    <mergeCell ref="B200:B202"/>
    <mergeCell ref="B203:B204"/>
    <mergeCell ref="B205:B207"/>
    <mergeCell ref="B185:B191"/>
    <mergeCell ref="B155:B157"/>
    <mergeCell ref="B158:B160"/>
    <mergeCell ref="B182:B184"/>
    <mergeCell ref="A147:K147"/>
    <mergeCell ref="B149:B150"/>
    <mergeCell ref="B152:B154"/>
    <mergeCell ref="B161:B165"/>
    <mergeCell ref="B166:B171"/>
    <mergeCell ref="B172:B173"/>
    <mergeCell ref="B174:B176"/>
    <mergeCell ref="B177:B179"/>
    <mergeCell ref="B180:B181"/>
    <mergeCell ref="A99:K99"/>
    <mergeCell ref="B101:B102"/>
    <mergeCell ref="B104:B106"/>
    <mergeCell ref="B107:B109"/>
    <mergeCell ref="B110:B112"/>
    <mergeCell ref="B132:B133"/>
    <mergeCell ref="B134:B136"/>
    <mergeCell ref="B137:B143"/>
    <mergeCell ref="B113:B117"/>
    <mergeCell ref="B118:B123"/>
    <mergeCell ref="B124:B125"/>
    <mergeCell ref="B126:B128"/>
    <mergeCell ref="B129:B131"/>
    <mergeCell ref="A50:K50"/>
    <mergeCell ref="B52:B53"/>
    <mergeCell ref="B55:B57"/>
    <mergeCell ref="B58:B60"/>
    <mergeCell ref="B61:B63"/>
    <mergeCell ref="B83:B84"/>
    <mergeCell ref="B85:B87"/>
    <mergeCell ref="B88:B94"/>
    <mergeCell ref="B64:B68"/>
    <mergeCell ref="B69:B74"/>
    <mergeCell ref="B75:B76"/>
    <mergeCell ref="B77:B79"/>
    <mergeCell ref="B80:B82"/>
  </mergeCells>
  <pageMargins left="0.15748031496062992" right="0.23622047244094491" top="0.51181102362204722" bottom="0.43307086614173229" header="0.47244094488188981" footer="0.31496062992125984"/>
  <pageSetup paperSize="9" scale="80" orientation="landscape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AO1070"/>
  <sheetViews>
    <sheetView zoomScale="145" zoomScaleNormal="145" workbookViewId="0">
      <pane ySplit="223" topLeftCell="A245" activePane="bottomLeft" state="frozen"/>
      <selection pane="bottomLeft" activeCell="V4" sqref="V4"/>
    </sheetView>
  </sheetViews>
  <sheetFormatPr defaultRowHeight="15" x14ac:dyDescent="0.25"/>
  <cols>
    <col min="1" max="1" width="5.42578125" style="6" bestFit="1" customWidth="1"/>
    <col min="2" max="2" width="9.140625" style="6" customWidth="1"/>
    <col min="3" max="3" width="11.5703125" style="6" bestFit="1" customWidth="1"/>
    <col min="4" max="4" width="9.140625" style="6"/>
    <col min="5" max="5" width="4" style="6" customWidth="1"/>
    <col min="6" max="6" width="3.85546875" style="6" bestFit="1" customWidth="1"/>
    <col min="7" max="7" width="3.85546875" style="6" customWidth="1"/>
    <col min="8" max="11" width="3.85546875" style="6" bestFit="1" customWidth="1"/>
    <col min="12" max="12" width="3.85546875" style="6" customWidth="1"/>
    <col min="13" max="15" width="3.85546875" style="6" bestFit="1" customWidth="1"/>
    <col min="16" max="16" width="3.85546875" style="6" customWidth="1"/>
    <col min="17" max="28" width="3.85546875" style="6" bestFit="1" customWidth="1"/>
    <col min="29" max="29" width="3.85546875" style="6" customWidth="1"/>
    <col min="30" max="30" width="3.85546875" style="6" bestFit="1" customWidth="1"/>
    <col min="31" max="31" width="4.140625" style="6" customWidth="1"/>
    <col min="32" max="35" width="3.85546875" style="6" bestFit="1" customWidth="1"/>
    <col min="36" max="36" width="3.7109375" style="6" customWidth="1"/>
    <col min="37" max="38" width="3.85546875" style="6" bestFit="1" customWidth="1"/>
    <col min="39" max="41" width="3.7109375" style="6" bestFit="1" customWidth="1"/>
    <col min="42" max="16384" width="9.140625" style="6"/>
  </cols>
  <sheetData>
    <row r="2" spans="1:41" ht="20.25" x14ac:dyDescent="0.3">
      <c r="A2" s="628" t="s">
        <v>1661</v>
      </c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628"/>
      <c r="O2" s="628"/>
      <c r="P2" s="628"/>
      <c r="Q2" s="628"/>
      <c r="R2" s="628"/>
      <c r="S2" s="628"/>
      <c r="T2" s="628"/>
      <c r="U2" s="628"/>
      <c r="V2" s="628"/>
      <c r="W2" s="628"/>
      <c r="X2" s="628"/>
      <c r="Y2" s="628"/>
      <c r="Z2" s="628"/>
      <c r="AA2" s="628"/>
      <c r="AB2" s="628"/>
      <c r="AC2" s="628"/>
      <c r="AD2" s="628"/>
      <c r="AE2" s="628"/>
      <c r="AF2" s="628"/>
      <c r="AG2" s="628"/>
      <c r="AH2" s="628"/>
      <c r="AI2" s="628"/>
      <c r="AJ2" s="628"/>
      <c r="AK2" s="628"/>
      <c r="AL2" s="628"/>
      <c r="AM2" s="628"/>
      <c r="AN2" s="628"/>
      <c r="AO2" s="628"/>
    </row>
    <row r="3" spans="1:41" ht="132" x14ac:dyDescent="0.25">
      <c r="A3" s="74" t="s">
        <v>76</v>
      </c>
      <c r="B3" s="74" t="s">
        <v>217</v>
      </c>
      <c r="C3" s="75" t="s">
        <v>218</v>
      </c>
      <c r="D3" s="74" t="s">
        <v>219</v>
      </c>
      <c r="E3" s="76" t="s">
        <v>363</v>
      </c>
      <c r="F3" s="76" t="s">
        <v>266</v>
      </c>
      <c r="G3" s="76" t="s">
        <v>259</v>
      </c>
      <c r="H3" s="76" t="s">
        <v>220</v>
      </c>
      <c r="I3" s="76" t="s">
        <v>221</v>
      </c>
      <c r="J3" s="76" t="s">
        <v>222</v>
      </c>
      <c r="K3" s="76" t="s">
        <v>223</v>
      </c>
      <c r="L3" s="76" t="s">
        <v>261</v>
      </c>
      <c r="M3" s="76" t="s">
        <v>224</v>
      </c>
      <c r="N3" s="77" t="s">
        <v>260</v>
      </c>
      <c r="O3" s="76" t="s">
        <v>225</v>
      </c>
      <c r="P3" s="76" t="s">
        <v>707</v>
      </c>
      <c r="Q3" s="76" t="s">
        <v>226</v>
      </c>
      <c r="R3" s="76" t="s">
        <v>227</v>
      </c>
      <c r="S3" s="76" t="s">
        <v>228</v>
      </c>
      <c r="T3" s="78" t="s">
        <v>229</v>
      </c>
      <c r="U3" s="76" t="s">
        <v>230</v>
      </c>
      <c r="V3" s="78" t="s">
        <v>231</v>
      </c>
      <c r="W3" s="76" t="s">
        <v>232</v>
      </c>
      <c r="X3" s="76" t="s">
        <v>233</v>
      </c>
      <c r="Y3" s="76" t="s">
        <v>234</v>
      </c>
      <c r="Z3" s="76" t="s">
        <v>235</v>
      </c>
      <c r="AA3" s="76" t="s">
        <v>236</v>
      </c>
      <c r="AB3" s="76" t="s">
        <v>237</v>
      </c>
      <c r="AC3" s="76" t="s">
        <v>315</v>
      </c>
      <c r="AD3" s="76" t="s">
        <v>316</v>
      </c>
      <c r="AE3" s="76" t="s">
        <v>238</v>
      </c>
      <c r="AF3" s="76" t="s">
        <v>239</v>
      </c>
      <c r="AG3" s="77" t="s">
        <v>240</v>
      </c>
      <c r="AH3" s="76" t="s">
        <v>241</v>
      </c>
      <c r="AI3" s="78" t="s">
        <v>242</v>
      </c>
      <c r="AJ3" s="76" t="s">
        <v>243</v>
      </c>
      <c r="AK3" s="76" t="s">
        <v>244</v>
      </c>
      <c r="AL3" s="76" t="s">
        <v>262</v>
      </c>
      <c r="AM3" s="76" t="s">
        <v>362</v>
      </c>
      <c r="AN3" s="242" t="s">
        <v>408</v>
      </c>
      <c r="AO3" s="242" t="s">
        <v>409</v>
      </c>
    </row>
    <row r="4" spans="1:41" ht="15.75" x14ac:dyDescent="0.25">
      <c r="A4" s="159">
        <v>1</v>
      </c>
      <c r="B4" s="159" t="s">
        <v>186</v>
      </c>
      <c r="C4" s="74" t="s">
        <v>186</v>
      </c>
      <c r="D4" s="80" t="s">
        <v>245</v>
      </c>
      <c r="E4" s="438">
        <v>0</v>
      </c>
      <c r="F4" s="80">
        <v>0</v>
      </c>
      <c r="G4" s="80">
        <v>0</v>
      </c>
      <c r="H4" s="387">
        <v>1</v>
      </c>
      <c r="I4" s="387">
        <v>1</v>
      </c>
      <c r="J4" s="387">
        <v>1</v>
      </c>
      <c r="K4" s="80">
        <v>0</v>
      </c>
      <c r="L4" s="80">
        <v>0</v>
      </c>
      <c r="M4" s="80">
        <v>0</v>
      </c>
      <c r="N4" s="80">
        <v>0</v>
      </c>
      <c r="O4" s="387">
        <v>1</v>
      </c>
      <c r="P4" s="80">
        <v>0</v>
      </c>
      <c r="Q4" s="80">
        <v>0</v>
      </c>
      <c r="R4" s="387">
        <v>1</v>
      </c>
      <c r="S4" s="80">
        <v>0</v>
      </c>
      <c r="T4" s="80">
        <v>0</v>
      </c>
      <c r="U4" s="387">
        <v>1</v>
      </c>
      <c r="V4" s="387">
        <v>2</v>
      </c>
      <c r="W4" s="80">
        <v>0</v>
      </c>
      <c r="X4" s="80">
        <v>0</v>
      </c>
      <c r="Y4" s="80">
        <v>0</v>
      </c>
      <c r="Z4" s="387">
        <v>0</v>
      </c>
      <c r="AA4" s="80">
        <v>0</v>
      </c>
      <c r="AB4" s="387">
        <v>1</v>
      </c>
      <c r="AC4" s="80">
        <v>0</v>
      </c>
      <c r="AD4" s="80">
        <v>2</v>
      </c>
      <c r="AE4" s="387">
        <v>0</v>
      </c>
      <c r="AF4" s="80">
        <v>0</v>
      </c>
      <c r="AG4" s="387">
        <v>1</v>
      </c>
      <c r="AH4" s="387">
        <v>1</v>
      </c>
      <c r="AI4" s="80">
        <v>0</v>
      </c>
      <c r="AJ4" s="80">
        <v>0</v>
      </c>
      <c r="AK4" s="80">
        <v>0</v>
      </c>
      <c r="AL4" s="80">
        <v>0</v>
      </c>
      <c r="AM4" s="80">
        <v>0</v>
      </c>
      <c r="AN4" s="80">
        <v>0</v>
      </c>
      <c r="AO4" s="80">
        <v>0</v>
      </c>
    </row>
    <row r="5" spans="1:41" ht="15.75" x14ac:dyDescent="0.25">
      <c r="A5" s="159"/>
      <c r="B5" s="159"/>
      <c r="C5" s="74"/>
      <c r="D5" s="80" t="s">
        <v>246</v>
      </c>
      <c r="E5" s="80">
        <v>1</v>
      </c>
      <c r="F5" s="80">
        <v>0</v>
      </c>
      <c r="G5" s="80">
        <v>0</v>
      </c>
      <c r="H5" s="80">
        <v>1</v>
      </c>
      <c r="I5" s="80">
        <v>1</v>
      </c>
      <c r="J5" s="80">
        <v>1</v>
      </c>
      <c r="K5" s="80">
        <v>0</v>
      </c>
      <c r="L5" s="80">
        <v>0</v>
      </c>
      <c r="M5" s="80">
        <v>0</v>
      </c>
      <c r="N5" s="80">
        <v>0</v>
      </c>
      <c r="O5" s="80">
        <v>1</v>
      </c>
      <c r="P5" s="80">
        <v>0</v>
      </c>
      <c r="Q5" s="80">
        <v>0</v>
      </c>
      <c r="R5" s="80">
        <v>1</v>
      </c>
      <c r="S5" s="80">
        <v>0</v>
      </c>
      <c r="T5" s="80">
        <v>0</v>
      </c>
      <c r="U5" s="80">
        <v>1</v>
      </c>
      <c r="V5" s="80">
        <v>2</v>
      </c>
      <c r="W5" s="80">
        <v>0</v>
      </c>
      <c r="X5" s="80">
        <v>0</v>
      </c>
      <c r="Y5" s="80">
        <v>0</v>
      </c>
      <c r="Z5" s="80">
        <v>0</v>
      </c>
      <c r="AA5" s="80">
        <v>0</v>
      </c>
      <c r="AB5" s="80">
        <v>1</v>
      </c>
      <c r="AC5" s="80">
        <v>0</v>
      </c>
      <c r="AD5" s="80">
        <v>2</v>
      </c>
      <c r="AE5" s="80">
        <v>0</v>
      </c>
      <c r="AF5" s="80">
        <v>0</v>
      </c>
      <c r="AG5" s="81">
        <v>1</v>
      </c>
      <c r="AH5" s="80">
        <v>1</v>
      </c>
      <c r="AI5" s="81">
        <v>0</v>
      </c>
      <c r="AJ5" s="81">
        <v>0</v>
      </c>
      <c r="AK5" s="81">
        <v>0</v>
      </c>
      <c r="AL5" s="81">
        <v>0</v>
      </c>
      <c r="AM5" s="80">
        <v>0</v>
      </c>
      <c r="AN5" s="80">
        <v>0</v>
      </c>
      <c r="AO5" s="80">
        <v>0</v>
      </c>
    </row>
    <row r="6" spans="1:41" ht="15.75" x14ac:dyDescent="0.25">
      <c r="A6" s="159"/>
      <c r="B6" s="159"/>
      <c r="C6" s="74"/>
      <c r="D6" s="80" t="s">
        <v>247</v>
      </c>
      <c r="E6" s="80">
        <v>0</v>
      </c>
      <c r="F6" s="80">
        <v>0</v>
      </c>
      <c r="G6" s="80">
        <v>0</v>
      </c>
      <c r="H6" s="80">
        <v>0</v>
      </c>
      <c r="I6" s="80">
        <v>0</v>
      </c>
      <c r="J6" s="80">
        <v>0</v>
      </c>
      <c r="K6" s="80">
        <v>0</v>
      </c>
      <c r="L6" s="80">
        <v>0</v>
      </c>
      <c r="M6" s="80">
        <v>0</v>
      </c>
      <c r="N6" s="80">
        <v>0</v>
      </c>
      <c r="O6" s="80">
        <v>0</v>
      </c>
      <c r="P6" s="80">
        <v>0</v>
      </c>
      <c r="Q6" s="80">
        <v>0</v>
      </c>
      <c r="R6" s="80">
        <v>0</v>
      </c>
      <c r="S6" s="80">
        <v>0</v>
      </c>
      <c r="T6" s="80">
        <v>0</v>
      </c>
      <c r="U6" s="80">
        <v>0</v>
      </c>
      <c r="V6" s="80">
        <v>0</v>
      </c>
      <c r="W6" s="80">
        <v>0</v>
      </c>
      <c r="X6" s="80">
        <v>0</v>
      </c>
      <c r="Y6" s="80">
        <v>0</v>
      </c>
      <c r="Z6" s="80">
        <v>0</v>
      </c>
      <c r="AA6" s="80">
        <v>0</v>
      </c>
      <c r="AB6" s="80">
        <v>0</v>
      </c>
      <c r="AC6" s="80">
        <v>0</v>
      </c>
      <c r="AD6" s="80">
        <v>0</v>
      </c>
      <c r="AE6" s="80">
        <v>0</v>
      </c>
      <c r="AF6" s="80">
        <v>0</v>
      </c>
      <c r="AG6" s="81">
        <v>0</v>
      </c>
      <c r="AH6" s="80">
        <v>0</v>
      </c>
      <c r="AI6" s="81">
        <v>0</v>
      </c>
      <c r="AJ6" s="81">
        <v>0</v>
      </c>
      <c r="AK6" s="81">
        <v>0</v>
      </c>
      <c r="AL6" s="81">
        <v>0</v>
      </c>
      <c r="AM6" s="80">
        <v>0</v>
      </c>
      <c r="AN6" s="80">
        <v>0</v>
      </c>
      <c r="AO6" s="80">
        <v>0</v>
      </c>
    </row>
    <row r="7" spans="1:41" ht="15.75" x14ac:dyDescent="0.25">
      <c r="A7" s="159"/>
      <c r="B7" s="159"/>
      <c r="C7" s="74"/>
      <c r="D7" s="80" t="s">
        <v>248</v>
      </c>
      <c r="E7" s="80">
        <v>1</v>
      </c>
      <c r="F7" s="80">
        <v>0</v>
      </c>
      <c r="G7" s="80">
        <v>0</v>
      </c>
      <c r="H7" s="80">
        <v>1</v>
      </c>
      <c r="I7" s="80">
        <v>1</v>
      </c>
      <c r="J7" s="80">
        <v>1</v>
      </c>
      <c r="K7" s="80">
        <v>0</v>
      </c>
      <c r="L7" s="80">
        <v>0</v>
      </c>
      <c r="M7" s="80">
        <v>0</v>
      </c>
      <c r="N7" s="80">
        <v>0</v>
      </c>
      <c r="O7" s="80">
        <v>1</v>
      </c>
      <c r="P7" s="80">
        <v>0</v>
      </c>
      <c r="Q7" s="80">
        <v>0</v>
      </c>
      <c r="R7" s="80">
        <v>1</v>
      </c>
      <c r="S7" s="80">
        <v>0</v>
      </c>
      <c r="T7" s="80">
        <v>0</v>
      </c>
      <c r="U7" s="80">
        <v>1</v>
      </c>
      <c r="V7" s="80">
        <v>2</v>
      </c>
      <c r="W7" s="80">
        <v>0</v>
      </c>
      <c r="X7" s="80">
        <v>0</v>
      </c>
      <c r="Y7" s="80">
        <v>0</v>
      </c>
      <c r="Z7" s="80">
        <v>0</v>
      </c>
      <c r="AA7" s="80">
        <v>0</v>
      </c>
      <c r="AB7" s="80">
        <v>1</v>
      </c>
      <c r="AC7" s="80">
        <v>0</v>
      </c>
      <c r="AD7" s="80">
        <v>2</v>
      </c>
      <c r="AE7" s="80">
        <v>0</v>
      </c>
      <c r="AF7" s="80">
        <v>0</v>
      </c>
      <c r="AG7" s="80">
        <v>1</v>
      </c>
      <c r="AH7" s="80">
        <v>1</v>
      </c>
      <c r="AI7" s="80">
        <v>0</v>
      </c>
      <c r="AJ7" s="80">
        <v>0</v>
      </c>
      <c r="AK7" s="80">
        <v>0</v>
      </c>
      <c r="AL7" s="80">
        <v>0</v>
      </c>
      <c r="AM7" s="80">
        <v>0</v>
      </c>
      <c r="AN7" s="80">
        <v>0</v>
      </c>
      <c r="AO7" s="80">
        <v>0</v>
      </c>
    </row>
    <row r="8" spans="1:41" ht="15.75" x14ac:dyDescent="0.25">
      <c r="A8" s="159"/>
      <c r="B8" s="159"/>
      <c r="C8" s="74"/>
      <c r="D8" s="80" t="s">
        <v>258</v>
      </c>
      <c r="E8" s="80">
        <v>0</v>
      </c>
      <c r="F8" s="80">
        <v>0</v>
      </c>
      <c r="G8" s="80">
        <v>0</v>
      </c>
      <c r="H8" s="80">
        <v>0</v>
      </c>
      <c r="I8" s="80">
        <v>0</v>
      </c>
      <c r="J8" s="80">
        <v>0</v>
      </c>
      <c r="K8" s="80">
        <v>0</v>
      </c>
      <c r="L8" s="80">
        <v>0</v>
      </c>
      <c r="M8" s="80">
        <v>0</v>
      </c>
      <c r="N8" s="80">
        <v>0</v>
      </c>
      <c r="O8" s="80">
        <v>0</v>
      </c>
      <c r="P8" s="80">
        <v>0</v>
      </c>
      <c r="Q8" s="80">
        <v>0</v>
      </c>
      <c r="R8" s="80">
        <v>0</v>
      </c>
      <c r="S8" s="80">
        <v>0</v>
      </c>
      <c r="T8" s="80">
        <v>0</v>
      </c>
      <c r="U8" s="80">
        <v>0</v>
      </c>
      <c r="V8" s="80">
        <v>0</v>
      </c>
      <c r="W8" s="80">
        <v>0</v>
      </c>
      <c r="X8" s="80">
        <v>0</v>
      </c>
      <c r="Y8" s="80">
        <v>0</v>
      </c>
      <c r="Z8" s="80">
        <v>0</v>
      </c>
      <c r="AA8" s="80">
        <v>0</v>
      </c>
      <c r="AB8" s="80">
        <v>0</v>
      </c>
      <c r="AC8" s="80">
        <v>0</v>
      </c>
      <c r="AD8" s="80">
        <v>0</v>
      </c>
      <c r="AE8" s="80">
        <v>0</v>
      </c>
      <c r="AF8" s="80">
        <v>0</v>
      </c>
      <c r="AG8" s="80">
        <v>0</v>
      </c>
      <c r="AH8" s="80">
        <v>0</v>
      </c>
      <c r="AI8" s="80">
        <v>0</v>
      </c>
      <c r="AJ8" s="80">
        <v>0</v>
      </c>
      <c r="AK8" s="80">
        <v>0</v>
      </c>
      <c r="AL8" s="80">
        <v>0</v>
      </c>
      <c r="AM8" s="80">
        <v>0</v>
      </c>
      <c r="AN8" s="80">
        <v>0</v>
      </c>
      <c r="AO8" s="80">
        <v>0</v>
      </c>
    </row>
    <row r="9" spans="1:41" ht="15.75" x14ac:dyDescent="0.25">
      <c r="A9" s="159">
        <v>2</v>
      </c>
      <c r="B9" s="159"/>
      <c r="C9" s="74" t="s">
        <v>39</v>
      </c>
      <c r="D9" s="80" t="s">
        <v>245</v>
      </c>
      <c r="E9" s="438">
        <v>0</v>
      </c>
      <c r="F9" s="80">
        <v>0</v>
      </c>
      <c r="G9" s="80">
        <v>0</v>
      </c>
      <c r="H9" s="80">
        <v>0</v>
      </c>
      <c r="I9" s="387">
        <v>3</v>
      </c>
      <c r="J9" s="387">
        <v>1</v>
      </c>
      <c r="K9" s="80">
        <v>0</v>
      </c>
      <c r="L9" s="80">
        <v>0</v>
      </c>
      <c r="M9" s="80">
        <v>0</v>
      </c>
      <c r="N9" s="387">
        <v>1</v>
      </c>
      <c r="O9" s="80">
        <v>0</v>
      </c>
      <c r="P9" s="80">
        <v>0</v>
      </c>
      <c r="Q9" s="387">
        <v>1</v>
      </c>
      <c r="R9" s="387">
        <v>1</v>
      </c>
      <c r="S9" s="80">
        <v>0</v>
      </c>
      <c r="T9" s="80">
        <v>0</v>
      </c>
      <c r="U9" s="387">
        <v>1</v>
      </c>
      <c r="V9" s="387">
        <v>2</v>
      </c>
      <c r="W9" s="80">
        <v>0</v>
      </c>
      <c r="X9" s="80">
        <v>0</v>
      </c>
      <c r="Y9" s="80">
        <v>0</v>
      </c>
      <c r="Z9" s="80">
        <v>0</v>
      </c>
      <c r="AA9" s="80">
        <v>0</v>
      </c>
      <c r="AB9" s="80">
        <v>0</v>
      </c>
      <c r="AC9" s="80">
        <v>0</v>
      </c>
      <c r="AD9" s="80">
        <v>0</v>
      </c>
      <c r="AE9" s="80">
        <v>0</v>
      </c>
      <c r="AF9" s="80">
        <v>0</v>
      </c>
      <c r="AG9" s="390">
        <v>1</v>
      </c>
      <c r="AH9" s="80">
        <v>0</v>
      </c>
      <c r="AI9" s="81">
        <v>0</v>
      </c>
      <c r="AJ9" s="81">
        <v>0</v>
      </c>
      <c r="AK9" s="81">
        <v>0</v>
      </c>
      <c r="AL9" s="81">
        <v>0</v>
      </c>
      <c r="AM9" s="390">
        <v>2</v>
      </c>
      <c r="AN9" s="390">
        <v>1</v>
      </c>
      <c r="AO9" s="80">
        <v>0</v>
      </c>
    </row>
    <row r="10" spans="1:41" ht="15.75" x14ac:dyDescent="0.25">
      <c r="A10" s="159"/>
      <c r="B10" s="159"/>
      <c r="C10" s="74"/>
      <c r="D10" s="80" t="s">
        <v>246</v>
      </c>
      <c r="E10" s="80">
        <v>0</v>
      </c>
      <c r="F10" s="80">
        <v>0</v>
      </c>
      <c r="G10" s="80">
        <v>0</v>
      </c>
      <c r="H10" s="80">
        <v>0</v>
      </c>
      <c r="I10" s="80">
        <v>2</v>
      </c>
      <c r="J10" s="80">
        <v>1</v>
      </c>
      <c r="K10" s="80">
        <v>0</v>
      </c>
      <c r="L10" s="80">
        <v>0</v>
      </c>
      <c r="M10" s="80">
        <v>0</v>
      </c>
      <c r="N10" s="80">
        <v>1</v>
      </c>
      <c r="O10" s="80">
        <v>0</v>
      </c>
      <c r="P10" s="80">
        <v>0</v>
      </c>
      <c r="Q10" s="80">
        <v>1</v>
      </c>
      <c r="R10" s="80">
        <v>1</v>
      </c>
      <c r="S10" s="80">
        <v>0</v>
      </c>
      <c r="T10" s="80">
        <v>0</v>
      </c>
      <c r="U10" s="80">
        <v>1</v>
      </c>
      <c r="V10" s="80">
        <v>2</v>
      </c>
      <c r="W10" s="80">
        <v>0</v>
      </c>
      <c r="X10" s="80">
        <v>0</v>
      </c>
      <c r="Y10" s="80">
        <v>0</v>
      </c>
      <c r="Z10" s="80">
        <v>0</v>
      </c>
      <c r="AA10" s="80">
        <v>0</v>
      </c>
      <c r="AB10" s="80">
        <v>0</v>
      </c>
      <c r="AC10" s="80">
        <v>0</v>
      </c>
      <c r="AD10" s="80">
        <v>0</v>
      </c>
      <c r="AE10" s="80">
        <v>0</v>
      </c>
      <c r="AF10" s="80">
        <v>0</v>
      </c>
      <c r="AG10" s="81">
        <v>1</v>
      </c>
      <c r="AH10" s="80">
        <v>0</v>
      </c>
      <c r="AI10" s="81">
        <v>0</v>
      </c>
      <c r="AJ10" s="81">
        <v>0</v>
      </c>
      <c r="AK10" s="81">
        <v>0</v>
      </c>
      <c r="AL10" s="81">
        <v>0</v>
      </c>
      <c r="AM10" s="81">
        <v>2</v>
      </c>
      <c r="AN10" s="81">
        <v>1</v>
      </c>
      <c r="AO10" s="80">
        <v>0</v>
      </c>
    </row>
    <row r="11" spans="1:41" ht="15.75" x14ac:dyDescent="0.25">
      <c r="A11" s="159"/>
      <c r="B11" s="159"/>
      <c r="C11" s="74"/>
      <c r="D11" s="80" t="s">
        <v>247</v>
      </c>
      <c r="E11" s="80">
        <v>0</v>
      </c>
      <c r="F11" s="80">
        <v>0</v>
      </c>
      <c r="G11" s="80">
        <v>0</v>
      </c>
      <c r="H11" s="80">
        <v>0</v>
      </c>
      <c r="I11" s="80">
        <v>1</v>
      </c>
      <c r="J11" s="80">
        <v>0</v>
      </c>
      <c r="K11" s="80">
        <v>0</v>
      </c>
      <c r="L11" s="80">
        <v>0</v>
      </c>
      <c r="M11" s="80">
        <v>0</v>
      </c>
      <c r="N11" s="80">
        <v>0</v>
      </c>
      <c r="O11" s="80">
        <v>0</v>
      </c>
      <c r="P11" s="80">
        <v>0</v>
      </c>
      <c r="Q11" s="80">
        <v>0</v>
      </c>
      <c r="R11" s="80">
        <v>0</v>
      </c>
      <c r="S11" s="80">
        <v>0</v>
      </c>
      <c r="T11" s="80">
        <v>0</v>
      </c>
      <c r="U11" s="80">
        <v>0</v>
      </c>
      <c r="V11" s="80">
        <v>0</v>
      </c>
      <c r="W11" s="80">
        <v>0</v>
      </c>
      <c r="X11" s="80">
        <v>0</v>
      </c>
      <c r="Y11" s="80">
        <v>0</v>
      </c>
      <c r="Z11" s="80">
        <v>0</v>
      </c>
      <c r="AA11" s="80">
        <v>0</v>
      </c>
      <c r="AB11" s="80">
        <v>0</v>
      </c>
      <c r="AC11" s="80">
        <v>0</v>
      </c>
      <c r="AD11" s="80">
        <v>0</v>
      </c>
      <c r="AE11" s="80">
        <v>0</v>
      </c>
      <c r="AF11" s="80">
        <v>0</v>
      </c>
      <c r="AG11" s="81">
        <v>0</v>
      </c>
      <c r="AH11" s="80">
        <v>0</v>
      </c>
      <c r="AI11" s="81">
        <v>0</v>
      </c>
      <c r="AJ11" s="81">
        <v>0</v>
      </c>
      <c r="AK11" s="81">
        <v>0</v>
      </c>
      <c r="AL11" s="81">
        <v>0</v>
      </c>
      <c r="AM11" s="81">
        <v>0</v>
      </c>
      <c r="AN11" s="81">
        <v>0</v>
      </c>
      <c r="AO11" s="80">
        <v>0</v>
      </c>
    </row>
    <row r="12" spans="1:41" ht="15.75" x14ac:dyDescent="0.25">
      <c r="A12" s="159"/>
      <c r="B12" s="159"/>
      <c r="C12" s="74"/>
      <c r="D12" s="80" t="s">
        <v>248</v>
      </c>
      <c r="E12" s="80">
        <v>0</v>
      </c>
      <c r="F12" s="80">
        <v>0</v>
      </c>
      <c r="G12" s="80">
        <v>0</v>
      </c>
      <c r="H12" s="80">
        <v>0</v>
      </c>
      <c r="I12" s="80">
        <v>2</v>
      </c>
      <c r="J12" s="80">
        <v>1</v>
      </c>
      <c r="K12" s="80">
        <v>0</v>
      </c>
      <c r="L12" s="80">
        <v>0</v>
      </c>
      <c r="M12" s="80">
        <v>0</v>
      </c>
      <c r="N12" s="80">
        <v>1</v>
      </c>
      <c r="O12" s="80">
        <v>0</v>
      </c>
      <c r="P12" s="80">
        <v>0</v>
      </c>
      <c r="Q12" s="80">
        <v>1</v>
      </c>
      <c r="R12" s="80">
        <v>0</v>
      </c>
      <c r="S12" s="80">
        <v>0</v>
      </c>
      <c r="T12" s="80">
        <v>0</v>
      </c>
      <c r="U12" s="80">
        <v>1</v>
      </c>
      <c r="V12" s="80">
        <v>2</v>
      </c>
      <c r="W12" s="80">
        <v>0</v>
      </c>
      <c r="X12" s="80">
        <v>0</v>
      </c>
      <c r="Y12" s="80">
        <v>0</v>
      </c>
      <c r="Z12" s="80">
        <v>0</v>
      </c>
      <c r="AA12" s="80">
        <v>0</v>
      </c>
      <c r="AB12" s="80">
        <v>0</v>
      </c>
      <c r="AC12" s="80">
        <v>0</v>
      </c>
      <c r="AD12" s="80">
        <v>0</v>
      </c>
      <c r="AE12" s="80">
        <v>0</v>
      </c>
      <c r="AF12" s="80">
        <v>0</v>
      </c>
      <c r="AG12" s="81">
        <v>1</v>
      </c>
      <c r="AH12" s="80">
        <v>0</v>
      </c>
      <c r="AI12" s="81">
        <v>0</v>
      </c>
      <c r="AJ12" s="81">
        <v>0</v>
      </c>
      <c r="AK12" s="81">
        <v>0</v>
      </c>
      <c r="AL12" s="81">
        <v>0</v>
      </c>
      <c r="AM12" s="81">
        <v>1</v>
      </c>
      <c r="AN12" s="81">
        <v>1</v>
      </c>
      <c r="AO12" s="80">
        <v>0</v>
      </c>
    </row>
    <row r="13" spans="1:41" ht="15.75" x14ac:dyDescent="0.25">
      <c r="A13" s="159"/>
      <c r="B13" s="159"/>
      <c r="C13" s="74"/>
      <c r="D13" s="80" t="s">
        <v>258</v>
      </c>
      <c r="E13" s="80">
        <v>0</v>
      </c>
      <c r="F13" s="80">
        <v>0</v>
      </c>
      <c r="G13" s="80">
        <v>0</v>
      </c>
      <c r="H13" s="80">
        <v>0</v>
      </c>
      <c r="I13" s="80">
        <v>0</v>
      </c>
      <c r="J13" s="80">
        <v>0</v>
      </c>
      <c r="K13" s="80">
        <v>0</v>
      </c>
      <c r="L13" s="80">
        <v>0</v>
      </c>
      <c r="M13" s="80">
        <v>0</v>
      </c>
      <c r="N13" s="80">
        <v>0</v>
      </c>
      <c r="O13" s="80">
        <v>0</v>
      </c>
      <c r="P13" s="80">
        <v>0</v>
      </c>
      <c r="Q13" s="80">
        <v>0</v>
      </c>
      <c r="R13" s="80">
        <v>1</v>
      </c>
      <c r="S13" s="80">
        <v>0</v>
      </c>
      <c r="T13" s="80">
        <v>0</v>
      </c>
      <c r="U13" s="80">
        <v>0</v>
      </c>
      <c r="V13" s="80">
        <v>0</v>
      </c>
      <c r="W13" s="80">
        <v>0</v>
      </c>
      <c r="X13" s="80">
        <v>0</v>
      </c>
      <c r="Y13" s="80">
        <v>0</v>
      </c>
      <c r="Z13" s="80">
        <v>0</v>
      </c>
      <c r="AA13" s="80">
        <v>0</v>
      </c>
      <c r="AB13" s="80">
        <v>0</v>
      </c>
      <c r="AC13" s="80">
        <v>0</v>
      </c>
      <c r="AD13" s="80">
        <v>0</v>
      </c>
      <c r="AE13" s="80">
        <v>0</v>
      </c>
      <c r="AF13" s="80">
        <v>0</v>
      </c>
      <c r="AG13" s="80">
        <v>0</v>
      </c>
      <c r="AH13" s="80">
        <v>0</v>
      </c>
      <c r="AI13" s="80">
        <v>0</v>
      </c>
      <c r="AJ13" s="80">
        <v>0</v>
      </c>
      <c r="AK13" s="80">
        <v>0</v>
      </c>
      <c r="AL13" s="80">
        <v>0</v>
      </c>
      <c r="AM13" s="81">
        <v>1</v>
      </c>
      <c r="AN13" s="81">
        <v>0</v>
      </c>
      <c r="AO13" s="80">
        <v>0</v>
      </c>
    </row>
    <row r="14" spans="1:41" ht="15.75" x14ac:dyDescent="0.25">
      <c r="A14" s="74">
        <v>3</v>
      </c>
      <c r="B14" s="74" t="s">
        <v>167</v>
      </c>
      <c r="C14" s="629" t="s">
        <v>167</v>
      </c>
      <c r="D14" s="80" t="s">
        <v>245</v>
      </c>
      <c r="E14" s="438">
        <v>0</v>
      </c>
      <c r="F14" s="80">
        <v>0</v>
      </c>
      <c r="G14" s="80">
        <v>0</v>
      </c>
      <c r="H14" s="387">
        <v>2</v>
      </c>
      <c r="I14" s="80">
        <v>0</v>
      </c>
      <c r="J14" s="387">
        <v>1</v>
      </c>
      <c r="K14" s="80">
        <v>0</v>
      </c>
      <c r="L14" s="80">
        <v>0</v>
      </c>
      <c r="M14" s="387">
        <v>1</v>
      </c>
      <c r="N14" s="387">
        <v>2</v>
      </c>
      <c r="O14" s="387">
        <v>1</v>
      </c>
      <c r="P14" s="80">
        <v>0</v>
      </c>
      <c r="Q14" s="387">
        <v>2</v>
      </c>
      <c r="R14" s="387">
        <v>1</v>
      </c>
      <c r="S14" s="80">
        <v>0</v>
      </c>
      <c r="T14" s="80">
        <v>0</v>
      </c>
      <c r="U14" s="387">
        <v>2</v>
      </c>
      <c r="V14" s="387">
        <v>2</v>
      </c>
      <c r="W14" s="387">
        <v>2</v>
      </c>
      <c r="X14" s="387">
        <v>1</v>
      </c>
      <c r="Y14" s="80">
        <v>0</v>
      </c>
      <c r="Z14" s="387">
        <v>2</v>
      </c>
      <c r="AA14" s="387">
        <v>2</v>
      </c>
      <c r="AB14" s="387">
        <v>1</v>
      </c>
      <c r="AC14" s="387">
        <v>1</v>
      </c>
      <c r="AD14" s="80">
        <v>0</v>
      </c>
      <c r="AE14" s="80">
        <v>0</v>
      </c>
      <c r="AF14" s="80">
        <v>0</v>
      </c>
      <c r="AG14" s="390">
        <v>1</v>
      </c>
      <c r="AH14" s="81">
        <v>0</v>
      </c>
      <c r="AI14" s="81">
        <v>0</v>
      </c>
      <c r="AJ14" s="81">
        <v>0</v>
      </c>
      <c r="AK14" s="81">
        <v>0</v>
      </c>
      <c r="AL14" s="81">
        <v>0</v>
      </c>
      <c r="AM14" s="81">
        <v>0</v>
      </c>
      <c r="AN14" s="81">
        <v>0</v>
      </c>
      <c r="AO14" s="80">
        <v>0</v>
      </c>
    </row>
    <row r="15" spans="1:41" ht="15.75" x14ac:dyDescent="0.25">
      <c r="A15" s="74"/>
      <c r="B15" s="74"/>
      <c r="C15" s="630"/>
      <c r="D15" s="80" t="s">
        <v>246</v>
      </c>
      <c r="E15" s="80">
        <v>1</v>
      </c>
      <c r="F15" s="80">
        <v>0</v>
      </c>
      <c r="G15" s="80">
        <v>0</v>
      </c>
      <c r="H15" s="80">
        <v>2</v>
      </c>
      <c r="I15" s="80">
        <v>0</v>
      </c>
      <c r="J15" s="80">
        <v>1</v>
      </c>
      <c r="K15" s="80">
        <v>0</v>
      </c>
      <c r="L15" s="80">
        <v>0</v>
      </c>
      <c r="M15" s="80">
        <v>1</v>
      </c>
      <c r="N15" s="80">
        <v>2</v>
      </c>
      <c r="O15" s="80">
        <v>1</v>
      </c>
      <c r="P15" s="80">
        <v>0</v>
      </c>
      <c r="Q15" s="80">
        <v>2</v>
      </c>
      <c r="R15" s="80">
        <v>1</v>
      </c>
      <c r="S15" s="80">
        <v>0</v>
      </c>
      <c r="T15" s="80">
        <v>0</v>
      </c>
      <c r="U15" s="80">
        <v>2</v>
      </c>
      <c r="V15" s="80">
        <v>2</v>
      </c>
      <c r="W15" s="80">
        <v>2</v>
      </c>
      <c r="X15" s="80">
        <v>1</v>
      </c>
      <c r="Y15" s="80">
        <v>0</v>
      </c>
      <c r="Z15" s="80">
        <v>2</v>
      </c>
      <c r="AA15" s="80">
        <v>2</v>
      </c>
      <c r="AB15" s="80">
        <v>1</v>
      </c>
      <c r="AC15" s="80">
        <v>1</v>
      </c>
      <c r="AD15" s="80">
        <v>0</v>
      </c>
      <c r="AE15" s="80">
        <v>0</v>
      </c>
      <c r="AF15" s="80">
        <v>0</v>
      </c>
      <c r="AG15" s="81">
        <v>1</v>
      </c>
      <c r="AH15" s="81">
        <v>0</v>
      </c>
      <c r="AI15" s="81">
        <v>0</v>
      </c>
      <c r="AJ15" s="81">
        <v>0</v>
      </c>
      <c r="AK15" s="81">
        <v>0</v>
      </c>
      <c r="AL15" s="81">
        <v>0</v>
      </c>
      <c r="AM15" s="81">
        <v>0</v>
      </c>
      <c r="AN15" s="81">
        <v>0</v>
      </c>
      <c r="AO15" s="80">
        <v>0</v>
      </c>
    </row>
    <row r="16" spans="1:41" ht="15.75" x14ac:dyDescent="0.25">
      <c r="A16" s="74"/>
      <c r="B16" s="74"/>
      <c r="C16" s="630"/>
      <c r="D16" s="80" t="s">
        <v>247</v>
      </c>
      <c r="E16" s="80">
        <v>0</v>
      </c>
      <c r="F16" s="80">
        <v>0</v>
      </c>
      <c r="G16" s="80">
        <v>0</v>
      </c>
      <c r="H16" s="80">
        <v>0</v>
      </c>
      <c r="I16" s="80">
        <v>0</v>
      </c>
      <c r="J16" s="80">
        <v>0</v>
      </c>
      <c r="K16" s="80">
        <v>0</v>
      </c>
      <c r="L16" s="80">
        <v>0</v>
      </c>
      <c r="M16" s="80">
        <v>0</v>
      </c>
      <c r="N16" s="80">
        <v>0</v>
      </c>
      <c r="O16" s="80">
        <v>0</v>
      </c>
      <c r="P16" s="80">
        <v>0</v>
      </c>
      <c r="Q16" s="80">
        <v>0</v>
      </c>
      <c r="R16" s="80">
        <v>0</v>
      </c>
      <c r="S16" s="80">
        <v>0</v>
      </c>
      <c r="T16" s="80">
        <v>0</v>
      </c>
      <c r="U16" s="80">
        <v>0</v>
      </c>
      <c r="V16" s="80">
        <v>0</v>
      </c>
      <c r="W16" s="80">
        <v>0</v>
      </c>
      <c r="X16" s="80">
        <v>0</v>
      </c>
      <c r="Y16" s="80">
        <v>0</v>
      </c>
      <c r="Z16" s="80">
        <v>0</v>
      </c>
      <c r="AA16" s="80">
        <v>0</v>
      </c>
      <c r="AB16" s="80">
        <v>0</v>
      </c>
      <c r="AC16" s="80">
        <v>0</v>
      </c>
      <c r="AD16" s="80">
        <v>0</v>
      </c>
      <c r="AE16" s="80">
        <v>0</v>
      </c>
      <c r="AF16" s="80">
        <v>0</v>
      </c>
      <c r="AG16" s="81">
        <v>0</v>
      </c>
      <c r="AH16" s="81">
        <v>0</v>
      </c>
      <c r="AI16" s="81">
        <v>0</v>
      </c>
      <c r="AJ16" s="81">
        <v>0</v>
      </c>
      <c r="AK16" s="81">
        <v>0</v>
      </c>
      <c r="AL16" s="81">
        <v>0</v>
      </c>
      <c r="AM16" s="81">
        <v>0</v>
      </c>
      <c r="AN16" s="81">
        <v>0</v>
      </c>
      <c r="AO16" s="80">
        <v>0</v>
      </c>
    </row>
    <row r="17" spans="1:41" ht="15.75" x14ac:dyDescent="0.25">
      <c r="A17" s="74"/>
      <c r="B17" s="74"/>
      <c r="C17" s="630"/>
      <c r="D17" s="80" t="s">
        <v>248</v>
      </c>
      <c r="E17" s="80">
        <v>1</v>
      </c>
      <c r="F17" s="80">
        <v>0</v>
      </c>
      <c r="G17" s="80">
        <v>0</v>
      </c>
      <c r="H17" s="80">
        <v>2</v>
      </c>
      <c r="I17" s="80">
        <v>0</v>
      </c>
      <c r="J17" s="80">
        <v>1</v>
      </c>
      <c r="K17" s="80">
        <v>0</v>
      </c>
      <c r="L17" s="80">
        <v>0</v>
      </c>
      <c r="M17" s="80">
        <v>1</v>
      </c>
      <c r="N17" s="80">
        <v>2</v>
      </c>
      <c r="O17" s="80">
        <v>1</v>
      </c>
      <c r="P17" s="80">
        <v>0</v>
      </c>
      <c r="Q17" s="80">
        <v>2</v>
      </c>
      <c r="R17" s="80">
        <v>1</v>
      </c>
      <c r="S17" s="80">
        <v>0</v>
      </c>
      <c r="T17" s="80">
        <v>0</v>
      </c>
      <c r="U17" s="80">
        <v>2</v>
      </c>
      <c r="V17" s="80">
        <v>2</v>
      </c>
      <c r="W17" s="80">
        <v>0</v>
      </c>
      <c r="X17" s="80">
        <v>1</v>
      </c>
      <c r="Y17" s="80">
        <v>0</v>
      </c>
      <c r="Z17" s="80">
        <v>2</v>
      </c>
      <c r="AA17" s="80">
        <v>2</v>
      </c>
      <c r="AB17" s="80">
        <v>1</v>
      </c>
      <c r="AC17" s="80">
        <v>1</v>
      </c>
      <c r="AD17" s="80">
        <v>0</v>
      </c>
      <c r="AE17" s="80">
        <v>0</v>
      </c>
      <c r="AF17" s="80">
        <v>0</v>
      </c>
      <c r="AG17" s="81">
        <v>1</v>
      </c>
      <c r="AH17" s="81">
        <v>0</v>
      </c>
      <c r="AI17" s="81">
        <v>0</v>
      </c>
      <c r="AJ17" s="81">
        <v>0</v>
      </c>
      <c r="AK17" s="81">
        <v>0</v>
      </c>
      <c r="AL17" s="81">
        <v>0</v>
      </c>
      <c r="AM17" s="81">
        <v>0</v>
      </c>
      <c r="AN17" s="81">
        <v>0</v>
      </c>
      <c r="AO17" s="80">
        <v>0</v>
      </c>
    </row>
    <row r="18" spans="1:41" ht="15.75" x14ac:dyDescent="0.25">
      <c r="A18" s="74"/>
      <c r="B18" s="74"/>
      <c r="C18" s="631"/>
      <c r="D18" s="80" t="s">
        <v>258</v>
      </c>
      <c r="E18" s="80">
        <v>0</v>
      </c>
      <c r="F18" s="80">
        <v>0</v>
      </c>
      <c r="G18" s="80">
        <v>0</v>
      </c>
      <c r="H18" s="80">
        <v>0</v>
      </c>
      <c r="I18" s="80">
        <v>0</v>
      </c>
      <c r="J18" s="80">
        <v>0</v>
      </c>
      <c r="K18" s="80">
        <v>0</v>
      </c>
      <c r="L18" s="80">
        <v>0</v>
      </c>
      <c r="M18" s="80">
        <v>0</v>
      </c>
      <c r="N18" s="80">
        <v>0</v>
      </c>
      <c r="O18" s="80">
        <v>0</v>
      </c>
      <c r="P18" s="80">
        <v>0</v>
      </c>
      <c r="Q18" s="80">
        <v>0</v>
      </c>
      <c r="R18" s="80">
        <v>0</v>
      </c>
      <c r="S18" s="80">
        <v>0</v>
      </c>
      <c r="T18" s="80">
        <v>0</v>
      </c>
      <c r="U18" s="80">
        <v>0</v>
      </c>
      <c r="V18" s="80">
        <v>0</v>
      </c>
      <c r="W18" s="80">
        <v>2</v>
      </c>
      <c r="X18" s="80">
        <v>0</v>
      </c>
      <c r="Y18" s="80">
        <v>0</v>
      </c>
      <c r="Z18" s="80">
        <v>0</v>
      </c>
      <c r="AA18" s="80">
        <v>0</v>
      </c>
      <c r="AB18" s="80">
        <v>0</v>
      </c>
      <c r="AC18" s="80">
        <v>0</v>
      </c>
      <c r="AD18" s="80">
        <v>0</v>
      </c>
      <c r="AE18" s="80">
        <v>0</v>
      </c>
      <c r="AF18" s="80">
        <v>0</v>
      </c>
      <c r="AG18" s="80">
        <v>0</v>
      </c>
      <c r="AH18" s="80">
        <v>0</v>
      </c>
      <c r="AI18" s="80">
        <v>0</v>
      </c>
      <c r="AJ18" s="80">
        <v>0</v>
      </c>
      <c r="AK18" s="80">
        <v>0</v>
      </c>
      <c r="AL18" s="80">
        <v>0</v>
      </c>
      <c r="AM18" s="81">
        <v>0</v>
      </c>
      <c r="AN18" s="81">
        <v>0</v>
      </c>
      <c r="AO18" s="80">
        <v>0</v>
      </c>
    </row>
    <row r="19" spans="1:41" ht="15.75" x14ac:dyDescent="0.25">
      <c r="A19" s="74">
        <v>4</v>
      </c>
      <c r="B19" s="74"/>
      <c r="C19" s="627" t="s">
        <v>249</v>
      </c>
      <c r="D19" s="80" t="s">
        <v>245</v>
      </c>
      <c r="E19" s="438">
        <v>0</v>
      </c>
      <c r="F19" s="80">
        <v>0</v>
      </c>
      <c r="G19" s="80">
        <v>0</v>
      </c>
      <c r="H19" s="80">
        <v>0</v>
      </c>
      <c r="I19" s="387">
        <v>3</v>
      </c>
      <c r="J19" s="387">
        <v>2</v>
      </c>
      <c r="K19" s="80">
        <v>0</v>
      </c>
      <c r="L19" s="80">
        <v>0</v>
      </c>
      <c r="M19" s="80">
        <v>0</v>
      </c>
      <c r="N19" s="80">
        <v>0</v>
      </c>
      <c r="O19" s="387">
        <v>1</v>
      </c>
      <c r="P19" s="80">
        <v>0</v>
      </c>
      <c r="Q19" s="387">
        <v>2</v>
      </c>
      <c r="R19" s="387">
        <v>2</v>
      </c>
      <c r="S19" s="80">
        <v>0</v>
      </c>
      <c r="T19" s="80">
        <v>0</v>
      </c>
      <c r="U19" s="387">
        <v>2</v>
      </c>
      <c r="V19" s="80">
        <v>0</v>
      </c>
      <c r="W19" s="80">
        <v>0</v>
      </c>
      <c r="X19" s="387">
        <v>2</v>
      </c>
      <c r="Y19" s="80">
        <v>0</v>
      </c>
      <c r="Z19" s="387">
        <v>4</v>
      </c>
      <c r="AA19" s="80">
        <v>0</v>
      </c>
      <c r="AB19" s="387">
        <v>1</v>
      </c>
      <c r="AC19" s="80">
        <v>0</v>
      </c>
      <c r="AD19" s="80">
        <v>0</v>
      </c>
      <c r="AE19" s="80">
        <v>0</v>
      </c>
      <c r="AF19" s="80">
        <v>0</v>
      </c>
      <c r="AG19" s="387">
        <v>2</v>
      </c>
      <c r="AH19" s="80">
        <v>0</v>
      </c>
      <c r="AI19" s="80">
        <v>0</v>
      </c>
      <c r="AJ19" s="80">
        <v>0</v>
      </c>
      <c r="AK19" s="80">
        <v>0</v>
      </c>
      <c r="AL19" s="80">
        <v>0</v>
      </c>
      <c r="AM19" s="81">
        <v>0</v>
      </c>
      <c r="AN19" s="81">
        <v>0</v>
      </c>
      <c r="AO19" s="80">
        <v>0</v>
      </c>
    </row>
    <row r="20" spans="1:41" ht="15.75" x14ac:dyDescent="0.25">
      <c r="A20" s="74"/>
      <c r="B20" s="74"/>
      <c r="C20" s="627"/>
      <c r="D20" s="80" t="s">
        <v>246</v>
      </c>
      <c r="E20" s="80">
        <v>0</v>
      </c>
      <c r="F20" s="80">
        <v>0</v>
      </c>
      <c r="G20" s="80">
        <v>0</v>
      </c>
      <c r="H20" s="80">
        <v>0</v>
      </c>
      <c r="I20" s="80">
        <v>3</v>
      </c>
      <c r="J20" s="80">
        <v>2</v>
      </c>
      <c r="K20" s="80">
        <v>0</v>
      </c>
      <c r="L20" s="80">
        <v>0</v>
      </c>
      <c r="M20" s="80">
        <v>0</v>
      </c>
      <c r="N20" s="80">
        <v>0</v>
      </c>
      <c r="O20" s="80">
        <v>1</v>
      </c>
      <c r="P20" s="80">
        <v>0</v>
      </c>
      <c r="Q20" s="80">
        <v>2</v>
      </c>
      <c r="R20" s="80">
        <v>2</v>
      </c>
      <c r="S20" s="80">
        <v>0</v>
      </c>
      <c r="T20" s="80">
        <v>0</v>
      </c>
      <c r="U20" s="80">
        <v>2</v>
      </c>
      <c r="V20" s="80">
        <v>0</v>
      </c>
      <c r="W20" s="80">
        <v>0</v>
      </c>
      <c r="X20" s="80">
        <v>2</v>
      </c>
      <c r="Y20" s="80">
        <v>0</v>
      </c>
      <c r="Z20" s="80">
        <v>4</v>
      </c>
      <c r="AA20" s="80">
        <v>0</v>
      </c>
      <c r="AB20" s="80">
        <v>1</v>
      </c>
      <c r="AC20" s="80">
        <v>0</v>
      </c>
      <c r="AD20" s="80">
        <v>0</v>
      </c>
      <c r="AE20" s="80">
        <v>0</v>
      </c>
      <c r="AF20" s="80">
        <v>0</v>
      </c>
      <c r="AG20" s="81">
        <v>2</v>
      </c>
      <c r="AH20" s="80">
        <v>0</v>
      </c>
      <c r="AI20" s="81">
        <v>0</v>
      </c>
      <c r="AJ20" s="81">
        <v>0</v>
      </c>
      <c r="AK20" s="81">
        <v>0</v>
      </c>
      <c r="AL20" s="81">
        <v>0</v>
      </c>
      <c r="AM20" s="81">
        <v>0</v>
      </c>
      <c r="AN20" s="81">
        <v>0</v>
      </c>
      <c r="AO20" s="80">
        <v>0</v>
      </c>
    </row>
    <row r="21" spans="1:41" ht="15.75" x14ac:dyDescent="0.25">
      <c r="A21" s="74"/>
      <c r="B21" s="74"/>
      <c r="C21" s="627"/>
      <c r="D21" s="80" t="s">
        <v>247</v>
      </c>
      <c r="E21" s="80">
        <v>0</v>
      </c>
      <c r="F21" s="80">
        <v>0</v>
      </c>
      <c r="G21" s="80">
        <v>0</v>
      </c>
      <c r="H21" s="80">
        <v>0</v>
      </c>
      <c r="I21" s="80">
        <v>0</v>
      </c>
      <c r="J21" s="80">
        <v>0</v>
      </c>
      <c r="K21" s="80">
        <v>0</v>
      </c>
      <c r="L21" s="80">
        <v>0</v>
      </c>
      <c r="M21" s="80">
        <v>0</v>
      </c>
      <c r="N21" s="80">
        <v>0</v>
      </c>
      <c r="O21" s="80">
        <v>0</v>
      </c>
      <c r="P21" s="80">
        <v>0</v>
      </c>
      <c r="Q21" s="80">
        <v>0</v>
      </c>
      <c r="R21" s="80">
        <v>0</v>
      </c>
      <c r="S21" s="80">
        <v>0</v>
      </c>
      <c r="T21" s="80">
        <v>0</v>
      </c>
      <c r="U21" s="80">
        <v>0</v>
      </c>
      <c r="V21" s="80">
        <v>0</v>
      </c>
      <c r="W21" s="80">
        <v>0</v>
      </c>
      <c r="X21" s="80">
        <v>0</v>
      </c>
      <c r="Y21" s="80">
        <v>0</v>
      </c>
      <c r="Z21" s="80">
        <v>0</v>
      </c>
      <c r="AA21" s="80">
        <v>0</v>
      </c>
      <c r="AB21" s="80">
        <v>0</v>
      </c>
      <c r="AC21" s="80">
        <v>0</v>
      </c>
      <c r="AD21" s="80">
        <v>0</v>
      </c>
      <c r="AE21" s="80">
        <v>0</v>
      </c>
      <c r="AF21" s="80">
        <v>0</v>
      </c>
      <c r="AG21" s="81">
        <v>0</v>
      </c>
      <c r="AH21" s="80">
        <v>0</v>
      </c>
      <c r="AI21" s="81">
        <v>0</v>
      </c>
      <c r="AJ21" s="81">
        <v>0</v>
      </c>
      <c r="AK21" s="81">
        <v>0</v>
      </c>
      <c r="AL21" s="81">
        <v>0</v>
      </c>
      <c r="AM21" s="81">
        <v>0</v>
      </c>
      <c r="AN21" s="81">
        <v>0</v>
      </c>
      <c r="AO21" s="80">
        <v>0</v>
      </c>
    </row>
    <row r="22" spans="1:41" ht="18.75" x14ac:dyDescent="0.3">
      <c r="A22" s="74"/>
      <c r="B22" s="74"/>
      <c r="C22" s="627"/>
      <c r="D22" s="80" t="s">
        <v>248</v>
      </c>
      <c r="E22" s="80">
        <v>0</v>
      </c>
      <c r="F22" s="80">
        <v>0</v>
      </c>
      <c r="G22" s="80">
        <v>0</v>
      </c>
      <c r="H22" s="80">
        <v>0</v>
      </c>
      <c r="I22" s="80">
        <v>3</v>
      </c>
      <c r="J22" s="160">
        <v>2</v>
      </c>
      <c r="K22" s="80">
        <v>0</v>
      </c>
      <c r="L22" s="80">
        <v>0</v>
      </c>
      <c r="M22" s="80">
        <v>0</v>
      </c>
      <c r="N22" s="80">
        <v>0</v>
      </c>
      <c r="O22" s="80">
        <v>1</v>
      </c>
      <c r="P22" s="80">
        <v>0</v>
      </c>
      <c r="Q22" s="80">
        <v>2</v>
      </c>
      <c r="R22" s="80">
        <v>2</v>
      </c>
      <c r="S22" s="80">
        <v>0</v>
      </c>
      <c r="T22" s="80">
        <v>0</v>
      </c>
      <c r="U22" s="80">
        <v>2</v>
      </c>
      <c r="V22" s="80">
        <v>0</v>
      </c>
      <c r="W22" s="80">
        <v>0</v>
      </c>
      <c r="X22" s="80">
        <v>2</v>
      </c>
      <c r="Y22" s="80">
        <v>0</v>
      </c>
      <c r="Z22" s="80">
        <v>4</v>
      </c>
      <c r="AA22" s="80">
        <v>0</v>
      </c>
      <c r="AB22" s="80">
        <v>1</v>
      </c>
      <c r="AC22" s="80">
        <v>0</v>
      </c>
      <c r="AD22" s="80">
        <v>0</v>
      </c>
      <c r="AE22" s="80">
        <v>0</v>
      </c>
      <c r="AF22" s="80">
        <v>0</v>
      </c>
      <c r="AG22" s="81">
        <v>2</v>
      </c>
      <c r="AH22" s="80">
        <v>0</v>
      </c>
      <c r="AI22" s="81">
        <v>0</v>
      </c>
      <c r="AJ22" s="81">
        <v>0</v>
      </c>
      <c r="AK22" s="81">
        <v>0</v>
      </c>
      <c r="AL22" s="81">
        <v>0</v>
      </c>
      <c r="AM22" s="81">
        <v>0</v>
      </c>
      <c r="AN22" s="81">
        <v>0</v>
      </c>
      <c r="AO22" s="80">
        <v>0</v>
      </c>
    </row>
    <row r="23" spans="1:41" ht="15.75" x14ac:dyDescent="0.25">
      <c r="A23" s="74"/>
      <c r="B23" s="74"/>
      <c r="C23" s="627"/>
      <c r="D23" s="80" t="s">
        <v>258</v>
      </c>
      <c r="E23" s="80">
        <v>0</v>
      </c>
      <c r="F23" s="80">
        <v>0</v>
      </c>
      <c r="G23" s="80">
        <v>0</v>
      </c>
      <c r="H23" s="80">
        <v>0</v>
      </c>
      <c r="I23" s="80">
        <v>0</v>
      </c>
      <c r="J23" s="80">
        <v>0</v>
      </c>
      <c r="K23" s="80">
        <v>0</v>
      </c>
      <c r="L23" s="80">
        <v>0</v>
      </c>
      <c r="M23" s="80">
        <v>0</v>
      </c>
      <c r="N23" s="80">
        <v>0</v>
      </c>
      <c r="O23" s="80">
        <v>0</v>
      </c>
      <c r="P23" s="80">
        <v>0</v>
      </c>
      <c r="Q23" s="80">
        <v>0</v>
      </c>
      <c r="R23" s="80">
        <v>0</v>
      </c>
      <c r="S23" s="80">
        <v>0</v>
      </c>
      <c r="T23" s="80">
        <v>0</v>
      </c>
      <c r="U23" s="80">
        <v>0</v>
      </c>
      <c r="V23" s="80">
        <v>0</v>
      </c>
      <c r="W23" s="80">
        <v>0</v>
      </c>
      <c r="X23" s="80">
        <v>0</v>
      </c>
      <c r="Y23" s="80">
        <v>0</v>
      </c>
      <c r="Z23" s="80">
        <v>0</v>
      </c>
      <c r="AA23" s="80">
        <v>0</v>
      </c>
      <c r="AB23" s="80">
        <v>0</v>
      </c>
      <c r="AC23" s="80">
        <v>0</v>
      </c>
      <c r="AD23" s="80">
        <v>0</v>
      </c>
      <c r="AE23" s="80">
        <v>0</v>
      </c>
      <c r="AF23" s="80">
        <v>0</v>
      </c>
      <c r="AG23" s="80">
        <v>0</v>
      </c>
      <c r="AH23" s="80">
        <v>0</v>
      </c>
      <c r="AI23" s="80">
        <v>0</v>
      </c>
      <c r="AJ23" s="80">
        <v>0</v>
      </c>
      <c r="AK23" s="80">
        <v>0</v>
      </c>
      <c r="AL23" s="80">
        <v>0</v>
      </c>
      <c r="AM23" s="81">
        <v>0</v>
      </c>
      <c r="AN23" s="81">
        <v>0</v>
      </c>
      <c r="AO23" s="80">
        <v>0</v>
      </c>
    </row>
    <row r="24" spans="1:41" ht="15.75" x14ac:dyDescent="0.25">
      <c r="A24" s="74">
        <v>5</v>
      </c>
      <c r="B24" s="74"/>
      <c r="C24" s="627" t="s">
        <v>821</v>
      </c>
      <c r="D24" s="80" t="s">
        <v>245</v>
      </c>
      <c r="E24" s="438">
        <v>0</v>
      </c>
      <c r="F24" s="80">
        <v>0</v>
      </c>
      <c r="G24" s="80">
        <v>0</v>
      </c>
      <c r="H24" s="80">
        <v>0</v>
      </c>
      <c r="I24" s="80">
        <v>1</v>
      </c>
      <c r="J24" s="80">
        <v>0</v>
      </c>
      <c r="K24" s="80">
        <v>0</v>
      </c>
      <c r="L24" s="80">
        <v>0</v>
      </c>
      <c r="M24" s="80">
        <v>0</v>
      </c>
      <c r="N24" s="80">
        <v>0</v>
      </c>
      <c r="O24" s="80">
        <v>0</v>
      </c>
      <c r="P24" s="80">
        <v>0</v>
      </c>
      <c r="Q24" s="80">
        <v>0</v>
      </c>
      <c r="R24" s="80">
        <v>0</v>
      </c>
      <c r="S24" s="80">
        <v>0</v>
      </c>
      <c r="T24" s="80">
        <v>0</v>
      </c>
      <c r="U24" s="80">
        <v>0</v>
      </c>
      <c r="V24" s="80">
        <v>0</v>
      </c>
      <c r="W24" s="80">
        <v>0</v>
      </c>
      <c r="X24" s="80">
        <v>0</v>
      </c>
      <c r="Y24" s="80">
        <v>0</v>
      </c>
      <c r="Z24" s="80">
        <v>0</v>
      </c>
      <c r="AA24" s="80">
        <v>0</v>
      </c>
      <c r="AB24" s="80">
        <v>0</v>
      </c>
      <c r="AC24" s="80">
        <v>0</v>
      </c>
      <c r="AD24" s="80">
        <v>0</v>
      </c>
      <c r="AE24" s="80">
        <v>0</v>
      </c>
      <c r="AF24" s="80">
        <v>0</v>
      </c>
      <c r="AG24" s="80">
        <v>0</v>
      </c>
      <c r="AH24" s="80">
        <v>0</v>
      </c>
      <c r="AI24" s="80">
        <v>0</v>
      </c>
      <c r="AJ24" s="80">
        <v>0</v>
      </c>
      <c r="AK24" s="80">
        <v>0</v>
      </c>
      <c r="AL24" s="80">
        <v>0</v>
      </c>
      <c r="AM24" s="80">
        <v>0</v>
      </c>
      <c r="AN24" s="80">
        <v>0</v>
      </c>
      <c r="AO24" s="80">
        <v>0</v>
      </c>
    </row>
    <row r="25" spans="1:41" ht="15.75" x14ac:dyDescent="0.25">
      <c r="A25" s="74"/>
      <c r="B25" s="74"/>
      <c r="C25" s="627"/>
      <c r="D25" s="80" t="s">
        <v>246</v>
      </c>
      <c r="E25" s="80">
        <v>0</v>
      </c>
      <c r="F25" s="80">
        <v>0</v>
      </c>
      <c r="G25" s="80">
        <v>0</v>
      </c>
      <c r="H25" s="80">
        <v>0</v>
      </c>
      <c r="I25" s="80">
        <v>1</v>
      </c>
      <c r="J25" s="80">
        <v>0</v>
      </c>
      <c r="K25" s="80">
        <v>0</v>
      </c>
      <c r="L25" s="80">
        <v>0</v>
      </c>
      <c r="M25" s="80">
        <v>0</v>
      </c>
      <c r="N25" s="80">
        <v>0</v>
      </c>
      <c r="O25" s="80">
        <v>0</v>
      </c>
      <c r="P25" s="80">
        <v>0</v>
      </c>
      <c r="Q25" s="80">
        <v>0</v>
      </c>
      <c r="R25" s="80">
        <v>0</v>
      </c>
      <c r="S25" s="80">
        <v>0</v>
      </c>
      <c r="T25" s="80">
        <v>0</v>
      </c>
      <c r="U25" s="80">
        <v>0</v>
      </c>
      <c r="V25" s="80">
        <v>0</v>
      </c>
      <c r="W25" s="80">
        <v>0</v>
      </c>
      <c r="X25" s="80">
        <v>0</v>
      </c>
      <c r="Y25" s="80">
        <v>0</v>
      </c>
      <c r="Z25" s="80">
        <v>0</v>
      </c>
      <c r="AA25" s="80">
        <v>0</v>
      </c>
      <c r="AB25" s="80">
        <v>0</v>
      </c>
      <c r="AC25" s="80">
        <v>0</v>
      </c>
      <c r="AD25" s="80">
        <v>0</v>
      </c>
      <c r="AE25" s="80">
        <v>0</v>
      </c>
      <c r="AF25" s="80">
        <v>0</v>
      </c>
      <c r="AG25" s="80">
        <v>0</v>
      </c>
      <c r="AH25" s="80">
        <v>0</v>
      </c>
      <c r="AI25" s="80">
        <v>0</v>
      </c>
      <c r="AJ25" s="80">
        <v>0</v>
      </c>
      <c r="AK25" s="80">
        <v>0</v>
      </c>
      <c r="AL25" s="80">
        <v>0</v>
      </c>
      <c r="AM25" s="80">
        <v>0</v>
      </c>
      <c r="AN25" s="80">
        <v>0</v>
      </c>
      <c r="AO25" s="80">
        <v>0</v>
      </c>
    </row>
    <row r="26" spans="1:41" ht="15.75" x14ac:dyDescent="0.25">
      <c r="A26" s="74"/>
      <c r="B26" s="74"/>
      <c r="C26" s="627"/>
      <c r="D26" s="80" t="s">
        <v>247</v>
      </c>
      <c r="E26" s="80">
        <v>0</v>
      </c>
      <c r="F26" s="80">
        <v>0</v>
      </c>
      <c r="G26" s="80">
        <v>0</v>
      </c>
      <c r="H26" s="80">
        <v>0</v>
      </c>
      <c r="I26" s="80">
        <v>0</v>
      </c>
      <c r="J26" s="80">
        <v>0</v>
      </c>
      <c r="K26" s="80">
        <v>0</v>
      </c>
      <c r="L26" s="80">
        <v>0</v>
      </c>
      <c r="M26" s="80">
        <v>0</v>
      </c>
      <c r="N26" s="80">
        <v>0</v>
      </c>
      <c r="O26" s="80">
        <v>0</v>
      </c>
      <c r="P26" s="80">
        <v>0</v>
      </c>
      <c r="Q26" s="80">
        <v>0</v>
      </c>
      <c r="R26" s="80">
        <v>0</v>
      </c>
      <c r="S26" s="80">
        <v>0</v>
      </c>
      <c r="T26" s="80">
        <v>0</v>
      </c>
      <c r="U26" s="80">
        <v>0</v>
      </c>
      <c r="V26" s="80">
        <v>0</v>
      </c>
      <c r="W26" s="80">
        <v>0</v>
      </c>
      <c r="X26" s="80">
        <v>0</v>
      </c>
      <c r="Y26" s="80">
        <v>0</v>
      </c>
      <c r="Z26" s="80">
        <v>0</v>
      </c>
      <c r="AA26" s="80">
        <v>0</v>
      </c>
      <c r="AB26" s="80">
        <v>0</v>
      </c>
      <c r="AC26" s="80">
        <v>0</v>
      </c>
      <c r="AD26" s="80">
        <v>0</v>
      </c>
      <c r="AE26" s="80">
        <v>0</v>
      </c>
      <c r="AF26" s="80">
        <v>0</v>
      </c>
      <c r="AG26" s="80">
        <v>0</v>
      </c>
      <c r="AH26" s="80">
        <v>0</v>
      </c>
      <c r="AI26" s="80">
        <v>0</v>
      </c>
      <c r="AJ26" s="80">
        <v>0</v>
      </c>
      <c r="AK26" s="80">
        <v>0</v>
      </c>
      <c r="AL26" s="80">
        <v>0</v>
      </c>
      <c r="AM26" s="80">
        <v>0</v>
      </c>
      <c r="AN26" s="80">
        <v>0</v>
      </c>
      <c r="AO26" s="80">
        <v>0</v>
      </c>
    </row>
    <row r="27" spans="1:41" ht="15.75" x14ac:dyDescent="0.25">
      <c r="A27" s="74"/>
      <c r="B27" s="74"/>
      <c r="C27" s="627"/>
      <c r="D27" s="80" t="s">
        <v>248</v>
      </c>
      <c r="E27" s="80">
        <v>0</v>
      </c>
      <c r="F27" s="80">
        <v>0</v>
      </c>
      <c r="G27" s="80">
        <v>0</v>
      </c>
      <c r="H27" s="80">
        <v>0</v>
      </c>
      <c r="I27" s="80">
        <v>1</v>
      </c>
      <c r="J27" s="80">
        <v>0</v>
      </c>
      <c r="K27" s="80">
        <v>0</v>
      </c>
      <c r="L27" s="80">
        <v>0</v>
      </c>
      <c r="M27" s="80">
        <v>0</v>
      </c>
      <c r="N27" s="80">
        <v>0</v>
      </c>
      <c r="O27" s="80">
        <v>0</v>
      </c>
      <c r="P27" s="80">
        <v>0</v>
      </c>
      <c r="Q27" s="80">
        <v>0</v>
      </c>
      <c r="R27" s="80">
        <v>0</v>
      </c>
      <c r="S27" s="80">
        <v>0</v>
      </c>
      <c r="T27" s="80">
        <v>0</v>
      </c>
      <c r="U27" s="80">
        <v>0</v>
      </c>
      <c r="V27" s="80">
        <v>0</v>
      </c>
      <c r="W27" s="80">
        <v>0</v>
      </c>
      <c r="X27" s="80">
        <v>0</v>
      </c>
      <c r="Y27" s="80">
        <v>0</v>
      </c>
      <c r="Z27" s="80">
        <v>0</v>
      </c>
      <c r="AA27" s="80">
        <v>0</v>
      </c>
      <c r="AB27" s="80">
        <v>0</v>
      </c>
      <c r="AC27" s="80">
        <v>0</v>
      </c>
      <c r="AD27" s="80">
        <v>0</v>
      </c>
      <c r="AE27" s="80">
        <v>0</v>
      </c>
      <c r="AF27" s="80">
        <v>0</v>
      </c>
      <c r="AG27" s="80">
        <v>0</v>
      </c>
      <c r="AH27" s="80">
        <v>0</v>
      </c>
      <c r="AI27" s="80">
        <v>0</v>
      </c>
      <c r="AJ27" s="80">
        <v>0</v>
      </c>
      <c r="AK27" s="80">
        <v>0</v>
      </c>
      <c r="AL27" s="80">
        <v>0</v>
      </c>
      <c r="AM27" s="80">
        <v>0</v>
      </c>
      <c r="AN27" s="80">
        <v>0</v>
      </c>
      <c r="AO27" s="80">
        <v>0</v>
      </c>
    </row>
    <row r="28" spans="1:41" ht="15.75" x14ac:dyDescent="0.25">
      <c r="A28" s="74"/>
      <c r="B28" s="74"/>
      <c r="C28" s="627"/>
      <c r="D28" s="80" t="s">
        <v>258</v>
      </c>
      <c r="E28" s="80">
        <v>0</v>
      </c>
      <c r="F28" s="80">
        <v>0</v>
      </c>
      <c r="G28" s="80">
        <v>0</v>
      </c>
      <c r="H28" s="80">
        <v>0</v>
      </c>
      <c r="I28" s="80">
        <v>0</v>
      </c>
      <c r="J28" s="80">
        <v>0</v>
      </c>
      <c r="K28" s="80">
        <v>0</v>
      </c>
      <c r="L28" s="80">
        <v>0</v>
      </c>
      <c r="M28" s="80">
        <v>0</v>
      </c>
      <c r="N28" s="80">
        <v>0</v>
      </c>
      <c r="O28" s="80">
        <v>0</v>
      </c>
      <c r="P28" s="80">
        <v>0</v>
      </c>
      <c r="Q28" s="80">
        <v>0</v>
      </c>
      <c r="R28" s="80">
        <v>0</v>
      </c>
      <c r="S28" s="80">
        <v>0</v>
      </c>
      <c r="T28" s="80">
        <v>0</v>
      </c>
      <c r="U28" s="80">
        <v>0</v>
      </c>
      <c r="V28" s="80">
        <v>0</v>
      </c>
      <c r="W28" s="80">
        <v>0</v>
      </c>
      <c r="X28" s="80">
        <v>0</v>
      </c>
      <c r="Y28" s="80">
        <v>0</v>
      </c>
      <c r="Z28" s="80">
        <v>0</v>
      </c>
      <c r="AA28" s="80">
        <v>0</v>
      </c>
      <c r="AB28" s="80">
        <v>0</v>
      </c>
      <c r="AC28" s="80">
        <v>0</v>
      </c>
      <c r="AD28" s="80">
        <v>0</v>
      </c>
      <c r="AE28" s="80">
        <v>0</v>
      </c>
      <c r="AF28" s="80">
        <v>0</v>
      </c>
      <c r="AG28" s="80">
        <v>0</v>
      </c>
      <c r="AH28" s="80">
        <v>0</v>
      </c>
      <c r="AI28" s="80">
        <v>0</v>
      </c>
      <c r="AJ28" s="80">
        <v>0</v>
      </c>
      <c r="AK28" s="80">
        <v>0</v>
      </c>
      <c r="AL28" s="80">
        <v>0</v>
      </c>
      <c r="AM28" s="80">
        <v>0</v>
      </c>
      <c r="AN28" s="80">
        <v>0</v>
      </c>
      <c r="AO28" s="80">
        <v>0</v>
      </c>
    </row>
    <row r="29" spans="1:41" ht="15.75" x14ac:dyDescent="0.25">
      <c r="A29" s="159">
        <v>6</v>
      </c>
      <c r="B29" s="159" t="s">
        <v>20</v>
      </c>
      <c r="C29" s="159" t="s">
        <v>20</v>
      </c>
      <c r="D29" s="80" t="s">
        <v>245</v>
      </c>
      <c r="E29" s="438">
        <v>0</v>
      </c>
      <c r="F29" s="80">
        <v>0</v>
      </c>
      <c r="G29" s="80">
        <v>0</v>
      </c>
      <c r="H29" s="387">
        <v>2</v>
      </c>
      <c r="I29" s="387">
        <v>1</v>
      </c>
      <c r="J29" s="387">
        <v>1</v>
      </c>
      <c r="K29" s="80">
        <v>0</v>
      </c>
      <c r="L29" s="80">
        <v>0</v>
      </c>
      <c r="M29" s="387">
        <v>1</v>
      </c>
      <c r="N29" s="387">
        <v>1</v>
      </c>
      <c r="O29" s="387">
        <v>1</v>
      </c>
      <c r="P29" s="80">
        <v>0</v>
      </c>
      <c r="Q29" s="387">
        <v>1</v>
      </c>
      <c r="R29" s="80">
        <v>0</v>
      </c>
      <c r="S29" s="80">
        <v>0</v>
      </c>
      <c r="T29" s="80">
        <v>0</v>
      </c>
      <c r="U29" s="387">
        <v>2</v>
      </c>
      <c r="V29" s="387">
        <v>1</v>
      </c>
      <c r="W29" s="387">
        <v>1</v>
      </c>
      <c r="X29" s="80">
        <v>0</v>
      </c>
      <c r="Y29" s="80">
        <v>0</v>
      </c>
      <c r="Z29" s="387">
        <v>2</v>
      </c>
      <c r="AA29" s="387">
        <v>1</v>
      </c>
      <c r="AB29" s="387">
        <v>1</v>
      </c>
      <c r="AC29" s="80">
        <v>0</v>
      </c>
      <c r="AD29" s="387">
        <v>1</v>
      </c>
      <c r="AE29" s="387">
        <v>1</v>
      </c>
      <c r="AF29" s="80">
        <v>0</v>
      </c>
      <c r="AG29" s="390">
        <v>1</v>
      </c>
      <c r="AH29" s="80">
        <v>0</v>
      </c>
      <c r="AI29" s="81">
        <v>0</v>
      </c>
      <c r="AJ29" s="81">
        <v>0</v>
      </c>
      <c r="AK29" s="81">
        <v>0</v>
      </c>
      <c r="AL29" s="81">
        <v>0</v>
      </c>
      <c r="AM29" s="81">
        <v>0</v>
      </c>
      <c r="AN29" s="81">
        <v>0</v>
      </c>
      <c r="AO29" s="80">
        <v>0</v>
      </c>
    </row>
    <row r="30" spans="1:41" ht="15.75" x14ac:dyDescent="0.25">
      <c r="A30" s="159"/>
      <c r="B30" s="159"/>
      <c r="C30" s="159"/>
      <c r="D30" s="80" t="s">
        <v>246</v>
      </c>
      <c r="E30" s="80">
        <v>0</v>
      </c>
      <c r="F30" s="80">
        <v>0</v>
      </c>
      <c r="G30" s="80">
        <v>0</v>
      </c>
      <c r="H30" s="80">
        <v>2</v>
      </c>
      <c r="I30" s="80">
        <v>1</v>
      </c>
      <c r="J30" s="80">
        <v>1</v>
      </c>
      <c r="K30" s="80">
        <v>0</v>
      </c>
      <c r="L30" s="80">
        <v>0</v>
      </c>
      <c r="M30" s="80">
        <v>1</v>
      </c>
      <c r="N30" s="80">
        <v>1</v>
      </c>
      <c r="O30" s="80">
        <v>1</v>
      </c>
      <c r="P30" s="80">
        <v>0</v>
      </c>
      <c r="Q30" s="80">
        <v>1</v>
      </c>
      <c r="R30" s="80">
        <v>0</v>
      </c>
      <c r="S30" s="80">
        <v>0</v>
      </c>
      <c r="T30" s="80">
        <v>0</v>
      </c>
      <c r="U30" s="80">
        <v>2</v>
      </c>
      <c r="V30" s="80">
        <v>1</v>
      </c>
      <c r="W30" s="80">
        <v>1</v>
      </c>
      <c r="X30" s="80">
        <v>0</v>
      </c>
      <c r="Y30" s="80">
        <v>0</v>
      </c>
      <c r="Z30" s="80">
        <v>2</v>
      </c>
      <c r="AA30" s="80">
        <v>1</v>
      </c>
      <c r="AB30" s="80">
        <v>1</v>
      </c>
      <c r="AC30" s="80">
        <v>0</v>
      </c>
      <c r="AD30" s="80">
        <v>1</v>
      </c>
      <c r="AE30" s="80">
        <v>1</v>
      </c>
      <c r="AF30" s="80">
        <v>0</v>
      </c>
      <c r="AG30" s="81">
        <v>1</v>
      </c>
      <c r="AH30" s="80">
        <v>0</v>
      </c>
      <c r="AI30" s="81">
        <v>0</v>
      </c>
      <c r="AJ30" s="81">
        <v>0</v>
      </c>
      <c r="AK30" s="81">
        <v>0</v>
      </c>
      <c r="AL30" s="81">
        <v>0</v>
      </c>
      <c r="AM30" s="81">
        <v>0</v>
      </c>
      <c r="AN30" s="81">
        <v>0</v>
      </c>
      <c r="AO30" s="80">
        <v>0</v>
      </c>
    </row>
    <row r="31" spans="1:41" ht="15.75" x14ac:dyDescent="0.25">
      <c r="A31" s="159"/>
      <c r="B31" s="159"/>
      <c r="C31" s="159"/>
      <c r="D31" s="80" t="s">
        <v>247</v>
      </c>
      <c r="E31" s="80">
        <v>0</v>
      </c>
      <c r="F31" s="80">
        <v>0</v>
      </c>
      <c r="G31" s="80">
        <v>0</v>
      </c>
      <c r="H31" s="80">
        <v>0</v>
      </c>
      <c r="I31" s="80">
        <v>0</v>
      </c>
      <c r="J31" s="80">
        <v>0</v>
      </c>
      <c r="K31" s="80">
        <v>0</v>
      </c>
      <c r="L31" s="80">
        <v>0</v>
      </c>
      <c r="M31" s="80">
        <v>0</v>
      </c>
      <c r="N31" s="80">
        <v>0</v>
      </c>
      <c r="O31" s="80">
        <v>0</v>
      </c>
      <c r="P31" s="80">
        <v>0</v>
      </c>
      <c r="Q31" s="80">
        <v>0</v>
      </c>
      <c r="R31" s="80">
        <v>0</v>
      </c>
      <c r="S31" s="80">
        <v>0</v>
      </c>
      <c r="T31" s="80">
        <v>0</v>
      </c>
      <c r="U31" s="80">
        <v>0</v>
      </c>
      <c r="V31" s="80">
        <v>0</v>
      </c>
      <c r="W31" s="80">
        <v>0</v>
      </c>
      <c r="X31" s="80">
        <v>0</v>
      </c>
      <c r="Y31" s="80">
        <v>0</v>
      </c>
      <c r="Z31" s="80">
        <v>0</v>
      </c>
      <c r="AA31" s="80">
        <v>0</v>
      </c>
      <c r="AB31" s="80">
        <v>0</v>
      </c>
      <c r="AC31" s="80">
        <v>0</v>
      </c>
      <c r="AD31" s="80">
        <v>0</v>
      </c>
      <c r="AE31" s="80">
        <v>0</v>
      </c>
      <c r="AF31" s="80">
        <v>0</v>
      </c>
      <c r="AG31" s="81">
        <v>0</v>
      </c>
      <c r="AH31" s="80">
        <v>0</v>
      </c>
      <c r="AI31" s="81">
        <v>0</v>
      </c>
      <c r="AJ31" s="81">
        <v>0</v>
      </c>
      <c r="AK31" s="81">
        <v>0</v>
      </c>
      <c r="AL31" s="81">
        <v>0</v>
      </c>
      <c r="AM31" s="81">
        <v>0</v>
      </c>
      <c r="AN31" s="81">
        <v>0</v>
      </c>
      <c r="AO31" s="80">
        <v>0</v>
      </c>
    </row>
    <row r="32" spans="1:41" ht="15.75" x14ac:dyDescent="0.25">
      <c r="A32" s="159"/>
      <c r="B32" s="159"/>
      <c r="C32" s="159"/>
      <c r="D32" s="80" t="s">
        <v>248</v>
      </c>
      <c r="E32" s="80">
        <v>0</v>
      </c>
      <c r="F32" s="80">
        <v>0</v>
      </c>
      <c r="G32" s="80">
        <v>0</v>
      </c>
      <c r="H32" s="80">
        <v>2</v>
      </c>
      <c r="I32" s="80">
        <v>1</v>
      </c>
      <c r="J32" s="80">
        <v>1</v>
      </c>
      <c r="K32" s="80">
        <v>0</v>
      </c>
      <c r="L32" s="80">
        <v>0</v>
      </c>
      <c r="M32" s="80">
        <v>1</v>
      </c>
      <c r="N32" s="80">
        <v>1</v>
      </c>
      <c r="O32" s="80">
        <v>1</v>
      </c>
      <c r="P32" s="80">
        <v>0</v>
      </c>
      <c r="Q32" s="80">
        <v>1</v>
      </c>
      <c r="R32" s="80">
        <v>0</v>
      </c>
      <c r="S32" s="80">
        <v>0</v>
      </c>
      <c r="T32" s="80">
        <v>0</v>
      </c>
      <c r="U32" s="80">
        <v>2</v>
      </c>
      <c r="V32" s="80">
        <v>1</v>
      </c>
      <c r="W32" s="80">
        <v>1</v>
      </c>
      <c r="X32" s="80">
        <v>0</v>
      </c>
      <c r="Y32" s="80">
        <v>0</v>
      </c>
      <c r="Z32" s="80">
        <v>1</v>
      </c>
      <c r="AA32" s="80">
        <v>1</v>
      </c>
      <c r="AB32" s="80">
        <v>1</v>
      </c>
      <c r="AC32" s="80">
        <v>0</v>
      </c>
      <c r="AD32" s="80">
        <v>1</v>
      </c>
      <c r="AE32" s="80">
        <v>1</v>
      </c>
      <c r="AF32" s="80">
        <v>0</v>
      </c>
      <c r="AG32" s="81">
        <v>1</v>
      </c>
      <c r="AH32" s="80">
        <v>0</v>
      </c>
      <c r="AI32" s="81">
        <v>0</v>
      </c>
      <c r="AJ32" s="81">
        <v>0</v>
      </c>
      <c r="AK32" s="81">
        <v>0</v>
      </c>
      <c r="AL32" s="81">
        <v>0</v>
      </c>
      <c r="AM32" s="81">
        <v>0</v>
      </c>
      <c r="AN32" s="81">
        <v>0</v>
      </c>
      <c r="AO32" s="80">
        <v>0</v>
      </c>
    </row>
    <row r="33" spans="1:41" ht="15.75" x14ac:dyDescent="0.25">
      <c r="A33" s="159"/>
      <c r="B33" s="159"/>
      <c r="C33" s="159"/>
      <c r="D33" s="80" t="s">
        <v>258</v>
      </c>
      <c r="E33" s="80">
        <v>0</v>
      </c>
      <c r="F33" s="80">
        <v>0</v>
      </c>
      <c r="G33" s="80">
        <v>0</v>
      </c>
      <c r="H33" s="80">
        <v>0</v>
      </c>
      <c r="I33" s="80">
        <v>0</v>
      </c>
      <c r="J33" s="80">
        <v>0</v>
      </c>
      <c r="K33" s="80">
        <v>0</v>
      </c>
      <c r="L33" s="80">
        <v>0</v>
      </c>
      <c r="M33" s="80">
        <v>0</v>
      </c>
      <c r="N33" s="80">
        <v>0</v>
      </c>
      <c r="O33" s="80">
        <v>0</v>
      </c>
      <c r="P33" s="80">
        <v>0</v>
      </c>
      <c r="Q33" s="80">
        <v>0</v>
      </c>
      <c r="R33" s="80">
        <v>0</v>
      </c>
      <c r="S33" s="80">
        <v>0</v>
      </c>
      <c r="T33" s="80">
        <v>0</v>
      </c>
      <c r="U33" s="80">
        <v>0</v>
      </c>
      <c r="V33" s="80">
        <v>0</v>
      </c>
      <c r="W33" s="80">
        <v>0</v>
      </c>
      <c r="X33" s="80">
        <v>0</v>
      </c>
      <c r="Y33" s="80">
        <v>0</v>
      </c>
      <c r="Z33" s="80">
        <v>0</v>
      </c>
      <c r="AA33" s="80">
        <v>0</v>
      </c>
      <c r="AB33" s="80">
        <v>0</v>
      </c>
      <c r="AC33" s="80">
        <v>0</v>
      </c>
      <c r="AD33" s="80">
        <v>0</v>
      </c>
      <c r="AE33" s="80">
        <v>0</v>
      </c>
      <c r="AF33" s="80">
        <v>0</v>
      </c>
      <c r="AG33" s="80">
        <v>0</v>
      </c>
      <c r="AH33" s="80">
        <v>0</v>
      </c>
      <c r="AI33" s="80">
        <v>0</v>
      </c>
      <c r="AJ33" s="80">
        <v>0</v>
      </c>
      <c r="AK33" s="80">
        <v>0</v>
      </c>
      <c r="AL33" s="80">
        <v>0</v>
      </c>
      <c r="AM33" s="81">
        <v>0</v>
      </c>
      <c r="AN33" s="81">
        <v>0</v>
      </c>
      <c r="AO33" s="80">
        <v>0</v>
      </c>
    </row>
    <row r="34" spans="1:41" ht="15.75" x14ac:dyDescent="0.25">
      <c r="A34" s="84">
        <v>7</v>
      </c>
      <c r="B34" s="84" t="s">
        <v>127</v>
      </c>
      <c r="C34" s="84" t="s">
        <v>127</v>
      </c>
      <c r="D34" s="80" t="s">
        <v>245</v>
      </c>
      <c r="E34" s="438">
        <v>0</v>
      </c>
      <c r="F34" s="387">
        <v>1</v>
      </c>
      <c r="G34" s="387">
        <v>1</v>
      </c>
      <c r="H34" s="80">
        <v>0</v>
      </c>
      <c r="I34" s="387">
        <v>7</v>
      </c>
      <c r="J34" s="387">
        <v>2</v>
      </c>
      <c r="K34" s="80">
        <v>0</v>
      </c>
      <c r="L34" s="80">
        <v>0</v>
      </c>
      <c r="M34" s="80">
        <v>0</v>
      </c>
      <c r="N34" s="387">
        <v>1</v>
      </c>
      <c r="O34" s="387">
        <v>4</v>
      </c>
      <c r="P34" s="80">
        <v>0</v>
      </c>
      <c r="Q34" s="387">
        <v>4</v>
      </c>
      <c r="R34" s="387">
        <v>1</v>
      </c>
      <c r="S34" s="80">
        <v>0</v>
      </c>
      <c r="T34" s="387">
        <v>1</v>
      </c>
      <c r="U34" s="387">
        <v>2</v>
      </c>
      <c r="V34" s="387">
        <v>3</v>
      </c>
      <c r="W34" s="387">
        <v>1</v>
      </c>
      <c r="X34" s="387">
        <v>1</v>
      </c>
      <c r="Y34" s="387">
        <v>1</v>
      </c>
      <c r="Z34" s="387">
        <v>1</v>
      </c>
      <c r="AA34" s="387">
        <v>2</v>
      </c>
      <c r="AB34" s="387">
        <v>1</v>
      </c>
      <c r="AC34" s="80">
        <v>0</v>
      </c>
      <c r="AD34" s="80">
        <v>0</v>
      </c>
      <c r="AE34" s="387">
        <v>1</v>
      </c>
      <c r="AF34" s="387">
        <v>1</v>
      </c>
      <c r="AG34" s="80">
        <v>0</v>
      </c>
      <c r="AH34" s="387">
        <v>5</v>
      </c>
      <c r="AI34" s="81">
        <v>0</v>
      </c>
      <c r="AJ34" s="81">
        <v>0</v>
      </c>
      <c r="AK34" s="81">
        <v>0</v>
      </c>
      <c r="AL34" s="390">
        <v>1</v>
      </c>
      <c r="AM34" s="81">
        <v>0</v>
      </c>
      <c r="AN34" s="390">
        <v>1</v>
      </c>
      <c r="AO34" s="80">
        <v>0</v>
      </c>
    </row>
    <row r="35" spans="1:41" ht="15.75" x14ac:dyDescent="0.25">
      <c r="A35" s="84"/>
      <c r="B35" s="84"/>
      <c r="C35" s="84"/>
      <c r="D35" s="80" t="s">
        <v>246</v>
      </c>
      <c r="E35" s="80">
        <v>1</v>
      </c>
      <c r="F35" s="80">
        <v>1</v>
      </c>
      <c r="G35" s="80">
        <v>1</v>
      </c>
      <c r="H35" s="80">
        <v>0</v>
      </c>
      <c r="I35" s="80">
        <v>3</v>
      </c>
      <c r="J35" s="80">
        <v>2</v>
      </c>
      <c r="K35" s="80">
        <v>0</v>
      </c>
      <c r="L35" s="80">
        <v>0</v>
      </c>
      <c r="M35" s="80">
        <v>0</v>
      </c>
      <c r="N35" s="80">
        <v>1</v>
      </c>
      <c r="O35" s="80">
        <v>4</v>
      </c>
      <c r="P35" s="80">
        <v>0</v>
      </c>
      <c r="Q35" s="80">
        <v>4</v>
      </c>
      <c r="R35" s="80">
        <v>1</v>
      </c>
      <c r="S35" s="80">
        <v>0</v>
      </c>
      <c r="T35" s="80">
        <v>1</v>
      </c>
      <c r="U35" s="80">
        <v>2</v>
      </c>
      <c r="V35" s="80">
        <v>3</v>
      </c>
      <c r="W35" s="80">
        <v>1</v>
      </c>
      <c r="X35" s="80">
        <v>1</v>
      </c>
      <c r="Y35" s="80">
        <v>1</v>
      </c>
      <c r="Z35" s="80">
        <v>1</v>
      </c>
      <c r="AA35" s="80">
        <v>2</v>
      </c>
      <c r="AB35" s="80">
        <v>1</v>
      </c>
      <c r="AC35" s="80">
        <v>0</v>
      </c>
      <c r="AD35" s="80">
        <v>0</v>
      </c>
      <c r="AE35" s="80">
        <v>1</v>
      </c>
      <c r="AF35" s="80">
        <v>1</v>
      </c>
      <c r="AG35" s="80">
        <v>0</v>
      </c>
      <c r="AH35" s="80">
        <v>5</v>
      </c>
      <c r="AI35" s="81">
        <v>0</v>
      </c>
      <c r="AJ35" s="81">
        <v>0</v>
      </c>
      <c r="AK35" s="81">
        <v>0</v>
      </c>
      <c r="AL35" s="81">
        <v>1</v>
      </c>
      <c r="AM35" s="81">
        <v>0</v>
      </c>
      <c r="AN35" s="81">
        <v>1</v>
      </c>
      <c r="AO35" s="80">
        <v>0</v>
      </c>
    </row>
    <row r="36" spans="1:41" ht="15.75" x14ac:dyDescent="0.25">
      <c r="A36" s="84"/>
      <c r="B36" s="84"/>
      <c r="C36" s="84"/>
      <c r="D36" s="80" t="s">
        <v>247</v>
      </c>
      <c r="E36" s="80">
        <v>0</v>
      </c>
      <c r="F36" s="80">
        <v>0</v>
      </c>
      <c r="G36" s="80">
        <v>0</v>
      </c>
      <c r="H36" s="80">
        <v>0</v>
      </c>
      <c r="I36" s="80">
        <v>0</v>
      </c>
      <c r="J36" s="80">
        <v>0</v>
      </c>
      <c r="K36" s="80">
        <v>0</v>
      </c>
      <c r="L36" s="80">
        <v>0</v>
      </c>
      <c r="M36" s="80">
        <v>0</v>
      </c>
      <c r="N36" s="80">
        <v>0</v>
      </c>
      <c r="O36" s="80">
        <v>0</v>
      </c>
      <c r="P36" s="80">
        <v>0</v>
      </c>
      <c r="Q36" s="80">
        <v>0</v>
      </c>
      <c r="R36" s="80">
        <v>0</v>
      </c>
      <c r="S36" s="80">
        <v>0</v>
      </c>
      <c r="T36" s="80">
        <v>0</v>
      </c>
      <c r="U36" s="80">
        <v>0</v>
      </c>
      <c r="V36" s="80">
        <v>0</v>
      </c>
      <c r="W36" s="80">
        <v>0</v>
      </c>
      <c r="X36" s="80">
        <v>0</v>
      </c>
      <c r="Y36" s="80">
        <v>0</v>
      </c>
      <c r="Z36" s="80">
        <v>0</v>
      </c>
      <c r="AA36" s="80">
        <v>0</v>
      </c>
      <c r="AB36" s="80">
        <v>0</v>
      </c>
      <c r="AC36" s="80">
        <v>0</v>
      </c>
      <c r="AD36" s="80">
        <v>0</v>
      </c>
      <c r="AE36" s="80">
        <v>0</v>
      </c>
      <c r="AF36" s="80">
        <v>0</v>
      </c>
      <c r="AG36" s="80">
        <v>0</v>
      </c>
      <c r="AH36" s="80">
        <v>0</v>
      </c>
      <c r="AI36" s="81">
        <v>0</v>
      </c>
      <c r="AJ36" s="81">
        <v>0</v>
      </c>
      <c r="AK36" s="81">
        <v>0</v>
      </c>
      <c r="AL36" s="81">
        <v>0</v>
      </c>
      <c r="AM36" s="81">
        <v>0</v>
      </c>
      <c r="AN36" s="81">
        <v>0</v>
      </c>
      <c r="AO36" s="80">
        <v>0</v>
      </c>
    </row>
    <row r="37" spans="1:41" ht="15.75" x14ac:dyDescent="0.25">
      <c r="A37" s="84"/>
      <c r="B37" s="84"/>
      <c r="C37" s="84"/>
      <c r="D37" s="80" t="s">
        <v>248</v>
      </c>
      <c r="E37" s="80">
        <v>1</v>
      </c>
      <c r="F37" s="80">
        <v>1</v>
      </c>
      <c r="G37" s="80">
        <v>1</v>
      </c>
      <c r="H37" s="80">
        <v>0</v>
      </c>
      <c r="I37" s="80">
        <v>7</v>
      </c>
      <c r="J37" s="80">
        <v>2</v>
      </c>
      <c r="K37" s="80">
        <v>0</v>
      </c>
      <c r="L37" s="80">
        <v>0</v>
      </c>
      <c r="M37" s="80">
        <v>0</v>
      </c>
      <c r="N37" s="80">
        <v>1</v>
      </c>
      <c r="O37" s="80">
        <v>4</v>
      </c>
      <c r="P37" s="80">
        <v>0</v>
      </c>
      <c r="Q37" s="80">
        <v>4</v>
      </c>
      <c r="R37" s="80">
        <v>0</v>
      </c>
      <c r="S37" s="80">
        <v>0</v>
      </c>
      <c r="T37" s="80">
        <v>0</v>
      </c>
      <c r="U37" s="80">
        <v>2</v>
      </c>
      <c r="V37" s="80">
        <v>3</v>
      </c>
      <c r="W37" s="80">
        <v>1</v>
      </c>
      <c r="X37" s="80">
        <v>1</v>
      </c>
      <c r="Y37" s="80">
        <v>1</v>
      </c>
      <c r="Z37" s="80">
        <v>0</v>
      </c>
      <c r="AA37" s="80">
        <v>2</v>
      </c>
      <c r="AB37" s="80">
        <v>1</v>
      </c>
      <c r="AC37" s="80">
        <v>0</v>
      </c>
      <c r="AD37" s="80">
        <v>0</v>
      </c>
      <c r="AE37" s="80">
        <v>1</v>
      </c>
      <c r="AF37" s="80">
        <v>1</v>
      </c>
      <c r="AG37" s="80">
        <v>0</v>
      </c>
      <c r="AH37" s="80">
        <v>5</v>
      </c>
      <c r="AI37" s="81">
        <v>0</v>
      </c>
      <c r="AJ37" s="81">
        <v>0</v>
      </c>
      <c r="AK37" s="81">
        <v>0</v>
      </c>
      <c r="AL37" s="81">
        <v>1</v>
      </c>
      <c r="AM37" s="81">
        <v>0</v>
      </c>
      <c r="AN37" s="81">
        <v>1</v>
      </c>
      <c r="AO37" s="80">
        <v>0</v>
      </c>
    </row>
    <row r="38" spans="1:41" ht="15.75" x14ac:dyDescent="0.25">
      <c r="A38" s="84"/>
      <c r="B38" s="84"/>
      <c r="C38" s="84"/>
      <c r="D38" s="80" t="s">
        <v>258</v>
      </c>
      <c r="E38" s="80">
        <v>0</v>
      </c>
      <c r="F38" s="80">
        <v>0</v>
      </c>
      <c r="G38" s="80">
        <v>0</v>
      </c>
      <c r="H38" s="80">
        <v>0</v>
      </c>
      <c r="I38" s="80">
        <v>0</v>
      </c>
      <c r="J38" s="80">
        <v>0</v>
      </c>
      <c r="K38" s="80">
        <v>0</v>
      </c>
      <c r="L38" s="80">
        <v>0</v>
      </c>
      <c r="M38" s="80">
        <v>0</v>
      </c>
      <c r="N38" s="80">
        <v>0</v>
      </c>
      <c r="O38" s="80">
        <v>0</v>
      </c>
      <c r="P38" s="80">
        <v>0</v>
      </c>
      <c r="Q38" s="80">
        <v>0</v>
      </c>
      <c r="R38" s="80">
        <v>1</v>
      </c>
      <c r="S38" s="80">
        <v>0</v>
      </c>
      <c r="T38" s="80">
        <v>1</v>
      </c>
      <c r="U38" s="80">
        <v>0</v>
      </c>
      <c r="V38" s="80">
        <v>0</v>
      </c>
      <c r="W38" s="80">
        <v>0</v>
      </c>
      <c r="X38" s="80">
        <v>0</v>
      </c>
      <c r="Y38" s="80">
        <v>0</v>
      </c>
      <c r="Z38" s="80">
        <v>1</v>
      </c>
      <c r="AA38" s="80">
        <v>0</v>
      </c>
      <c r="AB38" s="80">
        <v>0</v>
      </c>
      <c r="AC38" s="80">
        <v>0</v>
      </c>
      <c r="AD38" s="80">
        <v>0</v>
      </c>
      <c r="AE38" s="80">
        <v>0</v>
      </c>
      <c r="AF38" s="80">
        <v>0</v>
      </c>
      <c r="AG38" s="81">
        <v>0</v>
      </c>
      <c r="AH38" s="80">
        <v>0</v>
      </c>
      <c r="AI38" s="80">
        <v>0</v>
      </c>
      <c r="AJ38" s="80">
        <v>0</v>
      </c>
      <c r="AK38" s="80">
        <v>0</v>
      </c>
      <c r="AL38" s="80">
        <v>0</v>
      </c>
      <c r="AM38" s="81">
        <v>0</v>
      </c>
      <c r="AN38" s="81">
        <v>0</v>
      </c>
      <c r="AO38" s="80">
        <v>0</v>
      </c>
    </row>
    <row r="39" spans="1:41" ht="15.75" x14ac:dyDescent="0.25">
      <c r="A39" s="84">
        <v>8</v>
      </c>
      <c r="B39" s="84"/>
      <c r="C39" s="84" t="s">
        <v>172</v>
      </c>
      <c r="D39" s="80" t="s">
        <v>245</v>
      </c>
      <c r="E39" s="438">
        <v>0</v>
      </c>
      <c r="F39" s="80">
        <v>0</v>
      </c>
      <c r="G39" s="80">
        <v>0</v>
      </c>
      <c r="H39" s="387">
        <v>1</v>
      </c>
      <c r="I39" s="387">
        <v>2</v>
      </c>
      <c r="J39" s="387">
        <v>1</v>
      </c>
      <c r="K39" s="80">
        <v>0</v>
      </c>
      <c r="L39" s="387">
        <v>1</v>
      </c>
      <c r="M39" s="80">
        <v>0</v>
      </c>
      <c r="N39" s="80">
        <v>0</v>
      </c>
      <c r="O39" s="387">
        <v>1</v>
      </c>
      <c r="P39" s="80">
        <v>0</v>
      </c>
      <c r="Q39" s="387">
        <v>2</v>
      </c>
      <c r="R39" s="387">
        <v>1</v>
      </c>
      <c r="S39" s="80">
        <v>0</v>
      </c>
      <c r="T39" s="387">
        <v>1</v>
      </c>
      <c r="U39" s="387">
        <v>2</v>
      </c>
      <c r="V39" s="387">
        <v>1</v>
      </c>
      <c r="W39" s="387">
        <v>1</v>
      </c>
      <c r="X39" s="80">
        <v>0</v>
      </c>
      <c r="Y39" s="80">
        <v>0</v>
      </c>
      <c r="Z39" s="387">
        <v>2</v>
      </c>
      <c r="AA39" s="387">
        <v>1</v>
      </c>
      <c r="AB39" s="387">
        <v>1</v>
      </c>
      <c r="AC39" s="80">
        <v>1</v>
      </c>
      <c r="AD39" s="80">
        <v>0</v>
      </c>
      <c r="AE39" s="387">
        <v>1</v>
      </c>
      <c r="AF39" s="387">
        <v>1</v>
      </c>
      <c r="AG39" s="390">
        <v>1</v>
      </c>
      <c r="AH39" s="387">
        <v>1</v>
      </c>
      <c r="AI39" s="81">
        <v>0</v>
      </c>
      <c r="AJ39" s="81">
        <v>0</v>
      </c>
      <c r="AK39" s="81">
        <v>0</v>
      </c>
      <c r="AL39" s="81">
        <v>0</v>
      </c>
      <c r="AM39" s="81">
        <v>2</v>
      </c>
      <c r="AN39" s="390">
        <v>1</v>
      </c>
      <c r="AO39" s="81">
        <v>1</v>
      </c>
    </row>
    <row r="40" spans="1:41" ht="15.75" x14ac:dyDescent="0.25">
      <c r="A40" s="84"/>
      <c r="B40" s="84"/>
      <c r="C40" s="84"/>
      <c r="D40" s="80" t="s">
        <v>246</v>
      </c>
      <c r="E40" s="80">
        <v>0</v>
      </c>
      <c r="F40" s="80">
        <v>0</v>
      </c>
      <c r="G40" s="80">
        <v>0</v>
      </c>
      <c r="H40" s="80">
        <v>1</v>
      </c>
      <c r="I40" s="80">
        <v>2</v>
      </c>
      <c r="J40" s="80">
        <v>1</v>
      </c>
      <c r="K40" s="80">
        <v>0</v>
      </c>
      <c r="L40" s="80">
        <v>1</v>
      </c>
      <c r="M40" s="80">
        <v>0</v>
      </c>
      <c r="N40" s="80">
        <v>0</v>
      </c>
      <c r="O40" s="80">
        <v>1</v>
      </c>
      <c r="P40" s="80">
        <v>0</v>
      </c>
      <c r="Q40" s="80">
        <v>2</v>
      </c>
      <c r="R40" s="80">
        <v>1</v>
      </c>
      <c r="S40" s="80">
        <v>0</v>
      </c>
      <c r="T40" s="80">
        <v>1</v>
      </c>
      <c r="U40" s="80">
        <v>2</v>
      </c>
      <c r="V40" s="80">
        <v>1</v>
      </c>
      <c r="W40" s="80">
        <v>1</v>
      </c>
      <c r="X40" s="80">
        <v>0</v>
      </c>
      <c r="Y40" s="80">
        <v>0</v>
      </c>
      <c r="Z40" s="407">
        <v>2</v>
      </c>
      <c r="AA40" s="80">
        <v>1</v>
      </c>
      <c r="AB40" s="80">
        <v>1</v>
      </c>
      <c r="AC40" s="80">
        <v>1</v>
      </c>
      <c r="AD40" s="80">
        <v>0</v>
      </c>
      <c r="AE40" s="80">
        <v>1</v>
      </c>
      <c r="AF40" s="80">
        <v>1</v>
      </c>
      <c r="AG40" s="81">
        <v>1</v>
      </c>
      <c r="AH40" s="80">
        <v>1</v>
      </c>
      <c r="AI40" s="81">
        <v>0</v>
      </c>
      <c r="AJ40" s="81">
        <v>0</v>
      </c>
      <c r="AK40" s="81">
        <v>0</v>
      </c>
      <c r="AL40" s="81">
        <v>0</v>
      </c>
      <c r="AM40" s="81">
        <v>2</v>
      </c>
      <c r="AN40" s="81">
        <v>1</v>
      </c>
      <c r="AO40" s="81">
        <v>1</v>
      </c>
    </row>
    <row r="41" spans="1:41" ht="15.75" x14ac:dyDescent="0.25">
      <c r="A41" s="84"/>
      <c r="B41" s="84"/>
      <c r="C41" s="84"/>
      <c r="D41" s="80" t="s">
        <v>247</v>
      </c>
      <c r="E41" s="80">
        <v>0</v>
      </c>
      <c r="F41" s="80">
        <v>0</v>
      </c>
      <c r="G41" s="80">
        <v>0</v>
      </c>
      <c r="H41" s="80">
        <v>0</v>
      </c>
      <c r="I41" s="80">
        <v>0</v>
      </c>
      <c r="J41" s="80">
        <v>0</v>
      </c>
      <c r="K41" s="80">
        <v>0</v>
      </c>
      <c r="L41" s="80">
        <v>0</v>
      </c>
      <c r="M41" s="80">
        <v>0</v>
      </c>
      <c r="N41" s="80">
        <v>0</v>
      </c>
      <c r="O41" s="80">
        <v>0</v>
      </c>
      <c r="P41" s="80">
        <v>0</v>
      </c>
      <c r="Q41" s="80">
        <v>0</v>
      </c>
      <c r="R41" s="80">
        <v>0</v>
      </c>
      <c r="S41" s="80">
        <v>0</v>
      </c>
      <c r="T41" s="80">
        <v>0</v>
      </c>
      <c r="U41" s="80">
        <v>0</v>
      </c>
      <c r="V41" s="80">
        <v>0</v>
      </c>
      <c r="W41" s="80">
        <v>0</v>
      </c>
      <c r="X41" s="80">
        <v>0</v>
      </c>
      <c r="Y41" s="80">
        <v>0</v>
      </c>
      <c r="Z41" s="407">
        <v>0</v>
      </c>
      <c r="AA41" s="407">
        <v>0</v>
      </c>
      <c r="AB41" s="80">
        <v>0</v>
      </c>
      <c r="AC41" s="80">
        <v>0</v>
      </c>
      <c r="AD41" s="80">
        <v>0</v>
      </c>
      <c r="AE41" s="80">
        <v>0</v>
      </c>
      <c r="AF41" s="80">
        <v>0</v>
      </c>
      <c r="AG41" s="81">
        <v>0</v>
      </c>
      <c r="AH41" s="80">
        <v>0</v>
      </c>
      <c r="AI41" s="81">
        <v>0</v>
      </c>
      <c r="AJ41" s="81">
        <v>0</v>
      </c>
      <c r="AK41" s="81">
        <v>0</v>
      </c>
      <c r="AL41" s="81">
        <v>0</v>
      </c>
      <c r="AM41" s="81">
        <v>0</v>
      </c>
      <c r="AN41" s="81">
        <v>0</v>
      </c>
      <c r="AO41" s="81">
        <v>0</v>
      </c>
    </row>
    <row r="42" spans="1:41" ht="15.75" x14ac:dyDescent="0.25">
      <c r="A42" s="84"/>
      <c r="B42" s="84"/>
      <c r="C42" s="84"/>
      <c r="D42" s="80" t="s">
        <v>248</v>
      </c>
      <c r="E42" s="80">
        <v>0</v>
      </c>
      <c r="F42" s="80">
        <v>0</v>
      </c>
      <c r="G42" s="80">
        <v>0</v>
      </c>
      <c r="H42" s="80">
        <v>1</v>
      </c>
      <c r="I42" s="80">
        <v>1</v>
      </c>
      <c r="J42" s="80">
        <v>1</v>
      </c>
      <c r="K42" s="80">
        <v>0</v>
      </c>
      <c r="L42" s="80">
        <v>1</v>
      </c>
      <c r="M42" s="80">
        <v>0</v>
      </c>
      <c r="N42" s="80">
        <v>0</v>
      </c>
      <c r="O42" s="80">
        <v>1</v>
      </c>
      <c r="P42" s="80">
        <v>0</v>
      </c>
      <c r="Q42" s="80">
        <v>1</v>
      </c>
      <c r="R42" s="80">
        <v>1</v>
      </c>
      <c r="S42" s="80">
        <v>0</v>
      </c>
      <c r="T42" s="80">
        <v>1</v>
      </c>
      <c r="U42" s="80">
        <v>2</v>
      </c>
      <c r="V42" s="80">
        <v>1</v>
      </c>
      <c r="W42" s="80">
        <v>1</v>
      </c>
      <c r="X42" s="80">
        <v>0</v>
      </c>
      <c r="Y42" s="80">
        <v>0</v>
      </c>
      <c r="Z42" s="407">
        <v>1</v>
      </c>
      <c r="AA42" s="407">
        <v>0</v>
      </c>
      <c r="AB42" s="80">
        <v>0</v>
      </c>
      <c r="AC42" s="80">
        <v>0</v>
      </c>
      <c r="AD42" s="80">
        <v>0</v>
      </c>
      <c r="AE42" s="80">
        <v>0</v>
      </c>
      <c r="AF42" s="80">
        <v>0</v>
      </c>
      <c r="AG42" s="81">
        <v>1</v>
      </c>
      <c r="AH42" s="80">
        <v>0</v>
      </c>
      <c r="AI42" s="81">
        <v>0</v>
      </c>
      <c r="AJ42" s="81">
        <v>0</v>
      </c>
      <c r="AK42" s="81">
        <v>0</v>
      </c>
      <c r="AL42" s="81">
        <v>0</v>
      </c>
      <c r="AM42" s="81">
        <v>2</v>
      </c>
      <c r="AN42" s="81">
        <v>1</v>
      </c>
      <c r="AO42" s="81">
        <v>1</v>
      </c>
    </row>
    <row r="43" spans="1:41" ht="15.75" x14ac:dyDescent="0.25">
      <c r="A43" s="84"/>
      <c r="B43" s="84"/>
      <c r="C43" s="84"/>
      <c r="D43" s="80" t="s">
        <v>258</v>
      </c>
      <c r="E43" s="80">
        <v>0</v>
      </c>
      <c r="F43" s="80">
        <v>0</v>
      </c>
      <c r="G43" s="80">
        <v>0</v>
      </c>
      <c r="H43" s="80">
        <v>0</v>
      </c>
      <c r="I43" s="80">
        <v>1</v>
      </c>
      <c r="J43" s="80">
        <v>0</v>
      </c>
      <c r="K43" s="80">
        <v>0</v>
      </c>
      <c r="L43" s="80">
        <v>0</v>
      </c>
      <c r="M43" s="80">
        <v>0</v>
      </c>
      <c r="N43" s="80">
        <v>0</v>
      </c>
      <c r="O43" s="80">
        <v>0</v>
      </c>
      <c r="P43" s="80">
        <v>0</v>
      </c>
      <c r="Q43" s="80">
        <v>1</v>
      </c>
      <c r="R43" s="80">
        <v>0</v>
      </c>
      <c r="S43" s="80">
        <v>0</v>
      </c>
      <c r="T43" s="80">
        <v>0</v>
      </c>
      <c r="U43" s="80">
        <v>0</v>
      </c>
      <c r="V43" s="80">
        <v>0</v>
      </c>
      <c r="W43" s="80">
        <v>0</v>
      </c>
      <c r="X43" s="80">
        <v>0</v>
      </c>
      <c r="Y43" s="80">
        <v>0</v>
      </c>
      <c r="Z43" s="407">
        <v>0</v>
      </c>
      <c r="AA43" s="407">
        <v>0</v>
      </c>
      <c r="AB43" s="80">
        <v>1</v>
      </c>
      <c r="AC43" s="80">
        <v>1</v>
      </c>
      <c r="AD43" s="80">
        <v>0</v>
      </c>
      <c r="AE43" s="80">
        <v>1</v>
      </c>
      <c r="AF43" s="80">
        <v>1</v>
      </c>
      <c r="AG43" s="80">
        <v>0</v>
      </c>
      <c r="AH43" s="80">
        <v>1</v>
      </c>
      <c r="AI43" s="80">
        <v>0</v>
      </c>
      <c r="AJ43" s="80">
        <v>0</v>
      </c>
      <c r="AK43" s="80">
        <v>0</v>
      </c>
      <c r="AL43" s="80">
        <v>0</v>
      </c>
      <c r="AM43" s="81">
        <v>0</v>
      </c>
      <c r="AN43" s="81">
        <v>0</v>
      </c>
      <c r="AO43" s="81">
        <v>0</v>
      </c>
    </row>
    <row r="44" spans="1:41" ht="15.75" x14ac:dyDescent="0.25">
      <c r="A44" s="84">
        <v>9</v>
      </c>
      <c r="B44" s="84"/>
      <c r="C44" s="84" t="s">
        <v>250</v>
      </c>
      <c r="D44" s="80" t="s">
        <v>245</v>
      </c>
      <c r="E44" s="438">
        <v>0</v>
      </c>
      <c r="F44" s="80">
        <v>0</v>
      </c>
      <c r="G44" s="80">
        <v>0</v>
      </c>
      <c r="H44" s="387">
        <v>1</v>
      </c>
      <c r="I44" s="80">
        <v>0</v>
      </c>
      <c r="J44" s="387">
        <v>1</v>
      </c>
      <c r="K44" s="80">
        <v>0</v>
      </c>
      <c r="L44" s="80">
        <v>0</v>
      </c>
      <c r="M44" s="80">
        <v>0</v>
      </c>
      <c r="N44" s="80">
        <v>0</v>
      </c>
      <c r="O44" s="387">
        <v>1</v>
      </c>
      <c r="P44" s="80">
        <v>0</v>
      </c>
      <c r="Q44" s="387">
        <v>1</v>
      </c>
      <c r="R44" s="80">
        <v>0</v>
      </c>
      <c r="S44" s="80">
        <v>0</v>
      </c>
      <c r="T44" s="80">
        <v>0</v>
      </c>
      <c r="U44" s="387">
        <v>1</v>
      </c>
      <c r="V44" s="387">
        <v>1</v>
      </c>
      <c r="W44" s="387">
        <v>1</v>
      </c>
      <c r="X44" s="80">
        <v>0</v>
      </c>
      <c r="Y44" s="80">
        <v>0</v>
      </c>
      <c r="Z44" s="80">
        <v>0</v>
      </c>
      <c r="AA44" s="387">
        <v>2</v>
      </c>
      <c r="AB44" s="387">
        <v>2</v>
      </c>
      <c r="AC44" s="80">
        <v>0</v>
      </c>
      <c r="AD44" s="80">
        <v>0</v>
      </c>
      <c r="AE44" s="387">
        <v>3</v>
      </c>
      <c r="AF44" s="80">
        <v>0</v>
      </c>
      <c r="AG44" s="390">
        <v>1</v>
      </c>
      <c r="AH44" s="80">
        <v>0</v>
      </c>
      <c r="AI44" s="81">
        <v>0</v>
      </c>
      <c r="AJ44" s="81">
        <v>0</v>
      </c>
      <c r="AK44" s="81">
        <v>0</v>
      </c>
      <c r="AL44" s="81">
        <v>0</v>
      </c>
      <c r="AM44" s="81">
        <v>3</v>
      </c>
      <c r="AN44" s="81">
        <v>0</v>
      </c>
      <c r="AO44" s="81">
        <v>0</v>
      </c>
    </row>
    <row r="45" spans="1:41" ht="15.75" x14ac:dyDescent="0.25">
      <c r="A45" s="84"/>
      <c r="B45" s="84"/>
      <c r="C45" s="84"/>
      <c r="D45" s="80" t="s">
        <v>246</v>
      </c>
      <c r="E45" s="80">
        <v>0</v>
      </c>
      <c r="F45" s="80">
        <v>0</v>
      </c>
      <c r="G45" s="80">
        <v>0</v>
      </c>
      <c r="H45" s="80">
        <v>1</v>
      </c>
      <c r="I45" s="80">
        <v>0</v>
      </c>
      <c r="J45" s="80">
        <v>1</v>
      </c>
      <c r="K45" s="80">
        <v>0</v>
      </c>
      <c r="L45" s="80">
        <v>0</v>
      </c>
      <c r="M45" s="80">
        <v>0</v>
      </c>
      <c r="N45" s="80">
        <v>0</v>
      </c>
      <c r="O45" s="80">
        <v>1</v>
      </c>
      <c r="P45" s="80">
        <v>0</v>
      </c>
      <c r="Q45" s="80">
        <v>1</v>
      </c>
      <c r="R45" s="80">
        <v>0</v>
      </c>
      <c r="S45" s="80">
        <v>0</v>
      </c>
      <c r="T45" s="80">
        <v>0</v>
      </c>
      <c r="U45" s="80">
        <v>1</v>
      </c>
      <c r="V45" s="80">
        <v>1</v>
      </c>
      <c r="W45" s="80">
        <v>1</v>
      </c>
      <c r="X45" s="80">
        <v>0</v>
      </c>
      <c r="Y45" s="80">
        <v>0</v>
      </c>
      <c r="Z45" s="80">
        <v>0</v>
      </c>
      <c r="AA45" s="80">
        <v>2</v>
      </c>
      <c r="AB45" s="80">
        <v>2</v>
      </c>
      <c r="AC45" s="80">
        <v>0</v>
      </c>
      <c r="AD45" s="80">
        <v>0</v>
      </c>
      <c r="AE45" s="80">
        <v>3</v>
      </c>
      <c r="AF45" s="80">
        <v>0</v>
      </c>
      <c r="AG45" s="81">
        <v>1</v>
      </c>
      <c r="AH45" s="80">
        <v>0</v>
      </c>
      <c r="AI45" s="81">
        <v>0</v>
      </c>
      <c r="AJ45" s="81">
        <v>0</v>
      </c>
      <c r="AK45" s="81">
        <v>0</v>
      </c>
      <c r="AL45" s="81">
        <v>0</v>
      </c>
      <c r="AM45" s="81">
        <v>3</v>
      </c>
      <c r="AN45" s="81">
        <v>0</v>
      </c>
      <c r="AO45" s="81">
        <v>0</v>
      </c>
    </row>
    <row r="46" spans="1:41" ht="15.75" x14ac:dyDescent="0.25">
      <c r="A46" s="84"/>
      <c r="B46" s="84"/>
      <c r="C46" s="84"/>
      <c r="D46" s="80" t="s">
        <v>247</v>
      </c>
      <c r="E46" s="80">
        <v>0</v>
      </c>
      <c r="F46" s="80">
        <v>0</v>
      </c>
      <c r="G46" s="80">
        <v>0</v>
      </c>
      <c r="H46" s="80">
        <v>0</v>
      </c>
      <c r="I46" s="80">
        <v>0</v>
      </c>
      <c r="J46" s="80">
        <v>0</v>
      </c>
      <c r="K46" s="80">
        <v>0</v>
      </c>
      <c r="L46" s="80">
        <v>0</v>
      </c>
      <c r="M46" s="80">
        <v>0</v>
      </c>
      <c r="N46" s="80">
        <v>0</v>
      </c>
      <c r="O46" s="80">
        <v>0</v>
      </c>
      <c r="P46" s="80">
        <v>0</v>
      </c>
      <c r="Q46" s="80">
        <v>0</v>
      </c>
      <c r="R46" s="80">
        <v>0</v>
      </c>
      <c r="S46" s="80">
        <v>0</v>
      </c>
      <c r="T46" s="80">
        <v>0</v>
      </c>
      <c r="U46" s="80">
        <v>0</v>
      </c>
      <c r="V46" s="80">
        <v>0</v>
      </c>
      <c r="W46" s="80">
        <v>0</v>
      </c>
      <c r="X46" s="80">
        <v>0</v>
      </c>
      <c r="Y46" s="80">
        <v>0</v>
      </c>
      <c r="Z46" s="80">
        <v>0</v>
      </c>
      <c r="AA46" s="80">
        <v>0</v>
      </c>
      <c r="AB46" s="80">
        <v>0</v>
      </c>
      <c r="AC46" s="80">
        <v>0</v>
      </c>
      <c r="AD46" s="80">
        <v>0</v>
      </c>
      <c r="AE46" s="80">
        <v>0</v>
      </c>
      <c r="AF46" s="80">
        <v>0</v>
      </c>
      <c r="AG46" s="81">
        <v>0</v>
      </c>
      <c r="AH46" s="80">
        <v>0</v>
      </c>
      <c r="AI46" s="81">
        <v>0</v>
      </c>
      <c r="AJ46" s="81">
        <v>0</v>
      </c>
      <c r="AK46" s="81">
        <v>0</v>
      </c>
      <c r="AL46" s="81">
        <v>0</v>
      </c>
      <c r="AM46" s="81">
        <v>0</v>
      </c>
      <c r="AN46" s="81">
        <v>0</v>
      </c>
      <c r="AO46" s="81">
        <v>0</v>
      </c>
    </row>
    <row r="47" spans="1:41" ht="15.75" x14ac:dyDescent="0.25">
      <c r="A47" s="84"/>
      <c r="B47" s="84"/>
      <c r="C47" s="84"/>
      <c r="D47" s="80" t="s">
        <v>248</v>
      </c>
      <c r="E47" s="80">
        <v>0</v>
      </c>
      <c r="F47" s="80">
        <v>0</v>
      </c>
      <c r="G47" s="80">
        <v>0</v>
      </c>
      <c r="H47" s="80">
        <v>1</v>
      </c>
      <c r="I47" s="80">
        <v>0</v>
      </c>
      <c r="J47" s="80">
        <v>1</v>
      </c>
      <c r="K47" s="80">
        <v>0</v>
      </c>
      <c r="L47" s="80">
        <v>0</v>
      </c>
      <c r="M47" s="80">
        <v>0</v>
      </c>
      <c r="N47" s="80">
        <v>0</v>
      </c>
      <c r="O47" s="80">
        <v>1</v>
      </c>
      <c r="P47" s="80">
        <v>0</v>
      </c>
      <c r="Q47" s="80">
        <v>1</v>
      </c>
      <c r="R47" s="80">
        <v>0</v>
      </c>
      <c r="S47" s="80">
        <v>0</v>
      </c>
      <c r="T47" s="80">
        <v>0</v>
      </c>
      <c r="U47" s="80">
        <v>1</v>
      </c>
      <c r="V47" s="80">
        <v>1</v>
      </c>
      <c r="W47" s="80">
        <v>1</v>
      </c>
      <c r="X47" s="80">
        <v>0</v>
      </c>
      <c r="Y47" s="80">
        <v>0</v>
      </c>
      <c r="Z47" s="80">
        <v>0</v>
      </c>
      <c r="AA47" s="80">
        <v>2</v>
      </c>
      <c r="AB47" s="80">
        <v>2</v>
      </c>
      <c r="AC47" s="80">
        <v>0</v>
      </c>
      <c r="AD47" s="80">
        <v>0</v>
      </c>
      <c r="AE47" s="80">
        <v>2</v>
      </c>
      <c r="AF47" s="80">
        <v>0</v>
      </c>
      <c r="AG47" s="81">
        <v>1</v>
      </c>
      <c r="AH47" s="80">
        <v>0</v>
      </c>
      <c r="AI47" s="81">
        <v>0</v>
      </c>
      <c r="AJ47" s="81">
        <v>0</v>
      </c>
      <c r="AK47" s="81">
        <v>0</v>
      </c>
      <c r="AL47" s="81">
        <v>0</v>
      </c>
      <c r="AM47" s="81">
        <v>2</v>
      </c>
      <c r="AN47" s="81">
        <v>0</v>
      </c>
      <c r="AO47" s="81">
        <v>0</v>
      </c>
    </row>
    <row r="48" spans="1:41" ht="15.75" x14ac:dyDescent="0.25">
      <c r="A48" s="84"/>
      <c r="B48" s="84"/>
      <c r="C48" s="84"/>
      <c r="D48" s="80" t="s">
        <v>258</v>
      </c>
      <c r="E48" s="80">
        <v>0</v>
      </c>
      <c r="F48" s="80">
        <v>0</v>
      </c>
      <c r="G48" s="80">
        <v>0</v>
      </c>
      <c r="H48" s="80">
        <v>0</v>
      </c>
      <c r="I48" s="80">
        <v>0</v>
      </c>
      <c r="J48" s="80">
        <v>0</v>
      </c>
      <c r="K48" s="80">
        <v>0</v>
      </c>
      <c r="L48" s="80">
        <v>0</v>
      </c>
      <c r="M48" s="80">
        <v>0</v>
      </c>
      <c r="N48" s="80">
        <v>0</v>
      </c>
      <c r="O48" s="80">
        <v>0</v>
      </c>
      <c r="P48" s="80">
        <v>0</v>
      </c>
      <c r="Q48" s="80">
        <v>0</v>
      </c>
      <c r="R48" s="80">
        <v>0</v>
      </c>
      <c r="S48" s="80">
        <v>0</v>
      </c>
      <c r="T48" s="80">
        <v>0</v>
      </c>
      <c r="U48" s="80">
        <v>0</v>
      </c>
      <c r="V48" s="80">
        <v>0</v>
      </c>
      <c r="W48" s="80">
        <v>0</v>
      </c>
      <c r="X48" s="80">
        <v>0</v>
      </c>
      <c r="Y48" s="80">
        <v>0</v>
      </c>
      <c r="Z48" s="80">
        <v>0</v>
      </c>
      <c r="AA48" s="80">
        <v>0</v>
      </c>
      <c r="AB48" s="80">
        <v>0</v>
      </c>
      <c r="AC48" s="80">
        <v>0</v>
      </c>
      <c r="AD48" s="80">
        <v>0</v>
      </c>
      <c r="AE48" s="80">
        <v>1</v>
      </c>
      <c r="AF48" s="80">
        <v>0</v>
      </c>
      <c r="AG48" s="80">
        <v>0</v>
      </c>
      <c r="AH48" s="80">
        <v>0</v>
      </c>
      <c r="AI48" s="80">
        <v>0</v>
      </c>
      <c r="AJ48" s="80">
        <v>0</v>
      </c>
      <c r="AK48" s="80">
        <v>0</v>
      </c>
      <c r="AL48" s="80">
        <v>0</v>
      </c>
      <c r="AM48" s="81">
        <v>1</v>
      </c>
      <c r="AN48" s="81">
        <v>0</v>
      </c>
      <c r="AO48" s="81">
        <v>0</v>
      </c>
    </row>
    <row r="49" spans="1:41" ht="15.75" x14ac:dyDescent="0.25">
      <c r="A49" s="84">
        <v>10</v>
      </c>
      <c r="B49" s="84"/>
      <c r="C49" s="84" t="s">
        <v>173</v>
      </c>
      <c r="D49" s="80" t="s">
        <v>245</v>
      </c>
      <c r="E49" s="438">
        <v>0</v>
      </c>
      <c r="F49" s="80">
        <v>0</v>
      </c>
      <c r="G49" s="80">
        <v>0</v>
      </c>
      <c r="H49" s="80">
        <v>0</v>
      </c>
      <c r="I49" s="387">
        <v>2</v>
      </c>
      <c r="J49" s="387">
        <v>1</v>
      </c>
      <c r="K49" s="80">
        <v>0</v>
      </c>
      <c r="L49" s="80">
        <v>0</v>
      </c>
      <c r="M49" s="80">
        <v>0</v>
      </c>
      <c r="N49" s="387">
        <v>1</v>
      </c>
      <c r="O49" s="387">
        <v>1</v>
      </c>
      <c r="P49" s="80">
        <v>0</v>
      </c>
      <c r="Q49" s="387">
        <v>1</v>
      </c>
      <c r="R49" s="80">
        <v>0</v>
      </c>
      <c r="S49" s="80">
        <v>0</v>
      </c>
      <c r="T49" s="80">
        <v>0</v>
      </c>
      <c r="U49" s="387">
        <v>1</v>
      </c>
      <c r="V49" s="387">
        <v>1</v>
      </c>
      <c r="W49" s="80">
        <v>0</v>
      </c>
      <c r="X49" s="387">
        <v>1</v>
      </c>
      <c r="Y49" s="80">
        <v>0</v>
      </c>
      <c r="Z49" s="387">
        <v>3</v>
      </c>
      <c r="AA49" s="387">
        <v>1</v>
      </c>
      <c r="AB49" s="80">
        <v>0</v>
      </c>
      <c r="AC49" s="80">
        <v>0</v>
      </c>
      <c r="AD49" s="80">
        <v>0</v>
      </c>
      <c r="AE49" s="80">
        <v>0</v>
      </c>
      <c r="AF49" s="80">
        <v>0</v>
      </c>
      <c r="AG49" s="80">
        <v>0</v>
      </c>
      <c r="AH49" s="80">
        <v>0</v>
      </c>
      <c r="AI49" s="387">
        <v>1</v>
      </c>
      <c r="AJ49" s="80">
        <v>0</v>
      </c>
      <c r="AK49" s="80">
        <v>0</v>
      </c>
      <c r="AL49" s="80">
        <v>0</v>
      </c>
      <c r="AM49" s="80">
        <v>0</v>
      </c>
      <c r="AN49" s="80">
        <v>0</v>
      </c>
      <c r="AO49" s="80">
        <v>0</v>
      </c>
    </row>
    <row r="50" spans="1:41" ht="15.75" x14ac:dyDescent="0.25">
      <c r="A50" s="84"/>
      <c r="B50" s="84"/>
      <c r="C50" s="84"/>
      <c r="D50" s="80" t="s">
        <v>246</v>
      </c>
      <c r="E50" s="80">
        <v>0</v>
      </c>
      <c r="F50" s="80">
        <v>0</v>
      </c>
      <c r="G50" s="80">
        <v>0</v>
      </c>
      <c r="H50" s="80">
        <v>0</v>
      </c>
      <c r="I50" s="80">
        <v>2</v>
      </c>
      <c r="J50" s="80">
        <v>1</v>
      </c>
      <c r="K50" s="80">
        <v>0</v>
      </c>
      <c r="L50" s="80">
        <v>0</v>
      </c>
      <c r="M50" s="80">
        <v>0</v>
      </c>
      <c r="N50" s="80">
        <v>1</v>
      </c>
      <c r="O50" s="80">
        <v>1</v>
      </c>
      <c r="P50" s="80">
        <v>0</v>
      </c>
      <c r="Q50" s="80">
        <v>1</v>
      </c>
      <c r="R50" s="80">
        <v>0</v>
      </c>
      <c r="S50" s="80">
        <v>0</v>
      </c>
      <c r="T50" s="80">
        <v>0</v>
      </c>
      <c r="U50" s="80">
        <v>1</v>
      </c>
      <c r="V50" s="80">
        <v>1</v>
      </c>
      <c r="W50" s="80">
        <v>0</v>
      </c>
      <c r="X50" s="80">
        <v>1</v>
      </c>
      <c r="Y50" s="80">
        <v>0</v>
      </c>
      <c r="Z50" s="80">
        <v>3</v>
      </c>
      <c r="AA50" s="80">
        <v>1</v>
      </c>
      <c r="AB50" s="80">
        <v>0</v>
      </c>
      <c r="AC50" s="80">
        <v>0</v>
      </c>
      <c r="AD50" s="80">
        <v>0</v>
      </c>
      <c r="AE50" s="80">
        <v>0</v>
      </c>
      <c r="AF50" s="80">
        <v>0</v>
      </c>
      <c r="AG50" s="81">
        <v>0</v>
      </c>
      <c r="AH50" s="80">
        <v>0</v>
      </c>
      <c r="AI50" s="81">
        <v>1</v>
      </c>
      <c r="AJ50" s="81">
        <v>0</v>
      </c>
      <c r="AK50" s="81">
        <v>0</v>
      </c>
      <c r="AL50" s="81">
        <v>0</v>
      </c>
      <c r="AM50" s="81">
        <v>0</v>
      </c>
      <c r="AN50" s="81">
        <v>0</v>
      </c>
      <c r="AO50" s="81">
        <v>0</v>
      </c>
    </row>
    <row r="51" spans="1:41" ht="15.75" x14ac:dyDescent="0.25">
      <c r="A51" s="84"/>
      <c r="B51" s="84"/>
      <c r="C51" s="84"/>
      <c r="D51" s="80" t="s">
        <v>247</v>
      </c>
      <c r="E51" s="80">
        <v>0</v>
      </c>
      <c r="F51" s="80">
        <v>0</v>
      </c>
      <c r="G51" s="80">
        <v>0</v>
      </c>
      <c r="H51" s="80">
        <v>0</v>
      </c>
      <c r="I51" s="80">
        <v>0</v>
      </c>
      <c r="J51" s="80">
        <v>0</v>
      </c>
      <c r="K51" s="80">
        <v>0</v>
      </c>
      <c r="L51" s="80">
        <v>0</v>
      </c>
      <c r="M51" s="80">
        <v>0</v>
      </c>
      <c r="N51" s="80">
        <v>0</v>
      </c>
      <c r="O51" s="80">
        <v>0</v>
      </c>
      <c r="P51" s="80">
        <v>0</v>
      </c>
      <c r="Q51" s="80">
        <v>0</v>
      </c>
      <c r="R51" s="80">
        <v>0</v>
      </c>
      <c r="S51" s="80">
        <v>0</v>
      </c>
      <c r="T51" s="80">
        <v>0</v>
      </c>
      <c r="U51" s="80">
        <v>0</v>
      </c>
      <c r="V51" s="80">
        <v>0</v>
      </c>
      <c r="W51" s="80">
        <v>0</v>
      </c>
      <c r="X51" s="80">
        <v>0</v>
      </c>
      <c r="Y51" s="80">
        <v>0</v>
      </c>
      <c r="Z51" s="80">
        <v>0</v>
      </c>
      <c r="AA51" s="80">
        <v>0</v>
      </c>
      <c r="AB51" s="80">
        <v>0</v>
      </c>
      <c r="AC51" s="80">
        <v>0</v>
      </c>
      <c r="AD51" s="80">
        <v>0</v>
      </c>
      <c r="AE51" s="80">
        <v>0</v>
      </c>
      <c r="AF51" s="80">
        <v>0</v>
      </c>
      <c r="AG51" s="81">
        <v>0</v>
      </c>
      <c r="AH51" s="80">
        <v>0</v>
      </c>
      <c r="AI51" s="81">
        <v>0</v>
      </c>
      <c r="AJ51" s="81">
        <v>0</v>
      </c>
      <c r="AK51" s="81">
        <v>0</v>
      </c>
      <c r="AL51" s="81">
        <v>0</v>
      </c>
      <c r="AM51" s="81">
        <v>0</v>
      </c>
      <c r="AN51" s="81">
        <v>0</v>
      </c>
      <c r="AO51" s="81">
        <v>0</v>
      </c>
    </row>
    <row r="52" spans="1:41" ht="15.75" x14ac:dyDescent="0.25">
      <c r="A52" s="84"/>
      <c r="B52" s="84"/>
      <c r="C52" s="84"/>
      <c r="D52" s="80" t="s">
        <v>248</v>
      </c>
      <c r="E52" s="80">
        <v>0</v>
      </c>
      <c r="F52" s="80">
        <v>0</v>
      </c>
      <c r="G52" s="80">
        <v>0</v>
      </c>
      <c r="H52" s="80">
        <v>0</v>
      </c>
      <c r="I52" s="80">
        <v>2</v>
      </c>
      <c r="J52" s="80">
        <v>1</v>
      </c>
      <c r="K52" s="80">
        <v>0</v>
      </c>
      <c r="L52" s="80">
        <v>0</v>
      </c>
      <c r="M52" s="80">
        <v>0</v>
      </c>
      <c r="N52" s="80">
        <v>0</v>
      </c>
      <c r="O52" s="80">
        <v>1</v>
      </c>
      <c r="P52" s="80">
        <v>0</v>
      </c>
      <c r="Q52" s="80">
        <v>1</v>
      </c>
      <c r="R52" s="80">
        <v>0</v>
      </c>
      <c r="S52" s="80">
        <v>0</v>
      </c>
      <c r="T52" s="80">
        <v>0</v>
      </c>
      <c r="U52" s="80">
        <v>1</v>
      </c>
      <c r="V52" s="80">
        <v>1</v>
      </c>
      <c r="W52" s="80">
        <v>0</v>
      </c>
      <c r="X52" s="80">
        <v>1</v>
      </c>
      <c r="Y52" s="80">
        <v>0</v>
      </c>
      <c r="Z52" s="80">
        <v>3</v>
      </c>
      <c r="AA52" s="80">
        <v>1</v>
      </c>
      <c r="AB52" s="80">
        <v>0</v>
      </c>
      <c r="AC52" s="80">
        <v>0</v>
      </c>
      <c r="AD52" s="80">
        <v>0</v>
      </c>
      <c r="AE52" s="80">
        <v>0</v>
      </c>
      <c r="AF52" s="80">
        <v>0</v>
      </c>
      <c r="AG52" s="81">
        <v>0</v>
      </c>
      <c r="AH52" s="80">
        <v>0</v>
      </c>
      <c r="AI52" s="81">
        <v>1</v>
      </c>
      <c r="AJ52" s="81">
        <v>0</v>
      </c>
      <c r="AK52" s="81">
        <v>0</v>
      </c>
      <c r="AL52" s="81">
        <v>0</v>
      </c>
      <c r="AM52" s="81">
        <v>0</v>
      </c>
      <c r="AN52" s="81">
        <v>0</v>
      </c>
      <c r="AO52" s="81">
        <v>0</v>
      </c>
    </row>
    <row r="53" spans="1:41" ht="15.75" x14ac:dyDescent="0.25">
      <c r="A53" s="84"/>
      <c r="B53" s="84"/>
      <c r="C53" s="84"/>
      <c r="D53" s="80" t="s">
        <v>258</v>
      </c>
      <c r="E53" s="80">
        <v>0</v>
      </c>
      <c r="F53" s="80">
        <v>0</v>
      </c>
      <c r="G53" s="80">
        <v>0</v>
      </c>
      <c r="H53" s="80">
        <v>0</v>
      </c>
      <c r="I53" s="80">
        <v>0</v>
      </c>
      <c r="J53" s="80">
        <v>0</v>
      </c>
      <c r="K53" s="80">
        <v>0</v>
      </c>
      <c r="L53" s="80">
        <v>0</v>
      </c>
      <c r="M53" s="80">
        <v>0</v>
      </c>
      <c r="N53" s="80">
        <v>1</v>
      </c>
      <c r="O53" s="80">
        <v>0</v>
      </c>
      <c r="P53" s="80">
        <v>0</v>
      </c>
      <c r="Q53" s="80">
        <v>0</v>
      </c>
      <c r="R53" s="80">
        <v>0</v>
      </c>
      <c r="S53" s="80">
        <v>0</v>
      </c>
      <c r="T53" s="80">
        <v>0</v>
      </c>
      <c r="U53" s="80">
        <v>0</v>
      </c>
      <c r="V53" s="80">
        <v>0</v>
      </c>
      <c r="W53" s="80">
        <v>0</v>
      </c>
      <c r="X53" s="80">
        <v>0</v>
      </c>
      <c r="Y53" s="80">
        <v>0</v>
      </c>
      <c r="Z53" s="80">
        <v>0</v>
      </c>
      <c r="AA53" s="80">
        <v>0</v>
      </c>
      <c r="AB53" s="80">
        <v>0</v>
      </c>
      <c r="AC53" s="80">
        <v>0</v>
      </c>
      <c r="AD53" s="80">
        <v>0</v>
      </c>
      <c r="AE53" s="80">
        <v>0</v>
      </c>
      <c r="AF53" s="80">
        <v>0</v>
      </c>
      <c r="AG53" s="80">
        <v>0</v>
      </c>
      <c r="AH53" s="80">
        <v>0</v>
      </c>
      <c r="AI53" s="80">
        <v>0</v>
      </c>
      <c r="AJ53" s="80">
        <v>0</v>
      </c>
      <c r="AK53" s="80">
        <v>0</v>
      </c>
      <c r="AL53" s="80">
        <v>0</v>
      </c>
      <c r="AM53" s="81">
        <v>0</v>
      </c>
      <c r="AN53" s="81">
        <v>0</v>
      </c>
      <c r="AO53" s="81">
        <v>0</v>
      </c>
    </row>
    <row r="54" spans="1:41" ht="15.75" x14ac:dyDescent="0.25">
      <c r="A54" s="84">
        <v>11</v>
      </c>
      <c r="B54" s="84"/>
      <c r="C54" s="84" t="s">
        <v>174</v>
      </c>
      <c r="D54" s="80" t="s">
        <v>245</v>
      </c>
      <c r="E54" s="438">
        <v>0</v>
      </c>
      <c r="F54" s="80">
        <v>0</v>
      </c>
      <c r="G54" s="80">
        <v>0</v>
      </c>
      <c r="H54" s="387">
        <v>2</v>
      </c>
      <c r="I54" s="387">
        <v>2</v>
      </c>
      <c r="J54" s="387">
        <v>1</v>
      </c>
      <c r="K54" s="387">
        <v>1</v>
      </c>
      <c r="L54" s="387">
        <v>1</v>
      </c>
      <c r="M54" s="80">
        <v>0</v>
      </c>
      <c r="N54" s="387">
        <v>1</v>
      </c>
      <c r="O54" s="387">
        <v>1</v>
      </c>
      <c r="P54" s="80">
        <v>0</v>
      </c>
      <c r="Q54" s="387">
        <v>1</v>
      </c>
      <c r="R54" s="80">
        <v>0</v>
      </c>
      <c r="S54" s="80">
        <v>0</v>
      </c>
      <c r="T54" s="80">
        <v>0</v>
      </c>
      <c r="U54" s="387">
        <v>1</v>
      </c>
      <c r="V54" s="387">
        <v>1</v>
      </c>
      <c r="W54" s="387">
        <v>1</v>
      </c>
      <c r="X54" s="80">
        <v>1</v>
      </c>
      <c r="Y54" s="80">
        <v>0</v>
      </c>
      <c r="Z54" s="387">
        <v>2</v>
      </c>
      <c r="AA54" s="387">
        <v>2</v>
      </c>
      <c r="AB54" s="80">
        <v>0</v>
      </c>
      <c r="AC54" s="80">
        <v>0</v>
      </c>
      <c r="AD54" s="80">
        <v>0</v>
      </c>
      <c r="AE54" s="387">
        <v>1</v>
      </c>
      <c r="AF54" s="80">
        <v>0</v>
      </c>
      <c r="AG54" s="390">
        <v>1</v>
      </c>
      <c r="AH54" s="80">
        <v>0</v>
      </c>
      <c r="AI54" s="81">
        <v>0</v>
      </c>
      <c r="AJ54" s="81">
        <v>0</v>
      </c>
      <c r="AK54" s="81">
        <v>0</v>
      </c>
      <c r="AL54" s="81">
        <v>0</v>
      </c>
      <c r="AM54" s="81">
        <v>0</v>
      </c>
      <c r="AN54" s="81">
        <v>0</v>
      </c>
      <c r="AO54" s="81">
        <v>0</v>
      </c>
    </row>
    <row r="55" spans="1:41" ht="15.75" x14ac:dyDescent="0.25">
      <c r="A55" s="84"/>
      <c r="B55" s="84"/>
      <c r="C55" s="84"/>
      <c r="D55" s="80" t="s">
        <v>246</v>
      </c>
      <c r="E55" s="80">
        <v>0</v>
      </c>
      <c r="F55" s="80">
        <v>0</v>
      </c>
      <c r="G55" s="80">
        <v>0</v>
      </c>
      <c r="H55" s="80">
        <v>2</v>
      </c>
      <c r="I55" s="80">
        <v>2</v>
      </c>
      <c r="J55" s="80">
        <v>1</v>
      </c>
      <c r="K55" s="80">
        <v>1</v>
      </c>
      <c r="L55" s="80">
        <v>1</v>
      </c>
      <c r="M55" s="80">
        <v>0</v>
      </c>
      <c r="N55" s="80">
        <v>1</v>
      </c>
      <c r="O55" s="80">
        <v>1</v>
      </c>
      <c r="P55" s="80">
        <v>0</v>
      </c>
      <c r="Q55" s="80">
        <v>1</v>
      </c>
      <c r="R55" s="80">
        <v>0</v>
      </c>
      <c r="S55" s="80">
        <v>0</v>
      </c>
      <c r="T55" s="80">
        <v>0</v>
      </c>
      <c r="U55" s="80">
        <v>1</v>
      </c>
      <c r="V55" s="80">
        <v>1</v>
      </c>
      <c r="W55" s="80">
        <v>1</v>
      </c>
      <c r="X55" s="80">
        <v>1</v>
      </c>
      <c r="Y55" s="80">
        <v>0</v>
      </c>
      <c r="Z55" s="80">
        <v>2</v>
      </c>
      <c r="AA55" s="80">
        <v>2</v>
      </c>
      <c r="AB55" s="80">
        <v>0</v>
      </c>
      <c r="AC55" s="80">
        <v>0</v>
      </c>
      <c r="AD55" s="80">
        <v>0</v>
      </c>
      <c r="AE55" s="80">
        <v>1</v>
      </c>
      <c r="AF55" s="80">
        <v>0</v>
      </c>
      <c r="AG55" s="81">
        <v>1</v>
      </c>
      <c r="AH55" s="80">
        <v>0</v>
      </c>
      <c r="AI55" s="81">
        <v>0</v>
      </c>
      <c r="AJ55" s="81">
        <v>0</v>
      </c>
      <c r="AK55" s="81">
        <v>0</v>
      </c>
      <c r="AL55" s="81">
        <v>0</v>
      </c>
      <c r="AM55" s="81">
        <v>0</v>
      </c>
      <c r="AN55" s="81">
        <v>0</v>
      </c>
      <c r="AO55" s="81">
        <v>0</v>
      </c>
    </row>
    <row r="56" spans="1:41" ht="15.75" x14ac:dyDescent="0.25">
      <c r="A56" s="84"/>
      <c r="B56" s="84"/>
      <c r="C56" s="84"/>
      <c r="D56" s="80" t="s">
        <v>247</v>
      </c>
      <c r="E56" s="80">
        <v>0</v>
      </c>
      <c r="F56" s="80">
        <v>0</v>
      </c>
      <c r="G56" s="80">
        <v>0</v>
      </c>
      <c r="H56" s="80">
        <v>0</v>
      </c>
      <c r="I56" s="80">
        <v>0</v>
      </c>
      <c r="J56" s="80">
        <v>0</v>
      </c>
      <c r="K56" s="80">
        <v>0</v>
      </c>
      <c r="L56" s="80">
        <v>0</v>
      </c>
      <c r="M56" s="80">
        <v>0</v>
      </c>
      <c r="N56" s="80">
        <v>0</v>
      </c>
      <c r="O56" s="80">
        <v>0</v>
      </c>
      <c r="P56" s="80">
        <v>0</v>
      </c>
      <c r="Q56" s="80">
        <v>0</v>
      </c>
      <c r="R56" s="80">
        <v>0</v>
      </c>
      <c r="S56" s="80">
        <v>0</v>
      </c>
      <c r="T56" s="80">
        <v>0</v>
      </c>
      <c r="U56" s="80">
        <v>0</v>
      </c>
      <c r="V56" s="80">
        <v>0</v>
      </c>
      <c r="W56" s="80">
        <v>0</v>
      </c>
      <c r="X56" s="80">
        <v>0</v>
      </c>
      <c r="Y56" s="80">
        <v>0</v>
      </c>
      <c r="Z56" s="80">
        <v>0</v>
      </c>
      <c r="AA56" s="80">
        <v>0</v>
      </c>
      <c r="AB56" s="80">
        <v>0</v>
      </c>
      <c r="AC56" s="80">
        <v>0</v>
      </c>
      <c r="AD56" s="80">
        <v>0</v>
      </c>
      <c r="AE56" s="80">
        <v>0</v>
      </c>
      <c r="AF56" s="80">
        <v>0</v>
      </c>
      <c r="AG56" s="81">
        <v>0</v>
      </c>
      <c r="AH56" s="80">
        <v>0</v>
      </c>
      <c r="AI56" s="81">
        <v>0</v>
      </c>
      <c r="AJ56" s="81">
        <v>0</v>
      </c>
      <c r="AK56" s="81">
        <v>0</v>
      </c>
      <c r="AL56" s="81">
        <v>0</v>
      </c>
      <c r="AM56" s="81">
        <v>0</v>
      </c>
      <c r="AN56" s="81">
        <v>0</v>
      </c>
      <c r="AO56" s="81">
        <v>0</v>
      </c>
    </row>
    <row r="57" spans="1:41" ht="15.75" x14ac:dyDescent="0.25">
      <c r="A57" s="84"/>
      <c r="B57" s="84"/>
      <c r="C57" s="84"/>
      <c r="D57" s="80" t="s">
        <v>248</v>
      </c>
      <c r="E57" s="80">
        <v>0</v>
      </c>
      <c r="F57" s="80">
        <v>0</v>
      </c>
      <c r="G57" s="80">
        <v>0</v>
      </c>
      <c r="H57" s="80">
        <v>1</v>
      </c>
      <c r="I57" s="80">
        <v>1</v>
      </c>
      <c r="J57" s="80">
        <v>1</v>
      </c>
      <c r="K57" s="80">
        <v>0</v>
      </c>
      <c r="L57" s="80">
        <v>0</v>
      </c>
      <c r="M57" s="80">
        <v>0</v>
      </c>
      <c r="N57" s="80">
        <v>1</v>
      </c>
      <c r="O57" s="80">
        <v>1</v>
      </c>
      <c r="P57" s="80">
        <v>0</v>
      </c>
      <c r="Q57" s="80">
        <v>1</v>
      </c>
      <c r="R57" s="80">
        <v>0</v>
      </c>
      <c r="S57" s="80">
        <v>0</v>
      </c>
      <c r="T57" s="80">
        <v>0</v>
      </c>
      <c r="U57" s="80">
        <v>1</v>
      </c>
      <c r="V57" s="80">
        <v>1</v>
      </c>
      <c r="W57" s="80">
        <v>1</v>
      </c>
      <c r="X57" s="80">
        <v>1</v>
      </c>
      <c r="Y57" s="80">
        <v>0</v>
      </c>
      <c r="Z57" s="80">
        <v>2</v>
      </c>
      <c r="AA57" s="80">
        <v>2</v>
      </c>
      <c r="AB57" s="80">
        <v>0</v>
      </c>
      <c r="AC57" s="80">
        <v>0</v>
      </c>
      <c r="AD57" s="80">
        <v>0</v>
      </c>
      <c r="AE57" s="80">
        <v>1</v>
      </c>
      <c r="AF57" s="80">
        <v>0</v>
      </c>
      <c r="AG57" s="81">
        <v>1</v>
      </c>
      <c r="AH57" s="80">
        <v>0</v>
      </c>
      <c r="AI57" s="81">
        <v>0</v>
      </c>
      <c r="AJ57" s="81">
        <v>0</v>
      </c>
      <c r="AK57" s="81">
        <v>0</v>
      </c>
      <c r="AL57" s="81">
        <v>0</v>
      </c>
      <c r="AM57" s="81">
        <v>0</v>
      </c>
      <c r="AN57" s="81">
        <v>0</v>
      </c>
      <c r="AO57" s="81">
        <v>0</v>
      </c>
    </row>
    <row r="58" spans="1:41" ht="15.75" x14ac:dyDescent="0.25">
      <c r="A58" s="84"/>
      <c r="B58" s="84"/>
      <c r="C58" s="84"/>
      <c r="D58" s="80" t="s">
        <v>258</v>
      </c>
      <c r="E58" s="80">
        <v>0</v>
      </c>
      <c r="F58" s="80">
        <v>0</v>
      </c>
      <c r="G58" s="80">
        <v>0</v>
      </c>
      <c r="H58" s="80">
        <v>1</v>
      </c>
      <c r="I58" s="80">
        <v>1</v>
      </c>
      <c r="J58" s="80">
        <v>0</v>
      </c>
      <c r="K58" s="80">
        <v>1</v>
      </c>
      <c r="L58" s="80">
        <v>1</v>
      </c>
      <c r="M58" s="80">
        <v>0</v>
      </c>
      <c r="N58" s="80">
        <v>0</v>
      </c>
      <c r="O58" s="80">
        <v>0</v>
      </c>
      <c r="P58" s="80">
        <v>0</v>
      </c>
      <c r="Q58" s="80">
        <v>0</v>
      </c>
      <c r="R58" s="80">
        <v>0</v>
      </c>
      <c r="S58" s="80">
        <v>0</v>
      </c>
      <c r="T58" s="80">
        <v>0</v>
      </c>
      <c r="U58" s="80">
        <v>0</v>
      </c>
      <c r="V58" s="80">
        <v>0</v>
      </c>
      <c r="W58" s="80">
        <v>0</v>
      </c>
      <c r="X58" s="80">
        <v>0</v>
      </c>
      <c r="Y58" s="80">
        <v>0</v>
      </c>
      <c r="Z58" s="80">
        <v>0</v>
      </c>
      <c r="AA58" s="80">
        <v>0</v>
      </c>
      <c r="AB58" s="80">
        <v>0</v>
      </c>
      <c r="AC58" s="80">
        <v>0</v>
      </c>
      <c r="AD58" s="80">
        <v>0</v>
      </c>
      <c r="AE58" s="80">
        <v>0</v>
      </c>
      <c r="AF58" s="80">
        <v>0</v>
      </c>
      <c r="AG58" s="80">
        <v>0</v>
      </c>
      <c r="AH58" s="80">
        <v>0</v>
      </c>
      <c r="AI58" s="80">
        <v>0</v>
      </c>
      <c r="AJ58" s="80">
        <v>0</v>
      </c>
      <c r="AK58" s="80">
        <v>0</v>
      </c>
      <c r="AL58" s="80">
        <v>0</v>
      </c>
      <c r="AM58" s="81">
        <v>0</v>
      </c>
      <c r="AN58" s="81">
        <v>0</v>
      </c>
      <c r="AO58" s="81">
        <v>0</v>
      </c>
    </row>
    <row r="59" spans="1:41" ht="15.75" x14ac:dyDescent="0.25">
      <c r="A59" s="84">
        <v>12</v>
      </c>
      <c r="B59" s="147"/>
      <c r="C59" s="84" t="s">
        <v>141</v>
      </c>
      <c r="D59" s="80" t="s">
        <v>245</v>
      </c>
      <c r="E59" s="438">
        <v>0</v>
      </c>
      <c r="F59" s="80">
        <v>0</v>
      </c>
      <c r="G59" s="80">
        <v>0</v>
      </c>
      <c r="H59" s="387">
        <v>2</v>
      </c>
      <c r="I59" s="80">
        <v>0</v>
      </c>
      <c r="J59" s="80">
        <v>0</v>
      </c>
      <c r="K59" s="80">
        <v>0</v>
      </c>
      <c r="L59" s="80">
        <v>0</v>
      </c>
      <c r="M59" s="80">
        <v>0</v>
      </c>
      <c r="N59" s="387">
        <v>1</v>
      </c>
      <c r="O59" s="387">
        <v>1</v>
      </c>
      <c r="P59" s="407">
        <v>1</v>
      </c>
      <c r="Q59" s="407">
        <v>1</v>
      </c>
      <c r="R59" s="80">
        <v>0</v>
      </c>
      <c r="S59" s="80">
        <v>0</v>
      </c>
      <c r="T59" s="80">
        <v>0</v>
      </c>
      <c r="U59" s="387">
        <v>1</v>
      </c>
      <c r="V59" s="387">
        <v>1</v>
      </c>
      <c r="W59" s="80">
        <v>0</v>
      </c>
      <c r="X59" s="80">
        <v>0</v>
      </c>
      <c r="Y59" s="80">
        <v>0</v>
      </c>
      <c r="Z59" s="80">
        <v>0</v>
      </c>
      <c r="AA59" s="387">
        <v>1</v>
      </c>
      <c r="AB59" s="80">
        <v>0</v>
      </c>
      <c r="AC59" s="80">
        <v>0</v>
      </c>
      <c r="AD59" s="80">
        <v>0</v>
      </c>
      <c r="AE59" s="80">
        <v>0</v>
      </c>
      <c r="AF59" s="80">
        <v>0</v>
      </c>
      <c r="AG59" s="80">
        <v>0</v>
      </c>
      <c r="AH59" s="80">
        <v>0</v>
      </c>
      <c r="AI59" s="80">
        <v>0</v>
      </c>
      <c r="AJ59" s="80">
        <v>0</v>
      </c>
      <c r="AK59" s="80">
        <v>0</v>
      </c>
      <c r="AL59" s="80">
        <v>0</v>
      </c>
      <c r="AM59" s="407">
        <v>1</v>
      </c>
      <c r="AN59" s="80">
        <v>0</v>
      </c>
      <c r="AO59" s="80">
        <v>0</v>
      </c>
    </row>
    <row r="60" spans="1:41" ht="15.75" x14ac:dyDescent="0.25">
      <c r="A60" s="84"/>
      <c r="B60" s="147"/>
      <c r="C60" s="84"/>
      <c r="D60" s="80" t="s">
        <v>246</v>
      </c>
      <c r="E60" s="80">
        <v>0</v>
      </c>
      <c r="F60" s="80">
        <v>0</v>
      </c>
      <c r="G60" s="80">
        <v>0</v>
      </c>
      <c r="H60" s="80">
        <v>2</v>
      </c>
      <c r="I60" s="80">
        <v>0</v>
      </c>
      <c r="J60" s="80">
        <v>0</v>
      </c>
      <c r="K60" s="80">
        <v>0</v>
      </c>
      <c r="L60" s="80">
        <v>0</v>
      </c>
      <c r="M60" s="80">
        <v>0</v>
      </c>
      <c r="N60" s="80">
        <v>1</v>
      </c>
      <c r="O60" s="80">
        <v>1</v>
      </c>
      <c r="P60" s="80">
        <v>1</v>
      </c>
      <c r="Q60" s="80">
        <v>1</v>
      </c>
      <c r="R60" s="80">
        <v>0</v>
      </c>
      <c r="S60" s="80">
        <v>0</v>
      </c>
      <c r="T60" s="80">
        <v>0</v>
      </c>
      <c r="U60" s="80">
        <v>1</v>
      </c>
      <c r="V60" s="80">
        <v>1</v>
      </c>
      <c r="W60" s="80">
        <v>0</v>
      </c>
      <c r="X60" s="80">
        <v>0</v>
      </c>
      <c r="Y60" s="80">
        <v>0</v>
      </c>
      <c r="Z60" s="80">
        <v>0</v>
      </c>
      <c r="AA60" s="80">
        <v>1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80">
        <v>0</v>
      </c>
      <c r="AH60" s="80">
        <v>0</v>
      </c>
      <c r="AI60" s="80">
        <v>0</v>
      </c>
      <c r="AJ60" s="80">
        <v>0</v>
      </c>
      <c r="AK60" s="80">
        <v>0</v>
      </c>
      <c r="AL60" s="80">
        <v>0</v>
      </c>
      <c r="AM60" s="80">
        <v>1</v>
      </c>
      <c r="AN60" s="80">
        <v>0</v>
      </c>
      <c r="AO60" s="80">
        <v>0</v>
      </c>
    </row>
    <row r="61" spans="1:41" ht="15.75" x14ac:dyDescent="0.25">
      <c r="A61" s="84"/>
      <c r="B61" s="147"/>
      <c r="C61" s="84"/>
      <c r="D61" s="80" t="s">
        <v>247</v>
      </c>
      <c r="E61" s="80">
        <v>0</v>
      </c>
      <c r="F61" s="80">
        <v>0</v>
      </c>
      <c r="G61" s="80">
        <v>0</v>
      </c>
      <c r="H61" s="80">
        <v>0</v>
      </c>
      <c r="I61" s="80">
        <v>0</v>
      </c>
      <c r="J61" s="80">
        <v>0</v>
      </c>
      <c r="K61" s="80">
        <v>0</v>
      </c>
      <c r="L61" s="80">
        <v>0</v>
      </c>
      <c r="M61" s="80">
        <v>0</v>
      </c>
      <c r="N61" s="80">
        <v>0</v>
      </c>
      <c r="O61" s="80">
        <v>0</v>
      </c>
      <c r="P61" s="80">
        <v>0</v>
      </c>
      <c r="Q61" s="80">
        <v>0</v>
      </c>
      <c r="R61" s="80">
        <v>0</v>
      </c>
      <c r="S61" s="80">
        <v>0</v>
      </c>
      <c r="T61" s="80">
        <v>0</v>
      </c>
      <c r="U61" s="80">
        <v>0</v>
      </c>
      <c r="V61" s="80">
        <v>0</v>
      </c>
      <c r="W61" s="80">
        <v>0</v>
      </c>
      <c r="X61" s="80">
        <v>0</v>
      </c>
      <c r="Y61" s="80">
        <v>0</v>
      </c>
      <c r="Z61" s="80">
        <v>0</v>
      </c>
      <c r="AA61" s="80">
        <v>0</v>
      </c>
      <c r="AB61" s="80">
        <v>0</v>
      </c>
      <c r="AC61" s="80">
        <v>0</v>
      </c>
      <c r="AD61" s="80">
        <v>0</v>
      </c>
      <c r="AE61" s="80">
        <v>0</v>
      </c>
      <c r="AF61" s="80">
        <v>0</v>
      </c>
      <c r="AG61" s="80">
        <v>0</v>
      </c>
      <c r="AH61" s="80">
        <v>0</v>
      </c>
      <c r="AI61" s="80">
        <v>0</v>
      </c>
      <c r="AJ61" s="80">
        <v>0</v>
      </c>
      <c r="AK61" s="80">
        <v>0</v>
      </c>
      <c r="AL61" s="80">
        <v>0</v>
      </c>
      <c r="AM61" s="80">
        <v>0</v>
      </c>
      <c r="AN61" s="80">
        <v>0</v>
      </c>
      <c r="AO61" s="80">
        <v>0</v>
      </c>
    </row>
    <row r="62" spans="1:41" ht="15.75" x14ac:dyDescent="0.25">
      <c r="A62" s="84"/>
      <c r="B62" s="147"/>
      <c r="C62" s="84"/>
      <c r="D62" s="80" t="s">
        <v>248</v>
      </c>
      <c r="E62" s="80">
        <v>0</v>
      </c>
      <c r="F62" s="80">
        <v>0</v>
      </c>
      <c r="G62" s="80">
        <v>0</v>
      </c>
      <c r="H62" s="80">
        <v>2</v>
      </c>
      <c r="I62" s="80">
        <v>0</v>
      </c>
      <c r="J62" s="80">
        <v>0</v>
      </c>
      <c r="K62" s="80">
        <v>0</v>
      </c>
      <c r="L62" s="80">
        <v>0</v>
      </c>
      <c r="M62" s="80">
        <v>0</v>
      </c>
      <c r="N62" s="80">
        <v>1</v>
      </c>
      <c r="O62" s="80">
        <v>1</v>
      </c>
      <c r="P62" s="80">
        <v>1</v>
      </c>
      <c r="Q62" s="80">
        <v>1</v>
      </c>
      <c r="R62" s="80">
        <v>0</v>
      </c>
      <c r="S62" s="80">
        <v>0</v>
      </c>
      <c r="T62" s="80">
        <v>0</v>
      </c>
      <c r="U62" s="80">
        <v>1</v>
      </c>
      <c r="V62" s="80">
        <v>1</v>
      </c>
      <c r="W62" s="80">
        <v>0</v>
      </c>
      <c r="X62" s="80">
        <v>0</v>
      </c>
      <c r="Y62" s="80">
        <v>0</v>
      </c>
      <c r="Z62" s="80">
        <v>0</v>
      </c>
      <c r="AA62" s="80">
        <v>1</v>
      </c>
      <c r="AB62" s="80">
        <v>0</v>
      </c>
      <c r="AC62" s="80">
        <v>0</v>
      </c>
      <c r="AD62" s="80">
        <v>0</v>
      </c>
      <c r="AE62" s="80">
        <v>0</v>
      </c>
      <c r="AF62" s="80">
        <v>0</v>
      </c>
      <c r="AG62" s="80">
        <v>0</v>
      </c>
      <c r="AH62" s="80">
        <v>0</v>
      </c>
      <c r="AI62" s="80">
        <v>0</v>
      </c>
      <c r="AJ62" s="80">
        <v>0</v>
      </c>
      <c r="AK62" s="80">
        <v>0</v>
      </c>
      <c r="AL62" s="80">
        <v>0</v>
      </c>
      <c r="AM62" s="80">
        <v>1</v>
      </c>
      <c r="AN62" s="80">
        <v>0</v>
      </c>
      <c r="AO62" s="80">
        <v>0</v>
      </c>
    </row>
    <row r="63" spans="1:41" ht="15.75" x14ac:dyDescent="0.25">
      <c r="A63" s="84"/>
      <c r="B63" s="147"/>
      <c r="C63" s="84"/>
      <c r="D63" s="80" t="s">
        <v>258</v>
      </c>
      <c r="E63" s="80">
        <v>0</v>
      </c>
      <c r="F63" s="80">
        <v>0</v>
      </c>
      <c r="G63" s="80">
        <v>0</v>
      </c>
      <c r="H63" s="80">
        <v>0</v>
      </c>
      <c r="I63" s="80">
        <v>0</v>
      </c>
      <c r="J63" s="80">
        <v>0</v>
      </c>
      <c r="K63" s="80">
        <v>0</v>
      </c>
      <c r="L63" s="80">
        <v>0</v>
      </c>
      <c r="M63" s="80">
        <v>0</v>
      </c>
      <c r="N63" s="80">
        <v>0</v>
      </c>
      <c r="O63" s="80">
        <v>0</v>
      </c>
      <c r="P63" s="80">
        <v>0</v>
      </c>
      <c r="Q63" s="80">
        <v>0</v>
      </c>
      <c r="R63" s="80">
        <v>0</v>
      </c>
      <c r="S63" s="80">
        <v>0</v>
      </c>
      <c r="T63" s="80">
        <v>0</v>
      </c>
      <c r="U63" s="80">
        <v>0</v>
      </c>
      <c r="V63" s="80">
        <v>0</v>
      </c>
      <c r="W63" s="80">
        <v>0</v>
      </c>
      <c r="X63" s="80">
        <v>0</v>
      </c>
      <c r="Y63" s="80">
        <v>0</v>
      </c>
      <c r="Z63" s="80">
        <v>0</v>
      </c>
      <c r="AA63" s="80">
        <v>0</v>
      </c>
      <c r="AB63" s="80">
        <v>0</v>
      </c>
      <c r="AC63" s="80">
        <v>0</v>
      </c>
      <c r="AD63" s="80">
        <v>0</v>
      </c>
      <c r="AE63" s="80">
        <v>0</v>
      </c>
      <c r="AF63" s="80">
        <v>0</v>
      </c>
      <c r="AG63" s="80">
        <v>0</v>
      </c>
      <c r="AH63" s="80">
        <v>0</v>
      </c>
      <c r="AI63" s="80">
        <v>0</v>
      </c>
      <c r="AJ63" s="80">
        <v>0</v>
      </c>
      <c r="AK63" s="80">
        <v>0</v>
      </c>
      <c r="AL63" s="80">
        <v>0</v>
      </c>
      <c r="AM63" s="80">
        <v>0</v>
      </c>
      <c r="AN63" s="80">
        <v>0</v>
      </c>
      <c r="AO63" s="80">
        <v>0</v>
      </c>
    </row>
    <row r="64" spans="1:41" ht="15.75" x14ac:dyDescent="0.25">
      <c r="A64" s="84">
        <v>13</v>
      </c>
      <c r="B64" s="84" t="s">
        <v>191</v>
      </c>
      <c r="C64" s="84" t="s">
        <v>251</v>
      </c>
      <c r="D64" s="80" t="s">
        <v>245</v>
      </c>
      <c r="E64" s="438">
        <v>0</v>
      </c>
      <c r="F64" s="80">
        <v>0</v>
      </c>
      <c r="G64" s="80">
        <v>0</v>
      </c>
      <c r="H64" s="387">
        <v>2</v>
      </c>
      <c r="I64" s="387">
        <v>3</v>
      </c>
      <c r="J64" s="387">
        <v>3</v>
      </c>
      <c r="K64" s="80">
        <v>0</v>
      </c>
      <c r="L64" s="80">
        <v>0</v>
      </c>
      <c r="M64" s="80">
        <v>0</v>
      </c>
      <c r="N64" s="80">
        <v>0</v>
      </c>
      <c r="O64" s="387">
        <v>1</v>
      </c>
      <c r="P64" s="80">
        <v>1</v>
      </c>
      <c r="Q64" s="80">
        <v>0</v>
      </c>
      <c r="R64" s="80">
        <v>0</v>
      </c>
      <c r="S64" s="80">
        <v>0</v>
      </c>
      <c r="T64" s="80">
        <v>0</v>
      </c>
      <c r="U64" s="387">
        <v>4</v>
      </c>
      <c r="V64" s="387">
        <v>5</v>
      </c>
      <c r="W64" s="387">
        <v>1</v>
      </c>
      <c r="X64" s="387">
        <v>1</v>
      </c>
      <c r="Y64" s="80">
        <v>0</v>
      </c>
      <c r="Z64" s="80">
        <v>0</v>
      </c>
      <c r="AA64" s="387">
        <v>1</v>
      </c>
      <c r="AB64" s="387">
        <v>3</v>
      </c>
      <c r="AC64" s="80">
        <v>0</v>
      </c>
      <c r="AD64" s="80">
        <v>0</v>
      </c>
      <c r="AE64" s="80">
        <v>0</v>
      </c>
      <c r="AF64" s="80">
        <v>0</v>
      </c>
      <c r="AG64" s="390">
        <v>2</v>
      </c>
      <c r="AH64" s="387">
        <v>1</v>
      </c>
      <c r="AI64" s="81">
        <v>0</v>
      </c>
      <c r="AJ64" s="81">
        <v>0</v>
      </c>
      <c r="AK64" s="81">
        <v>0</v>
      </c>
      <c r="AL64" s="81">
        <v>0</v>
      </c>
      <c r="AM64" s="81">
        <v>0</v>
      </c>
      <c r="AN64" s="81">
        <v>0</v>
      </c>
      <c r="AO64" s="81">
        <v>0</v>
      </c>
    </row>
    <row r="65" spans="1:41" ht="15.75" x14ac:dyDescent="0.25">
      <c r="A65" s="84">
        <v>14</v>
      </c>
      <c r="B65" s="84"/>
      <c r="C65" s="84" t="s">
        <v>376</v>
      </c>
      <c r="D65" s="80" t="s">
        <v>246</v>
      </c>
      <c r="E65" s="80">
        <v>1</v>
      </c>
      <c r="F65" s="80">
        <v>0</v>
      </c>
      <c r="G65" s="80">
        <v>0</v>
      </c>
      <c r="H65" s="80">
        <v>1</v>
      </c>
      <c r="I65" s="80">
        <v>3</v>
      </c>
      <c r="J65" s="80">
        <v>3</v>
      </c>
      <c r="K65" s="80">
        <v>0</v>
      </c>
      <c r="L65" s="80">
        <v>0</v>
      </c>
      <c r="M65" s="80">
        <v>0</v>
      </c>
      <c r="N65" s="80">
        <v>0</v>
      </c>
      <c r="O65" s="80">
        <v>1</v>
      </c>
      <c r="P65" s="80">
        <v>1</v>
      </c>
      <c r="Q65" s="80">
        <v>0</v>
      </c>
      <c r="R65" s="80">
        <v>0</v>
      </c>
      <c r="S65" s="80">
        <v>0</v>
      </c>
      <c r="T65" s="80">
        <v>0</v>
      </c>
      <c r="U65" s="80">
        <v>4</v>
      </c>
      <c r="V65" s="80">
        <v>5</v>
      </c>
      <c r="W65" s="80">
        <v>1</v>
      </c>
      <c r="X65" s="80">
        <v>1</v>
      </c>
      <c r="Y65" s="80">
        <v>0</v>
      </c>
      <c r="Z65" s="80">
        <v>0</v>
      </c>
      <c r="AA65" s="80">
        <v>1</v>
      </c>
      <c r="AB65" s="80">
        <v>3</v>
      </c>
      <c r="AC65" s="80">
        <v>0</v>
      </c>
      <c r="AD65" s="80">
        <v>0</v>
      </c>
      <c r="AE65" s="80">
        <v>0</v>
      </c>
      <c r="AF65" s="80">
        <v>0</v>
      </c>
      <c r="AG65" s="81">
        <v>1</v>
      </c>
      <c r="AH65" s="80">
        <v>1</v>
      </c>
      <c r="AI65" s="81">
        <v>0</v>
      </c>
      <c r="AJ65" s="81">
        <v>0</v>
      </c>
      <c r="AK65" s="81">
        <v>0</v>
      </c>
      <c r="AL65" s="81">
        <v>0</v>
      </c>
      <c r="AM65" s="81">
        <v>0</v>
      </c>
      <c r="AN65" s="81">
        <v>0</v>
      </c>
      <c r="AO65" s="81">
        <v>0</v>
      </c>
    </row>
    <row r="66" spans="1:41" ht="15.75" x14ac:dyDescent="0.25">
      <c r="A66" s="84">
        <v>15</v>
      </c>
      <c r="B66" s="84"/>
      <c r="C66" s="84" t="s">
        <v>163</v>
      </c>
      <c r="D66" s="80" t="s">
        <v>247</v>
      </c>
      <c r="E66" s="80">
        <v>0</v>
      </c>
      <c r="F66" s="80">
        <v>0</v>
      </c>
      <c r="G66" s="80">
        <v>0</v>
      </c>
      <c r="H66" s="80">
        <v>1</v>
      </c>
      <c r="I66" s="80">
        <v>0</v>
      </c>
      <c r="J66" s="80">
        <v>0</v>
      </c>
      <c r="K66" s="80">
        <v>0</v>
      </c>
      <c r="L66" s="80">
        <v>0</v>
      </c>
      <c r="M66" s="80">
        <v>0</v>
      </c>
      <c r="N66" s="80">
        <v>0</v>
      </c>
      <c r="O66" s="80">
        <v>0</v>
      </c>
      <c r="P66" s="80">
        <v>0</v>
      </c>
      <c r="Q66" s="80">
        <v>0</v>
      </c>
      <c r="R66" s="80">
        <v>0</v>
      </c>
      <c r="S66" s="80">
        <v>0</v>
      </c>
      <c r="T66" s="80">
        <v>0</v>
      </c>
      <c r="U66" s="80">
        <v>0</v>
      </c>
      <c r="V66" s="80">
        <v>0</v>
      </c>
      <c r="W66" s="80">
        <v>0</v>
      </c>
      <c r="X66" s="80">
        <v>0</v>
      </c>
      <c r="Y66" s="80">
        <v>0</v>
      </c>
      <c r="Z66" s="80">
        <v>0</v>
      </c>
      <c r="AA66" s="80">
        <v>0</v>
      </c>
      <c r="AB66" s="80">
        <v>0</v>
      </c>
      <c r="AC66" s="80">
        <v>0</v>
      </c>
      <c r="AD66" s="80">
        <v>0</v>
      </c>
      <c r="AE66" s="80">
        <v>0</v>
      </c>
      <c r="AF66" s="80">
        <v>0</v>
      </c>
      <c r="AG66" s="81">
        <v>1</v>
      </c>
      <c r="AH66" s="80">
        <v>0</v>
      </c>
      <c r="AI66" s="81">
        <v>0</v>
      </c>
      <c r="AJ66" s="81">
        <v>0</v>
      </c>
      <c r="AK66" s="81">
        <v>0</v>
      </c>
      <c r="AL66" s="81">
        <v>0</v>
      </c>
      <c r="AM66" s="81">
        <v>0</v>
      </c>
      <c r="AN66" s="81">
        <v>0</v>
      </c>
      <c r="AO66" s="81">
        <v>0</v>
      </c>
    </row>
    <row r="67" spans="1:41" ht="15.75" x14ac:dyDescent="0.25">
      <c r="A67" s="84"/>
      <c r="B67" s="84"/>
      <c r="C67" s="84"/>
      <c r="D67" s="80" t="s">
        <v>248</v>
      </c>
      <c r="E67" s="80">
        <v>1</v>
      </c>
      <c r="F67" s="80">
        <v>0</v>
      </c>
      <c r="G67" s="80">
        <v>0</v>
      </c>
      <c r="H67" s="80">
        <v>1</v>
      </c>
      <c r="I67" s="80">
        <v>3</v>
      </c>
      <c r="J67" s="80">
        <v>3</v>
      </c>
      <c r="K67" s="80">
        <v>0</v>
      </c>
      <c r="L67" s="80">
        <v>0</v>
      </c>
      <c r="M67" s="80">
        <v>0</v>
      </c>
      <c r="N67" s="80">
        <v>0</v>
      </c>
      <c r="O67" s="80">
        <v>1</v>
      </c>
      <c r="P67" s="80">
        <v>1</v>
      </c>
      <c r="Q67" s="80">
        <v>0</v>
      </c>
      <c r="R67" s="80">
        <v>0</v>
      </c>
      <c r="S67" s="80">
        <v>0</v>
      </c>
      <c r="T67" s="80">
        <v>0</v>
      </c>
      <c r="U67" s="80">
        <v>4</v>
      </c>
      <c r="V67" s="80">
        <v>5</v>
      </c>
      <c r="W67" s="80">
        <v>1</v>
      </c>
      <c r="X67" s="80">
        <v>1</v>
      </c>
      <c r="Y67" s="80">
        <v>0</v>
      </c>
      <c r="Z67" s="80">
        <v>0</v>
      </c>
      <c r="AA67" s="80">
        <v>1</v>
      </c>
      <c r="AB67" s="80">
        <v>3</v>
      </c>
      <c r="AC67" s="80">
        <v>0</v>
      </c>
      <c r="AD67" s="80">
        <v>0</v>
      </c>
      <c r="AE67" s="80">
        <v>0</v>
      </c>
      <c r="AF67" s="80">
        <v>0</v>
      </c>
      <c r="AG67" s="81">
        <v>1</v>
      </c>
      <c r="AH67" s="80">
        <v>1</v>
      </c>
      <c r="AI67" s="81">
        <v>0</v>
      </c>
      <c r="AJ67" s="81">
        <v>0</v>
      </c>
      <c r="AK67" s="81">
        <v>0</v>
      </c>
      <c r="AL67" s="81">
        <v>0</v>
      </c>
      <c r="AM67" s="81">
        <v>0</v>
      </c>
      <c r="AN67" s="81">
        <v>0</v>
      </c>
      <c r="AO67" s="81">
        <v>0</v>
      </c>
    </row>
    <row r="68" spans="1:41" ht="15.75" x14ac:dyDescent="0.25">
      <c r="A68" s="84"/>
      <c r="B68" s="84"/>
      <c r="C68" s="84"/>
      <c r="D68" s="80" t="s">
        <v>258</v>
      </c>
      <c r="E68" s="80">
        <v>0</v>
      </c>
      <c r="F68" s="80">
        <v>0</v>
      </c>
      <c r="G68" s="80">
        <v>0</v>
      </c>
      <c r="H68" s="80">
        <v>0</v>
      </c>
      <c r="I68" s="80">
        <v>0</v>
      </c>
      <c r="J68" s="80">
        <v>0</v>
      </c>
      <c r="K68" s="80">
        <v>0</v>
      </c>
      <c r="L68" s="80">
        <v>0</v>
      </c>
      <c r="M68" s="80">
        <v>0</v>
      </c>
      <c r="N68" s="80">
        <v>0</v>
      </c>
      <c r="O68" s="80">
        <v>0</v>
      </c>
      <c r="P68" s="80">
        <v>0</v>
      </c>
      <c r="Q68" s="80">
        <v>0</v>
      </c>
      <c r="R68" s="80">
        <v>0</v>
      </c>
      <c r="S68" s="80">
        <v>0</v>
      </c>
      <c r="T68" s="80">
        <v>0</v>
      </c>
      <c r="U68" s="80">
        <v>0</v>
      </c>
      <c r="V68" s="80">
        <v>0</v>
      </c>
      <c r="W68" s="80">
        <v>0</v>
      </c>
      <c r="X68" s="80">
        <v>0</v>
      </c>
      <c r="Y68" s="80">
        <v>0</v>
      </c>
      <c r="Z68" s="80">
        <v>0</v>
      </c>
      <c r="AA68" s="80">
        <v>0</v>
      </c>
      <c r="AB68" s="80">
        <v>0</v>
      </c>
      <c r="AC68" s="80">
        <v>0</v>
      </c>
      <c r="AD68" s="80">
        <v>0</v>
      </c>
      <c r="AE68" s="80">
        <v>0</v>
      </c>
      <c r="AF68" s="80">
        <v>0</v>
      </c>
      <c r="AG68" s="80">
        <v>0</v>
      </c>
      <c r="AH68" s="80">
        <v>0</v>
      </c>
      <c r="AI68" s="80">
        <v>0</v>
      </c>
      <c r="AJ68" s="80">
        <v>0</v>
      </c>
      <c r="AK68" s="80">
        <v>0</v>
      </c>
      <c r="AL68" s="80">
        <v>0</v>
      </c>
      <c r="AM68" s="81">
        <v>0</v>
      </c>
      <c r="AN68" s="81">
        <v>0</v>
      </c>
      <c r="AO68" s="81">
        <v>0</v>
      </c>
    </row>
    <row r="69" spans="1:41" ht="15.75" x14ac:dyDescent="0.25">
      <c r="A69" s="84">
        <v>16</v>
      </c>
      <c r="B69" s="84"/>
      <c r="C69" s="84" t="s">
        <v>164</v>
      </c>
      <c r="D69" s="80" t="s">
        <v>245</v>
      </c>
      <c r="E69" s="438">
        <v>0</v>
      </c>
      <c r="F69" s="80">
        <v>0</v>
      </c>
      <c r="G69" s="80">
        <v>0</v>
      </c>
      <c r="H69" s="387">
        <v>1</v>
      </c>
      <c r="I69" s="387">
        <v>3</v>
      </c>
      <c r="J69" s="387">
        <v>2</v>
      </c>
      <c r="K69" s="80">
        <v>0</v>
      </c>
      <c r="L69" s="80">
        <v>0</v>
      </c>
      <c r="M69" s="80">
        <v>0</v>
      </c>
      <c r="N69" s="80">
        <v>0</v>
      </c>
      <c r="O69" s="387">
        <v>2</v>
      </c>
      <c r="P69" s="387">
        <v>1</v>
      </c>
      <c r="Q69" s="387">
        <v>1</v>
      </c>
      <c r="R69" s="387">
        <v>1</v>
      </c>
      <c r="S69" s="80">
        <v>0</v>
      </c>
      <c r="T69" s="80">
        <v>0</v>
      </c>
      <c r="U69" s="387">
        <v>1</v>
      </c>
      <c r="V69" s="387">
        <v>1</v>
      </c>
      <c r="W69" s="80">
        <v>0</v>
      </c>
      <c r="X69" s="80">
        <v>0</v>
      </c>
      <c r="Y69" s="80">
        <v>0</v>
      </c>
      <c r="Z69" s="80">
        <v>0</v>
      </c>
      <c r="AA69" s="80">
        <v>0</v>
      </c>
      <c r="AB69" s="80">
        <v>0</v>
      </c>
      <c r="AC69" s="80">
        <v>0</v>
      </c>
      <c r="AD69" s="80">
        <v>0</v>
      </c>
      <c r="AE69" s="387">
        <v>1</v>
      </c>
      <c r="AF69" s="80">
        <v>0</v>
      </c>
      <c r="AG69" s="390">
        <v>2</v>
      </c>
      <c r="AH69" s="387">
        <v>1</v>
      </c>
      <c r="AI69" s="81">
        <v>0</v>
      </c>
      <c r="AJ69" s="81">
        <v>0</v>
      </c>
      <c r="AK69" s="81">
        <v>0</v>
      </c>
      <c r="AL69" s="81">
        <v>0</v>
      </c>
      <c r="AM69" s="390">
        <v>1</v>
      </c>
      <c r="AN69" s="81">
        <v>0</v>
      </c>
      <c r="AO69" s="390">
        <v>1</v>
      </c>
    </row>
    <row r="70" spans="1:41" ht="15.75" x14ac:dyDescent="0.25">
      <c r="A70" s="84"/>
      <c r="B70" s="84"/>
      <c r="C70" s="84" t="s">
        <v>410</v>
      </c>
      <c r="D70" s="80" t="s">
        <v>246</v>
      </c>
      <c r="E70" s="80">
        <v>0</v>
      </c>
      <c r="F70" s="80">
        <v>0</v>
      </c>
      <c r="G70" s="80">
        <v>0</v>
      </c>
      <c r="H70" s="80">
        <v>1</v>
      </c>
      <c r="I70" s="80">
        <v>2</v>
      </c>
      <c r="J70" s="80">
        <v>2</v>
      </c>
      <c r="K70" s="80">
        <v>0</v>
      </c>
      <c r="L70" s="80">
        <v>0</v>
      </c>
      <c r="M70" s="80">
        <v>0</v>
      </c>
      <c r="N70" s="80">
        <v>0</v>
      </c>
      <c r="O70" s="80">
        <v>2</v>
      </c>
      <c r="P70" s="80">
        <v>0</v>
      </c>
      <c r="Q70" s="80">
        <v>0</v>
      </c>
      <c r="R70" s="80">
        <v>0</v>
      </c>
      <c r="S70" s="80">
        <v>0</v>
      </c>
      <c r="T70" s="80">
        <v>0</v>
      </c>
      <c r="U70" s="80">
        <v>1</v>
      </c>
      <c r="V70" s="80">
        <v>1</v>
      </c>
      <c r="W70" s="80">
        <v>0</v>
      </c>
      <c r="X70" s="80">
        <v>0</v>
      </c>
      <c r="Y70" s="80">
        <v>0</v>
      </c>
      <c r="Z70" s="80">
        <v>0</v>
      </c>
      <c r="AA70" s="80">
        <v>0</v>
      </c>
      <c r="AB70" s="80">
        <v>0</v>
      </c>
      <c r="AC70" s="80">
        <v>0</v>
      </c>
      <c r="AD70" s="80">
        <v>0</v>
      </c>
      <c r="AE70" s="80">
        <v>1</v>
      </c>
      <c r="AF70" s="80">
        <v>0</v>
      </c>
      <c r="AG70" s="81">
        <v>2</v>
      </c>
      <c r="AH70" s="80">
        <v>1</v>
      </c>
      <c r="AI70" s="81">
        <v>0</v>
      </c>
      <c r="AJ70" s="81">
        <v>0</v>
      </c>
      <c r="AK70" s="81">
        <v>0</v>
      </c>
      <c r="AL70" s="81">
        <v>0</v>
      </c>
      <c r="AM70" s="81">
        <v>1</v>
      </c>
      <c r="AN70" s="81">
        <v>0</v>
      </c>
      <c r="AO70" s="81">
        <v>1</v>
      </c>
    </row>
    <row r="71" spans="1:41" ht="15.75" x14ac:dyDescent="0.25">
      <c r="A71" s="84"/>
      <c r="B71" s="84"/>
      <c r="C71" s="84"/>
      <c r="D71" s="80" t="s">
        <v>247</v>
      </c>
      <c r="E71" s="80">
        <v>0</v>
      </c>
      <c r="F71" s="80">
        <v>0</v>
      </c>
      <c r="G71" s="80">
        <v>0</v>
      </c>
      <c r="H71" s="80">
        <v>0</v>
      </c>
      <c r="I71" s="80">
        <v>1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1</v>
      </c>
      <c r="Q71" s="80">
        <v>1</v>
      </c>
      <c r="R71" s="80">
        <v>1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1">
        <v>0</v>
      </c>
      <c r="AH71" s="80">
        <v>0</v>
      </c>
      <c r="AI71" s="81">
        <v>0</v>
      </c>
      <c r="AJ71" s="81">
        <v>0</v>
      </c>
      <c r="AK71" s="81">
        <v>0</v>
      </c>
      <c r="AL71" s="81">
        <v>0</v>
      </c>
      <c r="AM71" s="81">
        <v>0</v>
      </c>
      <c r="AN71" s="81">
        <v>0</v>
      </c>
      <c r="AO71" s="81">
        <v>0</v>
      </c>
    </row>
    <row r="72" spans="1:41" ht="15.75" x14ac:dyDescent="0.25">
      <c r="A72" s="84"/>
      <c r="B72" s="84"/>
      <c r="C72" s="84"/>
      <c r="D72" s="80" t="s">
        <v>248</v>
      </c>
      <c r="E72" s="80">
        <v>0</v>
      </c>
      <c r="F72" s="80">
        <v>0</v>
      </c>
      <c r="G72" s="80">
        <v>0</v>
      </c>
      <c r="H72" s="80">
        <v>1</v>
      </c>
      <c r="I72" s="80">
        <v>2</v>
      </c>
      <c r="J72" s="80">
        <v>2</v>
      </c>
      <c r="K72" s="80">
        <v>0</v>
      </c>
      <c r="L72" s="80">
        <v>0</v>
      </c>
      <c r="M72" s="80">
        <v>0</v>
      </c>
      <c r="N72" s="80">
        <v>0</v>
      </c>
      <c r="O72" s="80">
        <v>2</v>
      </c>
      <c r="P72" s="80">
        <v>0</v>
      </c>
      <c r="Q72" s="80">
        <v>0</v>
      </c>
      <c r="R72" s="80">
        <v>0</v>
      </c>
      <c r="S72" s="80">
        <v>0</v>
      </c>
      <c r="T72" s="80">
        <v>0</v>
      </c>
      <c r="U72" s="80">
        <v>1</v>
      </c>
      <c r="V72" s="80">
        <v>1</v>
      </c>
      <c r="W72" s="80">
        <v>0</v>
      </c>
      <c r="X72" s="80">
        <v>0</v>
      </c>
      <c r="Y72" s="80">
        <v>0</v>
      </c>
      <c r="Z72" s="80">
        <v>0</v>
      </c>
      <c r="AA72" s="80">
        <v>0</v>
      </c>
      <c r="AB72" s="80">
        <v>0</v>
      </c>
      <c r="AC72" s="80">
        <v>0</v>
      </c>
      <c r="AD72" s="80">
        <v>0</v>
      </c>
      <c r="AE72" s="80">
        <v>1</v>
      </c>
      <c r="AF72" s="80">
        <v>0</v>
      </c>
      <c r="AG72" s="81">
        <v>2</v>
      </c>
      <c r="AH72" s="80">
        <v>1</v>
      </c>
      <c r="AI72" s="81">
        <v>0</v>
      </c>
      <c r="AJ72" s="81">
        <v>0</v>
      </c>
      <c r="AK72" s="81">
        <v>0</v>
      </c>
      <c r="AL72" s="81">
        <v>0</v>
      </c>
      <c r="AM72" s="81">
        <v>1</v>
      </c>
      <c r="AN72" s="81">
        <v>0</v>
      </c>
      <c r="AO72" s="81">
        <v>1</v>
      </c>
    </row>
    <row r="73" spans="1:41" ht="15.75" x14ac:dyDescent="0.25">
      <c r="A73" s="84"/>
      <c r="B73" s="84"/>
      <c r="C73" s="84"/>
      <c r="D73" s="80" t="s">
        <v>258</v>
      </c>
      <c r="E73" s="80">
        <v>0</v>
      </c>
      <c r="F73" s="80">
        <v>0</v>
      </c>
      <c r="G73" s="80">
        <v>0</v>
      </c>
      <c r="H73" s="80">
        <v>0</v>
      </c>
      <c r="I73" s="80">
        <v>0</v>
      </c>
      <c r="J73" s="80">
        <v>0</v>
      </c>
      <c r="K73" s="80">
        <v>0</v>
      </c>
      <c r="L73" s="80">
        <v>0</v>
      </c>
      <c r="M73" s="80">
        <v>0</v>
      </c>
      <c r="N73" s="80">
        <v>0</v>
      </c>
      <c r="O73" s="80">
        <v>0</v>
      </c>
      <c r="P73" s="80">
        <v>0</v>
      </c>
      <c r="Q73" s="80">
        <v>0</v>
      </c>
      <c r="R73" s="80">
        <v>0</v>
      </c>
      <c r="S73" s="80">
        <v>0</v>
      </c>
      <c r="T73" s="80">
        <v>0</v>
      </c>
      <c r="U73" s="80">
        <v>0</v>
      </c>
      <c r="V73" s="80">
        <v>0</v>
      </c>
      <c r="W73" s="80">
        <v>0</v>
      </c>
      <c r="X73" s="80">
        <v>0</v>
      </c>
      <c r="Y73" s="80">
        <v>0</v>
      </c>
      <c r="Z73" s="80">
        <v>0</v>
      </c>
      <c r="AA73" s="80">
        <v>0</v>
      </c>
      <c r="AB73" s="80">
        <v>0</v>
      </c>
      <c r="AC73" s="80">
        <v>0</v>
      </c>
      <c r="AD73" s="80">
        <v>0</v>
      </c>
      <c r="AE73" s="80">
        <v>0</v>
      </c>
      <c r="AF73" s="80">
        <v>0</v>
      </c>
      <c r="AG73" s="80">
        <v>0</v>
      </c>
      <c r="AH73" s="80">
        <v>0</v>
      </c>
      <c r="AI73" s="80">
        <v>0</v>
      </c>
      <c r="AJ73" s="80">
        <v>0</v>
      </c>
      <c r="AK73" s="80">
        <v>0</v>
      </c>
      <c r="AL73" s="80">
        <v>0</v>
      </c>
      <c r="AM73" s="81">
        <v>0</v>
      </c>
      <c r="AN73" s="81">
        <v>0</v>
      </c>
      <c r="AO73" s="81">
        <v>0</v>
      </c>
    </row>
    <row r="74" spans="1:41" ht="15.75" x14ac:dyDescent="0.25">
      <c r="A74" s="84">
        <v>17</v>
      </c>
      <c r="B74" s="84" t="s">
        <v>267</v>
      </c>
      <c r="C74" s="84" t="s">
        <v>177</v>
      </c>
      <c r="D74" s="80" t="s">
        <v>245</v>
      </c>
      <c r="E74" s="438">
        <v>0</v>
      </c>
      <c r="F74" s="80">
        <v>0</v>
      </c>
      <c r="G74" s="80">
        <v>1</v>
      </c>
      <c r="H74" s="387">
        <v>1</v>
      </c>
      <c r="I74" s="387">
        <v>2</v>
      </c>
      <c r="J74" s="387">
        <v>2</v>
      </c>
      <c r="K74" s="80">
        <v>0</v>
      </c>
      <c r="L74" s="80">
        <v>0</v>
      </c>
      <c r="M74" s="80">
        <v>0</v>
      </c>
      <c r="N74" s="80">
        <v>0</v>
      </c>
      <c r="O74" s="387">
        <v>1</v>
      </c>
      <c r="P74" s="80">
        <v>0</v>
      </c>
      <c r="Q74" s="80">
        <v>0</v>
      </c>
      <c r="R74" s="80">
        <v>0</v>
      </c>
      <c r="S74" s="80">
        <v>0</v>
      </c>
      <c r="T74" s="387">
        <v>1</v>
      </c>
      <c r="U74" s="387">
        <v>2</v>
      </c>
      <c r="V74" s="387">
        <v>1</v>
      </c>
      <c r="W74" s="80">
        <v>0</v>
      </c>
      <c r="X74" s="80">
        <v>0</v>
      </c>
      <c r="Y74" s="387">
        <v>1</v>
      </c>
      <c r="Z74" s="387">
        <v>1</v>
      </c>
      <c r="AA74" s="80">
        <v>0</v>
      </c>
      <c r="AB74" s="387">
        <v>1</v>
      </c>
      <c r="AC74" s="387">
        <v>1</v>
      </c>
      <c r="AD74" s="80">
        <v>0</v>
      </c>
      <c r="AE74" s="387">
        <v>1</v>
      </c>
      <c r="AF74" s="80">
        <v>0</v>
      </c>
      <c r="AG74" s="81">
        <v>0</v>
      </c>
      <c r="AH74" s="387">
        <v>2</v>
      </c>
      <c r="AI74" s="81">
        <v>0</v>
      </c>
      <c r="AJ74" s="81">
        <v>0</v>
      </c>
      <c r="AK74" s="81">
        <v>0</v>
      </c>
      <c r="AL74" s="81">
        <v>0</v>
      </c>
      <c r="AM74" s="81">
        <v>0</v>
      </c>
      <c r="AN74" s="81">
        <v>0</v>
      </c>
      <c r="AO74" s="81">
        <v>0</v>
      </c>
    </row>
    <row r="75" spans="1:41" ht="15.75" x14ac:dyDescent="0.25">
      <c r="A75" s="84"/>
      <c r="B75" s="84"/>
      <c r="C75" s="84"/>
      <c r="D75" s="80" t="s">
        <v>246</v>
      </c>
      <c r="E75" s="80">
        <v>0</v>
      </c>
      <c r="F75" s="80">
        <v>0</v>
      </c>
      <c r="G75" s="80">
        <v>1</v>
      </c>
      <c r="H75" s="80">
        <v>1</v>
      </c>
      <c r="I75" s="80">
        <v>2</v>
      </c>
      <c r="J75" s="80">
        <v>2</v>
      </c>
      <c r="K75" s="80">
        <v>0</v>
      </c>
      <c r="L75" s="80">
        <v>0</v>
      </c>
      <c r="M75" s="80">
        <v>0</v>
      </c>
      <c r="N75" s="80">
        <v>0</v>
      </c>
      <c r="O75" s="80">
        <v>1</v>
      </c>
      <c r="P75" s="80">
        <v>0</v>
      </c>
      <c r="Q75" s="80">
        <v>0</v>
      </c>
      <c r="R75" s="80">
        <v>0</v>
      </c>
      <c r="S75" s="80">
        <v>0</v>
      </c>
      <c r="T75" s="80">
        <v>1</v>
      </c>
      <c r="U75" s="80">
        <v>2</v>
      </c>
      <c r="V75" s="80">
        <v>1</v>
      </c>
      <c r="W75" s="80">
        <v>0</v>
      </c>
      <c r="X75" s="80">
        <v>0</v>
      </c>
      <c r="Y75" s="80">
        <v>1</v>
      </c>
      <c r="Z75" s="80">
        <v>1</v>
      </c>
      <c r="AA75" s="80">
        <v>0</v>
      </c>
      <c r="AB75" s="80">
        <v>1</v>
      </c>
      <c r="AC75" s="80">
        <v>1</v>
      </c>
      <c r="AD75" s="80">
        <v>0</v>
      </c>
      <c r="AE75" s="80">
        <v>1</v>
      </c>
      <c r="AF75" s="80">
        <v>0</v>
      </c>
      <c r="AG75" s="81">
        <v>0</v>
      </c>
      <c r="AH75" s="80">
        <v>2</v>
      </c>
      <c r="AI75" s="81">
        <v>0</v>
      </c>
      <c r="AJ75" s="81">
        <v>0</v>
      </c>
      <c r="AK75" s="81">
        <v>0</v>
      </c>
      <c r="AL75" s="81">
        <v>0</v>
      </c>
      <c r="AM75" s="81">
        <v>0</v>
      </c>
      <c r="AN75" s="81">
        <v>0</v>
      </c>
      <c r="AO75" s="81">
        <v>0</v>
      </c>
    </row>
    <row r="76" spans="1:41" ht="15.75" x14ac:dyDescent="0.25">
      <c r="A76" s="84"/>
      <c r="B76" s="84"/>
      <c r="C76" s="84"/>
      <c r="D76" s="80" t="s">
        <v>247</v>
      </c>
      <c r="E76" s="80">
        <v>0</v>
      </c>
      <c r="F76" s="80">
        <v>0</v>
      </c>
      <c r="G76" s="80">
        <v>0</v>
      </c>
      <c r="H76" s="80">
        <v>0</v>
      </c>
      <c r="I76" s="80">
        <v>0</v>
      </c>
      <c r="J76" s="80">
        <v>0</v>
      </c>
      <c r="K76" s="80">
        <v>0</v>
      </c>
      <c r="L76" s="80">
        <v>0</v>
      </c>
      <c r="M76" s="80">
        <v>0</v>
      </c>
      <c r="N76" s="80">
        <v>0</v>
      </c>
      <c r="O76" s="80">
        <v>0</v>
      </c>
      <c r="P76" s="80">
        <v>0</v>
      </c>
      <c r="Q76" s="80">
        <v>0</v>
      </c>
      <c r="R76" s="80">
        <v>0</v>
      </c>
      <c r="S76" s="80">
        <v>0</v>
      </c>
      <c r="T76" s="80">
        <v>0</v>
      </c>
      <c r="U76" s="80">
        <v>0</v>
      </c>
      <c r="V76" s="80">
        <v>0</v>
      </c>
      <c r="W76" s="80">
        <v>0</v>
      </c>
      <c r="X76" s="80">
        <v>0</v>
      </c>
      <c r="Y76" s="80">
        <v>0</v>
      </c>
      <c r="Z76" s="80">
        <v>0</v>
      </c>
      <c r="AA76" s="80">
        <v>0</v>
      </c>
      <c r="AB76" s="80">
        <v>0</v>
      </c>
      <c r="AC76" s="80">
        <v>0</v>
      </c>
      <c r="AD76" s="80">
        <v>0</v>
      </c>
      <c r="AE76" s="80">
        <v>0</v>
      </c>
      <c r="AF76" s="80">
        <v>0</v>
      </c>
      <c r="AG76" s="81">
        <v>0</v>
      </c>
      <c r="AH76" s="80">
        <v>0</v>
      </c>
      <c r="AI76" s="81">
        <v>0</v>
      </c>
      <c r="AJ76" s="81">
        <v>0</v>
      </c>
      <c r="AK76" s="81">
        <v>0</v>
      </c>
      <c r="AL76" s="81">
        <v>0</v>
      </c>
      <c r="AM76" s="81">
        <v>0</v>
      </c>
      <c r="AN76" s="81">
        <v>0</v>
      </c>
      <c r="AO76" s="81">
        <v>0</v>
      </c>
    </row>
    <row r="77" spans="1:41" ht="15.75" x14ac:dyDescent="0.25">
      <c r="A77" s="84"/>
      <c r="B77" s="84"/>
      <c r="C77" s="84"/>
      <c r="D77" s="80" t="s">
        <v>248</v>
      </c>
      <c r="E77" s="80">
        <v>0</v>
      </c>
      <c r="F77" s="80">
        <v>0</v>
      </c>
      <c r="G77" s="80">
        <v>1</v>
      </c>
      <c r="H77" s="80">
        <v>1</v>
      </c>
      <c r="I77" s="80">
        <v>2</v>
      </c>
      <c r="J77" s="80">
        <v>2</v>
      </c>
      <c r="K77" s="80">
        <v>0</v>
      </c>
      <c r="L77" s="80">
        <v>0</v>
      </c>
      <c r="M77" s="80">
        <v>0</v>
      </c>
      <c r="N77" s="80">
        <v>0</v>
      </c>
      <c r="O77" s="80">
        <v>1</v>
      </c>
      <c r="P77" s="80">
        <v>0</v>
      </c>
      <c r="Q77" s="80">
        <v>0</v>
      </c>
      <c r="R77" s="80">
        <v>0</v>
      </c>
      <c r="S77" s="80">
        <v>0</v>
      </c>
      <c r="T77" s="80">
        <v>1</v>
      </c>
      <c r="U77" s="80">
        <v>2</v>
      </c>
      <c r="V77" s="80">
        <v>1</v>
      </c>
      <c r="W77" s="80">
        <v>0</v>
      </c>
      <c r="X77" s="80">
        <v>0</v>
      </c>
      <c r="Y77" s="80">
        <v>1</v>
      </c>
      <c r="Z77" s="80">
        <v>1</v>
      </c>
      <c r="AA77" s="80">
        <v>0</v>
      </c>
      <c r="AB77" s="80">
        <v>1</v>
      </c>
      <c r="AC77" s="80">
        <v>1</v>
      </c>
      <c r="AD77" s="80">
        <v>0</v>
      </c>
      <c r="AE77" s="80">
        <v>1</v>
      </c>
      <c r="AF77" s="80">
        <v>0</v>
      </c>
      <c r="AG77" s="81">
        <v>0</v>
      </c>
      <c r="AH77" s="80">
        <v>2</v>
      </c>
      <c r="AI77" s="81">
        <v>0</v>
      </c>
      <c r="AJ77" s="81">
        <v>0</v>
      </c>
      <c r="AK77" s="81">
        <v>0</v>
      </c>
      <c r="AL77" s="81">
        <v>0</v>
      </c>
      <c r="AM77" s="81">
        <v>0</v>
      </c>
      <c r="AN77" s="81">
        <v>0</v>
      </c>
      <c r="AO77" s="81">
        <v>0</v>
      </c>
    </row>
    <row r="78" spans="1:41" ht="15.75" x14ac:dyDescent="0.25">
      <c r="A78" s="84"/>
      <c r="B78" s="84"/>
      <c r="C78" s="84"/>
      <c r="D78" s="80" t="s">
        <v>258</v>
      </c>
      <c r="E78" s="80">
        <v>0</v>
      </c>
      <c r="F78" s="80">
        <v>0</v>
      </c>
      <c r="G78" s="80">
        <v>0</v>
      </c>
      <c r="H78" s="80">
        <v>0</v>
      </c>
      <c r="I78" s="80">
        <v>0</v>
      </c>
      <c r="J78" s="80">
        <v>0</v>
      </c>
      <c r="K78" s="80">
        <v>0</v>
      </c>
      <c r="L78" s="80">
        <v>0</v>
      </c>
      <c r="M78" s="80">
        <v>0</v>
      </c>
      <c r="N78" s="80">
        <v>0</v>
      </c>
      <c r="O78" s="80">
        <v>0</v>
      </c>
      <c r="P78" s="80">
        <v>0</v>
      </c>
      <c r="Q78" s="80">
        <v>0</v>
      </c>
      <c r="R78" s="80">
        <v>0</v>
      </c>
      <c r="S78" s="80">
        <v>0</v>
      </c>
      <c r="T78" s="80">
        <v>0</v>
      </c>
      <c r="U78" s="80">
        <v>0</v>
      </c>
      <c r="V78" s="80">
        <v>0</v>
      </c>
      <c r="W78" s="80">
        <v>0</v>
      </c>
      <c r="X78" s="80">
        <v>0</v>
      </c>
      <c r="Y78" s="80">
        <v>0</v>
      </c>
      <c r="Z78" s="80">
        <v>0</v>
      </c>
      <c r="AA78" s="80">
        <v>0</v>
      </c>
      <c r="AB78" s="80">
        <v>0</v>
      </c>
      <c r="AC78" s="80">
        <v>0</v>
      </c>
      <c r="AD78" s="80">
        <v>0</v>
      </c>
      <c r="AE78" s="80">
        <v>0</v>
      </c>
      <c r="AF78" s="80">
        <v>0</v>
      </c>
      <c r="AG78" s="80">
        <v>0</v>
      </c>
      <c r="AH78" s="80">
        <v>0</v>
      </c>
      <c r="AI78" s="80">
        <v>0</v>
      </c>
      <c r="AJ78" s="80">
        <v>0</v>
      </c>
      <c r="AK78" s="80">
        <v>0</v>
      </c>
      <c r="AL78" s="80">
        <v>0</v>
      </c>
      <c r="AM78" s="81">
        <v>0</v>
      </c>
      <c r="AN78" s="81">
        <v>0</v>
      </c>
      <c r="AO78" s="81">
        <v>0</v>
      </c>
    </row>
    <row r="79" spans="1:41" ht="15.75" x14ac:dyDescent="0.25">
      <c r="A79" s="84">
        <v>18</v>
      </c>
      <c r="B79" s="84"/>
      <c r="C79" s="84" t="s">
        <v>179</v>
      </c>
      <c r="D79" s="80" t="s">
        <v>245</v>
      </c>
      <c r="E79" s="438">
        <v>0</v>
      </c>
      <c r="F79" s="80">
        <v>0</v>
      </c>
      <c r="G79" s="80">
        <v>0</v>
      </c>
      <c r="H79" s="387">
        <v>2</v>
      </c>
      <c r="I79" s="387">
        <v>2</v>
      </c>
      <c r="J79" s="387">
        <v>1</v>
      </c>
      <c r="K79" s="80">
        <v>0</v>
      </c>
      <c r="L79" s="80">
        <v>0</v>
      </c>
      <c r="M79" s="80">
        <v>0</v>
      </c>
      <c r="N79" s="80">
        <v>0</v>
      </c>
      <c r="O79" s="80">
        <v>1</v>
      </c>
      <c r="P79" s="80">
        <v>0</v>
      </c>
      <c r="Q79" s="80">
        <v>1</v>
      </c>
      <c r="R79" s="387">
        <v>2</v>
      </c>
      <c r="S79" s="80">
        <v>0</v>
      </c>
      <c r="T79" s="80">
        <v>0</v>
      </c>
      <c r="U79" s="387">
        <v>2</v>
      </c>
      <c r="V79" s="387">
        <v>1</v>
      </c>
      <c r="W79" s="387">
        <v>1</v>
      </c>
      <c r="X79" s="387">
        <v>1</v>
      </c>
      <c r="Y79" s="80">
        <v>0</v>
      </c>
      <c r="Z79" s="387">
        <v>1</v>
      </c>
      <c r="AA79" s="387">
        <v>1</v>
      </c>
      <c r="AB79" s="387">
        <v>2</v>
      </c>
      <c r="AC79" s="80">
        <v>0</v>
      </c>
      <c r="AD79" s="80">
        <v>0</v>
      </c>
      <c r="AE79" s="80">
        <v>0</v>
      </c>
      <c r="AF79" s="80">
        <v>0</v>
      </c>
      <c r="AG79" s="390">
        <v>1</v>
      </c>
      <c r="AH79" s="80">
        <v>0</v>
      </c>
      <c r="AI79" s="81">
        <v>0</v>
      </c>
      <c r="AJ79" s="81">
        <v>0</v>
      </c>
      <c r="AK79" s="81">
        <v>0</v>
      </c>
      <c r="AL79" s="81">
        <v>0</v>
      </c>
      <c r="AM79" s="81">
        <v>0</v>
      </c>
      <c r="AN79" s="81">
        <v>0</v>
      </c>
      <c r="AO79" s="81">
        <v>0</v>
      </c>
    </row>
    <row r="80" spans="1:41" ht="15.75" x14ac:dyDescent="0.25">
      <c r="A80" s="84"/>
      <c r="B80" s="84"/>
      <c r="C80" s="84"/>
      <c r="D80" s="80" t="s">
        <v>246</v>
      </c>
      <c r="E80" s="80">
        <v>0</v>
      </c>
      <c r="F80" s="80">
        <v>0</v>
      </c>
      <c r="G80" s="80">
        <v>0</v>
      </c>
      <c r="H80" s="80">
        <v>2</v>
      </c>
      <c r="I80" s="80">
        <v>0</v>
      </c>
      <c r="J80" s="80">
        <v>1</v>
      </c>
      <c r="K80" s="80">
        <v>0</v>
      </c>
      <c r="L80" s="80">
        <v>0</v>
      </c>
      <c r="M80" s="80">
        <v>0</v>
      </c>
      <c r="N80" s="80">
        <v>0</v>
      </c>
      <c r="O80" s="80">
        <v>1</v>
      </c>
      <c r="P80" s="80">
        <v>0</v>
      </c>
      <c r="Q80" s="80">
        <v>1</v>
      </c>
      <c r="R80" s="80">
        <v>2</v>
      </c>
      <c r="S80" s="80">
        <v>0</v>
      </c>
      <c r="T80" s="80">
        <v>0</v>
      </c>
      <c r="U80" s="80">
        <v>2</v>
      </c>
      <c r="V80" s="80">
        <v>1</v>
      </c>
      <c r="W80" s="80">
        <v>1</v>
      </c>
      <c r="X80" s="80">
        <v>1</v>
      </c>
      <c r="Y80" s="80">
        <v>0</v>
      </c>
      <c r="Z80" s="80">
        <v>1</v>
      </c>
      <c r="AA80" s="80">
        <v>1</v>
      </c>
      <c r="AB80" s="80">
        <v>2</v>
      </c>
      <c r="AC80" s="80">
        <v>0</v>
      </c>
      <c r="AD80" s="80">
        <v>0</v>
      </c>
      <c r="AE80" s="80">
        <v>0</v>
      </c>
      <c r="AF80" s="80">
        <v>0</v>
      </c>
      <c r="AG80" s="81">
        <v>1</v>
      </c>
      <c r="AH80" s="80">
        <v>0</v>
      </c>
      <c r="AI80" s="81">
        <v>0</v>
      </c>
      <c r="AJ80" s="81">
        <v>0</v>
      </c>
      <c r="AK80" s="81">
        <v>0</v>
      </c>
      <c r="AL80" s="81">
        <v>0</v>
      </c>
      <c r="AM80" s="81">
        <v>0</v>
      </c>
      <c r="AN80" s="81">
        <v>0</v>
      </c>
      <c r="AO80" s="81">
        <v>0</v>
      </c>
    </row>
    <row r="81" spans="1:41" ht="15.75" x14ac:dyDescent="0.25">
      <c r="A81" s="84"/>
      <c r="B81" s="84"/>
      <c r="C81" s="84"/>
      <c r="D81" s="80" t="s">
        <v>247</v>
      </c>
      <c r="E81" s="80">
        <v>0</v>
      </c>
      <c r="F81" s="80">
        <v>0</v>
      </c>
      <c r="G81" s="80">
        <v>0</v>
      </c>
      <c r="H81" s="80">
        <v>0</v>
      </c>
      <c r="I81" s="80">
        <v>2</v>
      </c>
      <c r="J81" s="80">
        <v>0</v>
      </c>
      <c r="K81" s="80">
        <v>0</v>
      </c>
      <c r="L81" s="80">
        <v>0</v>
      </c>
      <c r="M81" s="80">
        <v>0</v>
      </c>
      <c r="N81" s="80">
        <v>0</v>
      </c>
      <c r="O81" s="80">
        <v>0</v>
      </c>
      <c r="P81" s="80">
        <v>0</v>
      </c>
      <c r="Q81" s="80">
        <v>0</v>
      </c>
      <c r="R81" s="80">
        <v>0</v>
      </c>
      <c r="S81" s="80">
        <v>0</v>
      </c>
      <c r="T81" s="80">
        <v>0</v>
      </c>
      <c r="U81" s="80">
        <v>0</v>
      </c>
      <c r="V81" s="80">
        <v>0</v>
      </c>
      <c r="W81" s="80">
        <v>0</v>
      </c>
      <c r="X81" s="80">
        <v>0</v>
      </c>
      <c r="Y81" s="80">
        <v>0</v>
      </c>
      <c r="Z81" s="80">
        <v>0</v>
      </c>
      <c r="AA81" s="80">
        <v>0</v>
      </c>
      <c r="AB81" s="80">
        <v>0</v>
      </c>
      <c r="AC81" s="80">
        <v>0</v>
      </c>
      <c r="AD81" s="80">
        <v>0</v>
      </c>
      <c r="AE81" s="80">
        <v>0</v>
      </c>
      <c r="AF81" s="80">
        <v>0</v>
      </c>
      <c r="AG81" s="81">
        <v>0</v>
      </c>
      <c r="AH81" s="80">
        <v>0</v>
      </c>
      <c r="AI81" s="81">
        <v>0</v>
      </c>
      <c r="AJ81" s="81">
        <v>0</v>
      </c>
      <c r="AK81" s="81">
        <v>0</v>
      </c>
      <c r="AL81" s="81">
        <v>0</v>
      </c>
      <c r="AM81" s="81">
        <v>0</v>
      </c>
      <c r="AN81" s="81">
        <v>0</v>
      </c>
      <c r="AO81" s="81">
        <v>0</v>
      </c>
    </row>
    <row r="82" spans="1:41" ht="15.75" x14ac:dyDescent="0.25">
      <c r="A82" s="84"/>
      <c r="B82" s="84"/>
      <c r="C82" s="84"/>
      <c r="D82" s="80" t="s">
        <v>248</v>
      </c>
      <c r="E82" s="80">
        <v>0</v>
      </c>
      <c r="F82" s="80">
        <v>0</v>
      </c>
      <c r="G82" s="80">
        <v>0</v>
      </c>
      <c r="H82" s="80">
        <v>2</v>
      </c>
      <c r="I82" s="80">
        <v>0</v>
      </c>
      <c r="J82" s="80">
        <v>1</v>
      </c>
      <c r="K82" s="80">
        <v>0</v>
      </c>
      <c r="L82" s="80">
        <v>0</v>
      </c>
      <c r="M82" s="80">
        <v>0</v>
      </c>
      <c r="N82" s="80">
        <v>0</v>
      </c>
      <c r="O82" s="80">
        <v>1</v>
      </c>
      <c r="P82" s="80">
        <v>0</v>
      </c>
      <c r="Q82" s="80">
        <v>1</v>
      </c>
      <c r="R82" s="80">
        <v>1</v>
      </c>
      <c r="S82" s="80">
        <v>0</v>
      </c>
      <c r="T82" s="80">
        <v>0</v>
      </c>
      <c r="U82" s="80">
        <v>2</v>
      </c>
      <c r="V82" s="80">
        <v>1</v>
      </c>
      <c r="W82" s="80">
        <v>0</v>
      </c>
      <c r="X82" s="80">
        <v>1</v>
      </c>
      <c r="Y82" s="80">
        <v>0</v>
      </c>
      <c r="Z82" s="80">
        <v>1</v>
      </c>
      <c r="AA82" s="80">
        <v>1</v>
      </c>
      <c r="AB82" s="80">
        <v>2</v>
      </c>
      <c r="AC82" s="80">
        <v>0</v>
      </c>
      <c r="AD82" s="80">
        <v>0</v>
      </c>
      <c r="AE82" s="80">
        <v>0</v>
      </c>
      <c r="AF82" s="80">
        <v>0</v>
      </c>
      <c r="AG82" s="81">
        <v>1</v>
      </c>
      <c r="AH82" s="80">
        <v>0</v>
      </c>
      <c r="AI82" s="81">
        <v>0</v>
      </c>
      <c r="AJ82" s="81">
        <v>0</v>
      </c>
      <c r="AK82" s="81">
        <v>0</v>
      </c>
      <c r="AL82" s="81">
        <v>0</v>
      </c>
      <c r="AM82" s="81">
        <v>0</v>
      </c>
      <c r="AN82" s="81">
        <v>0</v>
      </c>
      <c r="AO82" s="81">
        <v>0</v>
      </c>
    </row>
    <row r="83" spans="1:41" ht="15.75" x14ac:dyDescent="0.25">
      <c r="A83" s="84"/>
      <c r="B83" s="84"/>
      <c r="C83" s="84"/>
      <c r="D83" s="80" t="s">
        <v>258</v>
      </c>
      <c r="E83" s="80">
        <v>0</v>
      </c>
      <c r="F83" s="80">
        <v>0</v>
      </c>
      <c r="G83" s="80">
        <v>0</v>
      </c>
      <c r="H83" s="80">
        <v>0</v>
      </c>
      <c r="I83" s="80">
        <v>0</v>
      </c>
      <c r="J83" s="80">
        <v>0</v>
      </c>
      <c r="K83" s="80">
        <v>0</v>
      </c>
      <c r="L83" s="80">
        <v>0</v>
      </c>
      <c r="M83" s="80">
        <v>0</v>
      </c>
      <c r="N83" s="80">
        <v>0</v>
      </c>
      <c r="O83" s="80">
        <v>0</v>
      </c>
      <c r="P83" s="80">
        <v>0</v>
      </c>
      <c r="Q83" s="80">
        <v>0</v>
      </c>
      <c r="R83" s="80">
        <v>1</v>
      </c>
      <c r="S83" s="80">
        <v>0</v>
      </c>
      <c r="T83" s="80">
        <v>0</v>
      </c>
      <c r="U83" s="80">
        <v>0</v>
      </c>
      <c r="V83" s="80">
        <v>0</v>
      </c>
      <c r="W83" s="80">
        <v>1</v>
      </c>
      <c r="X83" s="80">
        <v>0</v>
      </c>
      <c r="Y83" s="80">
        <v>0</v>
      </c>
      <c r="Z83" s="80">
        <v>0</v>
      </c>
      <c r="AA83" s="80">
        <v>0</v>
      </c>
      <c r="AB83" s="80">
        <v>0</v>
      </c>
      <c r="AC83" s="80"/>
      <c r="AD83" s="80">
        <v>0</v>
      </c>
      <c r="AE83" s="80">
        <v>0</v>
      </c>
      <c r="AF83" s="80">
        <v>0</v>
      </c>
      <c r="AG83" s="80">
        <v>0</v>
      </c>
      <c r="AH83" s="80">
        <v>0</v>
      </c>
      <c r="AI83" s="80">
        <v>0</v>
      </c>
      <c r="AJ83" s="80">
        <v>0</v>
      </c>
      <c r="AK83" s="80">
        <v>0</v>
      </c>
      <c r="AL83" s="80">
        <v>0</v>
      </c>
      <c r="AM83" s="81">
        <v>0</v>
      </c>
      <c r="AN83" s="81">
        <v>0</v>
      </c>
      <c r="AO83" s="81">
        <v>0</v>
      </c>
    </row>
    <row r="84" spans="1:41" ht="18.75" customHeight="1" x14ac:dyDescent="0.25">
      <c r="A84" s="84">
        <v>19</v>
      </c>
      <c r="B84" s="84"/>
      <c r="C84" s="84" t="s">
        <v>178</v>
      </c>
      <c r="D84" s="80" t="s">
        <v>245</v>
      </c>
      <c r="E84" s="438">
        <v>0</v>
      </c>
      <c r="F84" s="80">
        <v>0</v>
      </c>
      <c r="G84" s="80">
        <v>0</v>
      </c>
      <c r="H84" s="387">
        <v>1</v>
      </c>
      <c r="I84" s="387">
        <v>2</v>
      </c>
      <c r="J84" s="392">
        <v>2</v>
      </c>
      <c r="K84" s="80">
        <v>0</v>
      </c>
      <c r="L84" s="80">
        <v>0</v>
      </c>
      <c r="M84" s="80">
        <v>0</v>
      </c>
      <c r="N84" s="387">
        <v>1</v>
      </c>
      <c r="O84" s="387">
        <v>1</v>
      </c>
      <c r="P84" s="80">
        <v>0</v>
      </c>
      <c r="Q84" s="387">
        <v>2</v>
      </c>
      <c r="R84" s="80">
        <v>0</v>
      </c>
      <c r="S84" s="80">
        <v>0</v>
      </c>
      <c r="T84" s="80">
        <v>0</v>
      </c>
      <c r="U84" s="387">
        <v>2</v>
      </c>
      <c r="V84" s="387">
        <v>1</v>
      </c>
      <c r="W84" s="80">
        <v>0</v>
      </c>
      <c r="X84" s="80">
        <v>0</v>
      </c>
      <c r="Y84" s="80">
        <v>0</v>
      </c>
      <c r="Z84" s="80">
        <v>0</v>
      </c>
      <c r="AA84" s="387">
        <v>1</v>
      </c>
      <c r="AB84" s="80">
        <v>0</v>
      </c>
      <c r="AC84" s="387">
        <v>1</v>
      </c>
      <c r="AD84" s="80">
        <v>0</v>
      </c>
      <c r="AE84" s="80">
        <v>0</v>
      </c>
      <c r="AF84" s="80">
        <v>0</v>
      </c>
      <c r="AG84" s="387">
        <v>2</v>
      </c>
      <c r="AH84" s="80">
        <v>0</v>
      </c>
      <c r="AI84" s="80">
        <v>0</v>
      </c>
      <c r="AJ84" s="80">
        <v>0</v>
      </c>
      <c r="AK84" s="80">
        <v>0</v>
      </c>
      <c r="AL84" s="80">
        <v>0</v>
      </c>
      <c r="AM84" s="80">
        <v>0</v>
      </c>
      <c r="AN84" s="80">
        <v>0</v>
      </c>
      <c r="AO84" s="80">
        <v>0</v>
      </c>
    </row>
    <row r="85" spans="1:41" ht="15.75" x14ac:dyDescent="0.25">
      <c r="A85" s="84"/>
      <c r="B85" s="84"/>
      <c r="C85" s="84"/>
      <c r="D85" s="80" t="s">
        <v>246</v>
      </c>
      <c r="E85" s="80">
        <v>0</v>
      </c>
      <c r="F85" s="80">
        <v>0</v>
      </c>
      <c r="G85" s="80">
        <v>0</v>
      </c>
      <c r="H85" s="80">
        <v>0</v>
      </c>
      <c r="I85" s="80">
        <v>2</v>
      </c>
      <c r="J85" s="80">
        <v>2</v>
      </c>
      <c r="K85" s="80">
        <v>0</v>
      </c>
      <c r="L85" s="80">
        <v>0</v>
      </c>
      <c r="M85" s="80">
        <v>0</v>
      </c>
      <c r="N85" s="80">
        <v>1</v>
      </c>
      <c r="O85" s="80">
        <v>1</v>
      </c>
      <c r="P85" s="80">
        <v>0</v>
      </c>
      <c r="Q85" s="80">
        <v>1</v>
      </c>
      <c r="R85" s="80">
        <v>0</v>
      </c>
      <c r="S85" s="80">
        <v>0</v>
      </c>
      <c r="T85" s="80">
        <v>0</v>
      </c>
      <c r="U85" s="80">
        <v>2</v>
      </c>
      <c r="V85" s="80">
        <v>1</v>
      </c>
      <c r="W85" s="80">
        <v>0</v>
      </c>
      <c r="X85" s="80">
        <v>0</v>
      </c>
      <c r="Y85" s="80">
        <v>0</v>
      </c>
      <c r="Z85" s="80">
        <v>0</v>
      </c>
      <c r="AA85" s="80">
        <v>1</v>
      </c>
      <c r="AB85" s="80">
        <v>0</v>
      </c>
      <c r="AC85" s="80">
        <v>1</v>
      </c>
      <c r="AD85" s="80">
        <v>0</v>
      </c>
      <c r="AE85" s="80">
        <v>0</v>
      </c>
      <c r="AF85" s="80">
        <v>0</v>
      </c>
      <c r="AG85" s="81">
        <v>2</v>
      </c>
      <c r="AH85" s="80">
        <v>0</v>
      </c>
      <c r="AI85" s="81">
        <v>0</v>
      </c>
      <c r="AJ85" s="81">
        <v>0</v>
      </c>
      <c r="AK85" s="81">
        <v>0</v>
      </c>
      <c r="AL85" s="81">
        <v>0</v>
      </c>
      <c r="AM85" s="81">
        <v>0</v>
      </c>
      <c r="AN85" s="81">
        <v>0</v>
      </c>
      <c r="AO85" s="81">
        <v>0</v>
      </c>
    </row>
    <row r="86" spans="1:41" ht="15.75" x14ac:dyDescent="0.25">
      <c r="A86" s="84"/>
      <c r="B86" s="84"/>
      <c r="C86" s="84"/>
      <c r="D86" s="80" t="s">
        <v>247</v>
      </c>
      <c r="E86" s="80">
        <v>0</v>
      </c>
      <c r="F86" s="80">
        <v>0</v>
      </c>
      <c r="G86" s="80">
        <v>0</v>
      </c>
      <c r="H86" s="80">
        <v>1</v>
      </c>
      <c r="I86" s="80">
        <v>0</v>
      </c>
      <c r="J86" s="80">
        <v>0</v>
      </c>
      <c r="K86" s="80">
        <v>0</v>
      </c>
      <c r="L86" s="80">
        <v>0</v>
      </c>
      <c r="M86" s="80">
        <v>0</v>
      </c>
      <c r="N86" s="80">
        <v>0</v>
      </c>
      <c r="O86" s="80">
        <v>0</v>
      </c>
      <c r="P86" s="80">
        <v>0</v>
      </c>
      <c r="Q86" s="80">
        <v>1</v>
      </c>
      <c r="R86" s="80">
        <v>0</v>
      </c>
      <c r="S86" s="80">
        <v>0</v>
      </c>
      <c r="T86" s="80">
        <v>0</v>
      </c>
      <c r="U86" s="80">
        <v>0</v>
      </c>
      <c r="V86" s="80">
        <v>0</v>
      </c>
      <c r="W86" s="80">
        <v>0</v>
      </c>
      <c r="X86" s="80">
        <v>0</v>
      </c>
      <c r="Y86" s="80">
        <v>0</v>
      </c>
      <c r="Z86" s="80">
        <v>0</v>
      </c>
      <c r="AA86" s="80">
        <v>0</v>
      </c>
      <c r="AB86" s="80">
        <v>0</v>
      </c>
      <c r="AC86" s="80">
        <v>0</v>
      </c>
      <c r="AD86" s="80">
        <v>0</v>
      </c>
      <c r="AE86" s="80">
        <v>0</v>
      </c>
      <c r="AF86" s="80">
        <v>0</v>
      </c>
      <c r="AG86" s="81">
        <v>0</v>
      </c>
      <c r="AH86" s="80">
        <v>0</v>
      </c>
      <c r="AI86" s="81">
        <v>0</v>
      </c>
      <c r="AJ86" s="81">
        <v>0</v>
      </c>
      <c r="AK86" s="81">
        <v>0</v>
      </c>
      <c r="AL86" s="81">
        <v>0</v>
      </c>
      <c r="AM86" s="81">
        <v>0</v>
      </c>
      <c r="AN86" s="81">
        <v>0</v>
      </c>
      <c r="AO86" s="81">
        <v>0</v>
      </c>
    </row>
    <row r="87" spans="1:41" ht="15.75" x14ac:dyDescent="0.25">
      <c r="A87" s="84"/>
      <c r="B87" s="84"/>
      <c r="C87" s="84"/>
      <c r="D87" s="80" t="s">
        <v>248</v>
      </c>
      <c r="E87" s="80">
        <v>0</v>
      </c>
      <c r="F87" s="80">
        <v>0</v>
      </c>
      <c r="G87" s="80">
        <v>0</v>
      </c>
      <c r="H87" s="80">
        <v>0</v>
      </c>
      <c r="I87" s="80">
        <v>2</v>
      </c>
      <c r="J87" s="80">
        <v>2</v>
      </c>
      <c r="K87" s="80">
        <v>0</v>
      </c>
      <c r="L87" s="80">
        <v>0</v>
      </c>
      <c r="M87" s="80">
        <v>0</v>
      </c>
      <c r="N87" s="80">
        <v>1</v>
      </c>
      <c r="O87" s="80">
        <v>1</v>
      </c>
      <c r="P87" s="80">
        <v>0</v>
      </c>
      <c r="Q87" s="80">
        <v>1</v>
      </c>
      <c r="R87" s="80">
        <v>0</v>
      </c>
      <c r="S87" s="80">
        <v>0</v>
      </c>
      <c r="T87" s="80">
        <v>0</v>
      </c>
      <c r="U87" s="80">
        <v>2</v>
      </c>
      <c r="V87" s="80">
        <v>0</v>
      </c>
      <c r="W87" s="80">
        <v>0</v>
      </c>
      <c r="X87" s="80">
        <v>0</v>
      </c>
      <c r="Y87" s="80">
        <v>0</v>
      </c>
      <c r="Z87" s="80">
        <v>0</v>
      </c>
      <c r="AA87" s="80">
        <v>1</v>
      </c>
      <c r="AB87" s="80">
        <v>0</v>
      </c>
      <c r="AC87" s="80">
        <v>1</v>
      </c>
      <c r="AD87" s="80">
        <v>0</v>
      </c>
      <c r="AE87" s="80">
        <v>0</v>
      </c>
      <c r="AF87" s="80">
        <v>0</v>
      </c>
      <c r="AG87" s="81">
        <v>1</v>
      </c>
      <c r="AH87" s="80">
        <v>0</v>
      </c>
      <c r="AI87" s="81">
        <v>0</v>
      </c>
      <c r="AJ87" s="81">
        <v>0</v>
      </c>
      <c r="AK87" s="81">
        <v>0</v>
      </c>
      <c r="AL87" s="81">
        <v>0</v>
      </c>
      <c r="AM87" s="81">
        <v>0</v>
      </c>
      <c r="AN87" s="81">
        <v>0</v>
      </c>
      <c r="AO87" s="81">
        <v>0</v>
      </c>
    </row>
    <row r="88" spans="1:41" ht="15.75" x14ac:dyDescent="0.25">
      <c r="A88" s="84"/>
      <c r="B88" s="84"/>
      <c r="C88" s="84"/>
      <c r="D88" s="80" t="s">
        <v>258</v>
      </c>
      <c r="E88" s="80">
        <v>0</v>
      </c>
      <c r="F88" s="80">
        <v>0</v>
      </c>
      <c r="G88" s="80">
        <v>0</v>
      </c>
      <c r="H88" s="80">
        <v>0</v>
      </c>
      <c r="I88" s="80">
        <v>0</v>
      </c>
      <c r="J88" s="80">
        <v>0</v>
      </c>
      <c r="K88" s="80">
        <v>0</v>
      </c>
      <c r="L88" s="80">
        <v>0</v>
      </c>
      <c r="M88" s="80">
        <v>0</v>
      </c>
      <c r="N88" s="80">
        <v>0</v>
      </c>
      <c r="O88" s="80">
        <v>0</v>
      </c>
      <c r="P88" s="80">
        <v>0</v>
      </c>
      <c r="Q88" s="80">
        <v>0</v>
      </c>
      <c r="R88" s="80">
        <v>0</v>
      </c>
      <c r="S88" s="80">
        <v>0</v>
      </c>
      <c r="T88" s="80">
        <v>0</v>
      </c>
      <c r="U88" s="80">
        <v>0</v>
      </c>
      <c r="V88" s="80">
        <v>1</v>
      </c>
      <c r="W88" s="80">
        <v>0</v>
      </c>
      <c r="X88" s="80">
        <v>0</v>
      </c>
      <c r="Y88" s="80">
        <v>0</v>
      </c>
      <c r="Z88" s="80">
        <v>0</v>
      </c>
      <c r="AA88" s="80">
        <v>0</v>
      </c>
      <c r="AB88" s="80">
        <v>0</v>
      </c>
      <c r="AC88" s="80">
        <v>0</v>
      </c>
      <c r="AD88" s="80">
        <v>0</v>
      </c>
      <c r="AE88" s="80">
        <v>0</v>
      </c>
      <c r="AF88" s="80">
        <v>0</v>
      </c>
      <c r="AG88" s="80">
        <v>1</v>
      </c>
      <c r="AH88" s="80">
        <v>0</v>
      </c>
      <c r="AI88" s="80">
        <v>0</v>
      </c>
      <c r="AJ88" s="80">
        <v>0</v>
      </c>
      <c r="AK88" s="80">
        <v>0</v>
      </c>
      <c r="AL88" s="80">
        <v>0</v>
      </c>
      <c r="AM88" s="81">
        <v>0</v>
      </c>
      <c r="AN88" s="81">
        <v>0</v>
      </c>
      <c r="AO88" s="81">
        <v>0</v>
      </c>
    </row>
    <row r="89" spans="1:41" ht="15.75" x14ac:dyDescent="0.25">
      <c r="A89" s="84">
        <v>20</v>
      </c>
      <c r="B89" s="84"/>
      <c r="C89" s="84" t="s">
        <v>58</v>
      </c>
      <c r="D89" s="80" t="s">
        <v>245</v>
      </c>
      <c r="E89" s="438">
        <v>0</v>
      </c>
      <c r="F89" s="80">
        <v>0</v>
      </c>
      <c r="G89" s="80">
        <v>0</v>
      </c>
      <c r="H89" s="80">
        <v>0</v>
      </c>
      <c r="I89" s="387">
        <v>2</v>
      </c>
      <c r="J89" s="387">
        <v>1</v>
      </c>
      <c r="K89" s="80">
        <v>0</v>
      </c>
      <c r="L89" s="80">
        <v>0</v>
      </c>
      <c r="M89" s="80">
        <v>0</v>
      </c>
      <c r="N89" s="80">
        <v>0</v>
      </c>
      <c r="O89" s="387">
        <v>1</v>
      </c>
      <c r="P89" s="80">
        <v>0</v>
      </c>
      <c r="Q89" s="387">
        <v>1</v>
      </c>
      <c r="R89" s="80">
        <v>0</v>
      </c>
      <c r="S89" s="80">
        <v>0</v>
      </c>
      <c r="T89" s="80">
        <v>0</v>
      </c>
      <c r="U89" s="387">
        <v>2</v>
      </c>
      <c r="V89" s="387">
        <v>2</v>
      </c>
      <c r="W89" s="80">
        <v>1</v>
      </c>
      <c r="X89" s="80">
        <v>0</v>
      </c>
      <c r="Y89" s="80">
        <v>0</v>
      </c>
      <c r="Z89" s="387">
        <v>2</v>
      </c>
      <c r="AA89" s="387">
        <v>1</v>
      </c>
      <c r="AB89" s="387">
        <v>2</v>
      </c>
      <c r="AC89" s="80">
        <v>0</v>
      </c>
      <c r="AD89" s="80">
        <v>0</v>
      </c>
      <c r="AE89" s="80">
        <v>0</v>
      </c>
      <c r="AF89" s="80">
        <v>0</v>
      </c>
      <c r="AG89" s="390">
        <v>1</v>
      </c>
      <c r="AH89" s="80">
        <v>0</v>
      </c>
      <c r="AI89" s="81">
        <v>0</v>
      </c>
      <c r="AJ89" s="81">
        <v>0</v>
      </c>
      <c r="AK89" s="81">
        <v>0</v>
      </c>
      <c r="AL89" s="81">
        <v>0</v>
      </c>
      <c r="AM89" s="81">
        <v>0</v>
      </c>
      <c r="AN89" s="81">
        <v>0</v>
      </c>
      <c r="AO89" s="81">
        <v>0</v>
      </c>
    </row>
    <row r="90" spans="1:41" ht="15.75" x14ac:dyDescent="0.25">
      <c r="A90" s="84"/>
      <c r="B90" s="84"/>
      <c r="C90" s="84"/>
      <c r="D90" s="80" t="s">
        <v>246</v>
      </c>
      <c r="E90" s="80">
        <v>0</v>
      </c>
      <c r="F90" s="80">
        <v>0</v>
      </c>
      <c r="G90" s="80">
        <v>0</v>
      </c>
      <c r="H90" s="80">
        <v>0</v>
      </c>
      <c r="I90" s="80">
        <v>1</v>
      </c>
      <c r="J90" s="80">
        <v>1</v>
      </c>
      <c r="K90" s="80">
        <v>0</v>
      </c>
      <c r="L90" s="80">
        <v>0</v>
      </c>
      <c r="M90" s="80">
        <v>0</v>
      </c>
      <c r="N90" s="80">
        <v>0</v>
      </c>
      <c r="O90" s="80">
        <v>1</v>
      </c>
      <c r="P90" s="80">
        <v>0</v>
      </c>
      <c r="Q90" s="80">
        <v>1</v>
      </c>
      <c r="R90" s="80">
        <v>0</v>
      </c>
      <c r="S90" s="80">
        <v>0</v>
      </c>
      <c r="T90" s="80">
        <v>0</v>
      </c>
      <c r="U90" s="80">
        <v>2</v>
      </c>
      <c r="V90" s="80">
        <v>2</v>
      </c>
      <c r="W90" s="80">
        <v>1</v>
      </c>
      <c r="X90" s="80">
        <v>0</v>
      </c>
      <c r="Y90" s="80">
        <v>0</v>
      </c>
      <c r="Z90" s="80">
        <v>2</v>
      </c>
      <c r="AA90" s="80">
        <v>1</v>
      </c>
      <c r="AB90" s="80">
        <v>2</v>
      </c>
      <c r="AC90" s="80">
        <v>0</v>
      </c>
      <c r="AD90" s="80">
        <v>0</v>
      </c>
      <c r="AE90" s="80">
        <v>0</v>
      </c>
      <c r="AF90" s="80">
        <v>0</v>
      </c>
      <c r="AG90" s="81">
        <v>1</v>
      </c>
      <c r="AH90" s="80">
        <v>0</v>
      </c>
      <c r="AI90" s="81">
        <v>0</v>
      </c>
      <c r="AJ90" s="81">
        <v>0</v>
      </c>
      <c r="AK90" s="81">
        <v>0</v>
      </c>
      <c r="AL90" s="81">
        <v>0</v>
      </c>
      <c r="AM90" s="81">
        <v>0</v>
      </c>
      <c r="AN90" s="81">
        <v>0</v>
      </c>
      <c r="AO90" s="81">
        <v>0</v>
      </c>
    </row>
    <row r="91" spans="1:41" ht="15.75" x14ac:dyDescent="0.25">
      <c r="A91" s="84"/>
      <c r="B91" s="84"/>
      <c r="C91" s="84"/>
      <c r="D91" s="80" t="s">
        <v>247</v>
      </c>
      <c r="E91" s="80">
        <v>0</v>
      </c>
      <c r="F91" s="80">
        <v>0</v>
      </c>
      <c r="G91" s="80">
        <v>0</v>
      </c>
      <c r="H91" s="80">
        <v>0</v>
      </c>
      <c r="I91" s="80">
        <v>1</v>
      </c>
      <c r="J91" s="80">
        <v>0</v>
      </c>
      <c r="K91" s="80">
        <v>0</v>
      </c>
      <c r="L91" s="80">
        <v>0</v>
      </c>
      <c r="M91" s="80">
        <v>0</v>
      </c>
      <c r="N91" s="80">
        <v>0</v>
      </c>
      <c r="O91" s="80">
        <v>0</v>
      </c>
      <c r="P91" s="80">
        <v>0</v>
      </c>
      <c r="Q91" s="80">
        <v>0</v>
      </c>
      <c r="R91" s="80">
        <v>0</v>
      </c>
      <c r="S91" s="80">
        <v>0</v>
      </c>
      <c r="T91" s="80">
        <v>0</v>
      </c>
      <c r="U91" s="80">
        <v>0</v>
      </c>
      <c r="V91" s="80">
        <v>0</v>
      </c>
      <c r="W91" s="80">
        <v>0</v>
      </c>
      <c r="X91" s="80">
        <v>0</v>
      </c>
      <c r="Y91" s="80">
        <v>0</v>
      </c>
      <c r="Z91" s="80">
        <v>0</v>
      </c>
      <c r="AA91" s="80">
        <v>0</v>
      </c>
      <c r="AB91" s="80">
        <v>0</v>
      </c>
      <c r="AC91" s="80">
        <v>0</v>
      </c>
      <c r="AD91" s="80">
        <v>0</v>
      </c>
      <c r="AE91" s="80">
        <v>0</v>
      </c>
      <c r="AF91" s="80">
        <v>0</v>
      </c>
      <c r="AG91" s="81">
        <v>0</v>
      </c>
      <c r="AH91" s="80">
        <v>0</v>
      </c>
      <c r="AI91" s="81">
        <v>0</v>
      </c>
      <c r="AJ91" s="81">
        <v>0</v>
      </c>
      <c r="AK91" s="81">
        <v>0</v>
      </c>
      <c r="AL91" s="81">
        <v>0</v>
      </c>
      <c r="AM91" s="81">
        <v>0</v>
      </c>
      <c r="AN91" s="81">
        <v>0</v>
      </c>
      <c r="AO91" s="81">
        <v>0</v>
      </c>
    </row>
    <row r="92" spans="1:41" ht="15.75" x14ac:dyDescent="0.25">
      <c r="A92" s="84"/>
      <c r="B92" s="84"/>
      <c r="C92" s="84"/>
      <c r="D92" s="80" t="s">
        <v>248</v>
      </c>
      <c r="E92" s="80">
        <v>0</v>
      </c>
      <c r="F92" s="80">
        <v>0</v>
      </c>
      <c r="G92" s="80">
        <v>0</v>
      </c>
      <c r="H92" s="80">
        <v>0</v>
      </c>
      <c r="I92" s="80">
        <v>1</v>
      </c>
      <c r="J92" s="80">
        <v>1</v>
      </c>
      <c r="K92" s="80">
        <v>0</v>
      </c>
      <c r="L92" s="80">
        <v>0</v>
      </c>
      <c r="M92" s="80">
        <v>0</v>
      </c>
      <c r="N92" s="80">
        <v>0</v>
      </c>
      <c r="O92" s="80">
        <v>1</v>
      </c>
      <c r="P92" s="80">
        <v>0</v>
      </c>
      <c r="Q92" s="80">
        <v>1</v>
      </c>
      <c r="R92" s="80">
        <v>0</v>
      </c>
      <c r="S92" s="80">
        <v>0</v>
      </c>
      <c r="T92" s="80">
        <v>0</v>
      </c>
      <c r="U92" s="80">
        <v>2</v>
      </c>
      <c r="V92" s="80">
        <v>1</v>
      </c>
      <c r="W92" s="80">
        <v>0</v>
      </c>
      <c r="X92" s="80">
        <v>0</v>
      </c>
      <c r="Y92" s="80">
        <v>0</v>
      </c>
      <c r="Z92" s="80">
        <v>1</v>
      </c>
      <c r="AA92" s="80">
        <v>1</v>
      </c>
      <c r="AB92" s="80">
        <v>2</v>
      </c>
      <c r="AC92" s="80">
        <v>0</v>
      </c>
      <c r="AD92" s="80">
        <v>0</v>
      </c>
      <c r="AE92" s="80">
        <v>0</v>
      </c>
      <c r="AF92" s="80">
        <v>0</v>
      </c>
      <c r="AG92" s="81">
        <v>1</v>
      </c>
      <c r="AH92" s="80">
        <v>0</v>
      </c>
      <c r="AI92" s="81">
        <v>0</v>
      </c>
      <c r="AJ92" s="81">
        <v>0</v>
      </c>
      <c r="AK92" s="81">
        <v>0</v>
      </c>
      <c r="AL92" s="81">
        <v>0</v>
      </c>
      <c r="AM92" s="81">
        <v>0</v>
      </c>
      <c r="AN92" s="81">
        <v>0</v>
      </c>
      <c r="AO92" s="81">
        <v>0</v>
      </c>
    </row>
    <row r="93" spans="1:41" ht="15.75" x14ac:dyDescent="0.25">
      <c r="A93" s="84"/>
      <c r="B93" s="84"/>
      <c r="C93" s="84"/>
      <c r="D93" s="80" t="s">
        <v>258</v>
      </c>
      <c r="E93" s="80">
        <v>0</v>
      </c>
      <c r="F93" s="80">
        <v>0</v>
      </c>
      <c r="G93" s="80">
        <v>0</v>
      </c>
      <c r="H93" s="80">
        <v>0</v>
      </c>
      <c r="I93" s="80">
        <v>0</v>
      </c>
      <c r="J93" s="80">
        <v>0</v>
      </c>
      <c r="K93" s="80">
        <v>0</v>
      </c>
      <c r="L93" s="80">
        <v>0</v>
      </c>
      <c r="M93" s="80">
        <v>0</v>
      </c>
      <c r="N93" s="80">
        <v>0</v>
      </c>
      <c r="O93" s="80">
        <v>0</v>
      </c>
      <c r="P93" s="80">
        <v>0</v>
      </c>
      <c r="Q93" s="80">
        <v>0</v>
      </c>
      <c r="R93" s="80">
        <v>0</v>
      </c>
      <c r="S93" s="80">
        <v>0</v>
      </c>
      <c r="T93" s="80">
        <v>0</v>
      </c>
      <c r="U93" s="80">
        <v>0</v>
      </c>
      <c r="V93" s="80">
        <v>1</v>
      </c>
      <c r="W93" s="80">
        <v>1</v>
      </c>
      <c r="X93" s="80">
        <v>0</v>
      </c>
      <c r="Y93" s="80">
        <v>0</v>
      </c>
      <c r="Z93" s="80">
        <v>1</v>
      </c>
      <c r="AA93" s="80">
        <v>0</v>
      </c>
      <c r="AB93" s="80">
        <v>0</v>
      </c>
      <c r="AC93" s="80">
        <v>0</v>
      </c>
      <c r="AD93" s="80">
        <v>0</v>
      </c>
      <c r="AE93" s="80">
        <v>0</v>
      </c>
      <c r="AF93" s="80">
        <v>0</v>
      </c>
      <c r="AG93" s="80">
        <v>0</v>
      </c>
      <c r="AH93" s="80">
        <v>0</v>
      </c>
      <c r="AI93" s="80">
        <v>0</v>
      </c>
      <c r="AJ93" s="80">
        <v>0</v>
      </c>
      <c r="AK93" s="80">
        <v>0</v>
      </c>
      <c r="AL93" s="80">
        <v>0</v>
      </c>
      <c r="AM93" s="81">
        <v>0</v>
      </c>
      <c r="AN93" s="81">
        <v>0</v>
      </c>
      <c r="AO93" s="81">
        <v>0</v>
      </c>
    </row>
    <row r="94" spans="1:41" ht="15.75" x14ac:dyDescent="0.25">
      <c r="A94" s="84">
        <v>21</v>
      </c>
      <c r="B94" s="84"/>
      <c r="C94" s="84" t="s">
        <v>188</v>
      </c>
      <c r="D94" s="80" t="s">
        <v>245</v>
      </c>
      <c r="E94" s="438">
        <v>0</v>
      </c>
      <c r="F94" s="80">
        <v>0</v>
      </c>
      <c r="G94" s="80">
        <v>0</v>
      </c>
      <c r="H94" s="387">
        <v>1</v>
      </c>
      <c r="I94" s="387">
        <v>2</v>
      </c>
      <c r="J94" s="387">
        <v>1</v>
      </c>
      <c r="K94" s="387">
        <v>1</v>
      </c>
      <c r="L94" s="80">
        <v>0</v>
      </c>
      <c r="M94" s="80">
        <v>0</v>
      </c>
      <c r="N94" s="80">
        <v>0</v>
      </c>
      <c r="O94" s="387">
        <v>1</v>
      </c>
      <c r="P94" s="80">
        <v>0</v>
      </c>
      <c r="Q94" s="387">
        <v>1</v>
      </c>
      <c r="R94" s="80">
        <v>0</v>
      </c>
      <c r="S94" s="80">
        <v>0</v>
      </c>
      <c r="T94" s="80">
        <v>0</v>
      </c>
      <c r="U94" s="387">
        <v>2</v>
      </c>
      <c r="V94" s="80">
        <v>0</v>
      </c>
      <c r="W94" s="387">
        <v>1</v>
      </c>
      <c r="X94" s="80">
        <v>0</v>
      </c>
      <c r="Y94" s="80">
        <v>0</v>
      </c>
      <c r="Z94" s="80">
        <v>0</v>
      </c>
      <c r="AA94" s="387">
        <v>1</v>
      </c>
      <c r="AB94" s="80">
        <v>0</v>
      </c>
      <c r="AC94" s="80">
        <v>0</v>
      </c>
      <c r="AD94" s="80">
        <v>0</v>
      </c>
      <c r="AE94" s="387">
        <v>1</v>
      </c>
      <c r="AF94" s="80">
        <v>0</v>
      </c>
      <c r="AG94" s="81">
        <v>0</v>
      </c>
      <c r="AH94" s="387">
        <v>1</v>
      </c>
      <c r="AI94" s="81">
        <v>0</v>
      </c>
      <c r="AJ94" s="81">
        <v>0</v>
      </c>
      <c r="AK94" s="81">
        <v>0</v>
      </c>
      <c r="AL94" s="81">
        <v>0</v>
      </c>
      <c r="AM94" s="81">
        <v>0</v>
      </c>
      <c r="AN94" s="81">
        <v>0</v>
      </c>
      <c r="AO94" s="81">
        <v>0</v>
      </c>
    </row>
    <row r="95" spans="1:41" ht="15.75" x14ac:dyDescent="0.25">
      <c r="A95" s="84"/>
      <c r="B95" s="84"/>
      <c r="C95" s="84"/>
      <c r="D95" s="80" t="s">
        <v>246</v>
      </c>
      <c r="E95" s="80">
        <v>0</v>
      </c>
      <c r="F95" s="80">
        <v>0</v>
      </c>
      <c r="G95" s="80">
        <v>0</v>
      </c>
      <c r="H95" s="80">
        <v>1</v>
      </c>
      <c r="I95" s="80">
        <v>2</v>
      </c>
      <c r="J95" s="80">
        <v>1</v>
      </c>
      <c r="K95" s="80">
        <v>1</v>
      </c>
      <c r="L95" s="80">
        <v>0</v>
      </c>
      <c r="M95" s="80">
        <v>0</v>
      </c>
      <c r="N95" s="80">
        <v>0</v>
      </c>
      <c r="O95" s="80">
        <v>1</v>
      </c>
      <c r="P95" s="80">
        <v>0</v>
      </c>
      <c r="Q95" s="80">
        <v>1</v>
      </c>
      <c r="R95" s="80">
        <v>0</v>
      </c>
      <c r="S95" s="80">
        <v>0</v>
      </c>
      <c r="T95" s="80">
        <v>0</v>
      </c>
      <c r="U95" s="80">
        <v>2</v>
      </c>
      <c r="V95" s="80">
        <v>0</v>
      </c>
      <c r="W95" s="80">
        <v>1</v>
      </c>
      <c r="X95" s="80">
        <v>0</v>
      </c>
      <c r="Y95" s="80">
        <v>0</v>
      </c>
      <c r="Z95" s="80">
        <v>0</v>
      </c>
      <c r="AA95" s="80">
        <v>1</v>
      </c>
      <c r="AB95" s="80">
        <v>0</v>
      </c>
      <c r="AC95" s="80">
        <v>0</v>
      </c>
      <c r="AD95" s="80">
        <v>0</v>
      </c>
      <c r="AE95" s="80">
        <v>1</v>
      </c>
      <c r="AF95" s="80">
        <v>0</v>
      </c>
      <c r="AG95" s="81">
        <v>0</v>
      </c>
      <c r="AH95" s="80">
        <v>1</v>
      </c>
      <c r="AI95" s="81">
        <v>0</v>
      </c>
      <c r="AJ95" s="81">
        <v>0</v>
      </c>
      <c r="AK95" s="81">
        <v>0</v>
      </c>
      <c r="AL95" s="81">
        <v>0</v>
      </c>
      <c r="AM95" s="81">
        <v>0</v>
      </c>
      <c r="AN95" s="81">
        <v>0</v>
      </c>
      <c r="AO95" s="81">
        <v>0</v>
      </c>
    </row>
    <row r="96" spans="1:41" ht="15.75" x14ac:dyDescent="0.25">
      <c r="A96" s="84"/>
      <c r="B96" s="84"/>
      <c r="C96" s="84"/>
      <c r="D96" s="80" t="s">
        <v>247</v>
      </c>
      <c r="E96" s="80">
        <v>0</v>
      </c>
      <c r="F96" s="80">
        <v>0</v>
      </c>
      <c r="G96" s="80">
        <v>0</v>
      </c>
      <c r="H96" s="80">
        <v>0</v>
      </c>
      <c r="I96" s="80">
        <v>0</v>
      </c>
      <c r="J96" s="80">
        <v>0</v>
      </c>
      <c r="K96" s="80">
        <v>0</v>
      </c>
      <c r="L96" s="80">
        <v>0</v>
      </c>
      <c r="M96" s="80">
        <v>0</v>
      </c>
      <c r="N96" s="80">
        <v>0</v>
      </c>
      <c r="O96" s="80">
        <v>0</v>
      </c>
      <c r="P96" s="80">
        <v>0</v>
      </c>
      <c r="Q96" s="80">
        <v>0</v>
      </c>
      <c r="R96" s="80">
        <v>0</v>
      </c>
      <c r="S96" s="80">
        <v>0</v>
      </c>
      <c r="T96" s="80">
        <v>0</v>
      </c>
      <c r="U96" s="80">
        <v>0</v>
      </c>
      <c r="V96" s="80">
        <v>0</v>
      </c>
      <c r="W96" s="80">
        <v>0</v>
      </c>
      <c r="X96" s="80">
        <v>0</v>
      </c>
      <c r="Y96" s="80">
        <v>0</v>
      </c>
      <c r="Z96" s="80">
        <v>0</v>
      </c>
      <c r="AA96" s="80">
        <v>0</v>
      </c>
      <c r="AB96" s="80">
        <v>0</v>
      </c>
      <c r="AC96" s="80">
        <v>0</v>
      </c>
      <c r="AD96" s="80">
        <v>0</v>
      </c>
      <c r="AE96" s="80">
        <v>0</v>
      </c>
      <c r="AF96" s="80">
        <v>0</v>
      </c>
      <c r="AG96" s="81">
        <v>0</v>
      </c>
      <c r="AH96" s="80">
        <v>0</v>
      </c>
      <c r="AI96" s="81">
        <v>0</v>
      </c>
      <c r="AJ96" s="81">
        <v>0</v>
      </c>
      <c r="AK96" s="81">
        <v>0</v>
      </c>
      <c r="AL96" s="81">
        <v>0</v>
      </c>
      <c r="AM96" s="81">
        <v>0</v>
      </c>
      <c r="AN96" s="81">
        <v>0</v>
      </c>
      <c r="AO96" s="81">
        <v>0</v>
      </c>
    </row>
    <row r="97" spans="1:41" ht="15.75" x14ac:dyDescent="0.25">
      <c r="A97" s="84"/>
      <c r="B97" s="84"/>
      <c r="C97" s="84"/>
      <c r="D97" s="80" t="s">
        <v>248</v>
      </c>
      <c r="E97" s="80">
        <v>0</v>
      </c>
      <c r="F97" s="80">
        <v>0</v>
      </c>
      <c r="G97" s="80">
        <v>0</v>
      </c>
      <c r="H97" s="80">
        <v>1</v>
      </c>
      <c r="I97" s="80">
        <v>2</v>
      </c>
      <c r="J97" s="80">
        <v>1</v>
      </c>
      <c r="K97" s="80">
        <v>1</v>
      </c>
      <c r="L97" s="80">
        <v>0</v>
      </c>
      <c r="M97" s="80">
        <v>0</v>
      </c>
      <c r="N97" s="80">
        <v>0</v>
      </c>
      <c r="O97" s="80">
        <v>1</v>
      </c>
      <c r="P97" s="80">
        <v>0</v>
      </c>
      <c r="Q97" s="80">
        <v>1</v>
      </c>
      <c r="R97" s="80">
        <v>0</v>
      </c>
      <c r="S97" s="80">
        <v>0</v>
      </c>
      <c r="T97" s="80">
        <v>0</v>
      </c>
      <c r="U97" s="80">
        <v>2</v>
      </c>
      <c r="V97" s="80">
        <v>0</v>
      </c>
      <c r="W97" s="80">
        <v>0</v>
      </c>
      <c r="X97" s="80">
        <v>0</v>
      </c>
      <c r="Y97" s="80">
        <v>0</v>
      </c>
      <c r="Z97" s="80">
        <v>0</v>
      </c>
      <c r="AA97" s="80">
        <v>0</v>
      </c>
      <c r="AB97" s="80">
        <v>0</v>
      </c>
      <c r="AC97" s="80">
        <v>0</v>
      </c>
      <c r="AD97" s="80">
        <v>0</v>
      </c>
      <c r="AE97" s="80">
        <v>1</v>
      </c>
      <c r="AF97" s="80">
        <v>0</v>
      </c>
      <c r="AG97" s="81">
        <v>0</v>
      </c>
      <c r="AH97" s="80">
        <v>1</v>
      </c>
      <c r="AI97" s="81">
        <v>0</v>
      </c>
      <c r="AJ97" s="81">
        <v>0</v>
      </c>
      <c r="AK97" s="81">
        <v>0</v>
      </c>
      <c r="AL97" s="81">
        <v>0</v>
      </c>
      <c r="AM97" s="81">
        <v>0</v>
      </c>
      <c r="AN97" s="81">
        <v>0</v>
      </c>
      <c r="AO97" s="81">
        <v>0</v>
      </c>
    </row>
    <row r="98" spans="1:41" ht="15.75" x14ac:dyDescent="0.25">
      <c r="A98" s="84"/>
      <c r="B98" s="84"/>
      <c r="C98" s="84"/>
      <c r="D98" s="80" t="s">
        <v>258</v>
      </c>
      <c r="E98" s="80">
        <v>0</v>
      </c>
      <c r="F98" s="80">
        <v>0</v>
      </c>
      <c r="G98" s="80">
        <v>0</v>
      </c>
      <c r="H98" s="80">
        <v>0</v>
      </c>
      <c r="I98" s="80">
        <v>0</v>
      </c>
      <c r="J98" s="80">
        <v>0</v>
      </c>
      <c r="K98" s="80">
        <v>0</v>
      </c>
      <c r="L98" s="80">
        <v>0</v>
      </c>
      <c r="M98" s="80">
        <v>0</v>
      </c>
      <c r="N98" s="80">
        <v>0</v>
      </c>
      <c r="O98" s="80">
        <v>0</v>
      </c>
      <c r="P98" s="80">
        <v>0</v>
      </c>
      <c r="Q98" s="80">
        <v>0</v>
      </c>
      <c r="R98" s="80">
        <v>0</v>
      </c>
      <c r="S98" s="80">
        <v>0</v>
      </c>
      <c r="T98" s="80">
        <v>0</v>
      </c>
      <c r="U98" s="80">
        <v>0</v>
      </c>
      <c r="V98" s="80">
        <v>0</v>
      </c>
      <c r="W98" s="80">
        <v>1</v>
      </c>
      <c r="X98" s="80">
        <v>0</v>
      </c>
      <c r="Y98" s="80">
        <v>0</v>
      </c>
      <c r="Z98" s="80">
        <v>0</v>
      </c>
      <c r="AA98" s="80">
        <v>1</v>
      </c>
      <c r="AB98" s="80">
        <v>0</v>
      </c>
      <c r="AC98" s="80">
        <v>0</v>
      </c>
      <c r="AD98" s="80">
        <v>0</v>
      </c>
      <c r="AE98" s="80">
        <v>0</v>
      </c>
      <c r="AF98" s="80">
        <v>0</v>
      </c>
      <c r="AG98" s="80">
        <v>0</v>
      </c>
      <c r="AH98" s="80">
        <v>0</v>
      </c>
      <c r="AI98" s="80">
        <v>0</v>
      </c>
      <c r="AJ98" s="80">
        <v>0</v>
      </c>
      <c r="AK98" s="80">
        <v>0</v>
      </c>
      <c r="AL98" s="80">
        <v>0</v>
      </c>
      <c r="AM98" s="81">
        <v>0</v>
      </c>
      <c r="AN98" s="81">
        <v>0</v>
      </c>
      <c r="AO98" s="81">
        <v>0</v>
      </c>
    </row>
    <row r="99" spans="1:41" ht="15.75" x14ac:dyDescent="0.25">
      <c r="A99" s="84">
        <v>22</v>
      </c>
      <c r="B99" s="84"/>
      <c r="C99" s="84" t="s">
        <v>252</v>
      </c>
      <c r="D99" s="80" t="s">
        <v>245</v>
      </c>
      <c r="E99" s="438">
        <v>0</v>
      </c>
      <c r="F99" s="80">
        <v>0</v>
      </c>
      <c r="G99" s="80">
        <v>0</v>
      </c>
      <c r="H99" s="387">
        <v>2</v>
      </c>
      <c r="I99" s="387">
        <v>1</v>
      </c>
      <c r="J99" s="387">
        <v>1</v>
      </c>
      <c r="K99" s="387">
        <v>1</v>
      </c>
      <c r="L99" s="80">
        <v>0</v>
      </c>
      <c r="M99" s="387">
        <v>1</v>
      </c>
      <c r="N99" s="387">
        <v>1</v>
      </c>
      <c r="O99" s="387">
        <v>1</v>
      </c>
      <c r="P99" s="80">
        <v>0</v>
      </c>
      <c r="Q99" s="387">
        <v>1</v>
      </c>
      <c r="R99" s="387">
        <v>1</v>
      </c>
      <c r="S99" s="80">
        <v>0</v>
      </c>
      <c r="T99" s="80">
        <v>0</v>
      </c>
      <c r="U99" s="387">
        <v>2</v>
      </c>
      <c r="V99" s="387">
        <v>1</v>
      </c>
      <c r="W99" s="387">
        <v>1</v>
      </c>
      <c r="X99" s="387">
        <v>1</v>
      </c>
      <c r="Y99" s="80">
        <v>0</v>
      </c>
      <c r="Z99" s="80">
        <v>0</v>
      </c>
      <c r="AA99" s="80">
        <v>0</v>
      </c>
      <c r="AB99" s="80">
        <v>0</v>
      </c>
      <c r="AC99" s="80">
        <v>0</v>
      </c>
      <c r="AD99" s="80">
        <v>0</v>
      </c>
      <c r="AE99" s="80">
        <v>0</v>
      </c>
      <c r="AF99" s="80">
        <v>0</v>
      </c>
      <c r="AG99" s="390">
        <v>1</v>
      </c>
      <c r="AH99" s="80">
        <v>0</v>
      </c>
      <c r="AI99" s="81">
        <v>0</v>
      </c>
      <c r="AJ99" s="81">
        <v>0</v>
      </c>
      <c r="AK99" s="81">
        <v>0</v>
      </c>
      <c r="AL99" s="81">
        <v>0</v>
      </c>
      <c r="AM99" s="81">
        <v>0</v>
      </c>
      <c r="AN99" s="81">
        <v>0</v>
      </c>
      <c r="AO99" s="81">
        <v>0</v>
      </c>
    </row>
    <row r="100" spans="1:41" ht="15.75" x14ac:dyDescent="0.25">
      <c r="A100" s="84"/>
      <c r="B100" s="84"/>
      <c r="C100" s="84"/>
      <c r="D100" s="80" t="s">
        <v>246</v>
      </c>
      <c r="E100" s="80">
        <v>0</v>
      </c>
      <c r="F100" s="80">
        <v>0</v>
      </c>
      <c r="G100" s="80">
        <v>0</v>
      </c>
      <c r="H100" s="80">
        <v>2</v>
      </c>
      <c r="I100" s="80">
        <v>1</v>
      </c>
      <c r="J100" s="80">
        <v>1</v>
      </c>
      <c r="K100" s="80">
        <v>1</v>
      </c>
      <c r="L100" s="80">
        <v>0</v>
      </c>
      <c r="M100" s="80">
        <v>1</v>
      </c>
      <c r="N100" s="80">
        <v>1</v>
      </c>
      <c r="O100" s="80">
        <v>1</v>
      </c>
      <c r="P100" s="80">
        <v>0</v>
      </c>
      <c r="Q100" s="80">
        <v>1</v>
      </c>
      <c r="R100" s="80">
        <v>1</v>
      </c>
      <c r="S100" s="80">
        <v>0</v>
      </c>
      <c r="T100" s="80">
        <v>0</v>
      </c>
      <c r="U100" s="80">
        <v>2</v>
      </c>
      <c r="V100" s="80">
        <v>1</v>
      </c>
      <c r="W100" s="80">
        <v>1</v>
      </c>
      <c r="X100" s="80">
        <v>1</v>
      </c>
      <c r="Y100" s="80">
        <v>0</v>
      </c>
      <c r="Z100" s="80">
        <v>0</v>
      </c>
      <c r="AA100" s="80">
        <v>0</v>
      </c>
      <c r="AB100" s="80">
        <v>0</v>
      </c>
      <c r="AC100" s="80">
        <v>0</v>
      </c>
      <c r="AD100" s="80">
        <v>0</v>
      </c>
      <c r="AE100" s="80">
        <v>0</v>
      </c>
      <c r="AF100" s="80">
        <v>0</v>
      </c>
      <c r="AG100" s="81">
        <v>1</v>
      </c>
      <c r="AH100" s="80">
        <v>0</v>
      </c>
      <c r="AI100" s="81">
        <v>0</v>
      </c>
      <c r="AJ100" s="81">
        <v>0</v>
      </c>
      <c r="AK100" s="81">
        <v>0</v>
      </c>
      <c r="AL100" s="81">
        <v>0</v>
      </c>
      <c r="AM100" s="81">
        <v>0</v>
      </c>
      <c r="AN100" s="81">
        <v>0</v>
      </c>
      <c r="AO100" s="81">
        <v>0</v>
      </c>
    </row>
    <row r="101" spans="1:41" ht="15.75" x14ac:dyDescent="0.25">
      <c r="A101" s="84"/>
      <c r="B101" s="84"/>
      <c r="C101" s="84"/>
      <c r="D101" s="80" t="s">
        <v>247</v>
      </c>
      <c r="E101" s="80">
        <v>0</v>
      </c>
      <c r="F101" s="80">
        <v>0</v>
      </c>
      <c r="G101" s="80">
        <v>0</v>
      </c>
      <c r="H101" s="80">
        <v>0</v>
      </c>
      <c r="I101" s="80">
        <v>0</v>
      </c>
      <c r="J101" s="80">
        <v>0</v>
      </c>
      <c r="K101" s="80">
        <v>0</v>
      </c>
      <c r="L101" s="80">
        <v>1</v>
      </c>
      <c r="M101" s="80">
        <v>0</v>
      </c>
      <c r="N101" s="80">
        <v>0</v>
      </c>
      <c r="O101" s="80">
        <v>0</v>
      </c>
      <c r="P101" s="80">
        <v>0</v>
      </c>
      <c r="Q101" s="80">
        <v>0</v>
      </c>
      <c r="R101" s="80">
        <v>0</v>
      </c>
      <c r="S101" s="80">
        <v>1</v>
      </c>
      <c r="T101" s="80">
        <v>1</v>
      </c>
      <c r="U101" s="80">
        <v>0</v>
      </c>
      <c r="V101" s="80">
        <v>0</v>
      </c>
      <c r="W101" s="80">
        <v>0</v>
      </c>
      <c r="X101" s="80">
        <v>0</v>
      </c>
      <c r="Y101" s="80">
        <v>0</v>
      </c>
      <c r="Z101" s="80">
        <v>0</v>
      </c>
      <c r="AA101" s="80">
        <v>0</v>
      </c>
      <c r="AB101" s="80">
        <v>0</v>
      </c>
      <c r="AC101" s="80">
        <v>0</v>
      </c>
      <c r="AD101" s="80">
        <v>0</v>
      </c>
      <c r="AE101" s="80">
        <v>0</v>
      </c>
      <c r="AF101" s="80">
        <v>0</v>
      </c>
      <c r="AG101" s="81">
        <v>0</v>
      </c>
      <c r="AH101" s="80">
        <v>0</v>
      </c>
      <c r="AI101" s="80">
        <v>0</v>
      </c>
      <c r="AJ101" s="80">
        <v>0</v>
      </c>
      <c r="AK101" s="80">
        <v>0</v>
      </c>
      <c r="AL101" s="81">
        <v>0</v>
      </c>
      <c r="AM101" s="81">
        <v>0</v>
      </c>
      <c r="AN101" s="81">
        <v>0</v>
      </c>
      <c r="AO101" s="81">
        <v>0</v>
      </c>
    </row>
    <row r="102" spans="1:41" ht="15.75" x14ac:dyDescent="0.25">
      <c r="A102" s="84"/>
      <c r="B102" s="84"/>
      <c r="C102" s="84"/>
      <c r="D102" s="80" t="s">
        <v>248</v>
      </c>
      <c r="E102" s="80">
        <v>0</v>
      </c>
      <c r="F102" s="80">
        <v>0</v>
      </c>
      <c r="G102" s="80">
        <v>0</v>
      </c>
      <c r="H102" s="80">
        <v>2</v>
      </c>
      <c r="I102" s="80">
        <v>1</v>
      </c>
      <c r="J102" s="80">
        <v>1</v>
      </c>
      <c r="K102" s="80">
        <v>1</v>
      </c>
      <c r="L102" s="80">
        <v>0</v>
      </c>
      <c r="M102" s="80">
        <v>1</v>
      </c>
      <c r="N102" s="80">
        <v>1</v>
      </c>
      <c r="O102" s="80">
        <v>1</v>
      </c>
      <c r="P102" s="80">
        <v>0</v>
      </c>
      <c r="Q102" s="80">
        <v>0</v>
      </c>
      <c r="R102" s="80">
        <v>1</v>
      </c>
      <c r="S102" s="80">
        <v>0</v>
      </c>
      <c r="T102" s="80">
        <v>0</v>
      </c>
      <c r="U102" s="80">
        <v>2</v>
      </c>
      <c r="V102" s="80">
        <v>1</v>
      </c>
      <c r="W102" s="80">
        <v>1</v>
      </c>
      <c r="X102" s="80">
        <v>1</v>
      </c>
      <c r="Y102" s="80">
        <v>0</v>
      </c>
      <c r="Z102" s="80">
        <v>0</v>
      </c>
      <c r="AA102" s="80">
        <v>0</v>
      </c>
      <c r="AB102" s="80">
        <v>0</v>
      </c>
      <c r="AC102" s="80">
        <v>0</v>
      </c>
      <c r="AD102" s="80">
        <v>0</v>
      </c>
      <c r="AE102" s="80">
        <v>0</v>
      </c>
      <c r="AF102" s="80">
        <v>0</v>
      </c>
      <c r="AG102" s="80">
        <v>1</v>
      </c>
      <c r="AH102" s="80">
        <v>0</v>
      </c>
      <c r="AI102" s="80">
        <v>0</v>
      </c>
      <c r="AJ102" s="80">
        <v>0</v>
      </c>
      <c r="AK102" s="80">
        <v>0</v>
      </c>
      <c r="AL102" s="80">
        <v>0</v>
      </c>
      <c r="AM102" s="81">
        <v>0</v>
      </c>
      <c r="AN102" s="81">
        <v>0</v>
      </c>
      <c r="AO102" s="81">
        <v>0</v>
      </c>
    </row>
    <row r="103" spans="1:41" ht="15.75" x14ac:dyDescent="0.25">
      <c r="A103" s="84"/>
      <c r="B103" s="84"/>
      <c r="C103" s="84"/>
      <c r="D103" s="80" t="s">
        <v>258</v>
      </c>
      <c r="E103" s="80">
        <v>0</v>
      </c>
      <c r="F103" s="80">
        <v>0</v>
      </c>
      <c r="G103" s="80">
        <v>0</v>
      </c>
      <c r="H103" s="80">
        <v>0</v>
      </c>
      <c r="I103" s="80">
        <v>0</v>
      </c>
      <c r="J103" s="80">
        <v>0</v>
      </c>
      <c r="K103" s="80">
        <v>0</v>
      </c>
      <c r="L103" s="80">
        <v>0</v>
      </c>
      <c r="M103" s="80">
        <v>0</v>
      </c>
      <c r="N103" s="80">
        <v>0</v>
      </c>
      <c r="O103" s="80">
        <v>0</v>
      </c>
      <c r="P103" s="80">
        <v>0</v>
      </c>
      <c r="Q103" s="80">
        <v>1</v>
      </c>
      <c r="R103" s="80">
        <v>0</v>
      </c>
      <c r="S103" s="80">
        <v>0</v>
      </c>
      <c r="T103" s="80">
        <v>0</v>
      </c>
      <c r="U103" s="80">
        <v>0</v>
      </c>
      <c r="V103" s="80">
        <v>0</v>
      </c>
      <c r="W103" s="80">
        <v>0</v>
      </c>
      <c r="X103" s="80">
        <v>0</v>
      </c>
      <c r="Y103" s="80">
        <v>0</v>
      </c>
      <c r="Z103" s="80">
        <v>0</v>
      </c>
      <c r="AA103" s="80">
        <v>0</v>
      </c>
      <c r="AB103" s="80">
        <v>0</v>
      </c>
      <c r="AC103" s="80">
        <v>0</v>
      </c>
      <c r="AD103" s="80">
        <v>0</v>
      </c>
      <c r="AE103" s="80">
        <v>0</v>
      </c>
      <c r="AF103" s="80">
        <v>0</v>
      </c>
      <c r="AG103" s="81">
        <v>0</v>
      </c>
      <c r="AH103" s="80">
        <v>0</v>
      </c>
      <c r="AI103" s="81">
        <v>0</v>
      </c>
      <c r="AJ103" s="81">
        <v>0</v>
      </c>
      <c r="AK103" s="81">
        <v>0</v>
      </c>
      <c r="AL103" s="81">
        <v>0</v>
      </c>
      <c r="AM103" s="81">
        <v>0</v>
      </c>
      <c r="AN103" s="81">
        <v>0</v>
      </c>
      <c r="AO103" s="81">
        <v>0</v>
      </c>
    </row>
    <row r="104" spans="1:41" ht="15.75" x14ac:dyDescent="0.25">
      <c r="A104" s="84">
        <v>23</v>
      </c>
      <c r="B104" s="84"/>
      <c r="C104" s="84" t="s">
        <v>187</v>
      </c>
      <c r="D104" s="80" t="s">
        <v>245</v>
      </c>
      <c r="E104" s="438">
        <v>0</v>
      </c>
      <c r="F104" s="80">
        <v>0</v>
      </c>
      <c r="G104" s="80">
        <v>0</v>
      </c>
      <c r="H104" s="80">
        <v>0</v>
      </c>
      <c r="I104" s="387">
        <v>1</v>
      </c>
      <c r="J104" s="80">
        <v>0</v>
      </c>
      <c r="K104" s="80">
        <v>0</v>
      </c>
      <c r="L104" s="80">
        <v>0</v>
      </c>
      <c r="M104" s="80">
        <v>0</v>
      </c>
      <c r="N104" s="80">
        <v>0</v>
      </c>
      <c r="O104" s="80">
        <v>0</v>
      </c>
      <c r="P104" s="80">
        <v>0</v>
      </c>
      <c r="Q104" s="80">
        <v>0</v>
      </c>
      <c r="R104" s="80">
        <v>0</v>
      </c>
      <c r="S104" s="80">
        <v>0</v>
      </c>
      <c r="T104" s="80">
        <v>0</v>
      </c>
      <c r="U104" s="80">
        <v>0</v>
      </c>
      <c r="V104" s="80">
        <v>0</v>
      </c>
      <c r="W104" s="80">
        <v>0</v>
      </c>
      <c r="X104" s="80">
        <v>0</v>
      </c>
      <c r="Y104" s="80">
        <v>0</v>
      </c>
      <c r="Z104" s="80">
        <v>0</v>
      </c>
      <c r="AA104" s="80">
        <v>0</v>
      </c>
      <c r="AB104" s="80">
        <v>0</v>
      </c>
      <c r="AC104" s="80">
        <v>0</v>
      </c>
      <c r="AD104" s="80">
        <v>0</v>
      </c>
      <c r="AE104" s="80">
        <v>0</v>
      </c>
      <c r="AF104" s="80">
        <v>0</v>
      </c>
      <c r="AG104" s="80">
        <v>0</v>
      </c>
      <c r="AH104" s="80">
        <v>0</v>
      </c>
      <c r="AI104" s="80">
        <v>0</v>
      </c>
      <c r="AJ104" s="80">
        <v>0</v>
      </c>
      <c r="AK104" s="80">
        <v>0</v>
      </c>
      <c r="AL104" s="80">
        <v>0</v>
      </c>
      <c r="AM104" s="81">
        <v>0</v>
      </c>
      <c r="AN104" s="81">
        <v>0</v>
      </c>
      <c r="AO104" s="81">
        <v>0</v>
      </c>
    </row>
    <row r="105" spans="1:41" ht="15.75" x14ac:dyDescent="0.25">
      <c r="A105" s="84"/>
      <c r="B105" s="84"/>
      <c r="C105" s="84"/>
      <c r="D105" s="80" t="s">
        <v>246</v>
      </c>
      <c r="E105" s="80">
        <v>0</v>
      </c>
      <c r="F105" s="80">
        <v>0</v>
      </c>
      <c r="G105" s="80">
        <v>0</v>
      </c>
      <c r="H105" s="80">
        <v>0</v>
      </c>
      <c r="I105" s="80">
        <v>1</v>
      </c>
      <c r="J105" s="80">
        <v>0</v>
      </c>
      <c r="K105" s="80">
        <v>0</v>
      </c>
      <c r="L105" s="80">
        <v>0</v>
      </c>
      <c r="M105" s="80">
        <v>0</v>
      </c>
      <c r="N105" s="80">
        <v>0</v>
      </c>
      <c r="O105" s="80">
        <v>0</v>
      </c>
      <c r="P105" s="80">
        <v>0</v>
      </c>
      <c r="Q105" s="80">
        <v>0</v>
      </c>
      <c r="R105" s="80">
        <v>0</v>
      </c>
      <c r="S105" s="80">
        <v>0</v>
      </c>
      <c r="T105" s="80">
        <v>0</v>
      </c>
      <c r="U105" s="80">
        <v>0</v>
      </c>
      <c r="V105" s="80">
        <v>0</v>
      </c>
      <c r="W105" s="80">
        <v>0</v>
      </c>
      <c r="X105" s="80">
        <v>0</v>
      </c>
      <c r="Y105" s="80">
        <v>0</v>
      </c>
      <c r="Z105" s="80">
        <v>0</v>
      </c>
      <c r="AA105" s="80">
        <v>0</v>
      </c>
      <c r="AB105" s="80">
        <v>0</v>
      </c>
      <c r="AC105" s="80">
        <v>0</v>
      </c>
      <c r="AD105" s="80">
        <v>0</v>
      </c>
      <c r="AE105" s="80">
        <v>0</v>
      </c>
      <c r="AF105" s="80">
        <v>0</v>
      </c>
      <c r="AG105" s="80">
        <v>0</v>
      </c>
      <c r="AH105" s="80">
        <v>0</v>
      </c>
      <c r="AI105" s="80">
        <v>0</v>
      </c>
      <c r="AJ105" s="80">
        <v>0</v>
      </c>
      <c r="AK105" s="80">
        <v>0</v>
      </c>
      <c r="AL105" s="80">
        <v>0</v>
      </c>
      <c r="AM105" s="81">
        <v>0</v>
      </c>
      <c r="AN105" s="81">
        <v>0</v>
      </c>
      <c r="AO105" s="81">
        <v>0</v>
      </c>
    </row>
    <row r="106" spans="1:41" ht="15.75" x14ac:dyDescent="0.25">
      <c r="A106" s="84"/>
      <c r="B106" s="84"/>
      <c r="C106" s="84"/>
      <c r="D106" s="80" t="s">
        <v>247</v>
      </c>
      <c r="E106" s="80">
        <v>0</v>
      </c>
      <c r="F106" s="80">
        <v>0</v>
      </c>
      <c r="G106" s="80">
        <v>0</v>
      </c>
      <c r="H106" s="80">
        <v>0</v>
      </c>
      <c r="I106" s="80">
        <v>0</v>
      </c>
      <c r="J106" s="80">
        <v>0</v>
      </c>
      <c r="K106" s="80">
        <v>0</v>
      </c>
      <c r="L106" s="80">
        <v>0</v>
      </c>
      <c r="M106" s="80">
        <v>0</v>
      </c>
      <c r="N106" s="80">
        <v>0</v>
      </c>
      <c r="O106" s="80">
        <v>0</v>
      </c>
      <c r="P106" s="80">
        <v>0</v>
      </c>
      <c r="Q106" s="80">
        <v>0</v>
      </c>
      <c r="R106" s="80">
        <v>0</v>
      </c>
      <c r="S106" s="80">
        <v>0</v>
      </c>
      <c r="T106" s="80">
        <v>0</v>
      </c>
      <c r="U106" s="80">
        <v>0</v>
      </c>
      <c r="V106" s="80">
        <v>0</v>
      </c>
      <c r="W106" s="80">
        <v>0</v>
      </c>
      <c r="X106" s="80">
        <v>0</v>
      </c>
      <c r="Y106" s="80">
        <v>0</v>
      </c>
      <c r="Z106" s="80">
        <v>0</v>
      </c>
      <c r="AA106" s="80">
        <v>0</v>
      </c>
      <c r="AB106" s="80">
        <v>0</v>
      </c>
      <c r="AC106" s="80">
        <v>0</v>
      </c>
      <c r="AD106" s="80">
        <v>0</v>
      </c>
      <c r="AE106" s="80">
        <v>0</v>
      </c>
      <c r="AF106" s="80">
        <v>0</v>
      </c>
      <c r="AG106" s="80">
        <v>0</v>
      </c>
      <c r="AH106" s="80">
        <v>0</v>
      </c>
      <c r="AI106" s="80">
        <v>0</v>
      </c>
      <c r="AJ106" s="80">
        <v>0</v>
      </c>
      <c r="AK106" s="80">
        <v>0</v>
      </c>
      <c r="AL106" s="80">
        <v>0</v>
      </c>
      <c r="AM106" s="81">
        <v>0</v>
      </c>
      <c r="AN106" s="81">
        <v>0</v>
      </c>
      <c r="AO106" s="81">
        <v>0</v>
      </c>
    </row>
    <row r="107" spans="1:41" ht="15.75" x14ac:dyDescent="0.25">
      <c r="A107" s="84"/>
      <c r="B107" s="84"/>
      <c r="C107" s="84"/>
      <c r="D107" s="80" t="s">
        <v>248</v>
      </c>
      <c r="E107" s="80">
        <v>0</v>
      </c>
      <c r="F107" s="80">
        <v>0</v>
      </c>
      <c r="G107" s="80">
        <v>0</v>
      </c>
      <c r="H107" s="80">
        <v>0</v>
      </c>
      <c r="I107" s="80">
        <v>1</v>
      </c>
      <c r="J107" s="80">
        <v>0</v>
      </c>
      <c r="K107" s="80">
        <v>0</v>
      </c>
      <c r="L107" s="80">
        <v>0</v>
      </c>
      <c r="M107" s="80">
        <v>0</v>
      </c>
      <c r="N107" s="80">
        <v>0</v>
      </c>
      <c r="O107" s="80">
        <v>0</v>
      </c>
      <c r="P107" s="80">
        <v>0</v>
      </c>
      <c r="Q107" s="80">
        <v>0</v>
      </c>
      <c r="R107" s="80">
        <v>0</v>
      </c>
      <c r="S107" s="80">
        <v>0</v>
      </c>
      <c r="T107" s="80">
        <v>0</v>
      </c>
      <c r="U107" s="80">
        <v>0</v>
      </c>
      <c r="V107" s="80">
        <v>0</v>
      </c>
      <c r="W107" s="80">
        <v>0</v>
      </c>
      <c r="X107" s="80">
        <v>0</v>
      </c>
      <c r="Y107" s="80">
        <v>0</v>
      </c>
      <c r="Z107" s="80">
        <v>0</v>
      </c>
      <c r="AA107" s="80">
        <v>0</v>
      </c>
      <c r="AB107" s="80">
        <v>0</v>
      </c>
      <c r="AC107" s="80">
        <v>0</v>
      </c>
      <c r="AD107" s="80">
        <v>0</v>
      </c>
      <c r="AE107" s="80">
        <v>0</v>
      </c>
      <c r="AF107" s="80">
        <v>0</v>
      </c>
      <c r="AG107" s="80">
        <v>0</v>
      </c>
      <c r="AH107" s="80">
        <v>0</v>
      </c>
      <c r="AI107" s="80">
        <v>0</v>
      </c>
      <c r="AJ107" s="80">
        <v>0</v>
      </c>
      <c r="AK107" s="80">
        <v>0</v>
      </c>
      <c r="AL107" s="80">
        <v>0</v>
      </c>
      <c r="AM107" s="81">
        <v>0</v>
      </c>
      <c r="AN107" s="81">
        <v>0</v>
      </c>
      <c r="AO107" s="81">
        <v>0</v>
      </c>
    </row>
    <row r="108" spans="1:41" ht="15.75" x14ac:dyDescent="0.25">
      <c r="A108" s="84"/>
      <c r="B108" s="84"/>
      <c r="C108" s="84"/>
      <c r="D108" s="80" t="s">
        <v>258</v>
      </c>
      <c r="E108" s="80">
        <v>0</v>
      </c>
      <c r="F108" s="80">
        <v>0</v>
      </c>
      <c r="G108" s="80">
        <v>0</v>
      </c>
      <c r="H108" s="80">
        <v>0</v>
      </c>
      <c r="I108" s="80">
        <v>0</v>
      </c>
      <c r="J108" s="80">
        <v>0</v>
      </c>
      <c r="K108" s="80">
        <v>0</v>
      </c>
      <c r="L108" s="80">
        <v>0</v>
      </c>
      <c r="M108" s="80">
        <v>0</v>
      </c>
      <c r="N108" s="80">
        <v>0</v>
      </c>
      <c r="O108" s="80">
        <v>0</v>
      </c>
      <c r="P108" s="80">
        <v>0</v>
      </c>
      <c r="Q108" s="80">
        <v>0</v>
      </c>
      <c r="R108" s="80">
        <v>0</v>
      </c>
      <c r="S108" s="80">
        <v>0</v>
      </c>
      <c r="T108" s="80">
        <v>0</v>
      </c>
      <c r="U108" s="80">
        <v>0</v>
      </c>
      <c r="V108" s="80">
        <v>0</v>
      </c>
      <c r="W108" s="80">
        <v>0</v>
      </c>
      <c r="X108" s="80">
        <v>0</v>
      </c>
      <c r="Y108" s="80">
        <v>0</v>
      </c>
      <c r="Z108" s="80">
        <v>0</v>
      </c>
      <c r="AA108" s="80">
        <v>0</v>
      </c>
      <c r="AB108" s="80">
        <v>0</v>
      </c>
      <c r="AC108" s="80">
        <v>0</v>
      </c>
      <c r="AD108" s="80">
        <v>0</v>
      </c>
      <c r="AE108" s="80">
        <v>0</v>
      </c>
      <c r="AF108" s="80">
        <v>0</v>
      </c>
      <c r="AG108" s="80">
        <v>0</v>
      </c>
      <c r="AH108" s="80">
        <v>0</v>
      </c>
      <c r="AI108" s="80">
        <v>0</v>
      </c>
      <c r="AJ108" s="80">
        <v>0</v>
      </c>
      <c r="AK108" s="80">
        <v>0</v>
      </c>
      <c r="AL108" s="80">
        <v>0</v>
      </c>
      <c r="AM108" s="81">
        <v>0</v>
      </c>
      <c r="AN108" s="81">
        <v>0</v>
      </c>
      <c r="AO108" s="81">
        <v>0</v>
      </c>
    </row>
    <row r="109" spans="1:41" ht="15.75" x14ac:dyDescent="0.25">
      <c r="A109" s="84">
        <v>24</v>
      </c>
      <c r="B109" s="84"/>
      <c r="C109" s="84" t="s">
        <v>336</v>
      </c>
      <c r="D109" s="80" t="s">
        <v>245</v>
      </c>
      <c r="E109" s="438">
        <v>0</v>
      </c>
      <c r="F109" s="80">
        <v>0</v>
      </c>
      <c r="G109" s="80">
        <v>0</v>
      </c>
      <c r="H109" s="80">
        <v>0</v>
      </c>
      <c r="I109" s="387">
        <v>1</v>
      </c>
      <c r="J109" s="80">
        <v>0</v>
      </c>
      <c r="K109" s="80">
        <v>0</v>
      </c>
      <c r="L109" s="80">
        <v>0</v>
      </c>
      <c r="M109" s="80">
        <v>0</v>
      </c>
      <c r="N109" s="80">
        <v>0</v>
      </c>
      <c r="O109" s="80">
        <v>0</v>
      </c>
      <c r="P109" s="80">
        <v>0</v>
      </c>
      <c r="Q109" s="80">
        <v>0</v>
      </c>
      <c r="R109" s="80">
        <v>0</v>
      </c>
      <c r="S109" s="80">
        <v>0</v>
      </c>
      <c r="T109" s="80">
        <v>0</v>
      </c>
      <c r="U109" s="80">
        <v>0</v>
      </c>
      <c r="V109" s="80">
        <v>0</v>
      </c>
      <c r="W109" s="80">
        <v>0</v>
      </c>
      <c r="X109" s="80">
        <v>0</v>
      </c>
      <c r="Y109" s="80">
        <v>0</v>
      </c>
      <c r="Z109" s="80">
        <v>0</v>
      </c>
      <c r="AA109" s="80">
        <v>0</v>
      </c>
      <c r="AB109" s="80">
        <v>0</v>
      </c>
      <c r="AC109" s="80">
        <v>0</v>
      </c>
      <c r="AD109" s="80">
        <v>0</v>
      </c>
      <c r="AE109" s="80">
        <v>0</v>
      </c>
      <c r="AF109" s="80">
        <v>0</v>
      </c>
      <c r="AG109" s="80">
        <v>0</v>
      </c>
      <c r="AH109" s="80">
        <v>0</v>
      </c>
      <c r="AI109" s="80">
        <v>0</v>
      </c>
      <c r="AJ109" s="80">
        <v>0</v>
      </c>
      <c r="AK109" s="80">
        <v>0</v>
      </c>
      <c r="AL109" s="80">
        <v>0</v>
      </c>
      <c r="AM109" s="81">
        <v>0</v>
      </c>
      <c r="AN109" s="81">
        <v>0</v>
      </c>
      <c r="AO109" s="81">
        <v>0</v>
      </c>
    </row>
    <row r="110" spans="1:41" ht="15.75" x14ac:dyDescent="0.25">
      <c r="A110" s="84"/>
      <c r="B110" s="84"/>
      <c r="C110" s="84"/>
      <c r="D110" s="80" t="s">
        <v>246</v>
      </c>
      <c r="E110" s="80">
        <v>0</v>
      </c>
      <c r="F110" s="80">
        <v>0</v>
      </c>
      <c r="G110" s="80">
        <v>0</v>
      </c>
      <c r="H110" s="80">
        <v>0</v>
      </c>
      <c r="I110" s="80">
        <v>1</v>
      </c>
      <c r="J110" s="80">
        <v>0</v>
      </c>
      <c r="K110" s="80">
        <v>0</v>
      </c>
      <c r="L110" s="80">
        <v>0</v>
      </c>
      <c r="M110" s="80">
        <v>0</v>
      </c>
      <c r="N110" s="80">
        <v>0</v>
      </c>
      <c r="O110" s="80">
        <v>0</v>
      </c>
      <c r="P110" s="80">
        <v>0</v>
      </c>
      <c r="Q110" s="80">
        <v>0</v>
      </c>
      <c r="R110" s="80">
        <v>0</v>
      </c>
      <c r="S110" s="80">
        <v>0</v>
      </c>
      <c r="T110" s="80">
        <v>0</v>
      </c>
      <c r="U110" s="80">
        <v>0</v>
      </c>
      <c r="V110" s="80">
        <v>0</v>
      </c>
      <c r="W110" s="80">
        <v>0</v>
      </c>
      <c r="X110" s="80">
        <v>0</v>
      </c>
      <c r="Y110" s="80">
        <v>0</v>
      </c>
      <c r="Z110" s="80">
        <v>0</v>
      </c>
      <c r="AA110" s="80">
        <v>0</v>
      </c>
      <c r="AB110" s="80">
        <v>0</v>
      </c>
      <c r="AC110" s="80">
        <v>0</v>
      </c>
      <c r="AD110" s="80">
        <v>0</v>
      </c>
      <c r="AE110" s="80">
        <v>0</v>
      </c>
      <c r="AF110" s="80">
        <v>0</v>
      </c>
      <c r="AG110" s="80">
        <v>0</v>
      </c>
      <c r="AH110" s="80">
        <v>0</v>
      </c>
      <c r="AI110" s="80">
        <v>0</v>
      </c>
      <c r="AJ110" s="80">
        <v>0</v>
      </c>
      <c r="AK110" s="80">
        <v>0</v>
      </c>
      <c r="AL110" s="80">
        <v>0</v>
      </c>
      <c r="AM110" s="81">
        <v>0</v>
      </c>
      <c r="AN110" s="81">
        <v>0</v>
      </c>
      <c r="AO110" s="81">
        <v>0</v>
      </c>
    </row>
    <row r="111" spans="1:41" ht="15.75" x14ac:dyDescent="0.25">
      <c r="A111" s="84"/>
      <c r="B111" s="84"/>
      <c r="C111" s="84"/>
      <c r="D111" s="80" t="s">
        <v>247</v>
      </c>
      <c r="E111" s="80">
        <v>0</v>
      </c>
      <c r="F111" s="80">
        <v>0</v>
      </c>
      <c r="G111" s="80">
        <v>0</v>
      </c>
      <c r="H111" s="80">
        <v>0</v>
      </c>
      <c r="I111" s="80">
        <v>0</v>
      </c>
      <c r="J111" s="80">
        <v>0</v>
      </c>
      <c r="K111" s="80">
        <v>0</v>
      </c>
      <c r="L111" s="80">
        <v>0</v>
      </c>
      <c r="M111" s="80">
        <v>0</v>
      </c>
      <c r="N111" s="80">
        <v>0</v>
      </c>
      <c r="O111" s="80">
        <v>0</v>
      </c>
      <c r="P111" s="80">
        <v>0</v>
      </c>
      <c r="Q111" s="80">
        <v>0</v>
      </c>
      <c r="R111" s="80">
        <v>0</v>
      </c>
      <c r="S111" s="80">
        <v>0</v>
      </c>
      <c r="T111" s="80">
        <v>0</v>
      </c>
      <c r="U111" s="80">
        <v>0</v>
      </c>
      <c r="V111" s="80">
        <v>0</v>
      </c>
      <c r="W111" s="80">
        <v>0</v>
      </c>
      <c r="X111" s="80">
        <v>0</v>
      </c>
      <c r="Y111" s="80">
        <v>0</v>
      </c>
      <c r="Z111" s="80">
        <v>0</v>
      </c>
      <c r="AA111" s="80">
        <v>0</v>
      </c>
      <c r="AB111" s="80">
        <v>0</v>
      </c>
      <c r="AC111" s="80">
        <v>0</v>
      </c>
      <c r="AD111" s="80">
        <v>0</v>
      </c>
      <c r="AE111" s="80">
        <v>0</v>
      </c>
      <c r="AF111" s="80">
        <v>0</v>
      </c>
      <c r="AG111" s="80">
        <v>0</v>
      </c>
      <c r="AH111" s="80">
        <v>0</v>
      </c>
      <c r="AI111" s="80">
        <v>0</v>
      </c>
      <c r="AJ111" s="80">
        <v>0</v>
      </c>
      <c r="AK111" s="80">
        <v>0</v>
      </c>
      <c r="AL111" s="80">
        <v>0</v>
      </c>
      <c r="AM111" s="81">
        <v>0</v>
      </c>
      <c r="AN111" s="81">
        <v>0</v>
      </c>
      <c r="AO111" s="81">
        <v>0</v>
      </c>
    </row>
    <row r="112" spans="1:41" ht="15.75" x14ac:dyDescent="0.25">
      <c r="A112" s="84"/>
      <c r="B112" s="84"/>
      <c r="C112" s="84"/>
      <c r="D112" s="80" t="s">
        <v>248</v>
      </c>
      <c r="E112" s="80">
        <v>0</v>
      </c>
      <c r="F112" s="80">
        <v>0</v>
      </c>
      <c r="G112" s="80">
        <v>0</v>
      </c>
      <c r="H112" s="80">
        <v>0</v>
      </c>
      <c r="I112" s="80">
        <v>1</v>
      </c>
      <c r="J112" s="80">
        <v>0</v>
      </c>
      <c r="K112" s="80">
        <v>0</v>
      </c>
      <c r="L112" s="80">
        <v>0</v>
      </c>
      <c r="M112" s="80">
        <v>0</v>
      </c>
      <c r="N112" s="80">
        <v>0</v>
      </c>
      <c r="O112" s="80">
        <v>0</v>
      </c>
      <c r="P112" s="80">
        <v>0</v>
      </c>
      <c r="Q112" s="80">
        <v>0</v>
      </c>
      <c r="R112" s="80">
        <v>0</v>
      </c>
      <c r="S112" s="80">
        <v>0</v>
      </c>
      <c r="T112" s="80">
        <v>0</v>
      </c>
      <c r="U112" s="80">
        <v>0</v>
      </c>
      <c r="V112" s="80">
        <v>0</v>
      </c>
      <c r="W112" s="80">
        <v>0</v>
      </c>
      <c r="X112" s="80">
        <v>0</v>
      </c>
      <c r="Y112" s="80">
        <v>0</v>
      </c>
      <c r="Z112" s="80">
        <v>0</v>
      </c>
      <c r="AA112" s="80">
        <v>0</v>
      </c>
      <c r="AB112" s="80">
        <v>0</v>
      </c>
      <c r="AC112" s="80">
        <v>0</v>
      </c>
      <c r="AD112" s="80">
        <v>0</v>
      </c>
      <c r="AE112" s="80">
        <v>0</v>
      </c>
      <c r="AF112" s="80">
        <v>0</v>
      </c>
      <c r="AG112" s="80">
        <v>0</v>
      </c>
      <c r="AH112" s="80">
        <v>0</v>
      </c>
      <c r="AI112" s="80">
        <v>0</v>
      </c>
      <c r="AJ112" s="80">
        <v>0</v>
      </c>
      <c r="AK112" s="80">
        <v>0</v>
      </c>
      <c r="AL112" s="80">
        <v>0</v>
      </c>
      <c r="AM112" s="81">
        <v>0</v>
      </c>
      <c r="AN112" s="81">
        <v>0</v>
      </c>
      <c r="AO112" s="81">
        <v>0</v>
      </c>
    </row>
    <row r="113" spans="1:41" ht="15.75" x14ac:dyDescent="0.25">
      <c r="A113" s="84"/>
      <c r="B113" s="84"/>
      <c r="C113" s="84"/>
      <c r="D113" s="80" t="s">
        <v>258</v>
      </c>
      <c r="E113" s="80">
        <v>0</v>
      </c>
      <c r="F113" s="80">
        <v>0</v>
      </c>
      <c r="G113" s="80">
        <v>0</v>
      </c>
      <c r="H113" s="80">
        <v>0</v>
      </c>
      <c r="I113" s="80">
        <v>0</v>
      </c>
      <c r="J113" s="80">
        <v>0</v>
      </c>
      <c r="K113" s="80">
        <v>0</v>
      </c>
      <c r="L113" s="80">
        <v>0</v>
      </c>
      <c r="M113" s="80">
        <v>0</v>
      </c>
      <c r="N113" s="80">
        <v>0</v>
      </c>
      <c r="O113" s="80">
        <v>0</v>
      </c>
      <c r="P113" s="80">
        <v>0</v>
      </c>
      <c r="Q113" s="80">
        <v>0</v>
      </c>
      <c r="R113" s="80">
        <v>0</v>
      </c>
      <c r="S113" s="80">
        <v>0</v>
      </c>
      <c r="T113" s="80">
        <v>0</v>
      </c>
      <c r="U113" s="80">
        <v>0</v>
      </c>
      <c r="V113" s="80">
        <v>0</v>
      </c>
      <c r="W113" s="80">
        <v>0</v>
      </c>
      <c r="X113" s="80">
        <v>0</v>
      </c>
      <c r="Y113" s="80">
        <v>0</v>
      </c>
      <c r="Z113" s="80">
        <v>0</v>
      </c>
      <c r="AA113" s="80">
        <v>0</v>
      </c>
      <c r="AB113" s="80">
        <v>0</v>
      </c>
      <c r="AC113" s="80">
        <v>0</v>
      </c>
      <c r="AD113" s="80">
        <v>0</v>
      </c>
      <c r="AE113" s="80">
        <v>0</v>
      </c>
      <c r="AF113" s="80">
        <v>0</v>
      </c>
      <c r="AG113" s="80">
        <v>0</v>
      </c>
      <c r="AH113" s="80">
        <v>0</v>
      </c>
      <c r="AI113" s="80">
        <v>0</v>
      </c>
      <c r="AJ113" s="80">
        <v>0</v>
      </c>
      <c r="AK113" s="80">
        <v>0</v>
      </c>
      <c r="AL113" s="80">
        <v>0</v>
      </c>
      <c r="AM113" s="81">
        <v>0</v>
      </c>
      <c r="AN113" s="81">
        <v>0</v>
      </c>
      <c r="AO113" s="81">
        <v>0</v>
      </c>
    </row>
    <row r="114" spans="1:41" ht="15.75" x14ac:dyDescent="0.25">
      <c r="A114" s="84">
        <v>25</v>
      </c>
      <c r="B114" s="84" t="s">
        <v>83</v>
      </c>
      <c r="C114" s="84" t="s">
        <v>170</v>
      </c>
      <c r="D114" s="80" t="s">
        <v>245</v>
      </c>
      <c r="E114" s="438">
        <v>0</v>
      </c>
      <c r="F114" s="80">
        <v>0</v>
      </c>
      <c r="G114" s="80">
        <v>0</v>
      </c>
      <c r="H114" s="387">
        <v>2</v>
      </c>
      <c r="I114" s="80">
        <v>0</v>
      </c>
      <c r="J114" s="387">
        <v>2</v>
      </c>
      <c r="K114" s="80">
        <v>0</v>
      </c>
      <c r="L114" s="80">
        <v>0</v>
      </c>
      <c r="M114" s="80">
        <v>0</v>
      </c>
      <c r="N114" s="80">
        <v>0</v>
      </c>
      <c r="O114" s="387">
        <v>1</v>
      </c>
      <c r="P114" s="80">
        <v>0</v>
      </c>
      <c r="Q114" s="387">
        <v>1</v>
      </c>
      <c r="R114" s="387">
        <v>2</v>
      </c>
      <c r="S114" s="80">
        <v>0</v>
      </c>
      <c r="T114" s="80">
        <v>0</v>
      </c>
      <c r="U114" s="387">
        <v>2</v>
      </c>
      <c r="V114" s="387">
        <v>2</v>
      </c>
      <c r="W114" s="387">
        <v>1</v>
      </c>
      <c r="X114" s="80">
        <v>0</v>
      </c>
      <c r="Y114" s="80">
        <v>0</v>
      </c>
      <c r="Z114" s="80">
        <v>0</v>
      </c>
      <c r="AA114" s="80">
        <v>0</v>
      </c>
      <c r="AB114" s="80">
        <v>0</v>
      </c>
      <c r="AC114" s="80">
        <v>0</v>
      </c>
      <c r="AD114" s="80">
        <v>0</v>
      </c>
      <c r="AE114" s="387">
        <v>1</v>
      </c>
      <c r="AF114" s="80">
        <v>0</v>
      </c>
      <c r="AG114" s="390">
        <v>2</v>
      </c>
      <c r="AH114" s="80">
        <v>0</v>
      </c>
      <c r="AI114" s="81">
        <v>0</v>
      </c>
      <c r="AJ114" s="81">
        <v>0</v>
      </c>
      <c r="AK114" s="81">
        <v>0</v>
      </c>
      <c r="AL114" s="81">
        <v>0</v>
      </c>
      <c r="AM114" s="390">
        <v>1</v>
      </c>
      <c r="AN114" s="81">
        <v>0</v>
      </c>
      <c r="AO114" s="81">
        <v>0</v>
      </c>
    </row>
    <row r="115" spans="1:41" ht="15.75" x14ac:dyDescent="0.25">
      <c r="A115" s="84"/>
      <c r="B115" s="84"/>
      <c r="C115" s="84"/>
      <c r="D115" s="80" t="s">
        <v>246</v>
      </c>
      <c r="E115" s="80">
        <v>1</v>
      </c>
      <c r="F115" s="80">
        <v>0</v>
      </c>
      <c r="G115" s="80">
        <v>0</v>
      </c>
      <c r="H115" s="80">
        <v>1</v>
      </c>
      <c r="I115" s="80">
        <v>0</v>
      </c>
      <c r="J115" s="80">
        <v>2</v>
      </c>
      <c r="K115" s="80">
        <v>0</v>
      </c>
      <c r="L115" s="80">
        <v>0</v>
      </c>
      <c r="M115" s="80">
        <v>0</v>
      </c>
      <c r="N115" s="80">
        <v>0</v>
      </c>
      <c r="O115" s="80">
        <v>1</v>
      </c>
      <c r="P115" s="80">
        <v>0</v>
      </c>
      <c r="Q115" s="80">
        <v>1</v>
      </c>
      <c r="R115" s="80">
        <v>2</v>
      </c>
      <c r="S115" s="80">
        <v>0</v>
      </c>
      <c r="T115" s="80">
        <v>0</v>
      </c>
      <c r="U115" s="80">
        <v>2</v>
      </c>
      <c r="V115" s="80">
        <v>2</v>
      </c>
      <c r="W115" s="80">
        <v>1</v>
      </c>
      <c r="X115" s="80">
        <v>0</v>
      </c>
      <c r="Y115" s="80">
        <v>0</v>
      </c>
      <c r="Z115" s="80">
        <v>0</v>
      </c>
      <c r="AA115" s="80">
        <v>0</v>
      </c>
      <c r="AB115" s="80">
        <v>0</v>
      </c>
      <c r="AC115" s="80">
        <v>0</v>
      </c>
      <c r="AD115" s="80">
        <v>0</v>
      </c>
      <c r="AE115" s="80">
        <v>1</v>
      </c>
      <c r="AF115" s="80">
        <v>0</v>
      </c>
      <c r="AG115" s="81">
        <v>2</v>
      </c>
      <c r="AH115" s="80">
        <v>0</v>
      </c>
      <c r="AI115" s="81">
        <v>0</v>
      </c>
      <c r="AJ115" s="81">
        <v>0</v>
      </c>
      <c r="AK115" s="81">
        <v>0</v>
      </c>
      <c r="AL115" s="81">
        <v>0</v>
      </c>
      <c r="AM115" s="81">
        <v>1</v>
      </c>
      <c r="AN115" s="81">
        <v>0</v>
      </c>
      <c r="AO115" s="81">
        <v>0</v>
      </c>
    </row>
    <row r="116" spans="1:41" ht="15.75" x14ac:dyDescent="0.25">
      <c r="A116" s="84"/>
      <c r="B116" s="84"/>
      <c r="C116" s="84"/>
      <c r="D116" s="80" t="s">
        <v>247</v>
      </c>
      <c r="E116" s="80">
        <v>0</v>
      </c>
      <c r="F116" s="80">
        <v>0</v>
      </c>
      <c r="G116" s="80">
        <v>0</v>
      </c>
      <c r="H116" s="80">
        <v>1</v>
      </c>
      <c r="I116" s="80">
        <v>0</v>
      </c>
      <c r="J116" s="80">
        <v>0</v>
      </c>
      <c r="K116" s="80">
        <v>0</v>
      </c>
      <c r="L116" s="80">
        <v>0</v>
      </c>
      <c r="M116" s="80">
        <v>0</v>
      </c>
      <c r="N116" s="80">
        <v>0</v>
      </c>
      <c r="O116" s="80">
        <v>0</v>
      </c>
      <c r="P116" s="80">
        <v>0</v>
      </c>
      <c r="Q116" s="80">
        <v>0</v>
      </c>
      <c r="R116" s="80">
        <v>0</v>
      </c>
      <c r="S116" s="80">
        <v>0</v>
      </c>
      <c r="T116" s="80">
        <v>0</v>
      </c>
      <c r="U116" s="80">
        <v>0</v>
      </c>
      <c r="V116" s="80">
        <v>0</v>
      </c>
      <c r="W116" s="80">
        <v>0</v>
      </c>
      <c r="X116" s="80">
        <v>0</v>
      </c>
      <c r="Y116" s="80">
        <v>0</v>
      </c>
      <c r="Z116" s="80">
        <v>0</v>
      </c>
      <c r="AA116" s="80">
        <v>0</v>
      </c>
      <c r="AB116" s="80">
        <v>0</v>
      </c>
      <c r="AC116" s="80">
        <v>0</v>
      </c>
      <c r="AD116" s="80">
        <v>0</v>
      </c>
      <c r="AE116" s="80">
        <v>0</v>
      </c>
      <c r="AF116" s="80">
        <v>0</v>
      </c>
      <c r="AG116" s="81">
        <v>0</v>
      </c>
      <c r="AH116" s="80">
        <v>0</v>
      </c>
      <c r="AI116" s="81">
        <v>0</v>
      </c>
      <c r="AJ116" s="81">
        <v>0</v>
      </c>
      <c r="AK116" s="81">
        <v>0</v>
      </c>
      <c r="AL116" s="81">
        <v>0</v>
      </c>
      <c r="AM116" s="81">
        <v>0</v>
      </c>
      <c r="AN116" s="81">
        <v>0</v>
      </c>
      <c r="AO116" s="81">
        <v>0</v>
      </c>
    </row>
    <row r="117" spans="1:41" ht="15.75" x14ac:dyDescent="0.25">
      <c r="A117" s="84"/>
      <c r="B117" s="84"/>
      <c r="C117" s="84"/>
      <c r="D117" s="80" t="s">
        <v>248</v>
      </c>
      <c r="E117" s="80">
        <v>1</v>
      </c>
      <c r="F117" s="80">
        <v>0</v>
      </c>
      <c r="G117" s="80">
        <v>0</v>
      </c>
      <c r="H117" s="80">
        <v>1</v>
      </c>
      <c r="I117" s="80">
        <v>0</v>
      </c>
      <c r="J117" s="80">
        <v>2</v>
      </c>
      <c r="K117" s="80">
        <v>0</v>
      </c>
      <c r="L117" s="80">
        <v>0</v>
      </c>
      <c r="M117" s="80">
        <v>0</v>
      </c>
      <c r="N117" s="80">
        <v>0</v>
      </c>
      <c r="O117" s="80">
        <v>1</v>
      </c>
      <c r="P117" s="80">
        <v>0</v>
      </c>
      <c r="Q117" s="80">
        <v>1</v>
      </c>
      <c r="R117" s="80">
        <v>0</v>
      </c>
      <c r="S117" s="80">
        <v>0</v>
      </c>
      <c r="T117" s="80">
        <v>0</v>
      </c>
      <c r="U117" s="80">
        <v>2</v>
      </c>
      <c r="V117" s="80">
        <v>1</v>
      </c>
      <c r="W117" s="80">
        <v>1</v>
      </c>
      <c r="X117" s="80">
        <v>0</v>
      </c>
      <c r="Y117" s="80">
        <v>0</v>
      </c>
      <c r="Z117" s="80">
        <v>0</v>
      </c>
      <c r="AA117" s="80">
        <v>0</v>
      </c>
      <c r="AB117" s="80">
        <v>0</v>
      </c>
      <c r="AC117" s="80">
        <v>0</v>
      </c>
      <c r="AD117" s="80">
        <v>0</v>
      </c>
      <c r="AE117" s="80">
        <v>0</v>
      </c>
      <c r="AF117" s="80">
        <v>0</v>
      </c>
      <c r="AG117" s="81">
        <v>2</v>
      </c>
      <c r="AH117" s="80">
        <v>0</v>
      </c>
      <c r="AI117" s="81">
        <v>0</v>
      </c>
      <c r="AJ117" s="81">
        <v>0</v>
      </c>
      <c r="AK117" s="81">
        <v>0</v>
      </c>
      <c r="AL117" s="81">
        <v>0</v>
      </c>
      <c r="AM117" s="81">
        <v>1</v>
      </c>
      <c r="AN117" s="81">
        <v>0</v>
      </c>
      <c r="AO117" s="81">
        <v>0</v>
      </c>
    </row>
    <row r="118" spans="1:41" ht="15.75" x14ac:dyDescent="0.25">
      <c r="A118" s="84"/>
      <c r="B118" s="84"/>
      <c r="C118" s="84"/>
      <c r="D118" s="80" t="s">
        <v>258</v>
      </c>
      <c r="E118" s="80">
        <v>0</v>
      </c>
      <c r="F118" s="80">
        <v>0</v>
      </c>
      <c r="G118" s="80">
        <v>0</v>
      </c>
      <c r="H118" s="80">
        <v>0</v>
      </c>
      <c r="I118" s="80">
        <v>0</v>
      </c>
      <c r="J118" s="80">
        <v>0</v>
      </c>
      <c r="K118" s="80">
        <v>0</v>
      </c>
      <c r="L118" s="80">
        <v>0</v>
      </c>
      <c r="M118" s="80">
        <v>0</v>
      </c>
      <c r="N118" s="80">
        <v>0</v>
      </c>
      <c r="O118" s="80">
        <v>0</v>
      </c>
      <c r="P118" s="80">
        <v>0</v>
      </c>
      <c r="Q118" s="80">
        <v>0</v>
      </c>
      <c r="R118" s="80">
        <v>2</v>
      </c>
      <c r="S118" s="80">
        <v>0</v>
      </c>
      <c r="T118" s="80">
        <v>0</v>
      </c>
      <c r="U118" s="80">
        <v>0</v>
      </c>
      <c r="V118" s="80">
        <v>1</v>
      </c>
      <c r="W118" s="80">
        <v>0</v>
      </c>
      <c r="X118" s="80">
        <v>0</v>
      </c>
      <c r="Y118" s="80">
        <v>0</v>
      </c>
      <c r="Z118" s="80">
        <v>0</v>
      </c>
      <c r="AA118" s="80">
        <v>0</v>
      </c>
      <c r="AB118" s="80">
        <v>0</v>
      </c>
      <c r="AC118" s="80">
        <v>0</v>
      </c>
      <c r="AD118" s="80">
        <v>0</v>
      </c>
      <c r="AE118" s="80">
        <v>1</v>
      </c>
      <c r="AF118" s="80">
        <v>0</v>
      </c>
      <c r="AG118" s="80">
        <v>0</v>
      </c>
      <c r="AH118" s="80">
        <v>0</v>
      </c>
      <c r="AI118" s="80">
        <v>0</v>
      </c>
      <c r="AJ118" s="80">
        <v>0</v>
      </c>
      <c r="AK118" s="80">
        <v>0</v>
      </c>
      <c r="AL118" s="80">
        <v>0</v>
      </c>
      <c r="AM118" s="81">
        <v>0</v>
      </c>
      <c r="AN118" s="81">
        <v>0</v>
      </c>
      <c r="AO118" s="81">
        <v>0</v>
      </c>
    </row>
    <row r="119" spans="1:41" ht="15.75" x14ac:dyDescent="0.25">
      <c r="A119" s="84">
        <v>26</v>
      </c>
      <c r="B119" s="84"/>
      <c r="C119" s="84" t="s">
        <v>19</v>
      </c>
      <c r="D119" s="80" t="s">
        <v>245</v>
      </c>
      <c r="E119" s="438">
        <v>0</v>
      </c>
      <c r="F119" s="80">
        <v>0</v>
      </c>
      <c r="G119" s="80">
        <v>0</v>
      </c>
      <c r="H119" s="387">
        <v>1</v>
      </c>
      <c r="I119" s="387">
        <v>1</v>
      </c>
      <c r="J119" s="387">
        <v>1</v>
      </c>
      <c r="K119" s="80">
        <v>0</v>
      </c>
      <c r="L119" s="80">
        <v>0</v>
      </c>
      <c r="M119" s="80">
        <v>0</v>
      </c>
      <c r="N119" s="387">
        <v>1</v>
      </c>
      <c r="O119" s="387">
        <v>1</v>
      </c>
      <c r="P119" s="80">
        <v>0</v>
      </c>
      <c r="Q119" s="387">
        <v>1</v>
      </c>
      <c r="R119" s="387">
        <v>1</v>
      </c>
      <c r="S119" s="80">
        <v>0</v>
      </c>
      <c r="T119" s="80">
        <v>0</v>
      </c>
      <c r="U119" s="387">
        <v>2</v>
      </c>
      <c r="V119" s="387">
        <v>2</v>
      </c>
      <c r="W119" s="80">
        <v>0</v>
      </c>
      <c r="X119" s="80">
        <v>0</v>
      </c>
      <c r="Y119" s="80">
        <v>0</v>
      </c>
      <c r="Z119" s="80">
        <v>1</v>
      </c>
      <c r="AA119" s="387">
        <v>1</v>
      </c>
      <c r="AB119" s="80">
        <v>0</v>
      </c>
      <c r="AC119" s="80">
        <v>0</v>
      </c>
      <c r="AD119" s="80">
        <v>0</v>
      </c>
      <c r="AE119" s="387">
        <v>2</v>
      </c>
      <c r="AF119" s="80">
        <v>0</v>
      </c>
      <c r="AG119" s="390">
        <v>1</v>
      </c>
      <c r="AH119" s="80">
        <v>0</v>
      </c>
      <c r="AI119" s="81">
        <v>0</v>
      </c>
      <c r="AJ119" s="81">
        <v>0</v>
      </c>
      <c r="AK119" s="81">
        <v>0</v>
      </c>
      <c r="AL119" s="81">
        <v>0</v>
      </c>
      <c r="AM119" s="390">
        <v>2</v>
      </c>
      <c r="AN119" s="81">
        <v>0</v>
      </c>
      <c r="AO119" s="81">
        <v>0</v>
      </c>
    </row>
    <row r="120" spans="1:41" ht="15.75" x14ac:dyDescent="0.25">
      <c r="A120" s="84"/>
      <c r="B120" s="84"/>
      <c r="C120" s="84"/>
      <c r="D120" s="80" t="s">
        <v>246</v>
      </c>
      <c r="E120" s="80">
        <v>0</v>
      </c>
      <c r="F120" s="80">
        <v>0</v>
      </c>
      <c r="G120" s="80">
        <v>0</v>
      </c>
      <c r="H120" s="80">
        <v>1</v>
      </c>
      <c r="I120" s="80">
        <v>1</v>
      </c>
      <c r="J120" s="80">
        <v>1</v>
      </c>
      <c r="K120" s="80">
        <v>0</v>
      </c>
      <c r="L120" s="80">
        <v>0</v>
      </c>
      <c r="M120" s="80">
        <v>0</v>
      </c>
      <c r="N120" s="80">
        <v>1</v>
      </c>
      <c r="O120" s="80">
        <v>1</v>
      </c>
      <c r="P120" s="80">
        <v>0</v>
      </c>
      <c r="Q120" s="80">
        <v>1</v>
      </c>
      <c r="R120" s="80">
        <v>1</v>
      </c>
      <c r="S120" s="80">
        <v>0</v>
      </c>
      <c r="T120" s="80">
        <v>0</v>
      </c>
      <c r="U120" s="80">
        <v>2</v>
      </c>
      <c r="V120" s="80">
        <v>2</v>
      </c>
      <c r="W120" s="80">
        <v>0</v>
      </c>
      <c r="X120" s="80">
        <v>0</v>
      </c>
      <c r="Y120" s="80">
        <v>0</v>
      </c>
      <c r="Z120" s="80">
        <v>1</v>
      </c>
      <c r="AA120" s="80">
        <v>1</v>
      </c>
      <c r="AB120" s="80">
        <v>0</v>
      </c>
      <c r="AC120" s="80">
        <v>0</v>
      </c>
      <c r="AD120" s="80">
        <v>0</v>
      </c>
      <c r="AE120" s="80">
        <v>2</v>
      </c>
      <c r="AF120" s="80">
        <v>0</v>
      </c>
      <c r="AG120" s="81">
        <v>1</v>
      </c>
      <c r="AH120" s="80">
        <v>0</v>
      </c>
      <c r="AI120" s="81">
        <v>0</v>
      </c>
      <c r="AJ120" s="81">
        <v>0</v>
      </c>
      <c r="AK120" s="81">
        <v>0</v>
      </c>
      <c r="AL120" s="81">
        <v>0</v>
      </c>
      <c r="AM120" s="81">
        <v>2</v>
      </c>
      <c r="AN120" s="81">
        <v>0</v>
      </c>
      <c r="AO120" s="81">
        <v>0</v>
      </c>
    </row>
    <row r="121" spans="1:41" ht="15.75" x14ac:dyDescent="0.25">
      <c r="A121" s="84"/>
      <c r="B121" s="84"/>
      <c r="C121" s="84"/>
      <c r="D121" s="80" t="s">
        <v>247</v>
      </c>
      <c r="E121" s="80">
        <v>0</v>
      </c>
      <c r="F121" s="80">
        <v>0</v>
      </c>
      <c r="G121" s="80">
        <v>0</v>
      </c>
      <c r="H121" s="80">
        <v>0</v>
      </c>
      <c r="I121" s="80">
        <v>0</v>
      </c>
      <c r="J121" s="80">
        <v>0</v>
      </c>
      <c r="K121" s="80">
        <v>0</v>
      </c>
      <c r="L121" s="80">
        <v>0</v>
      </c>
      <c r="M121" s="80">
        <v>0</v>
      </c>
      <c r="N121" s="80">
        <v>0</v>
      </c>
      <c r="O121" s="80">
        <v>0</v>
      </c>
      <c r="P121" s="80">
        <v>0</v>
      </c>
      <c r="Q121" s="80">
        <v>0</v>
      </c>
      <c r="R121" s="80">
        <v>0</v>
      </c>
      <c r="S121" s="80">
        <v>0</v>
      </c>
      <c r="T121" s="80">
        <v>0</v>
      </c>
      <c r="U121" s="80">
        <v>0</v>
      </c>
      <c r="V121" s="80">
        <v>0</v>
      </c>
      <c r="W121" s="80">
        <v>0</v>
      </c>
      <c r="X121" s="80">
        <v>0</v>
      </c>
      <c r="Y121" s="80">
        <v>0</v>
      </c>
      <c r="Z121" s="80">
        <v>0</v>
      </c>
      <c r="AA121" s="80">
        <v>0</v>
      </c>
      <c r="AB121" s="80">
        <v>0</v>
      </c>
      <c r="AC121" s="80">
        <v>0</v>
      </c>
      <c r="AD121" s="80">
        <v>0</v>
      </c>
      <c r="AE121" s="80">
        <v>0</v>
      </c>
      <c r="AF121" s="80">
        <v>0</v>
      </c>
      <c r="AG121" s="81">
        <v>0</v>
      </c>
      <c r="AH121" s="80">
        <v>0</v>
      </c>
      <c r="AI121" s="81">
        <v>0</v>
      </c>
      <c r="AJ121" s="81">
        <v>0</v>
      </c>
      <c r="AK121" s="81">
        <v>0</v>
      </c>
      <c r="AL121" s="81">
        <v>0</v>
      </c>
      <c r="AM121" s="81">
        <v>0</v>
      </c>
      <c r="AN121" s="81">
        <v>0</v>
      </c>
      <c r="AO121" s="81">
        <v>0</v>
      </c>
    </row>
    <row r="122" spans="1:41" ht="15.75" x14ac:dyDescent="0.25">
      <c r="A122" s="84"/>
      <c r="B122" s="84"/>
      <c r="C122" s="84"/>
      <c r="D122" s="80" t="s">
        <v>248</v>
      </c>
      <c r="E122" s="80">
        <v>0</v>
      </c>
      <c r="F122" s="80">
        <v>0</v>
      </c>
      <c r="G122" s="80">
        <v>0</v>
      </c>
      <c r="H122" s="80">
        <v>1</v>
      </c>
      <c r="I122" s="80">
        <v>0</v>
      </c>
      <c r="J122" s="80">
        <v>1</v>
      </c>
      <c r="K122" s="80">
        <v>0</v>
      </c>
      <c r="L122" s="80">
        <v>0</v>
      </c>
      <c r="M122" s="80">
        <v>0</v>
      </c>
      <c r="N122" s="80">
        <v>1</v>
      </c>
      <c r="O122" s="80">
        <v>1</v>
      </c>
      <c r="P122" s="80">
        <v>0</v>
      </c>
      <c r="Q122" s="80">
        <v>1</v>
      </c>
      <c r="R122" s="80">
        <v>1</v>
      </c>
      <c r="S122" s="80">
        <v>0</v>
      </c>
      <c r="T122" s="80">
        <v>0</v>
      </c>
      <c r="U122" s="80">
        <v>2</v>
      </c>
      <c r="V122" s="80">
        <v>1</v>
      </c>
      <c r="W122" s="80">
        <v>0</v>
      </c>
      <c r="X122" s="80">
        <v>0</v>
      </c>
      <c r="Y122" s="80">
        <v>0</v>
      </c>
      <c r="Z122" s="80">
        <v>1</v>
      </c>
      <c r="AA122" s="80">
        <v>1</v>
      </c>
      <c r="AB122" s="80">
        <v>0</v>
      </c>
      <c r="AC122" s="80">
        <v>0</v>
      </c>
      <c r="AD122" s="80">
        <v>0</v>
      </c>
      <c r="AE122" s="80">
        <v>2</v>
      </c>
      <c r="AF122" s="80">
        <v>0</v>
      </c>
      <c r="AG122" s="81">
        <v>1</v>
      </c>
      <c r="AH122" s="80">
        <v>0</v>
      </c>
      <c r="AI122" s="81">
        <v>0</v>
      </c>
      <c r="AJ122" s="81">
        <v>0</v>
      </c>
      <c r="AK122" s="81">
        <v>0</v>
      </c>
      <c r="AL122" s="81">
        <v>0</v>
      </c>
      <c r="AM122" s="81">
        <v>1</v>
      </c>
      <c r="AN122" s="81">
        <v>0</v>
      </c>
      <c r="AO122" s="81">
        <v>0</v>
      </c>
    </row>
    <row r="123" spans="1:41" ht="15.75" x14ac:dyDescent="0.25">
      <c r="A123" s="84"/>
      <c r="B123" s="84"/>
      <c r="C123" s="84"/>
      <c r="D123" s="80" t="s">
        <v>258</v>
      </c>
      <c r="E123" s="80">
        <v>0</v>
      </c>
      <c r="F123" s="80">
        <v>0</v>
      </c>
      <c r="G123" s="80">
        <v>0</v>
      </c>
      <c r="H123" s="80">
        <v>0</v>
      </c>
      <c r="I123" s="80">
        <v>1</v>
      </c>
      <c r="J123" s="80">
        <v>0</v>
      </c>
      <c r="K123" s="80">
        <v>0</v>
      </c>
      <c r="L123" s="80">
        <v>0</v>
      </c>
      <c r="M123" s="80">
        <v>0</v>
      </c>
      <c r="N123" s="80">
        <v>0</v>
      </c>
      <c r="O123" s="80">
        <v>0</v>
      </c>
      <c r="P123" s="80">
        <v>0</v>
      </c>
      <c r="Q123" s="80">
        <v>0</v>
      </c>
      <c r="R123" s="80">
        <v>0</v>
      </c>
      <c r="S123" s="80">
        <v>0</v>
      </c>
      <c r="T123" s="80">
        <v>0</v>
      </c>
      <c r="U123" s="80">
        <v>0</v>
      </c>
      <c r="V123" s="80">
        <v>1</v>
      </c>
      <c r="W123" s="80">
        <v>0</v>
      </c>
      <c r="X123" s="80">
        <v>0</v>
      </c>
      <c r="Y123" s="80">
        <v>0</v>
      </c>
      <c r="Z123" s="80">
        <v>0</v>
      </c>
      <c r="AA123" s="80">
        <v>0</v>
      </c>
      <c r="AB123" s="80">
        <v>0</v>
      </c>
      <c r="AC123" s="80">
        <v>0</v>
      </c>
      <c r="AD123" s="80">
        <v>0</v>
      </c>
      <c r="AE123" s="80">
        <v>0</v>
      </c>
      <c r="AF123" s="80">
        <v>0</v>
      </c>
      <c r="AG123" s="80">
        <v>0</v>
      </c>
      <c r="AH123" s="80">
        <v>0</v>
      </c>
      <c r="AI123" s="80">
        <v>0</v>
      </c>
      <c r="AJ123" s="80">
        <v>0</v>
      </c>
      <c r="AK123" s="80">
        <v>0</v>
      </c>
      <c r="AL123" s="80">
        <v>0</v>
      </c>
      <c r="AM123" s="81">
        <v>1</v>
      </c>
      <c r="AN123" s="81">
        <v>0</v>
      </c>
      <c r="AO123" s="81">
        <v>0</v>
      </c>
    </row>
    <row r="124" spans="1:41" ht="15.75" x14ac:dyDescent="0.25">
      <c r="A124" s="84">
        <v>27</v>
      </c>
      <c r="B124" s="84" t="s">
        <v>90</v>
      </c>
      <c r="C124" s="84" t="s">
        <v>90</v>
      </c>
      <c r="D124" s="80" t="s">
        <v>245</v>
      </c>
      <c r="E124" s="438">
        <v>0</v>
      </c>
      <c r="F124" s="80">
        <v>0</v>
      </c>
      <c r="G124" s="80">
        <v>0</v>
      </c>
      <c r="H124" s="387">
        <v>3</v>
      </c>
      <c r="I124" s="387">
        <v>3</v>
      </c>
      <c r="J124" s="387">
        <v>2</v>
      </c>
      <c r="K124" s="80">
        <v>0</v>
      </c>
      <c r="L124" s="387">
        <v>2</v>
      </c>
      <c r="M124" s="80">
        <v>0</v>
      </c>
      <c r="N124" s="80">
        <v>0</v>
      </c>
      <c r="O124" s="387">
        <v>1</v>
      </c>
      <c r="P124" s="80">
        <v>0</v>
      </c>
      <c r="Q124" s="387">
        <v>2</v>
      </c>
      <c r="R124" s="80">
        <v>0</v>
      </c>
      <c r="S124" s="80">
        <v>0</v>
      </c>
      <c r="T124" s="387">
        <v>1</v>
      </c>
      <c r="U124" s="387">
        <v>3</v>
      </c>
      <c r="V124" s="387">
        <v>2</v>
      </c>
      <c r="W124" s="387">
        <v>1</v>
      </c>
      <c r="X124" s="80">
        <v>0</v>
      </c>
      <c r="Y124" s="80">
        <v>0</v>
      </c>
      <c r="Z124" s="80">
        <v>0</v>
      </c>
      <c r="AA124" s="387">
        <v>1</v>
      </c>
      <c r="AB124" s="387">
        <v>1</v>
      </c>
      <c r="AC124" s="387">
        <v>2</v>
      </c>
      <c r="AD124" s="387">
        <v>1</v>
      </c>
      <c r="AE124" s="387">
        <v>1</v>
      </c>
      <c r="AF124" s="80">
        <v>0</v>
      </c>
      <c r="AG124" s="81">
        <v>0</v>
      </c>
      <c r="AH124" s="387">
        <v>1</v>
      </c>
      <c r="AI124" s="81">
        <v>0</v>
      </c>
      <c r="AJ124" s="81">
        <v>0</v>
      </c>
      <c r="AK124" s="81">
        <v>0</v>
      </c>
      <c r="AL124" s="81">
        <v>0</v>
      </c>
      <c r="AM124" s="81">
        <v>0</v>
      </c>
      <c r="AN124" s="81">
        <v>0</v>
      </c>
      <c r="AO124" s="81">
        <v>0</v>
      </c>
    </row>
    <row r="125" spans="1:41" ht="15.75" x14ac:dyDescent="0.25">
      <c r="A125" s="84">
        <v>28</v>
      </c>
      <c r="B125" s="84"/>
      <c r="C125" s="84" t="s">
        <v>142</v>
      </c>
      <c r="D125" s="80" t="s">
        <v>246</v>
      </c>
      <c r="E125" s="80">
        <v>0</v>
      </c>
      <c r="F125" s="80">
        <v>0</v>
      </c>
      <c r="G125" s="80">
        <v>0</v>
      </c>
      <c r="H125" s="80">
        <v>2</v>
      </c>
      <c r="I125" s="80">
        <v>2</v>
      </c>
      <c r="J125" s="80">
        <v>3</v>
      </c>
      <c r="K125" s="80">
        <v>0</v>
      </c>
      <c r="L125" s="80">
        <v>0</v>
      </c>
      <c r="M125" s="80">
        <v>0</v>
      </c>
      <c r="N125" s="80">
        <v>0</v>
      </c>
      <c r="O125" s="80">
        <v>1</v>
      </c>
      <c r="P125" s="80">
        <v>0</v>
      </c>
      <c r="Q125" s="80">
        <v>2</v>
      </c>
      <c r="R125" s="80">
        <v>0</v>
      </c>
      <c r="S125" s="80">
        <v>0</v>
      </c>
      <c r="T125" s="80">
        <v>1</v>
      </c>
      <c r="U125" s="80">
        <v>3</v>
      </c>
      <c r="V125" s="80">
        <v>2</v>
      </c>
      <c r="W125" s="80">
        <v>1</v>
      </c>
      <c r="X125" s="80">
        <v>0</v>
      </c>
      <c r="Y125" s="80">
        <v>0</v>
      </c>
      <c r="Z125" s="80">
        <v>0</v>
      </c>
      <c r="AA125" s="80">
        <v>1</v>
      </c>
      <c r="AB125" s="80">
        <v>1</v>
      </c>
      <c r="AC125" s="80">
        <v>2</v>
      </c>
      <c r="AD125" s="80">
        <v>1</v>
      </c>
      <c r="AE125" s="80">
        <v>1</v>
      </c>
      <c r="AF125" s="80">
        <v>0</v>
      </c>
      <c r="AG125" s="81">
        <v>0</v>
      </c>
      <c r="AH125" s="80">
        <v>1</v>
      </c>
      <c r="AI125" s="81">
        <v>0</v>
      </c>
      <c r="AJ125" s="81">
        <v>0</v>
      </c>
      <c r="AK125" s="81">
        <v>0</v>
      </c>
      <c r="AL125" s="81">
        <v>0</v>
      </c>
      <c r="AM125" s="81">
        <v>0</v>
      </c>
      <c r="AN125" s="81">
        <v>0</v>
      </c>
      <c r="AO125" s="81">
        <v>0</v>
      </c>
    </row>
    <row r="126" spans="1:41" ht="15.75" x14ac:dyDescent="0.25">
      <c r="A126" s="84">
        <v>29</v>
      </c>
      <c r="B126" s="84"/>
      <c r="C126" s="84" t="s">
        <v>411</v>
      </c>
      <c r="D126" s="80" t="s">
        <v>247</v>
      </c>
      <c r="E126" s="80">
        <v>0</v>
      </c>
      <c r="F126" s="80">
        <v>0</v>
      </c>
      <c r="G126" s="80">
        <v>0</v>
      </c>
      <c r="H126" s="80">
        <v>1</v>
      </c>
      <c r="I126" s="80">
        <v>1</v>
      </c>
      <c r="J126" s="80">
        <v>0</v>
      </c>
      <c r="K126" s="80">
        <v>0</v>
      </c>
      <c r="L126" s="80">
        <v>0</v>
      </c>
      <c r="M126" s="80">
        <v>0</v>
      </c>
      <c r="N126" s="80">
        <v>0</v>
      </c>
      <c r="O126" s="80">
        <v>0</v>
      </c>
      <c r="P126" s="80">
        <v>0</v>
      </c>
      <c r="Q126" s="80">
        <v>0</v>
      </c>
      <c r="R126" s="80">
        <v>0</v>
      </c>
      <c r="S126" s="80">
        <v>0</v>
      </c>
      <c r="T126" s="80">
        <v>0</v>
      </c>
      <c r="U126" s="80">
        <v>0</v>
      </c>
      <c r="V126" s="80">
        <v>0</v>
      </c>
      <c r="W126" s="80">
        <v>0</v>
      </c>
      <c r="X126" s="80">
        <v>0</v>
      </c>
      <c r="Y126" s="80">
        <v>0</v>
      </c>
      <c r="Z126" s="80">
        <v>0</v>
      </c>
      <c r="AA126" s="80">
        <v>0</v>
      </c>
      <c r="AB126" s="80">
        <v>0</v>
      </c>
      <c r="AC126" s="80">
        <v>0</v>
      </c>
      <c r="AD126" s="80">
        <v>0</v>
      </c>
      <c r="AE126" s="80">
        <v>0</v>
      </c>
      <c r="AF126" s="80">
        <v>0</v>
      </c>
      <c r="AG126" s="81">
        <v>0</v>
      </c>
      <c r="AH126" s="80">
        <v>0</v>
      </c>
      <c r="AI126" s="81">
        <v>0</v>
      </c>
      <c r="AJ126" s="81">
        <v>0</v>
      </c>
      <c r="AK126" s="81">
        <v>0</v>
      </c>
      <c r="AL126" s="81">
        <v>0</v>
      </c>
      <c r="AM126" s="81">
        <v>0</v>
      </c>
      <c r="AN126" s="81">
        <v>0</v>
      </c>
      <c r="AO126" s="81">
        <v>0</v>
      </c>
    </row>
    <row r="127" spans="1:41" ht="15.75" x14ac:dyDescent="0.25">
      <c r="A127" s="84"/>
      <c r="B127" s="84"/>
      <c r="C127" s="84"/>
      <c r="D127" s="80" t="s">
        <v>248</v>
      </c>
      <c r="E127" s="80">
        <v>0</v>
      </c>
      <c r="F127" s="80">
        <v>0</v>
      </c>
      <c r="G127" s="80">
        <v>0</v>
      </c>
      <c r="H127" s="80">
        <v>2</v>
      </c>
      <c r="I127" s="80">
        <v>2</v>
      </c>
      <c r="J127" s="80">
        <v>3</v>
      </c>
      <c r="K127" s="80">
        <v>0</v>
      </c>
      <c r="L127" s="80">
        <v>0</v>
      </c>
      <c r="M127" s="80">
        <v>0</v>
      </c>
      <c r="N127" s="80">
        <v>0</v>
      </c>
      <c r="O127" s="80">
        <v>1</v>
      </c>
      <c r="P127" s="80">
        <v>0</v>
      </c>
      <c r="Q127" s="80">
        <v>1</v>
      </c>
      <c r="R127" s="80">
        <v>0</v>
      </c>
      <c r="S127" s="80">
        <v>0</v>
      </c>
      <c r="T127" s="80">
        <v>1</v>
      </c>
      <c r="U127" s="80">
        <v>2</v>
      </c>
      <c r="V127" s="80">
        <v>2</v>
      </c>
      <c r="W127" s="80">
        <v>1</v>
      </c>
      <c r="X127" s="80">
        <v>0</v>
      </c>
      <c r="Y127" s="80">
        <v>0</v>
      </c>
      <c r="Z127" s="80">
        <v>0</v>
      </c>
      <c r="AA127" s="80">
        <v>1</v>
      </c>
      <c r="AB127" s="80">
        <v>1</v>
      </c>
      <c r="AC127" s="80">
        <v>1</v>
      </c>
      <c r="AD127" s="80">
        <v>1</v>
      </c>
      <c r="AE127" s="80">
        <v>1</v>
      </c>
      <c r="AF127" s="80">
        <v>0</v>
      </c>
      <c r="AG127" s="81">
        <v>0</v>
      </c>
      <c r="AH127" s="80">
        <v>1</v>
      </c>
      <c r="AI127" s="81">
        <v>0</v>
      </c>
      <c r="AJ127" s="81">
        <v>0</v>
      </c>
      <c r="AK127" s="81">
        <v>0</v>
      </c>
      <c r="AL127" s="81">
        <v>0</v>
      </c>
      <c r="AM127" s="81">
        <v>0</v>
      </c>
      <c r="AN127" s="81">
        <v>0</v>
      </c>
      <c r="AO127" s="81">
        <v>0</v>
      </c>
    </row>
    <row r="128" spans="1:41" ht="15.75" x14ac:dyDescent="0.25">
      <c r="A128" s="84"/>
      <c r="B128" s="84"/>
      <c r="C128" s="84"/>
      <c r="D128" s="80" t="s">
        <v>258</v>
      </c>
      <c r="E128" s="80">
        <v>0</v>
      </c>
      <c r="F128" s="80">
        <v>0</v>
      </c>
      <c r="G128" s="80">
        <v>0</v>
      </c>
      <c r="H128" s="80">
        <v>0</v>
      </c>
      <c r="I128" s="80">
        <v>0</v>
      </c>
      <c r="J128" s="80">
        <v>0</v>
      </c>
      <c r="K128" s="80">
        <v>0</v>
      </c>
      <c r="L128" s="80">
        <v>0</v>
      </c>
      <c r="M128" s="80">
        <v>0</v>
      </c>
      <c r="N128" s="80">
        <v>0</v>
      </c>
      <c r="O128" s="80">
        <v>0</v>
      </c>
      <c r="P128" s="80">
        <v>0</v>
      </c>
      <c r="Q128" s="80">
        <v>1</v>
      </c>
      <c r="R128" s="80">
        <v>0</v>
      </c>
      <c r="S128" s="80">
        <v>0</v>
      </c>
      <c r="T128" s="80">
        <v>0</v>
      </c>
      <c r="U128" s="80">
        <v>1</v>
      </c>
      <c r="V128" s="80">
        <v>0</v>
      </c>
      <c r="W128" s="80">
        <v>0</v>
      </c>
      <c r="X128" s="80">
        <v>0</v>
      </c>
      <c r="Y128" s="80">
        <v>0</v>
      </c>
      <c r="Z128" s="80">
        <v>0</v>
      </c>
      <c r="AA128" s="80">
        <v>0</v>
      </c>
      <c r="AB128" s="80">
        <v>0</v>
      </c>
      <c r="AC128" s="80">
        <v>1</v>
      </c>
      <c r="AD128" s="80">
        <v>0</v>
      </c>
      <c r="AE128" s="80">
        <v>0</v>
      </c>
      <c r="AF128" s="80">
        <v>0</v>
      </c>
      <c r="AG128" s="80">
        <v>0</v>
      </c>
      <c r="AH128" s="80">
        <v>0</v>
      </c>
      <c r="AI128" s="80">
        <v>0</v>
      </c>
      <c r="AJ128" s="80">
        <v>0</v>
      </c>
      <c r="AK128" s="80">
        <v>0</v>
      </c>
      <c r="AL128" s="80">
        <v>0</v>
      </c>
      <c r="AM128" s="81">
        <v>0</v>
      </c>
      <c r="AN128" s="81">
        <v>0</v>
      </c>
      <c r="AO128" s="81">
        <v>0</v>
      </c>
    </row>
    <row r="129" spans="1:41" ht="15.75" x14ac:dyDescent="0.25">
      <c r="A129" s="84">
        <v>30</v>
      </c>
      <c r="B129" s="84" t="s">
        <v>89</v>
      </c>
      <c r="C129" s="84" t="s">
        <v>176</v>
      </c>
      <c r="D129" s="80" t="s">
        <v>245</v>
      </c>
      <c r="E129" s="438">
        <v>0</v>
      </c>
      <c r="F129" s="80">
        <v>0</v>
      </c>
      <c r="G129" s="80">
        <v>0</v>
      </c>
      <c r="H129" s="387">
        <v>1</v>
      </c>
      <c r="I129" s="80">
        <v>0</v>
      </c>
      <c r="J129" s="387">
        <v>1</v>
      </c>
      <c r="K129" s="80">
        <v>0</v>
      </c>
      <c r="L129" s="80">
        <v>0</v>
      </c>
      <c r="M129" s="387">
        <v>1</v>
      </c>
      <c r="N129" s="80">
        <v>0</v>
      </c>
      <c r="O129" s="387">
        <v>1</v>
      </c>
      <c r="P129" s="80">
        <v>0</v>
      </c>
      <c r="Q129" s="387">
        <v>1</v>
      </c>
      <c r="R129" s="387">
        <v>1</v>
      </c>
      <c r="S129" s="80">
        <v>0</v>
      </c>
      <c r="T129" s="80">
        <v>0</v>
      </c>
      <c r="U129" s="387">
        <v>1</v>
      </c>
      <c r="V129" s="387">
        <v>1</v>
      </c>
      <c r="W129" s="387">
        <v>1</v>
      </c>
      <c r="X129" s="80">
        <v>0</v>
      </c>
      <c r="Y129" s="80">
        <v>0</v>
      </c>
      <c r="Z129" s="387">
        <v>3</v>
      </c>
      <c r="AA129" s="80">
        <v>0</v>
      </c>
      <c r="AB129" s="80">
        <v>0</v>
      </c>
      <c r="AC129" s="80">
        <v>0</v>
      </c>
      <c r="AD129" s="387">
        <v>1</v>
      </c>
      <c r="AE129" s="80">
        <v>0</v>
      </c>
      <c r="AF129" s="80">
        <v>0</v>
      </c>
      <c r="AG129" s="390">
        <v>1</v>
      </c>
      <c r="AH129" s="80">
        <v>0</v>
      </c>
      <c r="AI129" s="81">
        <v>0</v>
      </c>
      <c r="AJ129" s="81">
        <v>0</v>
      </c>
      <c r="AK129" s="81">
        <v>0</v>
      </c>
      <c r="AL129" s="81">
        <v>0</v>
      </c>
      <c r="AM129" s="81">
        <v>0</v>
      </c>
      <c r="AN129" s="81">
        <v>0</v>
      </c>
      <c r="AO129" s="81">
        <v>0</v>
      </c>
    </row>
    <row r="130" spans="1:41" ht="15.75" x14ac:dyDescent="0.25">
      <c r="A130" s="84"/>
      <c r="B130" s="84"/>
      <c r="C130" s="84"/>
      <c r="D130" s="80" t="s">
        <v>246</v>
      </c>
      <c r="E130" s="80">
        <v>0</v>
      </c>
      <c r="F130" s="80">
        <v>0</v>
      </c>
      <c r="G130" s="80">
        <v>0</v>
      </c>
      <c r="H130" s="80">
        <v>1</v>
      </c>
      <c r="I130" s="80">
        <v>0</v>
      </c>
      <c r="J130" s="80">
        <v>1</v>
      </c>
      <c r="K130" s="80">
        <v>0</v>
      </c>
      <c r="L130" s="80">
        <v>0</v>
      </c>
      <c r="M130" s="80">
        <v>1</v>
      </c>
      <c r="N130" s="80">
        <v>0</v>
      </c>
      <c r="O130" s="80">
        <v>1</v>
      </c>
      <c r="P130" s="80">
        <v>0</v>
      </c>
      <c r="Q130" s="80">
        <v>1</v>
      </c>
      <c r="R130" s="80">
        <v>1</v>
      </c>
      <c r="S130" s="80">
        <v>0</v>
      </c>
      <c r="T130" s="80">
        <v>0</v>
      </c>
      <c r="U130" s="80">
        <v>1</v>
      </c>
      <c r="V130" s="80">
        <v>1</v>
      </c>
      <c r="W130" s="80">
        <v>1</v>
      </c>
      <c r="X130" s="80">
        <v>0</v>
      </c>
      <c r="Y130" s="80">
        <v>0</v>
      </c>
      <c r="Z130" s="80">
        <v>3</v>
      </c>
      <c r="AA130" s="80">
        <v>0</v>
      </c>
      <c r="AB130" s="80">
        <v>0</v>
      </c>
      <c r="AC130" s="80">
        <v>0</v>
      </c>
      <c r="AD130" s="80">
        <v>1</v>
      </c>
      <c r="AE130" s="80">
        <v>0</v>
      </c>
      <c r="AF130" s="80">
        <v>0</v>
      </c>
      <c r="AG130" s="81">
        <v>1</v>
      </c>
      <c r="AH130" s="80">
        <v>0</v>
      </c>
      <c r="AI130" s="81">
        <v>0</v>
      </c>
      <c r="AJ130" s="81">
        <v>0</v>
      </c>
      <c r="AK130" s="81">
        <v>0</v>
      </c>
      <c r="AL130" s="81">
        <v>0</v>
      </c>
      <c r="AM130" s="81">
        <v>0</v>
      </c>
      <c r="AN130" s="81">
        <v>0</v>
      </c>
      <c r="AO130" s="81">
        <v>0</v>
      </c>
    </row>
    <row r="131" spans="1:41" ht="15.75" x14ac:dyDescent="0.25">
      <c r="A131" s="84"/>
      <c r="B131" s="84"/>
      <c r="C131" s="84"/>
      <c r="D131" s="80" t="s">
        <v>247</v>
      </c>
      <c r="E131" s="80">
        <v>0</v>
      </c>
      <c r="F131" s="80">
        <v>0</v>
      </c>
      <c r="G131" s="80">
        <v>0</v>
      </c>
      <c r="H131" s="80">
        <v>0</v>
      </c>
      <c r="I131" s="80">
        <v>0</v>
      </c>
      <c r="J131" s="80">
        <v>0</v>
      </c>
      <c r="K131" s="80">
        <v>0</v>
      </c>
      <c r="L131" s="80">
        <v>0</v>
      </c>
      <c r="M131" s="80">
        <v>0</v>
      </c>
      <c r="N131" s="80">
        <v>0</v>
      </c>
      <c r="O131" s="80">
        <v>0</v>
      </c>
      <c r="P131" s="80">
        <v>0</v>
      </c>
      <c r="Q131" s="80">
        <v>0</v>
      </c>
      <c r="R131" s="80">
        <v>0</v>
      </c>
      <c r="S131" s="80">
        <v>0</v>
      </c>
      <c r="T131" s="80">
        <v>0</v>
      </c>
      <c r="U131" s="80">
        <v>0</v>
      </c>
      <c r="V131" s="80">
        <v>0</v>
      </c>
      <c r="W131" s="80">
        <v>0</v>
      </c>
      <c r="X131" s="80">
        <v>0</v>
      </c>
      <c r="Y131" s="80">
        <v>0</v>
      </c>
      <c r="Z131" s="80">
        <v>0</v>
      </c>
      <c r="AA131" s="80">
        <v>0</v>
      </c>
      <c r="AB131" s="80">
        <v>0</v>
      </c>
      <c r="AC131" s="80">
        <v>0</v>
      </c>
      <c r="AD131" s="80">
        <v>0</v>
      </c>
      <c r="AE131" s="80">
        <v>0</v>
      </c>
      <c r="AF131" s="80">
        <v>0</v>
      </c>
      <c r="AG131" s="81">
        <v>0</v>
      </c>
      <c r="AH131" s="80">
        <v>0</v>
      </c>
      <c r="AI131" s="81">
        <v>0</v>
      </c>
      <c r="AJ131" s="81">
        <v>0</v>
      </c>
      <c r="AK131" s="81">
        <v>0</v>
      </c>
      <c r="AL131" s="81">
        <v>0</v>
      </c>
      <c r="AM131" s="81">
        <v>0</v>
      </c>
      <c r="AN131" s="81">
        <v>0</v>
      </c>
      <c r="AO131" s="81">
        <v>0</v>
      </c>
    </row>
    <row r="132" spans="1:41" ht="15.75" x14ac:dyDescent="0.25">
      <c r="A132" s="84"/>
      <c r="B132" s="84"/>
      <c r="C132" s="84"/>
      <c r="D132" s="80" t="s">
        <v>248</v>
      </c>
      <c r="E132" s="80">
        <v>0</v>
      </c>
      <c r="F132" s="80">
        <v>0</v>
      </c>
      <c r="G132" s="80">
        <v>0</v>
      </c>
      <c r="H132" s="80">
        <v>1</v>
      </c>
      <c r="I132" s="80">
        <v>0</v>
      </c>
      <c r="J132" s="80">
        <v>1</v>
      </c>
      <c r="K132" s="80">
        <v>0</v>
      </c>
      <c r="L132" s="80">
        <v>0</v>
      </c>
      <c r="M132" s="80">
        <v>1</v>
      </c>
      <c r="N132" s="80">
        <v>0</v>
      </c>
      <c r="O132" s="80">
        <v>1</v>
      </c>
      <c r="P132" s="80">
        <v>0</v>
      </c>
      <c r="Q132" s="80">
        <v>1</v>
      </c>
      <c r="R132" s="80">
        <v>1</v>
      </c>
      <c r="S132" s="80">
        <v>0</v>
      </c>
      <c r="T132" s="80">
        <v>0</v>
      </c>
      <c r="U132" s="80">
        <v>1</v>
      </c>
      <c r="V132" s="80">
        <v>1</v>
      </c>
      <c r="W132" s="80">
        <v>1</v>
      </c>
      <c r="X132" s="80">
        <v>0</v>
      </c>
      <c r="Y132" s="80">
        <v>0</v>
      </c>
      <c r="Z132" s="80">
        <v>3</v>
      </c>
      <c r="AA132" s="80">
        <v>0</v>
      </c>
      <c r="AB132" s="80">
        <v>0</v>
      </c>
      <c r="AC132" s="80">
        <v>0</v>
      </c>
      <c r="AD132" s="80">
        <v>1</v>
      </c>
      <c r="AE132" s="80">
        <v>0</v>
      </c>
      <c r="AF132" s="80">
        <v>0</v>
      </c>
      <c r="AG132" s="81">
        <v>1</v>
      </c>
      <c r="AH132" s="80">
        <v>0</v>
      </c>
      <c r="AI132" s="81">
        <v>0</v>
      </c>
      <c r="AJ132" s="81">
        <v>0</v>
      </c>
      <c r="AK132" s="81">
        <v>0</v>
      </c>
      <c r="AL132" s="81">
        <v>0</v>
      </c>
      <c r="AM132" s="81">
        <v>0</v>
      </c>
      <c r="AN132" s="81">
        <v>0</v>
      </c>
      <c r="AO132" s="81">
        <v>0</v>
      </c>
    </row>
    <row r="133" spans="1:41" ht="15.75" x14ac:dyDescent="0.25">
      <c r="A133" s="84"/>
      <c r="B133" s="84"/>
      <c r="C133" s="84"/>
      <c r="D133" s="80" t="s">
        <v>258</v>
      </c>
      <c r="E133" s="80">
        <v>0</v>
      </c>
      <c r="F133" s="80">
        <v>0</v>
      </c>
      <c r="G133" s="80">
        <v>0</v>
      </c>
      <c r="H133" s="80">
        <v>0</v>
      </c>
      <c r="I133" s="80">
        <v>0</v>
      </c>
      <c r="J133" s="80">
        <v>0</v>
      </c>
      <c r="K133" s="80">
        <v>0</v>
      </c>
      <c r="L133" s="80">
        <v>0</v>
      </c>
      <c r="M133" s="80">
        <v>0</v>
      </c>
      <c r="N133" s="80">
        <v>0</v>
      </c>
      <c r="O133" s="80">
        <v>0</v>
      </c>
      <c r="P133" s="80">
        <v>0</v>
      </c>
      <c r="Q133" s="80">
        <v>0</v>
      </c>
      <c r="R133" s="80">
        <v>0</v>
      </c>
      <c r="S133" s="80">
        <v>0</v>
      </c>
      <c r="T133" s="80">
        <v>0</v>
      </c>
      <c r="U133" s="80">
        <v>0</v>
      </c>
      <c r="V133" s="80">
        <v>0</v>
      </c>
      <c r="W133" s="80">
        <v>0</v>
      </c>
      <c r="X133" s="80">
        <v>0</v>
      </c>
      <c r="Y133" s="80">
        <v>0</v>
      </c>
      <c r="Z133" s="80">
        <v>0</v>
      </c>
      <c r="AA133" s="80">
        <v>0</v>
      </c>
      <c r="AB133" s="80">
        <v>0</v>
      </c>
      <c r="AC133" s="80">
        <v>0</v>
      </c>
      <c r="AD133" s="80">
        <v>0</v>
      </c>
      <c r="AE133" s="80">
        <v>0</v>
      </c>
      <c r="AF133" s="80">
        <v>0</v>
      </c>
      <c r="AG133" s="80">
        <v>0</v>
      </c>
      <c r="AH133" s="80">
        <v>0</v>
      </c>
      <c r="AI133" s="80">
        <v>0</v>
      </c>
      <c r="AJ133" s="80">
        <v>0</v>
      </c>
      <c r="AK133" s="80">
        <v>0</v>
      </c>
      <c r="AL133" s="80">
        <v>0</v>
      </c>
      <c r="AM133" s="81">
        <v>0</v>
      </c>
      <c r="AN133" s="81">
        <v>0</v>
      </c>
      <c r="AO133" s="81">
        <v>0</v>
      </c>
    </row>
    <row r="134" spans="1:41" ht="15.75" x14ac:dyDescent="0.25">
      <c r="A134" s="84">
        <v>31</v>
      </c>
      <c r="B134" s="84"/>
      <c r="C134" s="84" t="s">
        <v>89</v>
      </c>
      <c r="D134" s="80" t="s">
        <v>245</v>
      </c>
      <c r="E134" s="438">
        <v>0</v>
      </c>
      <c r="F134" s="80">
        <v>0</v>
      </c>
      <c r="G134" s="80">
        <v>0</v>
      </c>
      <c r="H134" s="80">
        <v>1</v>
      </c>
      <c r="I134" s="80">
        <v>0</v>
      </c>
      <c r="J134" s="387">
        <v>1</v>
      </c>
      <c r="K134" s="80">
        <v>0</v>
      </c>
      <c r="L134" s="80">
        <v>0</v>
      </c>
      <c r="M134" s="387">
        <v>1</v>
      </c>
      <c r="N134" s="80">
        <v>0</v>
      </c>
      <c r="O134" s="80">
        <v>0</v>
      </c>
      <c r="P134" s="80">
        <v>0</v>
      </c>
      <c r="Q134" s="80">
        <v>0</v>
      </c>
      <c r="R134" s="80">
        <v>0</v>
      </c>
      <c r="S134" s="80">
        <v>0</v>
      </c>
      <c r="T134" s="80">
        <v>0</v>
      </c>
      <c r="U134" s="80">
        <v>0</v>
      </c>
      <c r="V134" s="80">
        <v>0</v>
      </c>
      <c r="W134" s="80">
        <v>0</v>
      </c>
      <c r="X134" s="80">
        <v>0</v>
      </c>
      <c r="Y134" s="80">
        <v>0</v>
      </c>
      <c r="Z134" s="387">
        <v>2</v>
      </c>
      <c r="AA134" s="80">
        <v>0</v>
      </c>
      <c r="AB134" s="80">
        <v>0</v>
      </c>
      <c r="AC134" s="80">
        <v>0</v>
      </c>
      <c r="AD134" s="80">
        <v>0</v>
      </c>
      <c r="AE134" s="80">
        <v>0</v>
      </c>
      <c r="AF134" s="80">
        <v>0</v>
      </c>
      <c r="AG134" s="80">
        <v>0</v>
      </c>
      <c r="AH134" s="80">
        <v>0</v>
      </c>
      <c r="AI134" s="80">
        <v>0</v>
      </c>
      <c r="AJ134" s="80">
        <v>0</v>
      </c>
      <c r="AK134" s="80">
        <v>0</v>
      </c>
      <c r="AL134" s="80">
        <v>0</v>
      </c>
      <c r="AM134" s="80">
        <v>0</v>
      </c>
      <c r="AN134" s="80">
        <v>0</v>
      </c>
      <c r="AO134" s="80">
        <v>0</v>
      </c>
    </row>
    <row r="135" spans="1:41" ht="15.75" x14ac:dyDescent="0.25">
      <c r="A135" s="84"/>
      <c r="B135" s="84"/>
      <c r="C135" s="84"/>
      <c r="D135" s="80" t="s">
        <v>246</v>
      </c>
      <c r="E135" s="80">
        <v>0</v>
      </c>
      <c r="F135" s="80">
        <v>0</v>
      </c>
      <c r="G135" s="80">
        <v>0</v>
      </c>
      <c r="H135" s="80">
        <v>0</v>
      </c>
      <c r="I135" s="80">
        <v>0</v>
      </c>
      <c r="J135" s="80">
        <v>1</v>
      </c>
      <c r="K135" s="80">
        <v>0</v>
      </c>
      <c r="L135" s="80">
        <v>0</v>
      </c>
      <c r="M135" s="80">
        <v>0</v>
      </c>
      <c r="N135" s="80">
        <v>0</v>
      </c>
      <c r="O135" s="80">
        <v>0</v>
      </c>
      <c r="P135" s="80">
        <v>0</v>
      </c>
      <c r="Q135" s="80">
        <v>0</v>
      </c>
      <c r="R135" s="80">
        <v>0</v>
      </c>
      <c r="S135" s="80">
        <v>0</v>
      </c>
      <c r="T135" s="80">
        <v>0</v>
      </c>
      <c r="U135" s="80">
        <v>0</v>
      </c>
      <c r="V135" s="80">
        <v>0</v>
      </c>
      <c r="W135" s="80">
        <v>0</v>
      </c>
      <c r="X135" s="80">
        <v>0</v>
      </c>
      <c r="Y135" s="80">
        <v>0</v>
      </c>
      <c r="Z135" s="80">
        <v>2</v>
      </c>
      <c r="AA135" s="80">
        <v>0</v>
      </c>
      <c r="AB135" s="80">
        <v>0</v>
      </c>
      <c r="AC135" s="80">
        <v>0</v>
      </c>
      <c r="AD135" s="80">
        <v>0</v>
      </c>
      <c r="AE135" s="80">
        <v>0</v>
      </c>
      <c r="AF135" s="80">
        <v>0</v>
      </c>
      <c r="AG135" s="80">
        <v>0</v>
      </c>
      <c r="AH135" s="80">
        <v>0</v>
      </c>
      <c r="AI135" s="80">
        <v>0</v>
      </c>
      <c r="AJ135" s="80">
        <v>0</v>
      </c>
      <c r="AK135" s="80">
        <v>0</v>
      </c>
      <c r="AL135" s="80">
        <v>0</v>
      </c>
      <c r="AM135" s="80">
        <v>0</v>
      </c>
      <c r="AN135" s="80">
        <v>0</v>
      </c>
      <c r="AO135" s="80">
        <v>0</v>
      </c>
    </row>
    <row r="136" spans="1:41" ht="15.75" x14ac:dyDescent="0.25">
      <c r="A136" s="84"/>
      <c r="B136" s="84"/>
      <c r="C136" s="84"/>
      <c r="D136" s="80" t="s">
        <v>247</v>
      </c>
      <c r="E136" s="80">
        <v>0</v>
      </c>
      <c r="F136" s="80">
        <v>0</v>
      </c>
      <c r="G136" s="80">
        <v>0</v>
      </c>
      <c r="H136" s="80">
        <v>1</v>
      </c>
      <c r="I136" s="80">
        <v>0</v>
      </c>
      <c r="J136" s="80">
        <v>0</v>
      </c>
      <c r="K136" s="80">
        <v>0</v>
      </c>
      <c r="L136" s="80">
        <v>0</v>
      </c>
      <c r="M136" s="80">
        <v>1</v>
      </c>
      <c r="N136" s="80">
        <v>0</v>
      </c>
      <c r="O136" s="80">
        <v>0</v>
      </c>
      <c r="P136" s="80">
        <v>0</v>
      </c>
      <c r="Q136" s="80">
        <v>0</v>
      </c>
      <c r="R136" s="80">
        <v>0</v>
      </c>
      <c r="S136" s="80">
        <v>0</v>
      </c>
      <c r="T136" s="80">
        <v>0</v>
      </c>
      <c r="U136" s="80">
        <v>0</v>
      </c>
      <c r="V136" s="80">
        <v>0</v>
      </c>
      <c r="W136" s="80">
        <v>0</v>
      </c>
      <c r="X136" s="80">
        <v>0</v>
      </c>
      <c r="Y136" s="80">
        <v>0</v>
      </c>
      <c r="Z136" s="80">
        <v>0</v>
      </c>
      <c r="AA136" s="80">
        <v>0</v>
      </c>
      <c r="AB136" s="80">
        <v>0</v>
      </c>
      <c r="AC136" s="80">
        <v>0</v>
      </c>
      <c r="AD136" s="80">
        <v>0</v>
      </c>
      <c r="AE136" s="80">
        <v>0</v>
      </c>
      <c r="AF136" s="80">
        <v>0</v>
      </c>
      <c r="AG136" s="80">
        <v>0</v>
      </c>
      <c r="AH136" s="80">
        <v>0</v>
      </c>
      <c r="AI136" s="80">
        <v>0</v>
      </c>
      <c r="AJ136" s="80">
        <v>0</v>
      </c>
      <c r="AK136" s="80">
        <v>0</v>
      </c>
      <c r="AL136" s="80">
        <v>0</v>
      </c>
      <c r="AM136" s="80">
        <v>0</v>
      </c>
      <c r="AN136" s="80">
        <v>0</v>
      </c>
      <c r="AO136" s="80">
        <v>0</v>
      </c>
    </row>
    <row r="137" spans="1:41" ht="15.75" x14ac:dyDescent="0.25">
      <c r="A137" s="84"/>
      <c r="B137" s="84"/>
      <c r="C137" s="84"/>
      <c r="D137" s="80" t="s">
        <v>248</v>
      </c>
      <c r="E137" s="80">
        <v>0</v>
      </c>
      <c r="F137" s="80">
        <v>0</v>
      </c>
      <c r="G137" s="80">
        <v>0</v>
      </c>
      <c r="H137" s="80">
        <v>0</v>
      </c>
      <c r="I137" s="80">
        <v>0</v>
      </c>
      <c r="J137" s="80">
        <v>1</v>
      </c>
      <c r="K137" s="80">
        <v>0</v>
      </c>
      <c r="L137" s="80">
        <v>0</v>
      </c>
      <c r="M137" s="80">
        <v>0</v>
      </c>
      <c r="N137" s="80">
        <v>0</v>
      </c>
      <c r="O137" s="80">
        <v>0</v>
      </c>
      <c r="P137" s="80">
        <v>0</v>
      </c>
      <c r="Q137" s="80">
        <v>0</v>
      </c>
      <c r="R137" s="80">
        <v>0</v>
      </c>
      <c r="S137" s="80">
        <v>0</v>
      </c>
      <c r="T137" s="80">
        <v>0</v>
      </c>
      <c r="U137" s="80">
        <v>0</v>
      </c>
      <c r="V137" s="80">
        <v>0</v>
      </c>
      <c r="W137" s="80">
        <v>0</v>
      </c>
      <c r="X137" s="80">
        <v>0</v>
      </c>
      <c r="Y137" s="80">
        <v>0</v>
      </c>
      <c r="Z137" s="80">
        <v>2</v>
      </c>
      <c r="AA137" s="80">
        <v>0</v>
      </c>
      <c r="AB137" s="80">
        <v>0</v>
      </c>
      <c r="AC137" s="80">
        <v>0</v>
      </c>
      <c r="AD137" s="80">
        <v>0</v>
      </c>
      <c r="AE137" s="80">
        <v>0</v>
      </c>
      <c r="AF137" s="80">
        <v>0</v>
      </c>
      <c r="AG137" s="80">
        <v>0</v>
      </c>
      <c r="AH137" s="80">
        <v>0</v>
      </c>
      <c r="AI137" s="80">
        <v>0</v>
      </c>
      <c r="AJ137" s="80">
        <v>0</v>
      </c>
      <c r="AK137" s="80">
        <v>0</v>
      </c>
      <c r="AL137" s="80">
        <v>0</v>
      </c>
      <c r="AM137" s="80">
        <v>0</v>
      </c>
      <c r="AN137" s="80">
        <v>0</v>
      </c>
      <c r="AO137" s="80">
        <v>0</v>
      </c>
    </row>
    <row r="138" spans="1:41" ht="15.75" x14ac:dyDescent="0.25">
      <c r="A138" s="84"/>
      <c r="B138" s="84"/>
      <c r="C138" s="84"/>
      <c r="D138" s="80" t="s">
        <v>258</v>
      </c>
      <c r="E138" s="80">
        <v>0</v>
      </c>
      <c r="F138" s="80">
        <v>0</v>
      </c>
      <c r="G138" s="80">
        <v>0</v>
      </c>
      <c r="H138" s="80">
        <v>0</v>
      </c>
      <c r="I138" s="80">
        <v>0</v>
      </c>
      <c r="J138" s="80">
        <v>0</v>
      </c>
      <c r="K138" s="80">
        <v>0</v>
      </c>
      <c r="L138" s="80">
        <v>0</v>
      </c>
      <c r="M138" s="80">
        <v>0</v>
      </c>
      <c r="N138" s="80">
        <v>0</v>
      </c>
      <c r="O138" s="80">
        <v>0</v>
      </c>
      <c r="P138" s="80">
        <v>0</v>
      </c>
      <c r="Q138" s="80">
        <v>0</v>
      </c>
      <c r="R138" s="80">
        <v>0</v>
      </c>
      <c r="S138" s="80">
        <v>0</v>
      </c>
      <c r="T138" s="80">
        <v>0</v>
      </c>
      <c r="U138" s="80">
        <v>0</v>
      </c>
      <c r="V138" s="80">
        <v>0</v>
      </c>
      <c r="W138" s="80">
        <v>0</v>
      </c>
      <c r="X138" s="80">
        <v>0</v>
      </c>
      <c r="Y138" s="80">
        <v>0</v>
      </c>
      <c r="Z138" s="80">
        <v>0</v>
      </c>
      <c r="AA138" s="80">
        <v>0</v>
      </c>
      <c r="AB138" s="80">
        <v>0</v>
      </c>
      <c r="AC138" s="80">
        <v>0</v>
      </c>
      <c r="AD138" s="80">
        <v>0</v>
      </c>
      <c r="AE138" s="80">
        <v>0</v>
      </c>
      <c r="AF138" s="80">
        <v>0</v>
      </c>
      <c r="AG138" s="80">
        <v>0</v>
      </c>
      <c r="AH138" s="80">
        <v>0</v>
      </c>
      <c r="AI138" s="80">
        <v>0</v>
      </c>
      <c r="AJ138" s="80">
        <v>0</v>
      </c>
      <c r="AK138" s="80">
        <v>0</v>
      </c>
      <c r="AL138" s="80">
        <v>0</v>
      </c>
      <c r="AM138" s="80">
        <v>0</v>
      </c>
      <c r="AN138" s="80">
        <v>0</v>
      </c>
      <c r="AO138" s="80">
        <v>0</v>
      </c>
    </row>
    <row r="139" spans="1:41" ht="15.75" x14ac:dyDescent="0.25">
      <c r="A139" s="84">
        <v>32</v>
      </c>
      <c r="B139" s="84"/>
      <c r="C139" s="84" t="s">
        <v>185</v>
      </c>
      <c r="D139" s="80" t="s">
        <v>245</v>
      </c>
      <c r="E139" s="438">
        <v>0</v>
      </c>
      <c r="F139" s="80">
        <v>0</v>
      </c>
      <c r="G139" s="80">
        <v>0</v>
      </c>
      <c r="H139" s="387">
        <v>1</v>
      </c>
      <c r="I139" s="387">
        <v>1</v>
      </c>
      <c r="J139" s="387">
        <v>1</v>
      </c>
      <c r="K139" s="80">
        <v>0</v>
      </c>
      <c r="L139" s="80">
        <v>0</v>
      </c>
      <c r="M139" s="80">
        <v>0</v>
      </c>
      <c r="N139" s="387">
        <v>1</v>
      </c>
      <c r="O139" s="387">
        <v>1</v>
      </c>
      <c r="P139" s="80">
        <v>0</v>
      </c>
      <c r="Q139" s="387">
        <v>1</v>
      </c>
      <c r="R139" s="80">
        <v>0</v>
      </c>
      <c r="S139" s="80">
        <v>0</v>
      </c>
      <c r="T139" s="80">
        <v>0</v>
      </c>
      <c r="U139" s="387">
        <v>2</v>
      </c>
      <c r="V139" s="387">
        <v>1</v>
      </c>
      <c r="W139" s="80">
        <v>0</v>
      </c>
      <c r="X139" s="80">
        <v>0</v>
      </c>
      <c r="Y139" s="80">
        <v>0</v>
      </c>
      <c r="Z139" s="387">
        <v>3</v>
      </c>
      <c r="AA139" s="387">
        <v>1</v>
      </c>
      <c r="AB139" s="80">
        <v>0</v>
      </c>
      <c r="AC139" s="80">
        <v>0</v>
      </c>
      <c r="AD139" s="80">
        <v>0</v>
      </c>
      <c r="AE139" s="80">
        <v>0</v>
      </c>
      <c r="AF139" s="80">
        <v>0</v>
      </c>
      <c r="AG139" s="390">
        <v>1</v>
      </c>
      <c r="AH139" s="80">
        <v>0</v>
      </c>
      <c r="AI139" s="81">
        <v>0</v>
      </c>
      <c r="AJ139" s="81">
        <v>0</v>
      </c>
      <c r="AK139" s="81">
        <v>0</v>
      </c>
      <c r="AL139" s="81">
        <v>0</v>
      </c>
      <c r="AM139" s="80">
        <v>0</v>
      </c>
      <c r="AN139" s="80">
        <v>0</v>
      </c>
      <c r="AO139" s="80">
        <v>0</v>
      </c>
    </row>
    <row r="140" spans="1:41" ht="15.75" x14ac:dyDescent="0.25">
      <c r="A140" s="84"/>
      <c r="B140" s="84"/>
      <c r="C140" s="84"/>
      <c r="D140" s="80" t="s">
        <v>246</v>
      </c>
      <c r="E140" s="80">
        <v>0</v>
      </c>
      <c r="F140" s="80">
        <v>0</v>
      </c>
      <c r="G140" s="80">
        <v>0</v>
      </c>
      <c r="H140" s="80">
        <v>1</v>
      </c>
      <c r="I140" s="80">
        <v>1</v>
      </c>
      <c r="J140" s="80">
        <v>1</v>
      </c>
      <c r="K140" s="80">
        <v>0</v>
      </c>
      <c r="L140" s="80">
        <v>0</v>
      </c>
      <c r="M140" s="80">
        <v>0</v>
      </c>
      <c r="N140" s="80">
        <v>1</v>
      </c>
      <c r="O140" s="80">
        <v>1</v>
      </c>
      <c r="P140" s="80">
        <v>0</v>
      </c>
      <c r="Q140" s="80">
        <v>1</v>
      </c>
      <c r="R140" s="80">
        <v>0</v>
      </c>
      <c r="S140" s="80">
        <v>0</v>
      </c>
      <c r="T140" s="80">
        <v>0</v>
      </c>
      <c r="U140" s="80">
        <v>2</v>
      </c>
      <c r="V140" s="80">
        <v>1</v>
      </c>
      <c r="W140" s="80">
        <v>0</v>
      </c>
      <c r="X140" s="80">
        <v>0</v>
      </c>
      <c r="Y140" s="80">
        <v>0</v>
      </c>
      <c r="Z140" s="80">
        <v>3</v>
      </c>
      <c r="AA140" s="80">
        <v>1</v>
      </c>
      <c r="AB140" s="80">
        <v>0</v>
      </c>
      <c r="AC140" s="80">
        <v>0</v>
      </c>
      <c r="AD140" s="80">
        <v>0</v>
      </c>
      <c r="AE140" s="80">
        <v>0</v>
      </c>
      <c r="AF140" s="80">
        <v>0</v>
      </c>
      <c r="AG140" s="81">
        <v>1</v>
      </c>
      <c r="AH140" s="80">
        <v>0</v>
      </c>
      <c r="AI140" s="81">
        <v>0</v>
      </c>
      <c r="AJ140" s="81">
        <v>0</v>
      </c>
      <c r="AK140" s="81">
        <v>0</v>
      </c>
      <c r="AL140" s="81">
        <v>0</v>
      </c>
      <c r="AM140" s="80">
        <v>0</v>
      </c>
      <c r="AN140" s="80">
        <v>0</v>
      </c>
      <c r="AO140" s="80">
        <v>0</v>
      </c>
    </row>
    <row r="141" spans="1:41" ht="15.75" x14ac:dyDescent="0.25">
      <c r="A141" s="84"/>
      <c r="B141" s="84"/>
      <c r="C141" s="84"/>
      <c r="D141" s="80" t="s">
        <v>247</v>
      </c>
      <c r="E141" s="80">
        <v>0</v>
      </c>
      <c r="F141" s="80">
        <v>0</v>
      </c>
      <c r="G141" s="80">
        <v>0</v>
      </c>
      <c r="H141" s="80">
        <v>0</v>
      </c>
      <c r="I141" s="80">
        <v>0</v>
      </c>
      <c r="J141" s="80">
        <v>0</v>
      </c>
      <c r="K141" s="80">
        <v>0</v>
      </c>
      <c r="L141" s="80">
        <v>0</v>
      </c>
      <c r="M141" s="80">
        <v>0</v>
      </c>
      <c r="N141" s="80">
        <v>0</v>
      </c>
      <c r="O141" s="80">
        <v>0</v>
      </c>
      <c r="P141" s="80">
        <v>0</v>
      </c>
      <c r="Q141" s="80">
        <v>0</v>
      </c>
      <c r="R141" s="80">
        <v>0</v>
      </c>
      <c r="S141" s="80">
        <v>0</v>
      </c>
      <c r="T141" s="80">
        <v>0</v>
      </c>
      <c r="U141" s="80">
        <v>0</v>
      </c>
      <c r="V141" s="80">
        <v>0</v>
      </c>
      <c r="W141" s="80">
        <v>0</v>
      </c>
      <c r="X141" s="80">
        <v>0</v>
      </c>
      <c r="Y141" s="80">
        <v>0</v>
      </c>
      <c r="Z141" s="80">
        <v>0</v>
      </c>
      <c r="AA141" s="80">
        <v>0</v>
      </c>
      <c r="AB141" s="80">
        <v>0</v>
      </c>
      <c r="AC141" s="80">
        <v>0</v>
      </c>
      <c r="AD141" s="80">
        <v>0</v>
      </c>
      <c r="AE141" s="80">
        <v>0</v>
      </c>
      <c r="AF141" s="80">
        <v>0</v>
      </c>
      <c r="AG141" s="81">
        <v>0</v>
      </c>
      <c r="AH141" s="80">
        <v>0</v>
      </c>
      <c r="AI141" s="81">
        <v>0</v>
      </c>
      <c r="AJ141" s="81">
        <v>0</v>
      </c>
      <c r="AK141" s="81">
        <v>0</v>
      </c>
      <c r="AL141" s="81">
        <v>0</v>
      </c>
      <c r="AM141" s="80">
        <v>0</v>
      </c>
      <c r="AN141" s="80">
        <v>0</v>
      </c>
      <c r="AO141" s="80">
        <v>0</v>
      </c>
    </row>
    <row r="142" spans="1:41" ht="15.75" x14ac:dyDescent="0.25">
      <c r="A142" s="84"/>
      <c r="B142" s="84"/>
      <c r="C142" s="84"/>
      <c r="D142" s="80" t="s">
        <v>248</v>
      </c>
      <c r="E142" s="80">
        <v>0</v>
      </c>
      <c r="F142" s="80">
        <v>0</v>
      </c>
      <c r="G142" s="80">
        <v>0</v>
      </c>
      <c r="H142" s="80">
        <v>1</v>
      </c>
      <c r="I142" s="80">
        <v>1</v>
      </c>
      <c r="J142" s="80">
        <v>1</v>
      </c>
      <c r="K142" s="80">
        <v>0</v>
      </c>
      <c r="L142" s="80">
        <v>0</v>
      </c>
      <c r="M142" s="80">
        <v>0</v>
      </c>
      <c r="N142" s="80">
        <v>1</v>
      </c>
      <c r="O142" s="80">
        <v>1</v>
      </c>
      <c r="P142" s="80">
        <v>0</v>
      </c>
      <c r="Q142" s="80">
        <v>1</v>
      </c>
      <c r="R142" s="80">
        <v>0</v>
      </c>
      <c r="S142" s="80">
        <v>0</v>
      </c>
      <c r="T142" s="80">
        <v>0</v>
      </c>
      <c r="U142" s="80">
        <v>2</v>
      </c>
      <c r="V142" s="80">
        <v>1</v>
      </c>
      <c r="W142" s="80">
        <v>0</v>
      </c>
      <c r="X142" s="80">
        <v>0</v>
      </c>
      <c r="Y142" s="80">
        <v>0</v>
      </c>
      <c r="Z142" s="80">
        <v>3</v>
      </c>
      <c r="AA142" s="80">
        <v>1</v>
      </c>
      <c r="AB142" s="80">
        <v>0</v>
      </c>
      <c r="AC142" s="80">
        <v>0</v>
      </c>
      <c r="AD142" s="80">
        <v>0</v>
      </c>
      <c r="AE142" s="80">
        <v>0</v>
      </c>
      <c r="AF142" s="80">
        <v>0</v>
      </c>
      <c r="AG142" s="81">
        <v>1</v>
      </c>
      <c r="AH142" s="80">
        <v>0</v>
      </c>
      <c r="AI142" s="81">
        <v>0</v>
      </c>
      <c r="AJ142" s="81">
        <v>0</v>
      </c>
      <c r="AK142" s="81">
        <v>0</v>
      </c>
      <c r="AL142" s="81">
        <v>0</v>
      </c>
      <c r="AM142" s="80">
        <v>0</v>
      </c>
      <c r="AN142" s="80">
        <v>0</v>
      </c>
      <c r="AO142" s="80">
        <v>0</v>
      </c>
    </row>
    <row r="143" spans="1:41" ht="15.75" x14ac:dyDescent="0.25">
      <c r="A143" s="84"/>
      <c r="B143" s="84"/>
      <c r="C143" s="84"/>
      <c r="D143" s="80" t="s">
        <v>258</v>
      </c>
      <c r="E143" s="80">
        <v>0</v>
      </c>
      <c r="F143" s="80">
        <v>0</v>
      </c>
      <c r="G143" s="80">
        <v>0</v>
      </c>
      <c r="H143" s="80">
        <v>0</v>
      </c>
      <c r="I143" s="80">
        <v>0</v>
      </c>
      <c r="J143" s="80">
        <v>0</v>
      </c>
      <c r="K143" s="80">
        <v>0</v>
      </c>
      <c r="L143" s="80">
        <v>0</v>
      </c>
      <c r="M143" s="80">
        <v>0</v>
      </c>
      <c r="N143" s="80">
        <v>0</v>
      </c>
      <c r="O143" s="80">
        <v>0</v>
      </c>
      <c r="P143" s="80">
        <v>0</v>
      </c>
      <c r="Q143" s="80">
        <v>0</v>
      </c>
      <c r="R143" s="80">
        <v>0</v>
      </c>
      <c r="S143" s="80">
        <v>0</v>
      </c>
      <c r="T143" s="80">
        <v>0</v>
      </c>
      <c r="U143" s="80">
        <v>0</v>
      </c>
      <c r="V143" s="80">
        <v>0</v>
      </c>
      <c r="W143" s="80">
        <v>0</v>
      </c>
      <c r="X143" s="80">
        <v>0</v>
      </c>
      <c r="Y143" s="80">
        <v>0</v>
      </c>
      <c r="Z143" s="80">
        <v>0</v>
      </c>
      <c r="AA143" s="80">
        <v>0</v>
      </c>
      <c r="AB143" s="80">
        <v>0</v>
      </c>
      <c r="AC143" s="80">
        <v>0</v>
      </c>
      <c r="AD143" s="80">
        <v>0</v>
      </c>
      <c r="AE143" s="80">
        <v>0</v>
      </c>
      <c r="AF143" s="80">
        <v>0</v>
      </c>
      <c r="AG143" s="80">
        <v>0</v>
      </c>
      <c r="AH143" s="80">
        <v>0</v>
      </c>
      <c r="AI143" s="80">
        <v>0</v>
      </c>
      <c r="AJ143" s="80">
        <v>0</v>
      </c>
      <c r="AK143" s="80">
        <v>0</v>
      </c>
      <c r="AL143" s="80">
        <v>0</v>
      </c>
      <c r="AM143" s="80">
        <v>0</v>
      </c>
      <c r="AN143" s="80">
        <v>0</v>
      </c>
      <c r="AO143" s="80">
        <v>0</v>
      </c>
    </row>
    <row r="144" spans="1:41" ht="15.75" x14ac:dyDescent="0.25">
      <c r="A144" s="84">
        <v>33</v>
      </c>
      <c r="B144" s="84" t="s">
        <v>28</v>
      </c>
      <c r="C144" s="84" t="s">
        <v>207</v>
      </c>
      <c r="D144" s="80" t="s">
        <v>245</v>
      </c>
      <c r="E144" s="438">
        <v>0</v>
      </c>
      <c r="F144" s="80">
        <v>0</v>
      </c>
      <c r="G144" s="80">
        <v>0</v>
      </c>
      <c r="H144" s="390">
        <v>1</v>
      </c>
      <c r="I144" s="400">
        <v>2</v>
      </c>
      <c r="J144" s="401">
        <v>1</v>
      </c>
      <c r="K144" s="80">
        <v>0</v>
      </c>
      <c r="L144" s="80">
        <v>0</v>
      </c>
      <c r="M144" s="387">
        <v>1</v>
      </c>
      <c r="N144" s="81">
        <v>0</v>
      </c>
      <c r="O144" s="387">
        <v>3</v>
      </c>
      <c r="P144" s="387">
        <v>1</v>
      </c>
      <c r="Q144" s="387">
        <v>2</v>
      </c>
      <c r="R144" s="80">
        <v>0</v>
      </c>
      <c r="S144" s="80">
        <v>0</v>
      </c>
      <c r="T144" s="390">
        <v>1</v>
      </c>
      <c r="U144" s="387">
        <v>4</v>
      </c>
      <c r="V144" s="387">
        <v>2</v>
      </c>
      <c r="W144" s="81">
        <v>0</v>
      </c>
      <c r="X144" s="80">
        <v>0</v>
      </c>
      <c r="Y144" s="80">
        <v>0</v>
      </c>
      <c r="Z144" s="387">
        <v>2</v>
      </c>
      <c r="AA144" s="387">
        <v>1</v>
      </c>
      <c r="AB144" s="387">
        <v>1</v>
      </c>
      <c r="AC144" s="387">
        <v>1</v>
      </c>
      <c r="AD144" s="387">
        <v>1</v>
      </c>
      <c r="AE144" s="387">
        <v>1</v>
      </c>
      <c r="AF144" s="387">
        <v>1</v>
      </c>
      <c r="AG144" s="390">
        <v>1</v>
      </c>
      <c r="AH144" s="387">
        <v>2</v>
      </c>
      <c r="AI144" s="81">
        <v>0</v>
      </c>
      <c r="AJ144" s="81">
        <v>0</v>
      </c>
      <c r="AK144" s="81">
        <v>0</v>
      </c>
      <c r="AL144" s="81">
        <v>0</v>
      </c>
      <c r="AM144" s="80">
        <v>0</v>
      </c>
      <c r="AN144" s="80">
        <v>0</v>
      </c>
      <c r="AO144" s="80">
        <v>0</v>
      </c>
    </row>
    <row r="145" spans="1:41" ht="15.75" x14ac:dyDescent="0.25">
      <c r="A145" s="84"/>
      <c r="B145" s="84"/>
      <c r="C145" s="84"/>
      <c r="D145" s="80" t="s">
        <v>246</v>
      </c>
      <c r="E145" s="80">
        <v>0</v>
      </c>
      <c r="F145" s="80">
        <v>0</v>
      </c>
      <c r="G145" s="80">
        <v>0</v>
      </c>
      <c r="H145" s="81">
        <v>1</v>
      </c>
      <c r="I145" s="133">
        <v>2</v>
      </c>
      <c r="J145" s="134">
        <v>1</v>
      </c>
      <c r="K145" s="80">
        <v>0</v>
      </c>
      <c r="L145" s="80">
        <v>0</v>
      </c>
      <c r="M145" s="80">
        <v>1</v>
      </c>
      <c r="N145" s="81">
        <v>0</v>
      </c>
      <c r="O145" s="80">
        <v>3</v>
      </c>
      <c r="P145" s="80">
        <v>1</v>
      </c>
      <c r="Q145" s="80">
        <v>2</v>
      </c>
      <c r="R145" s="80">
        <v>0</v>
      </c>
      <c r="S145" s="80">
        <v>0</v>
      </c>
      <c r="T145" s="81">
        <v>1</v>
      </c>
      <c r="U145" s="80">
        <v>4</v>
      </c>
      <c r="V145" s="80">
        <v>2</v>
      </c>
      <c r="W145" s="81">
        <v>0</v>
      </c>
      <c r="X145" s="80">
        <v>0</v>
      </c>
      <c r="Y145" s="80">
        <v>0</v>
      </c>
      <c r="Z145" s="80">
        <v>2</v>
      </c>
      <c r="AA145" s="80">
        <v>1</v>
      </c>
      <c r="AB145" s="80">
        <v>1</v>
      </c>
      <c r="AC145" s="80">
        <v>1</v>
      </c>
      <c r="AD145" s="80">
        <v>1</v>
      </c>
      <c r="AE145" s="80">
        <v>1</v>
      </c>
      <c r="AF145" s="80">
        <v>1</v>
      </c>
      <c r="AG145" s="81">
        <v>1</v>
      </c>
      <c r="AH145" s="80">
        <v>2</v>
      </c>
      <c r="AI145" s="81">
        <v>0</v>
      </c>
      <c r="AJ145" s="81">
        <v>0</v>
      </c>
      <c r="AK145" s="81">
        <v>0</v>
      </c>
      <c r="AL145" s="81">
        <v>0</v>
      </c>
      <c r="AM145" s="80">
        <v>0</v>
      </c>
      <c r="AN145" s="80">
        <v>0</v>
      </c>
      <c r="AO145" s="80">
        <v>0</v>
      </c>
    </row>
    <row r="146" spans="1:41" ht="15.75" x14ac:dyDescent="0.25">
      <c r="A146" s="84"/>
      <c r="B146" s="84"/>
      <c r="C146" s="84"/>
      <c r="D146" s="80" t="s">
        <v>247</v>
      </c>
      <c r="E146" s="80">
        <v>0</v>
      </c>
      <c r="F146" s="80">
        <v>0</v>
      </c>
      <c r="G146" s="80">
        <v>0</v>
      </c>
      <c r="H146" s="81">
        <v>0</v>
      </c>
      <c r="I146" s="81">
        <v>0</v>
      </c>
      <c r="J146" s="80">
        <v>0</v>
      </c>
      <c r="K146" s="80">
        <v>0</v>
      </c>
      <c r="L146" s="80">
        <v>0</v>
      </c>
      <c r="M146" s="80">
        <v>0</v>
      </c>
      <c r="N146" s="81">
        <v>0</v>
      </c>
      <c r="O146" s="80">
        <v>0</v>
      </c>
      <c r="P146" s="80">
        <v>0</v>
      </c>
      <c r="Q146" s="80">
        <v>0</v>
      </c>
      <c r="R146" s="80">
        <v>0</v>
      </c>
      <c r="S146" s="80">
        <v>0</v>
      </c>
      <c r="T146" s="81">
        <v>0</v>
      </c>
      <c r="U146" s="80">
        <v>0</v>
      </c>
      <c r="V146" s="80">
        <v>0</v>
      </c>
      <c r="W146" s="81">
        <v>0</v>
      </c>
      <c r="X146" s="80">
        <v>0</v>
      </c>
      <c r="Y146" s="80">
        <v>0</v>
      </c>
      <c r="Z146" s="80">
        <v>0</v>
      </c>
      <c r="AA146" s="80">
        <v>0</v>
      </c>
      <c r="AB146" s="80">
        <v>0</v>
      </c>
      <c r="AC146" s="80">
        <v>0</v>
      </c>
      <c r="AD146" s="80">
        <v>0</v>
      </c>
      <c r="AE146" s="80">
        <v>0</v>
      </c>
      <c r="AF146" s="80">
        <v>0</v>
      </c>
      <c r="AG146" s="81">
        <v>0</v>
      </c>
      <c r="AH146" s="80">
        <v>0</v>
      </c>
      <c r="AI146" s="81">
        <v>0</v>
      </c>
      <c r="AJ146" s="81">
        <v>0</v>
      </c>
      <c r="AK146" s="81">
        <v>0</v>
      </c>
      <c r="AL146" s="81">
        <v>0</v>
      </c>
      <c r="AM146" s="80">
        <v>0</v>
      </c>
      <c r="AN146" s="80">
        <v>0</v>
      </c>
      <c r="AO146" s="80">
        <v>0</v>
      </c>
    </row>
    <row r="147" spans="1:41" ht="15.75" x14ac:dyDescent="0.25">
      <c r="A147" s="84"/>
      <c r="B147" s="84"/>
      <c r="C147" s="84"/>
      <c r="D147" s="80" t="s">
        <v>248</v>
      </c>
      <c r="E147" s="80">
        <v>0</v>
      </c>
      <c r="F147" s="80">
        <v>0</v>
      </c>
      <c r="G147" s="80">
        <v>0</v>
      </c>
      <c r="H147" s="81">
        <v>1</v>
      </c>
      <c r="I147" s="81">
        <v>2</v>
      </c>
      <c r="J147" s="80">
        <v>1</v>
      </c>
      <c r="K147" s="80">
        <v>0</v>
      </c>
      <c r="L147" s="80">
        <v>0</v>
      </c>
      <c r="M147" s="80">
        <v>1</v>
      </c>
      <c r="N147" s="81">
        <v>0</v>
      </c>
      <c r="O147" s="80">
        <v>3</v>
      </c>
      <c r="P147" s="80">
        <v>1</v>
      </c>
      <c r="Q147" s="80">
        <v>2</v>
      </c>
      <c r="R147" s="80">
        <v>0</v>
      </c>
      <c r="S147" s="80">
        <v>0</v>
      </c>
      <c r="T147" s="81">
        <v>1</v>
      </c>
      <c r="U147" s="80">
        <v>3</v>
      </c>
      <c r="V147" s="80">
        <v>2</v>
      </c>
      <c r="W147" s="81">
        <v>0</v>
      </c>
      <c r="X147" s="80">
        <v>0</v>
      </c>
      <c r="Y147" s="80">
        <v>0</v>
      </c>
      <c r="Z147" s="80">
        <v>1</v>
      </c>
      <c r="AA147" s="80">
        <v>1</v>
      </c>
      <c r="AB147" s="80">
        <v>1</v>
      </c>
      <c r="AC147" s="80">
        <v>1</v>
      </c>
      <c r="AD147" s="80">
        <v>1</v>
      </c>
      <c r="AE147" s="80">
        <v>1</v>
      </c>
      <c r="AF147" s="80">
        <v>0</v>
      </c>
      <c r="AG147" s="81">
        <v>1</v>
      </c>
      <c r="AH147" s="80">
        <v>2</v>
      </c>
      <c r="AI147" s="81">
        <v>0</v>
      </c>
      <c r="AJ147" s="81">
        <v>0</v>
      </c>
      <c r="AK147" s="81">
        <v>0</v>
      </c>
      <c r="AL147" s="81">
        <v>0</v>
      </c>
      <c r="AM147" s="80">
        <v>0</v>
      </c>
      <c r="AN147" s="80">
        <v>0</v>
      </c>
      <c r="AO147" s="80">
        <v>0</v>
      </c>
    </row>
    <row r="148" spans="1:41" ht="15.75" x14ac:dyDescent="0.25">
      <c r="A148" s="84"/>
      <c r="B148" s="84"/>
      <c r="C148" s="84"/>
      <c r="D148" s="80" t="s">
        <v>258</v>
      </c>
      <c r="E148" s="80">
        <v>0</v>
      </c>
      <c r="F148" s="80">
        <v>0</v>
      </c>
      <c r="G148" s="80">
        <v>0</v>
      </c>
      <c r="H148" s="81">
        <v>0</v>
      </c>
      <c r="I148" s="81">
        <v>0</v>
      </c>
      <c r="J148" s="81">
        <v>0</v>
      </c>
      <c r="K148" s="81">
        <v>0</v>
      </c>
      <c r="L148" s="80">
        <v>0</v>
      </c>
      <c r="M148" s="81">
        <v>0</v>
      </c>
      <c r="N148" s="81">
        <v>0</v>
      </c>
      <c r="O148" s="81">
        <v>0</v>
      </c>
      <c r="P148" s="80">
        <v>0</v>
      </c>
      <c r="Q148" s="81">
        <v>0</v>
      </c>
      <c r="R148" s="81">
        <v>0</v>
      </c>
      <c r="S148" s="81">
        <v>0</v>
      </c>
      <c r="T148" s="81">
        <v>0</v>
      </c>
      <c r="U148" s="81">
        <v>1</v>
      </c>
      <c r="V148" s="81">
        <v>0</v>
      </c>
      <c r="W148" s="81">
        <v>0</v>
      </c>
      <c r="X148" s="81">
        <v>0</v>
      </c>
      <c r="Y148" s="81">
        <v>0</v>
      </c>
      <c r="Z148" s="81">
        <v>1</v>
      </c>
      <c r="AA148" s="81">
        <v>0</v>
      </c>
      <c r="AB148" s="81">
        <v>0</v>
      </c>
      <c r="AC148" s="80">
        <v>0</v>
      </c>
      <c r="AD148" s="80">
        <v>0</v>
      </c>
      <c r="AE148" s="81">
        <v>0</v>
      </c>
      <c r="AF148" s="81">
        <v>1</v>
      </c>
      <c r="AG148" s="81">
        <v>0</v>
      </c>
      <c r="AH148" s="81">
        <v>0</v>
      </c>
      <c r="AI148" s="81">
        <v>0</v>
      </c>
      <c r="AJ148" s="81">
        <v>0</v>
      </c>
      <c r="AK148" s="81">
        <v>0</v>
      </c>
      <c r="AL148" s="81">
        <v>0</v>
      </c>
      <c r="AM148" s="80">
        <v>0</v>
      </c>
      <c r="AN148" s="80">
        <v>0</v>
      </c>
      <c r="AO148" s="80">
        <v>0</v>
      </c>
    </row>
    <row r="149" spans="1:41" ht="15.75" x14ac:dyDescent="0.25">
      <c r="A149" s="84">
        <v>34</v>
      </c>
      <c r="B149" s="84"/>
      <c r="C149" s="84" t="s">
        <v>253</v>
      </c>
      <c r="D149" s="80" t="s">
        <v>245</v>
      </c>
      <c r="E149" s="438">
        <v>0</v>
      </c>
      <c r="F149" s="80">
        <v>0</v>
      </c>
      <c r="G149" s="80">
        <v>0</v>
      </c>
      <c r="H149" s="390">
        <v>1</v>
      </c>
      <c r="I149" s="390">
        <v>1</v>
      </c>
      <c r="J149" s="387">
        <v>1</v>
      </c>
      <c r="K149" s="80">
        <v>0</v>
      </c>
      <c r="L149" s="80">
        <v>0</v>
      </c>
      <c r="M149" s="80">
        <v>0</v>
      </c>
      <c r="N149" s="80">
        <v>0</v>
      </c>
      <c r="O149" s="387">
        <v>1</v>
      </c>
      <c r="P149" s="387">
        <v>1</v>
      </c>
      <c r="Q149" s="387">
        <v>1</v>
      </c>
      <c r="R149" s="80">
        <v>0</v>
      </c>
      <c r="S149" s="81">
        <v>0</v>
      </c>
      <c r="T149" s="81">
        <v>0</v>
      </c>
      <c r="U149" s="387">
        <v>3</v>
      </c>
      <c r="V149" s="387">
        <v>1</v>
      </c>
      <c r="W149" s="81">
        <v>0</v>
      </c>
      <c r="X149" s="80">
        <v>0</v>
      </c>
      <c r="Y149" s="80">
        <v>0</v>
      </c>
      <c r="Z149" s="80">
        <v>0</v>
      </c>
      <c r="AA149" s="80">
        <v>0</v>
      </c>
      <c r="AB149" s="80">
        <v>0</v>
      </c>
      <c r="AC149" s="80">
        <v>0</v>
      </c>
      <c r="AD149" s="80">
        <v>0</v>
      </c>
      <c r="AE149" s="80">
        <v>0</v>
      </c>
      <c r="AF149" s="80">
        <v>0</v>
      </c>
      <c r="AG149" s="390">
        <v>1</v>
      </c>
      <c r="AH149" s="80">
        <v>0</v>
      </c>
      <c r="AI149" s="81">
        <v>0</v>
      </c>
      <c r="AJ149" s="81">
        <v>0</v>
      </c>
      <c r="AK149" s="81">
        <v>0</v>
      </c>
      <c r="AL149" s="81">
        <v>0</v>
      </c>
      <c r="AM149" s="80">
        <v>0</v>
      </c>
      <c r="AN149" s="80">
        <v>0</v>
      </c>
      <c r="AO149" s="80">
        <v>0</v>
      </c>
    </row>
    <row r="150" spans="1:41" ht="15.75" x14ac:dyDescent="0.25">
      <c r="A150" s="84"/>
      <c r="B150" s="84"/>
      <c r="C150" s="84"/>
      <c r="D150" s="80" t="s">
        <v>246</v>
      </c>
      <c r="E150" s="80">
        <v>0</v>
      </c>
      <c r="F150" s="80">
        <v>0</v>
      </c>
      <c r="G150" s="80">
        <v>0</v>
      </c>
      <c r="H150" s="81">
        <v>1</v>
      </c>
      <c r="I150" s="81">
        <v>1</v>
      </c>
      <c r="J150" s="80">
        <v>1</v>
      </c>
      <c r="K150" s="80">
        <v>0</v>
      </c>
      <c r="L150" s="80">
        <v>0</v>
      </c>
      <c r="M150" s="80">
        <v>0</v>
      </c>
      <c r="N150" s="80">
        <v>0</v>
      </c>
      <c r="O150" s="80">
        <v>1</v>
      </c>
      <c r="P150" s="80">
        <v>1</v>
      </c>
      <c r="Q150" s="80">
        <v>1</v>
      </c>
      <c r="R150" s="80">
        <v>0</v>
      </c>
      <c r="S150" s="81">
        <v>0</v>
      </c>
      <c r="T150" s="81">
        <v>0</v>
      </c>
      <c r="U150" s="80">
        <v>3</v>
      </c>
      <c r="V150" s="80">
        <v>1</v>
      </c>
      <c r="W150" s="81">
        <v>0</v>
      </c>
      <c r="X150" s="80">
        <v>0</v>
      </c>
      <c r="Y150" s="80">
        <v>0</v>
      </c>
      <c r="Z150" s="80">
        <v>0</v>
      </c>
      <c r="AA150" s="80">
        <v>0</v>
      </c>
      <c r="AB150" s="80">
        <v>0</v>
      </c>
      <c r="AC150" s="80">
        <v>0</v>
      </c>
      <c r="AD150" s="80">
        <v>0</v>
      </c>
      <c r="AE150" s="80">
        <v>0</v>
      </c>
      <c r="AF150" s="80">
        <v>0</v>
      </c>
      <c r="AG150" s="81">
        <v>1</v>
      </c>
      <c r="AH150" s="80">
        <v>0</v>
      </c>
      <c r="AI150" s="81">
        <v>0</v>
      </c>
      <c r="AJ150" s="81">
        <v>0</v>
      </c>
      <c r="AK150" s="81">
        <v>0</v>
      </c>
      <c r="AL150" s="81">
        <v>0</v>
      </c>
      <c r="AM150" s="80">
        <v>0</v>
      </c>
      <c r="AN150" s="80">
        <v>0</v>
      </c>
      <c r="AO150" s="80">
        <v>0</v>
      </c>
    </row>
    <row r="151" spans="1:41" ht="15.75" x14ac:dyDescent="0.25">
      <c r="A151" s="84"/>
      <c r="B151" s="84"/>
      <c r="C151" s="84"/>
      <c r="D151" s="80" t="s">
        <v>247</v>
      </c>
      <c r="E151" s="80">
        <v>0</v>
      </c>
      <c r="F151" s="80">
        <v>0</v>
      </c>
      <c r="G151" s="80">
        <v>0</v>
      </c>
      <c r="H151" s="81">
        <v>0</v>
      </c>
      <c r="I151" s="81">
        <v>0</v>
      </c>
      <c r="J151" s="80">
        <v>0</v>
      </c>
      <c r="K151" s="80">
        <v>0</v>
      </c>
      <c r="L151" s="80">
        <v>0</v>
      </c>
      <c r="M151" s="80">
        <v>0</v>
      </c>
      <c r="N151" s="80">
        <v>0</v>
      </c>
      <c r="O151" s="80">
        <v>0</v>
      </c>
      <c r="P151" s="80">
        <v>0</v>
      </c>
      <c r="Q151" s="80">
        <v>0</v>
      </c>
      <c r="R151" s="80">
        <v>0</v>
      </c>
      <c r="S151" s="81">
        <v>0</v>
      </c>
      <c r="T151" s="81">
        <v>0</v>
      </c>
      <c r="U151" s="80">
        <v>0</v>
      </c>
      <c r="V151" s="80">
        <v>0</v>
      </c>
      <c r="W151" s="81">
        <v>0</v>
      </c>
      <c r="X151" s="80">
        <v>0</v>
      </c>
      <c r="Y151" s="80">
        <v>0</v>
      </c>
      <c r="Z151" s="80">
        <v>0</v>
      </c>
      <c r="AA151" s="80">
        <v>0</v>
      </c>
      <c r="AB151" s="80">
        <v>0</v>
      </c>
      <c r="AC151" s="80">
        <v>0</v>
      </c>
      <c r="AD151" s="80">
        <v>0</v>
      </c>
      <c r="AE151" s="80">
        <v>0</v>
      </c>
      <c r="AF151" s="80">
        <v>0</v>
      </c>
      <c r="AG151" s="81">
        <v>0</v>
      </c>
      <c r="AH151" s="80">
        <v>0</v>
      </c>
      <c r="AI151" s="81">
        <v>0</v>
      </c>
      <c r="AJ151" s="81">
        <v>0</v>
      </c>
      <c r="AK151" s="81">
        <v>0</v>
      </c>
      <c r="AL151" s="81">
        <v>0</v>
      </c>
      <c r="AM151" s="80">
        <v>0</v>
      </c>
      <c r="AN151" s="80">
        <v>0</v>
      </c>
      <c r="AO151" s="80">
        <v>0</v>
      </c>
    </row>
    <row r="152" spans="1:41" ht="15.75" x14ac:dyDescent="0.25">
      <c r="A152" s="84"/>
      <c r="B152" s="84"/>
      <c r="C152" s="84"/>
      <c r="D152" s="80" t="s">
        <v>248</v>
      </c>
      <c r="E152" s="80">
        <v>0</v>
      </c>
      <c r="F152" s="80">
        <v>0</v>
      </c>
      <c r="G152" s="80">
        <v>0</v>
      </c>
      <c r="H152" s="81">
        <v>1</v>
      </c>
      <c r="I152" s="81">
        <v>1</v>
      </c>
      <c r="J152" s="80">
        <v>1</v>
      </c>
      <c r="K152" s="80">
        <v>0</v>
      </c>
      <c r="L152" s="80">
        <v>0</v>
      </c>
      <c r="M152" s="80">
        <v>0</v>
      </c>
      <c r="N152" s="80">
        <v>0</v>
      </c>
      <c r="O152" s="80">
        <v>1</v>
      </c>
      <c r="P152" s="80">
        <v>1</v>
      </c>
      <c r="Q152" s="80">
        <v>1</v>
      </c>
      <c r="R152" s="80">
        <v>0</v>
      </c>
      <c r="S152" s="81">
        <v>0</v>
      </c>
      <c r="T152" s="81">
        <v>0</v>
      </c>
      <c r="U152" s="80">
        <v>3</v>
      </c>
      <c r="V152" s="80">
        <v>1</v>
      </c>
      <c r="W152" s="81">
        <v>0</v>
      </c>
      <c r="X152" s="80">
        <v>0</v>
      </c>
      <c r="Y152" s="80">
        <v>0</v>
      </c>
      <c r="Z152" s="80">
        <v>0</v>
      </c>
      <c r="AA152" s="80">
        <v>0</v>
      </c>
      <c r="AB152" s="80">
        <v>0</v>
      </c>
      <c r="AC152" s="80">
        <v>0</v>
      </c>
      <c r="AD152" s="80">
        <v>0</v>
      </c>
      <c r="AE152" s="80">
        <v>0</v>
      </c>
      <c r="AF152" s="80">
        <v>0</v>
      </c>
      <c r="AG152" s="81">
        <v>1</v>
      </c>
      <c r="AH152" s="80">
        <v>0</v>
      </c>
      <c r="AI152" s="81">
        <v>0</v>
      </c>
      <c r="AJ152" s="81">
        <v>0</v>
      </c>
      <c r="AK152" s="81">
        <v>0</v>
      </c>
      <c r="AL152" s="81">
        <v>0</v>
      </c>
      <c r="AM152" s="80">
        <v>0</v>
      </c>
      <c r="AN152" s="80">
        <v>0</v>
      </c>
      <c r="AO152" s="80">
        <v>0</v>
      </c>
    </row>
    <row r="153" spans="1:41" ht="15.75" x14ac:dyDescent="0.25">
      <c r="A153" s="84"/>
      <c r="B153" s="84"/>
      <c r="C153" s="84"/>
      <c r="D153" s="80" t="s">
        <v>258</v>
      </c>
      <c r="E153" s="80">
        <v>0</v>
      </c>
      <c r="F153" s="80">
        <v>0</v>
      </c>
      <c r="G153" s="81">
        <v>0</v>
      </c>
      <c r="H153" s="81">
        <v>0</v>
      </c>
      <c r="I153" s="81">
        <v>0</v>
      </c>
      <c r="J153" s="81">
        <v>0</v>
      </c>
      <c r="K153" s="81">
        <v>0</v>
      </c>
      <c r="L153" s="80">
        <v>0</v>
      </c>
      <c r="M153" s="81">
        <v>0</v>
      </c>
      <c r="N153" s="80">
        <v>0</v>
      </c>
      <c r="O153" s="81">
        <v>0</v>
      </c>
      <c r="P153" s="80">
        <v>0</v>
      </c>
      <c r="Q153" s="81">
        <v>0</v>
      </c>
      <c r="R153" s="81">
        <v>0</v>
      </c>
      <c r="S153" s="81">
        <v>0</v>
      </c>
      <c r="T153" s="81">
        <v>0</v>
      </c>
      <c r="U153" s="81">
        <v>0</v>
      </c>
      <c r="V153" s="81">
        <v>0</v>
      </c>
      <c r="W153" s="81">
        <v>0</v>
      </c>
      <c r="X153" s="81">
        <v>0</v>
      </c>
      <c r="Y153" s="81">
        <v>0</v>
      </c>
      <c r="Z153" s="81">
        <v>0</v>
      </c>
      <c r="AA153" s="81">
        <v>0</v>
      </c>
      <c r="AB153" s="81">
        <v>0</v>
      </c>
      <c r="AC153" s="80">
        <v>0</v>
      </c>
      <c r="AD153" s="80">
        <v>0</v>
      </c>
      <c r="AE153" s="81">
        <v>0</v>
      </c>
      <c r="AF153" s="81">
        <v>0</v>
      </c>
      <c r="AG153" s="81">
        <v>0</v>
      </c>
      <c r="AH153" s="81">
        <v>0</v>
      </c>
      <c r="AI153" s="81">
        <v>0</v>
      </c>
      <c r="AJ153" s="81">
        <v>0</v>
      </c>
      <c r="AK153" s="81">
        <v>0</v>
      </c>
      <c r="AL153" s="81">
        <v>0</v>
      </c>
      <c r="AM153" s="80">
        <v>0</v>
      </c>
      <c r="AN153" s="80">
        <v>0</v>
      </c>
      <c r="AO153" s="80">
        <v>0</v>
      </c>
    </row>
    <row r="154" spans="1:41" ht="15.75" x14ac:dyDescent="0.25">
      <c r="A154" s="84">
        <v>35</v>
      </c>
      <c r="B154" s="84"/>
      <c r="C154" s="84" t="s">
        <v>171</v>
      </c>
      <c r="D154" s="80" t="s">
        <v>245</v>
      </c>
      <c r="E154" s="438">
        <v>0</v>
      </c>
      <c r="F154" s="80">
        <v>0</v>
      </c>
      <c r="G154" s="80">
        <v>0</v>
      </c>
      <c r="H154" s="390">
        <v>1</v>
      </c>
      <c r="I154" s="390">
        <v>2</v>
      </c>
      <c r="J154" s="387">
        <v>1</v>
      </c>
      <c r="K154" s="80">
        <v>0</v>
      </c>
      <c r="L154" s="80">
        <v>0</v>
      </c>
      <c r="M154" s="80">
        <v>0</v>
      </c>
      <c r="N154" s="80">
        <v>0</v>
      </c>
      <c r="O154" s="387">
        <v>1</v>
      </c>
      <c r="P154" s="80">
        <v>0</v>
      </c>
      <c r="Q154" s="387">
        <v>1</v>
      </c>
      <c r="R154" s="80">
        <v>0</v>
      </c>
      <c r="S154" s="80">
        <v>0</v>
      </c>
      <c r="T154" s="390">
        <v>1</v>
      </c>
      <c r="U154" s="387">
        <v>2</v>
      </c>
      <c r="V154" s="387">
        <v>1</v>
      </c>
      <c r="W154" s="81">
        <v>0</v>
      </c>
      <c r="X154" s="80">
        <v>0</v>
      </c>
      <c r="Y154" s="80">
        <v>0</v>
      </c>
      <c r="Z154" s="80">
        <v>0</v>
      </c>
      <c r="AA154" s="80">
        <v>0</v>
      </c>
      <c r="AB154" s="80">
        <v>0</v>
      </c>
      <c r="AC154" s="80">
        <v>0</v>
      </c>
      <c r="AD154" s="80">
        <v>0</v>
      </c>
      <c r="AE154" s="80">
        <v>0</v>
      </c>
      <c r="AF154" s="387">
        <v>1</v>
      </c>
      <c r="AG154" s="390">
        <v>1</v>
      </c>
      <c r="AH154" s="80">
        <v>0</v>
      </c>
      <c r="AI154" s="81">
        <v>0</v>
      </c>
      <c r="AJ154" s="81">
        <v>0</v>
      </c>
      <c r="AK154" s="81">
        <v>0</v>
      </c>
      <c r="AL154" s="81">
        <v>0</v>
      </c>
      <c r="AM154" s="80">
        <v>0</v>
      </c>
      <c r="AN154" s="80">
        <v>0</v>
      </c>
      <c r="AO154" s="80">
        <v>0</v>
      </c>
    </row>
    <row r="155" spans="1:41" ht="15.75" x14ac:dyDescent="0.25">
      <c r="A155" s="84"/>
      <c r="B155" s="84"/>
      <c r="C155" s="84"/>
      <c r="D155" s="80" t="s">
        <v>246</v>
      </c>
      <c r="E155" s="80">
        <v>0</v>
      </c>
      <c r="F155" s="80">
        <v>0</v>
      </c>
      <c r="G155" s="80">
        <v>0</v>
      </c>
      <c r="H155" s="81">
        <v>1</v>
      </c>
      <c r="I155" s="81">
        <v>2</v>
      </c>
      <c r="J155" s="80">
        <v>1</v>
      </c>
      <c r="K155" s="80">
        <v>0</v>
      </c>
      <c r="L155" s="80">
        <v>0</v>
      </c>
      <c r="M155" s="80">
        <v>0</v>
      </c>
      <c r="N155" s="80">
        <v>0</v>
      </c>
      <c r="O155" s="80">
        <v>1</v>
      </c>
      <c r="P155" s="80">
        <v>0</v>
      </c>
      <c r="Q155" s="80">
        <v>1</v>
      </c>
      <c r="R155" s="80">
        <v>0</v>
      </c>
      <c r="S155" s="80">
        <v>0</v>
      </c>
      <c r="T155" s="81">
        <v>1</v>
      </c>
      <c r="U155" s="80">
        <v>2</v>
      </c>
      <c r="V155" s="80">
        <v>1</v>
      </c>
      <c r="W155" s="81">
        <v>0</v>
      </c>
      <c r="X155" s="80">
        <v>0</v>
      </c>
      <c r="Y155" s="80">
        <v>0</v>
      </c>
      <c r="Z155" s="80">
        <v>0</v>
      </c>
      <c r="AA155" s="80">
        <v>0</v>
      </c>
      <c r="AB155" s="80">
        <v>0</v>
      </c>
      <c r="AC155" s="80">
        <v>0</v>
      </c>
      <c r="AD155" s="80">
        <v>0</v>
      </c>
      <c r="AE155" s="80">
        <v>0</v>
      </c>
      <c r="AF155" s="80">
        <v>1</v>
      </c>
      <c r="AG155" s="81">
        <v>1</v>
      </c>
      <c r="AH155" s="80">
        <v>0</v>
      </c>
      <c r="AI155" s="81">
        <v>0</v>
      </c>
      <c r="AJ155" s="81">
        <v>0</v>
      </c>
      <c r="AK155" s="81">
        <v>0</v>
      </c>
      <c r="AL155" s="81">
        <v>0</v>
      </c>
      <c r="AM155" s="80">
        <v>0</v>
      </c>
      <c r="AN155" s="80">
        <v>0</v>
      </c>
      <c r="AO155" s="80">
        <v>0</v>
      </c>
    </row>
    <row r="156" spans="1:41" ht="15.75" x14ac:dyDescent="0.25">
      <c r="A156" s="84"/>
      <c r="B156" s="84"/>
      <c r="C156" s="84"/>
      <c r="D156" s="80" t="s">
        <v>247</v>
      </c>
      <c r="E156" s="80">
        <v>0</v>
      </c>
      <c r="F156" s="80">
        <v>0</v>
      </c>
      <c r="G156" s="80">
        <v>0</v>
      </c>
      <c r="H156" s="81">
        <v>0</v>
      </c>
      <c r="I156" s="81">
        <v>0</v>
      </c>
      <c r="J156" s="80">
        <v>0</v>
      </c>
      <c r="K156" s="80">
        <v>0</v>
      </c>
      <c r="L156" s="80">
        <v>0</v>
      </c>
      <c r="M156" s="80">
        <v>0</v>
      </c>
      <c r="N156" s="80">
        <v>0</v>
      </c>
      <c r="O156" s="80">
        <v>0</v>
      </c>
      <c r="P156" s="80">
        <v>0</v>
      </c>
      <c r="Q156" s="80">
        <v>0</v>
      </c>
      <c r="R156" s="80">
        <v>0</v>
      </c>
      <c r="S156" s="80">
        <v>0</v>
      </c>
      <c r="T156" s="81">
        <v>0</v>
      </c>
      <c r="U156" s="80">
        <v>0</v>
      </c>
      <c r="V156" s="80">
        <v>0</v>
      </c>
      <c r="W156" s="81">
        <v>0</v>
      </c>
      <c r="X156" s="80">
        <v>0</v>
      </c>
      <c r="Y156" s="80">
        <v>0</v>
      </c>
      <c r="Z156" s="80">
        <v>0</v>
      </c>
      <c r="AA156" s="80">
        <v>0</v>
      </c>
      <c r="AB156" s="80">
        <v>0</v>
      </c>
      <c r="AC156" s="80">
        <v>0</v>
      </c>
      <c r="AD156" s="80">
        <v>0</v>
      </c>
      <c r="AE156" s="80">
        <v>0</v>
      </c>
      <c r="AF156" s="80">
        <v>0</v>
      </c>
      <c r="AG156" s="81">
        <v>0</v>
      </c>
      <c r="AH156" s="80">
        <v>0</v>
      </c>
      <c r="AI156" s="81">
        <v>0</v>
      </c>
      <c r="AJ156" s="81">
        <v>0</v>
      </c>
      <c r="AK156" s="81">
        <v>0</v>
      </c>
      <c r="AL156" s="81">
        <v>0</v>
      </c>
      <c r="AM156" s="80">
        <v>0</v>
      </c>
      <c r="AN156" s="80">
        <v>0</v>
      </c>
      <c r="AO156" s="80">
        <v>0</v>
      </c>
    </row>
    <row r="157" spans="1:41" ht="15.75" x14ac:dyDescent="0.25">
      <c r="A157" s="84"/>
      <c r="B157" s="84"/>
      <c r="C157" s="84"/>
      <c r="D157" s="80" t="s">
        <v>248</v>
      </c>
      <c r="E157" s="80">
        <v>0</v>
      </c>
      <c r="F157" s="80">
        <v>0</v>
      </c>
      <c r="G157" s="80">
        <v>0</v>
      </c>
      <c r="H157" s="81">
        <v>1</v>
      </c>
      <c r="I157" s="81">
        <v>2</v>
      </c>
      <c r="J157" s="80">
        <v>1</v>
      </c>
      <c r="K157" s="80">
        <v>0</v>
      </c>
      <c r="L157" s="80">
        <v>0</v>
      </c>
      <c r="M157" s="80">
        <v>0</v>
      </c>
      <c r="N157" s="80">
        <v>0</v>
      </c>
      <c r="O157" s="80">
        <v>1</v>
      </c>
      <c r="P157" s="80">
        <v>0</v>
      </c>
      <c r="Q157" s="80">
        <v>1</v>
      </c>
      <c r="R157" s="80">
        <v>0</v>
      </c>
      <c r="S157" s="80">
        <v>0</v>
      </c>
      <c r="T157" s="81">
        <v>1</v>
      </c>
      <c r="U157" s="80">
        <v>2</v>
      </c>
      <c r="V157" s="80">
        <v>1</v>
      </c>
      <c r="W157" s="81">
        <v>0</v>
      </c>
      <c r="X157" s="80">
        <v>0</v>
      </c>
      <c r="Y157" s="80">
        <v>0</v>
      </c>
      <c r="Z157" s="80">
        <v>0</v>
      </c>
      <c r="AA157" s="80">
        <v>0</v>
      </c>
      <c r="AB157" s="80">
        <v>0</v>
      </c>
      <c r="AC157" s="80">
        <v>0</v>
      </c>
      <c r="AD157" s="80">
        <v>0</v>
      </c>
      <c r="AE157" s="80">
        <v>0</v>
      </c>
      <c r="AF157" s="80">
        <v>1</v>
      </c>
      <c r="AG157" s="81">
        <v>1</v>
      </c>
      <c r="AH157" s="80">
        <v>0</v>
      </c>
      <c r="AI157" s="81">
        <v>0</v>
      </c>
      <c r="AJ157" s="81">
        <v>0</v>
      </c>
      <c r="AK157" s="81">
        <v>0</v>
      </c>
      <c r="AL157" s="81">
        <v>0</v>
      </c>
      <c r="AM157" s="80">
        <v>0</v>
      </c>
      <c r="AN157" s="80">
        <v>0</v>
      </c>
      <c r="AO157" s="80">
        <v>0</v>
      </c>
    </row>
    <row r="158" spans="1:41" ht="15.75" x14ac:dyDescent="0.25">
      <c r="A158" s="84"/>
      <c r="B158" s="84"/>
      <c r="C158" s="84"/>
      <c r="D158" s="80" t="s">
        <v>258</v>
      </c>
      <c r="E158" s="80">
        <v>0</v>
      </c>
      <c r="F158" s="80">
        <v>0</v>
      </c>
      <c r="G158" s="81">
        <v>0</v>
      </c>
      <c r="H158" s="81">
        <v>0</v>
      </c>
      <c r="I158" s="81">
        <v>0</v>
      </c>
      <c r="J158" s="81">
        <v>0</v>
      </c>
      <c r="K158" s="81">
        <v>0</v>
      </c>
      <c r="L158" s="80">
        <v>0</v>
      </c>
      <c r="M158" s="80">
        <v>0</v>
      </c>
      <c r="N158" s="80">
        <v>0</v>
      </c>
      <c r="O158" s="81">
        <v>0</v>
      </c>
      <c r="P158" s="80">
        <v>0</v>
      </c>
      <c r="Q158" s="80">
        <v>0</v>
      </c>
      <c r="R158" s="81">
        <v>0</v>
      </c>
      <c r="S158" s="81">
        <v>0</v>
      </c>
      <c r="T158" s="81">
        <v>0</v>
      </c>
      <c r="U158" s="81">
        <v>0</v>
      </c>
      <c r="V158" s="81">
        <v>0</v>
      </c>
      <c r="W158" s="81">
        <v>0</v>
      </c>
      <c r="X158" s="81">
        <v>0</v>
      </c>
      <c r="Y158" s="81">
        <v>0</v>
      </c>
      <c r="Z158" s="81">
        <v>0</v>
      </c>
      <c r="AA158" s="81">
        <v>0</v>
      </c>
      <c r="AB158" s="81">
        <v>0</v>
      </c>
      <c r="AC158" s="80">
        <v>0</v>
      </c>
      <c r="AD158" s="80">
        <v>0</v>
      </c>
      <c r="AE158" s="81">
        <v>0</v>
      </c>
      <c r="AF158" s="81">
        <v>0</v>
      </c>
      <c r="AG158" s="81">
        <v>0</v>
      </c>
      <c r="AH158" s="81">
        <v>0</v>
      </c>
      <c r="AI158" s="81">
        <v>0</v>
      </c>
      <c r="AJ158" s="81">
        <v>0</v>
      </c>
      <c r="AK158" s="81">
        <v>0</v>
      </c>
      <c r="AL158" s="81">
        <v>0</v>
      </c>
      <c r="AM158" s="80">
        <v>0</v>
      </c>
      <c r="AN158" s="80">
        <v>0</v>
      </c>
      <c r="AO158" s="80">
        <v>0</v>
      </c>
    </row>
    <row r="159" spans="1:41" ht="15.75" x14ac:dyDescent="0.25">
      <c r="A159" s="84">
        <v>36</v>
      </c>
      <c r="B159" s="84"/>
      <c r="C159" s="84" t="s">
        <v>31</v>
      </c>
      <c r="D159" s="80" t="s">
        <v>245</v>
      </c>
      <c r="E159" s="438">
        <v>0</v>
      </c>
      <c r="F159" s="80">
        <v>0</v>
      </c>
      <c r="G159" s="80">
        <v>1</v>
      </c>
      <c r="H159" s="390">
        <v>1</v>
      </c>
      <c r="I159" s="390">
        <v>1</v>
      </c>
      <c r="J159" s="387">
        <v>1</v>
      </c>
      <c r="K159" s="80">
        <v>0</v>
      </c>
      <c r="L159" s="387">
        <v>1</v>
      </c>
      <c r="M159" s="80">
        <v>0</v>
      </c>
      <c r="N159" s="390">
        <v>1</v>
      </c>
      <c r="O159" s="387">
        <v>1</v>
      </c>
      <c r="P159" s="80">
        <v>0</v>
      </c>
      <c r="Q159" s="80">
        <v>1</v>
      </c>
      <c r="R159" s="80">
        <v>0</v>
      </c>
      <c r="S159" s="80">
        <v>0</v>
      </c>
      <c r="T159" s="81">
        <v>0</v>
      </c>
      <c r="U159" s="387">
        <v>2</v>
      </c>
      <c r="V159" s="80">
        <v>0</v>
      </c>
      <c r="W159" s="390">
        <v>1</v>
      </c>
      <c r="X159" s="80">
        <v>0</v>
      </c>
      <c r="Y159" s="387">
        <v>1</v>
      </c>
      <c r="Z159" s="80">
        <v>0</v>
      </c>
      <c r="AA159" s="80">
        <v>0</v>
      </c>
      <c r="AB159" s="387">
        <v>1</v>
      </c>
      <c r="AC159" s="80">
        <v>0</v>
      </c>
      <c r="AD159" s="80">
        <v>0</v>
      </c>
      <c r="AE159" s="80">
        <v>0</v>
      </c>
      <c r="AF159" s="80">
        <v>0</v>
      </c>
      <c r="AG159" s="81">
        <v>0</v>
      </c>
      <c r="AH159" s="80">
        <v>0</v>
      </c>
      <c r="AI159" s="81">
        <v>0</v>
      </c>
      <c r="AJ159" s="81">
        <v>0</v>
      </c>
      <c r="AK159" s="81">
        <v>0</v>
      </c>
      <c r="AL159" s="81">
        <v>0</v>
      </c>
      <c r="AM159" s="80">
        <v>0</v>
      </c>
      <c r="AN159" s="80">
        <v>0</v>
      </c>
      <c r="AO159" s="80">
        <v>0</v>
      </c>
    </row>
    <row r="160" spans="1:41" ht="15.75" x14ac:dyDescent="0.25">
      <c r="A160" s="84"/>
      <c r="B160" s="84"/>
      <c r="C160" s="84"/>
      <c r="D160" s="80" t="s">
        <v>246</v>
      </c>
      <c r="E160" s="80">
        <v>0</v>
      </c>
      <c r="F160" s="80">
        <v>0</v>
      </c>
      <c r="G160" s="80">
        <v>1</v>
      </c>
      <c r="H160" s="81">
        <v>1</v>
      </c>
      <c r="I160" s="81">
        <v>1</v>
      </c>
      <c r="J160" s="80">
        <v>1</v>
      </c>
      <c r="K160" s="80">
        <v>0</v>
      </c>
      <c r="L160" s="80">
        <v>1</v>
      </c>
      <c r="M160" s="80">
        <v>0</v>
      </c>
      <c r="N160" s="81">
        <v>1</v>
      </c>
      <c r="O160" s="80">
        <v>1</v>
      </c>
      <c r="P160" s="80">
        <v>0</v>
      </c>
      <c r="Q160" s="80">
        <v>1</v>
      </c>
      <c r="R160" s="80">
        <v>0</v>
      </c>
      <c r="S160" s="80">
        <v>0</v>
      </c>
      <c r="T160" s="81">
        <v>0</v>
      </c>
      <c r="U160" s="80">
        <v>2</v>
      </c>
      <c r="V160" s="80">
        <v>0</v>
      </c>
      <c r="W160" s="81">
        <v>1</v>
      </c>
      <c r="X160" s="80">
        <v>0</v>
      </c>
      <c r="Y160" s="80">
        <v>1</v>
      </c>
      <c r="Z160" s="80">
        <v>0</v>
      </c>
      <c r="AA160" s="80">
        <v>0</v>
      </c>
      <c r="AB160" s="80">
        <v>1</v>
      </c>
      <c r="AC160" s="80">
        <v>0</v>
      </c>
      <c r="AD160" s="80">
        <v>0</v>
      </c>
      <c r="AE160" s="80">
        <v>0</v>
      </c>
      <c r="AF160" s="80">
        <v>0</v>
      </c>
      <c r="AG160" s="81">
        <v>0</v>
      </c>
      <c r="AH160" s="80">
        <v>0</v>
      </c>
      <c r="AI160" s="81">
        <v>0</v>
      </c>
      <c r="AJ160" s="81">
        <v>0</v>
      </c>
      <c r="AK160" s="81">
        <v>0</v>
      </c>
      <c r="AL160" s="81">
        <v>0</v>
      </c>
      <c r="AM160" s="80">
        <v>0</v>
      </c>
      <c r="AN160" s="80">
        <v>0</v>
      </c>
      <c r="AO160" s="80">
        <v>0</v>
      </c>
    </row>
    <row r="161" spans="1:41" ht="15.75" x14ac:dyDescent="0.25">
      <c r="A161" s="84"/>
      <c r="B161" s="84"/>
      <c r="C161" s="84"/>
      <c r="D161" s="80" t="s">
        <v>247</v>
      </c>
      <c r="E161" s="80">
        <v>0</v>
      </c>
      <c r="F161" s="80">
        <v>0</v>
      </c>
      <c r="G161" s="80">
        <v>0</v>
      </c>
      <c r="H161" s="81">
        <v>0</v>
      </c>
      <c r="I161" s="81">
        <v>0</v>
      </c>
      <c r="J161" s="80">
        <v>0</v>
      </c>
      <c r="K161" s="80">
        <v>0</v>
      </c>
      <c r="L161" s="80">
        <v>0</v>
      </c>
      <c r="M161" s="80">
        <v>0</v>
      </c>
      <c r="N161" s="81">
        <v>0</v>
      </c>
      <c r="O161" s="80">
        <v>0</v>
      </c>
      <c r="P161" s="80">
        <v>0</v>
      </c>
      <c r="Q161" s="80">
        <v>0</v>
      </c>
      <c r="R161" s="80">
        <v>0</v>
      </c>
      <c r="S161" s="80">
        <v>0</v>
      </c>
      <c r="T161" s="81">
        <v>0</v>
      </c>
      <c r="U161" s="80">
        <v>0</v>
      </c>
      <c r="V161" s="80">
        <v>0</v>
      </c>
      <c r="W161" s="81">
        <v>0</v>
      </c>
      <c r="X161" s="80">
        <v>0</v>
      </c>
      <c r="Y161" s="80">
        <v>0</v>
      </c>
      <c r="Z161" s="80">
        <v>0</v>
      </c>
      <c r="AA161" s="80">
        <v>0</v>
      </c>
      <c r="AB161" s="80">
        <v>0</v>
      </c>
      <c r="AC161" s="80">
        <v>0</v>
      </c>
      <c r="AD161" s="80">
        <v>0</v>
      </c>
      <c r="AE161" s="80">
        <v>0</v>
      </c>
      <c r="AF161" s="80">
        <v>0</v>
      </c>
      <c r="AG161" s="81">
        <v>0</v>
      </c>
      <c r="AH161" s="80">
        <v>0</v>
      </c>
      <c r="AI161" s="81">
        <v>0</v>
      </c>
      <c r="AJ161" s="81">
        <v>0</v>
      </c>
      <c r="AK161" s="81">
        <v>0</v>
      </c>
      <c r="AL161" s="81">
        <v>0</v>
      </c>
      <c r="AM161" s="80">
        <v>0</v>
      </c>
      <c r="AN161" s="80">
        <v>0</v>
      </c>
      <c r="AO161" s="80">
        <v>0</v>
      </c>
    </row>
    <row r="162" spans="1:41" ht="15.75" x14ac:dyDescent="0.25">
      <c r="A162" s="84"/>
      <c r="B162" s="84"/>
      <c r="C162" s="84"/>
      <c r="D162" s="80" t="s">
        <v>248</v>
      </c>
      <c r="E162" s="80">
        <v>0</v>
      </c>
      <c r="F162" s="80">
        <v>0</v>
      </c>
      <c r="G162" s="80">
        <v>1</v>
      </c>
      <c r="H162" s="81">
        <v>1</v>
      </c>
      <c r="I162" s="81">
        <v>1</v>
      </c>
      <c r="J162" s="80">
        <v>1</v>
      </c>
      <c r="K162" s="80">
        <v>0</v>
      </c>
      <c r="L162" s="80">
        <v>1</v>
      </c>
      <c r="M162" s="80">
        <v>0</v>
      </c>
      <c r="N162" s="81">
        <v>1</v>
      </c>
      <c r="O162" s="80">
        <v>1</v>
      </c>
      <c r="P162" s="80">
        <v>0</v>
      </c>
      <c r="Q162" s="80">
        <v>0</v>
      </c>
      <c r="R162" s="80">
        <v>0</v>
      </c>
      <c r="S162" s="80">
        <v>0</v>
      </c>
      <c r="T162" s="81">
        <v>0</v>
      </c>
      <c r="U162" s="80">
        <v>2</v>
      </c>
      <c r="V162" s="80">
        <v>0</v>
      </c>
      <c r="W162" s="81">
        <v>1</v>
      </c>
      <c r="X162" s="80">
        <v>0</v>
      </c>
      <c r="Y162" s="80">
        <v>1</v>
      </c>
      <c r="Z162" s="80">
        <v>0</v>
      </c>
      <c r="AA162" s="80">
        <v>0</v>
      </c>
      <c r="AB162" s="80">
        <v>1</v>
      </c>
      <c r="AC162" s="80">
        <v>0</v>
      </c>
      <c r="AD162" s="80">
        <v>0</v>
      </c>
      <c r="AE162" s="80">
        <v>0</v>
      </c>
      <c r="AF162" s="80">
        <v>0</v>
      </c>
      <c r="AG162" s="81">
        <v>0</v>
      </c>
      <c r="AH162" s="80">
        <v>0</v>
      </c>
      <c r="AI162" s="81">
        <v>0</v>
      </c>
      <c r="AJ162" s="81">
        <v>0</v>
      </c>
      <c r="AK162" s="81">
        <v>0</v>
      </c>
      <c r="AL162" s="81">
        <v>0</v>
      </c>
      <c r="AM162" s="80">
        <v>0</v>
      </c>
      <c r="AN162" s="80">
        <v>0</v>
      </c>
      <c r="AO162" s="80">
        <v>0</v>
      </c>
    </row>
    <row r="163" spans="1:41" ht="15.75" x14ac:dyDescent="0.25">
      <c r="A163" s="84"/>
      <c r="B163" s="84"/>
      <c r="C163" s="84"/>
      <c r="D163" s="80" t="s">
        <v>258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1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80">
        <v>0</v>
      </c>
      <c r="AG163" s="80">
        <v>0</v>
      </c>
      <c r="AH163" s="80">
        <v>0</v>
      </c>
      <c r="AI163" s="80">
        <v>0</v>
      </c>
      <c r="AJ163" s="80">
        <v>0</v>
      </c>
      <c r="AK163" s="80">
        <v>0</v>
      </c>
      <c r="AL163" s="80">
        <v>0</v>
      </c>
      <c r="AM163" s="80">
        <v>0</v>
      </c>
      <c r="AN163" s="80">
        <v>0</v>
      </c>
      <c r="AO163" s="80">
        <v>0</v>
      </c>
    </row>
    <row r="164" spans="1:41" ht="15.75" x14ac:dyDescent="0.25">
      <c r="A164" s="84">
        <v>37</v>
      </c>
      <c r="B164" s="84"/>
      <c r="C164" s="84" t="s">
        <v>201</v>
      </c>
      <c r="D164" s="80" t="s">
        <v>245</v>
      </c>
      <c r="E164" s="438">
        <v>0</v>
      </c>
      <c r="F164" s="80">
        <v>0</v>
      </c>
      <c r="G164" s="81">
        <v>0</v>
      </c>
      <c r="H164" s="390">
        <v>1</v>
      </c>
      <c r="I164" s="390">
        <v>1</v>
      </c>
      <c r="J164" s="390">
        <v>1</v>
      </c>
      <c r="K164" s="81">
        <v>0</v>
      </c>
      <c r="L164" s="81">
        <v>0</v>
      </c>
      <c r="M164" s="81">
        <v>0</v>
      </c>
      <c r="N164" s="81">
        <v>0</v>
      </c>
      <c r="O164" s="390">
        <v>1</v>
      </c>
      <c r="P164" s="80">
        <v>0</v>
      </c>
      <c r="Q164" s="81">
        <v>0</v>
      </c>
      <c r="R164" s="81">
        <v>0</v>
      </c>
      <c r="S164" s="81">
        <v>0</v>
      </c>
      <c r="T164" s="81">
        <v>0</v>
      </c>
      <c r="U164" s="390">
        <v>2</v>
      </c>
      <c r="V164" s="81">
        <v>0</v>
      </c>
      <c r="W164" s="81">
        <v>0</v>
      </c>
      <c r="X164" s="81">
        <v>0</v>
      </c>
      <c r="Y164" s="81">
        <v>0</v>
      </c>
      <c r="Z164" s="81">
        <v>0</v>
      </c>
      <c r="AA164" s="81">
        <v>0</v>
      </c>
      <c r="AB164" s="81">
        <v>0</v>
      </c>
      <c r="AC164" s="80">
        <v>0</v>
      </c>
      <c r="AD164" s="80">
        <v>0</v>
      </c>
      <c r="AE164" s="81">
        <v>0</v>
      </c>
      <c r="AF164" s="81">
        <v>0</v>
      </c>
      <c r="AG164" s="390">
        <v>1</v>
      </c>
      <c r="AH164" s="81">
        <v>0</v>
      </c>
      <c r="AI164" s="81">
        <v>0</v>
      </c>
      <c r="AJ164" s="81">
        <v>0</v>
      </c>
      <c r="AK164" s="81">
        <v>0</v>
      </c>
      <c r="AL164" s="81">
        <v>0</v>
      </c>
      <c r="AM164" s="80">
        <v>0</v>
      </c>
      <c r="AN164" s="80">
        <v>0</v>
      </c>
      <c r="AO164" s="80">
        <v>0</v>
      </c>
    </row>
    <row r="165" spans="1:41" ht="15.75" x14ac:dyDescent="0.25">
      <c r="A165" s="84"/>
      <c r="B165" s="84"/>
      <c r="C165" s="84"/>
      <c r="D165" s="80" t="s">
        <v>246</v>
      </c>
      <c r="E165" s="80">
        <v>0</v>
      </c>
      <c r="F165" s="80">
        <v>0</v>
      </c>
      <c r="G165" s="81">
        <v>0</v>
      </c>
      <c r="H165" s="81">
        <v>1</v>
      </c>
      <c r="I165" s="81">
        <v>1</v>
      </c>
      <c r="J165" s="81">
        <v>1</v>
      </c>
      <c r="K165" s="81">
        <v>0</v>
      </c>
      <c r="L165" s="81">
        <v>0</v>
      </c>
      <c r="M165" s="81">
        <v>0</v>
      </c>
      <c r="N165" s="81">
        <v>0</v>
      </c>
      <c r="O165" s="81">
        <v>1</v>
      </c>
      <c r="P165" s="80">
        <v>0</v>
      </c>
      <c r="Q165" s="81">
        <v>0</v>
      </c>
      <c r="R165" s="81">
        <v>0</v>
      </c>
      <c r="S165" s="81">
        <v>0</v>
      </c>
      <c r="T165" s="81">
        <v>0</v>
      </c>
      <c r="U165" s="81">
        <v>2</v>
      </c>
      <c r="V165" s="81">
        <v>0</v>
      </c>
      <c r="W165" s="81">
        <v>0</v>
      </c>
      <c r="X165" s="81">
        <v>0</v>
      </c>
      <c r="Y165" s="81">
        <v>0</v>
      </c>
      <c r="Z165" s="81">
        <v>0</v>
      </c>
      <c r="AA165" s="81">
        <v>0</v>
      </c>
      <c r="AB165" s="81">
        <v>0</v>
      </c>
      <c r="AC165" s="80">
        <v>0</v>
      </c>
      <c r="AD165" s="80">
        <v>0</v>
      </c>
      <c r="AE165" s="81">
        <v>0</v>
      </c>
      <c r="AF165" s="81">
        <v>0</v>
      </c>
      <c r="AG165" s="81">
        <v>1</v>
      </c>
      <c r="AH165" s="81">
        <v>0</v>
      </c>
      <c r="AI165" s="81">
        <v>0</v>
      </c>
      <c r="AJ165" s="81">
        <v>0</v>
      </c>
      <c r="AK165" s="81">
        <v>0</v>
      </c>
      <c r="AL165" s="81">
        <v>0</v>
      </c>
      <c r="AM165" s="80">
        <v>0</v>
      </c>
      <c r="AN165" s="80">
        <v>0</v>
      </c>
      <c r="AO165" s="80">
        <v>0</v>
      </c>
    </row>
    <row r="166" spans="1:41" ht="15.75" x14ac:dyDescent="0.25">
      <c r="A166" s="84"/>
      <c r="B166" s="84"/>
      <c r="C166" s="84"/>
      <c r="D166" s="80" t="s">
        <v>247</v>
      </c>
      <c r="E166" s="80">
        <v>0</v>
      </c>
      <c r="F166" s="80">
        <v>0</v>
      </c>
      <c r="G166" s="81">
        <v>0</v>
      </c>
      <c r="H166" s="81">
        <v>0</v>
      </c>
      <c r="I166" s="81">
        <v>0</v>
      </c>
      <c r="J166" s="81">
        <v>0</v>
      </c>
      <c r="K166" s="81">
        <v>0</v>
      </c>
      <c r="L166" s="81">
        <v>0</v>
      </c>
      <c r="M166" s="81">
        <v>0</v>
      </c>
      <c r="N166" s="81">
        <v>0</v>
      </c>
      <c r="O166" s="81">
        <v>0</v>
      </c>
      <c r="P166" s="80">
        <v>0</v>
      </c>
      <c r="Q166" s="81">
        <v>0</v>
      </c>
      <c r="R166" s="81">
        <v>0</v>
      </c>
      <c r="S166" s="81">
        <v>0</v>
      </c>
      <c r="T166" s="81">
        <v>0</v>
      </c>
      <c r="U166" s="81">
        <v>0</v>
      </c>
      <c r="V166" s="81">
        <v>0</v>
      </c>
      <c r="W166" s="81">
        <v>0</v>
      </c>
      <c r="X166" s="81">
        <v>0</v>
      </c>
      <c r="Y166" s="81">
        <v>0</v>
      </c>
      <c r="Z166" s="81">
        <v>0</v>
      </c>
      <c r="AA166" s="81">
        <v>0</v>
      </c>
      <c r="AB166" s="81">
        <v>0</v>
      </c>
      <c r="AC166" s="80">
        <v>0</v>
      </c>
      <c r="AD166" s="80">
        <v>0</v>
      </c>
      <c r="AE166" s="81">
        <v>0</v>
      </c>
      <c r="AF166" s="81">
        <v>0</v>
      </c>
      <c r="AG166" s="81">
        <v>0</v>
      </c>
      <c r="AH166" s="81">
        <v>0</v>
      </c>
      <c r="AI166" s="81">
        <v>0</v>
      </c>
      <c r="AJ166" s="81">
        <v>0</v>
      </c>
      <c r="AK166" s="81">
        <v>0</v>
      </c>
      <c r="AL166" s="81">
        <v>0</v>
      </c>
      <c r="AM166" s="80">
        <v>0</v>
      </c>
      <c r="AN166" s="80">
        <v>0</v>
      </c>
      <c r="AO166" s="80">
        <v>0</v>
      </c>
    </row>
    <row r="167" spans="1:41" ht="15.75" x14ac:dyDescent="0.25">
      <c r="A167" s="84"/>
      <c r="B167" s="84"/>
      <c r="C167" s="84"/>
      <c r="D167" s="80" t="s">
        <v>248</v>
      </c>
      <c r="E167" s="80">
        <v>0</v>
      </c>
      <c r="F167" s="80">
        <v>0</v>
      </c>
      <c r="G167" s="81">
        <v>0</v>
      </c>
      <c r="H167" s="81">
        <v>1</v>
      </c>
      <c r="I167" s="81">
        <v>1</v>
      </c>
      <c r="J167" s="81">
        <v>1</v>
      </c>
      <c r="K167" s="81">
        <v>0</v>
      </c>
      <c r="L167" s="81">
        <v>0</v>
      </c>
      <c r="M167" s="81">
        <v>0</v>
      </c>
      <c r="N167" s="81">
        <v>0</v>
      </c>
      <c r="O167" s="81">
        <v>1</v>
      </c>
      <c r="P167" s="80">
        <v>0</v>
      </c>
      <c r="Q167" s="81">
        <v>0</v>
      </c>
      <c r="R167" s="81">
        <v>0</v>
      </c>
      <c r="S167" s="81">
        <v>0</v>
      </c>
      <c r="T167" s="81">
        <v>0</v>
      </c>
      <c r="U167" s="81">
        <v>2</v>
      </c>
      <c r="V167" s="81">
        <v>0</v>
      </c>
      <c r="W167" s="81">
        <v>0</v>
      </c>
      <c r="X167" s="81">
        <v>0</v>
      </c>
      <c r="Y167" s="81">
        <v>0</v>
      </c>
      <c r="Z167" s="81">
        <v>0</v>
      </c>
      <c r="AA167" s="81">
        <v>0</v>
      </c>
      <c r="AB167" s="81">
        <v>0</v>
      </c>
      <c r="AC167" s="80">
        <v>0</v>
      </c>
      <c r="AD167" s="80">
        <v>0</v>
      </c>
      <c r="AE167" s="81">
        <v>0</v>
      </c>
      <c r="AF167" s="81">
        <v>0</v>
      </c>
      <c r="AG167" s="81">
        <v>1</v>
      </c>
      <c r="AH167" s="81">
        <v>0</v>
      </c>
      <c r="AI167" s="81">
        <v>0</v>
      </c>
      <c r="AJ167" s="81">
        <v>0</v>
      </c>
      <c r="AK167" s="81">
        <v>0</v>
      </c>
      <c r="AL167" s="81">
        <v>0</v>
      </c>
      <c r="AM167" s="80">
        <v>0</v>
      </c>
      <c r="AN167" s="80">
        <v>0</v>
      </c>
      <c r="AO167" s="80">
        <v>0</v>
      </c>
    </row>
    <row r="168" spans="1:41" ht="15.75" x14ac:dyDescent="0.25">
      <c r="A168" s="84"/>
      <c r="B168" s="84"/>
      <c r="C168" s="84"/>
      <c r="D168" s="80" t="s">
        <v>258</v>
      </c>
      <c r="E168" s="80">
        <v>0</v>
      </c>
      <c r="F168" s="80">
        <v>0</v>
      </c>
      <c r="G168" s="80">
        <v>0</v>
      </c>
      <c r="H168" s="80">
        <v>0</v>
      </c>
      <c r="I168" s="80">
        <v>0</v>
      </c>
      <c r="J168" s="80">
        <v>0</v>
      </c>
      <c r="K168" s="80">
        <v>0</v>
      </c>
      <c r="L168" s="80">
        <v>0</v>
      </c>
      <c r="M168" s="80">
        <v>0</v>
      </c>
      <c r="N168" s="80">
        <v>0</v>
      </c>
      <c r="O168" s="80">
        <v>0</v>
      </c>
      <c r="P168" s="80">
        <v>0</v>
      </c>
      <c r="Q168" s="80">
        <v>0</v>
      </c>
      <c r="R168" s="80">
        <v>0</v>
      </c>
      <c r="S168" s="80">
        <v>0</v>
      </c>
      <c r="T168" s="80">
        <v>0</v>
      </c>
      <c r="U168" s="80">
        <v>0</v>
      </c>
      <c r="V168" s="80">
        <v>0</v>
      </c>
      <c r="W168" s="80">
        <v>0</v>
      </c>
      <c r="X168" s="80">
        <v>0</v>
      </c>
      <c r="Y168" s="80">
        <v>0</v>
      </c>
      <c r="Z168" s="80">
        <v>0</v>
      </c>
      <c r="AA168" s="80">
        <v>0</v>
      </c>
      <c r="AB168" s="80">
        <v>0</v>
      </c>
      <c r="AC168" s="80">
        <v>0</v>
      </c>
      <c r="AD168" s="80">
        <v>0</v>
      </c>
      <c r="AE168" s="80">
        <v>0</v>
      </c>
      <c r="AF168" s="80">
        <v>0</v>
      </c>
      <c r="AG168" s="80">
        <v>0</v>
      </c>
      <c r="AH168" s="80">
        <v>0</v>
      </c>
      <c r="AI168" s="80">
        <v>0</v>
      </c>
      <c r="AJ168" s="80">
        <v>0</v>
      </c>
      <c r="AK168" s="80">
        <v>0</v>
      </c>
      <c r="AL168" s="80">
        <v>0</v>
      </c>
      <c r="AM168" s="80">
        <v>0</v>
      </c>
      <c r="AN168" s="80">
        <v>0</v>
      </c>
      <c r="AO168" s="80">
        <v>0</v>
      </c>
    </row>
    <row r="169" spans="1:41" ht="15.75" x14ac:dyDescent="0.25">
      <c r="A169" s="84">
        <v>38</v>
      </c>
      <c r="B169" s="84" t="s">
        <v>91</v>
      </c>
      <c r="C169" s="84" t="s">
        <v>184</v>
      </c>
      <c r="D169" s="80" t="s">
        <v>245</v>
      </c>
      <c r="E169" s="438">
        <v>0</v>
      </c>
      <c r="F169" s="80">
        <v>0</v>
      </c>
      <c r="G169" s="80">
        <v>0</v>
      </c>
      <c r="H169" s="81">
        <v>1</v>
      </c>
      <c r="I169" s="390">
        <v>1</v>
      </c>
      <c r="J169" s="387">
        <v>1</v>
      </c>
      <c r="K169" s="387">
        <v>1</v>
      </c>
      <c r="L169" s="80">
        <v>0</v>
      </c>
      <c r="M169" s="80">
        <v>0</v>
      </c>
      <c r="N169" s="81">
        <v>0</v>
      </c>
      <c r="O169" s="81">
        <v>2</v>
      </c>
      <c r="P169" s="81">
        <v>0</v>
      </c>
      <c r="Q169" s="390">
        <v>2</v>
      </c>
      <c r="R169" s="387">
        <v>1</v>
      </c>
      <c r="S169" s="80">
        <v>0</v>
      </c>
      <c r="T169" s="81">
        <v>0</v>
      </c>
      <c r="U169" s="387">
        <v>1</v>
      </c>
      <c r="V169" s="390">
        <v>2</v>
      </c>
      <c r="W169" s="390">
        <v>2</v>
      </c>
      <c r="X169" s="387">
        <v>1</v>
      </c>
      <c r="Y169" s="80">
        <v>0</v>
      </c>
      <c r="Z169" s="80">
        <v>1</v>
      </c>
      <c r="AA169" s="80">
        <v>2</v>
      </c>
      <c r="AB169" s="80">
        <v>0</v>
      </c>
      <c r="AC169" s="80">
        <v>1</v>
      </c>
      <c r="AD169" s="80">
        <v>0</v>
      </c>
      <c r="AE169" s="80">
        <v>2</v>
      </c>
      <c r="AF169" s="80">
        <v>0</v>
      </c>
      <c r="AG169" s="81">
        <v>1</v>
      </c>
      <c r="AH169" s="80">
        <v>2</v>
      </c>
      <c r="AI169" s="81">
        <v>1</v>
      </c>
      <c r="AJ169" s="81">
        <v>0</v>
      </c>
      <c r="AK169" s="81">
        <v>0</v>
      </c>
      <c r="AL169" s="81">
        <v>0</v>
      </c>
      <c r="AM169" s="80">
        <v>0</v>
      </c>
      <c r="AN169" s="80">
        <v>0</v>
      </c>
      <c r="AO169" s="80">
        <v>0</v>
      </c>
    </row>
    <row r="170" spans="1:41" s="132" customFormat="1" ht="15.75" x14ac:dyDescent="0.25">
      <c r="A170" s="411"/>
      <c r="B170" s="411"/>
      <c r="C170" s="411"/>
      <c r="D170" s="407" t="s">
        <v>246</v>
      </c>
      <c r="E170" s="407">
        <v>1</v>
      </c>
      <c r="F170" s="407">
        <v>0</v>
      </c>
      <c r="G170" s="407">
        <v>0</v>
      </c>
      <c r="H170" s="412">
        <v>1</v>
      </c>
      <c r="I170" s="412">
        <v>1</v>
      </c>
      <c r="J170" s="407">
        <v>1</v>
      </c>
      <c r="K170" s="407">
        <v>1</v>
      </c>
      <c r="L170" s="407">
        <v>0</v>
      </c>
      <c r="M170" s="407">
        <v>0</v>
      </c>
      <c r="N170" s="412">
        <v>0</v>
      </c>
      <c r="O170" s="412">
        <v>2</v>
      </c>
      <c r="P170" s="412">
        <v>0</v>
      </c>
      <c r="Q170" s="412">
        <v>2</v>
      </c>
      <c r="R170" s="407">
        <v>1</v>
      </c>
      <c r="S170" s="407">
        <v>0</v>
      </c>
      <c r="T170" s="412">
        <v>0</v>
      </c>
      <c r="U170" s="407">
        <v>1</v>
      </c>
      <c r="V170" s="412">
        <v>2</v>
      </c>
      <c r="W170" s="412">
        <v>2</v>
      </c>
      <c r="X170" s="407">
        <v>1</v>
      </c>
      <c r="Y170" s="407">
        <v>0</v>
      </c>
      <c r="Z170" s="407">
        <v>1</v>
      </c>
      <c r="AA170" s="407">
        <v>2</v>
      </c>
      <c r="AB170" s="407">
        <v>0</v>
      </c>
      <c r="AC170" s="407">
        <v>1</v>
      </c>
      <c r="AD170" s="407">
        <v>0</v>
      </c>
      <c r="AE170" s="407">
        <v>2</v>
      </c>
      <c r="AF170" s="80">
        <v>0</v>
      </c>
      <c r="AG170" s="412">
        <v>1</v>
      </c>
      <c r="AH170" s="407">
        <v>2</v>
      </c>
      <c r="AI170" s="412">
        <v>1</v>
      </c>
      <c r="AJ170" s="412">
        <v>0</v>
      </c>
      <c r="AK170" s="412">
        <v>0</v>
      </c>
      <c r="AL170" s="412">
        <v>0</v>
      </c>
      <c r="AM170" s="407">
        <v>0</v>
      </c>
      <c r="AN170" s="407">
        <v>0</v>
      </c>
      <c r="AO170" s="407">
        <v>0</v>
      </c>
    </row>
    <row r="171" spans="1:41" ht="15.75" x14ac:dyDescent="0.25">
      <c r="A171" s="84"/>
      <c r="B171" s="84"/>
      <c r="C171" s="84"/>
      <c r="D171" s="80" t="s">
        <v>247</v>
      </c>
      <c r="E171" s="80">
        <v>0</v>
      </c>
      <c r="F171" s="80">
        <v>0</v>
      </c>
      <c r="G171" s="80">
        <v>0</v>
      </c>
      <c r="H171" s="81">
        <v>0</v>
      </c>
      <c r="I171" s="81">
        <v>0</v>
      </c>
      <c r="J171" s="80">
        <v>0</v>
      </c>
      <c r="K171" s="80">
        <v>0</v>
      </c>
      <c r="L171" s="80">
        <v>0</v>
      </c>
      <c r="M171" s="80">
        <v>0</v>
      </c>
      <c r="N171" s="81">
        <v>0</v>
      </c>
      <c r="O171" s="81">
        <v>0</v>
      </c>
      <c r="P171" s="81">
        <v>0</v>
      </c>
      <c r="Q171" s="81">
        <v>0</v>
      </c>
      <c r="R171" s="80">
        <v>0</v>
      </c>
      <c r="S171" s="80">
        <v>0</v>
      </c>
      <c r="T171" s="81">
        <v>0</v>
      </c>
      <c r="U171" s="80">
        <v>0</v>
      </c>
      <c r="V171" s="81">
        <v>0</v>
      </c>
      <c r="W171" s="81">
        <v>0</v>
      </c>
      <c r="X171" s="80">
        <v>0</v>
      </c>
      <c r="Y171" s="80">
        <v>0</v>
      </c>
      <c r="Z171" s="80">
        <v>0</v>
      </c>
      <c r="AA171" s="80">
        <v>0</v>
      </c>
      <c r="AB171" s="80">
        <v>0</v>
      </c>
      <c r="AC171" s="80">
        <v>0</v>
      </c>
      <c r="AD171" s="80">
        <v>0</v>
      </c>
      <c r="AE171" s="80">
        <v>0</v>
      </c>
      <c r="AF171" s="80">
        <v>0</v>
      </c>
      <c r="AG171" s="81">
        <v>0</v>
      </c>
      <c r="AH171" s="80">
        <v>0</v>
      </c>
      <c r="AI171" s="81">
        <v>0</v>
      </c>
      <c r="AJ171" s="81">
        <v>0</v>
      </c>
      <c r="AK171" s="81">
        <v>0</v>
      </c>
      <c r="AL171" s="81">
        <v>0</v>
      </c>
      <c r="AM171" s="80">
        <v>0</v>
      </c>
      <c r="AN171" s="80">
        <v>0</v>
      </c>
      <c r="AO171" s="80">
        <v>0</v>
      </c>
    </row>
    <row r="172" spans="1:41" ht="15.75" x14ac:dyDescent="0.25">
      <c r="A172" s="84"/>
      <c r="B172" s="84"/>
      <c r="C172" s="84"/>
      <c r="D172" s="80" t="s">
        <v>248</v>
      </c>
      <c r="E172" s="80">
        <v>1</v>
      </c>
      <c r="F172" s="80">
        <v>0</v>
      </c>
      <c r="G172" s="80">
        <v>0</v>
      </c>
      <c r="H172" s="81">
        <v>1</v>
      </c>
      <c r="I172" s="81">
        <v>1</v>
      </c>
      <c r="J172" s="80">
        <v>1</v>
      </c>
      <c r="K172" s="80">
        <v>1</v>
      </c>
      <c r="L172" s="80">
        <v>0</v>
      </c>
      <c r="M172" s="80">
        <v>0</v>
      </c>
      <c r="N172" s="81">
        <v>0</v>
      </c>
      <c r="O172" s="81">
        <v>2</v>
      </c>
      <c r="P172" s="81">
        <v>0</v>
      </c>
      <c r="Q172" s="81">
        <v>1</v>
      </c>
      <c r="R172" s="80">
        <v>0</v>
      </c>
      <c r="S172" s="80">
        <v>0</v>
      </c>
      <c r="T172" s="81">
        <v>0</v>
      </c>
      <c r="U172" s="80">
        <v>1</v>
      </c>
      <c r="V172" s="81">
        <v>2</v>
      </c>
      <c r="W172" s="81">
        <v>2</v>
      </c>
      <c r="X172" s="80">
        <v>1</v>
      </c>
      <c r="Y172" s="80">
        <v>0</v>
      </c>
      <c r="Z172" s="80">
        <v>1</v>
      </c>
      <c r="AA172" s="80">
        <v>2</v>
      </c>
      <c r="AB172" s="80">
        <v>0</v>
      </c>
      <c r="AC172" s="80">
        <v>1</v>
      </c>
      <c r="AD172" s="80">
        <v>0</v>
      </c>
      <c r="AE172" s="80">
        <v>2</v>
      </c>
      <c r="AF172" s="80">
        <v>0</v>
      </c>
      <c r="AG172" s="81">
        <v>1</v>
      </c>
      <c r="AH172" s="80">
        <v>2</v>
      </c>
      <c r="AI172" s="81">
        <v>0</v>
      </c>
      <c r="AJ172" s="81">
        <v>0</v>
      </c>
      <c r="AK172" s="81">
        <v>0</v>
      </c>
      <c r="AL172" s="81">
        <v>0</v>
      </c>
      <c r="AM172" s="80">
        <v>0</v>
      </c>
      <c r="AN172" s="80">
        <v>0</v>
      </c>
      <c r="AO172" s="80">
        <v>0</v>
      </c>
    </row>
    <row r="173" spans="1:41" ht="15.75" x14ac:dyDescent="0.25">
      <c r="A173" s="84"/>
      <c r="B173" s="84"/>
      <c r="C173" s="84"/>
      <c r="D173" s="80" t="s">
        <v>258</v>
      </c>
      <c r="E173" s="80">
        <v>0</v>
      </c>
      <c r="F173" s="80">
        <v>0</v>
      </c>
      <c r="G173" s="80">
        <v>0</v>
      </c>
      <c r="H173" s="80">
        <v>0</v>
      </c>
      <c r="I173" s="80">
        <v>0</v>
      </c>
      <c r="J173" s="80">
        <v>0</v>
      </c>
      <c r="K173" s="80">
        <v>0</v>
      </c>
      <c r="L173" s="80">
        <v>0</v>
      </c>
      <c r="M173" s="80">
        <v>0</v>
      </c>
      <c r="N173" s="80">
        <v>0</v>
      </c>
      <c r="O173" s="80">
        <v>0</v>
      </c>
      <c r="P173" s="80">
        <v>0</v>
      </c>
      <c r="Q173" s="80">
        <v>1</v>
      </c>
      <c r="R173" s="80">
        <v>1</v>
      </c>
      <c r="S173" s="80">
        <v>0</v>
      </c>
      <c r="T173" s="80">
        <v>0</v>
      </c>
      <c r="U173" s="80">
        <v>0</v>
      </c>
      <c r="V173" s="80">
        <v>0</v>
      </c>
      <c r="W173" s="80">
        <v>0</v>
      </c>
      <c r="X173" s="80">
        <v>0</v>
      </c>
      <c r="Y173" s="80">
        <v>0</v>
      </c>
      <c r="Z173" s="80">
        <v>0</v>
      </c>
      <c r="AA173" s="80">
        <v>0</v>
      </c>
      <c r="AB173" s="80">
        <v>0</v>
      </c>
      <c r="AC173" s="80">
        <v>0</v>
      </c>
      <c r="AD173" s="80">
        <v>0</v>
      </c>
      <c r="AE173" s="80">
        <v>0</v>
      </c>
      <c r="AF173" s="80">
        <v>0</v>
      </c>
      <c r="AG173" s="80">
        <v>0</v>
      </c>
      <c r="AH173" s="80">
        <v>0</v>
      </c>
      <c r="AI173" s="80">
        <v>1</v>
      </c>
      <c r="AJ173" s="80">
        <v>0</v>
      </c>
      <c r="AK173" s="80">
        <v>0</v>
      </c>
      <c r="AL173" s="80">
        <v>0</v>
      </c>
      <c r="AM173" s="80">
        <v>0</v>
      </c>
      <c r="AN173" s="80">
        <v>0</v>
      </c>
      <c r="AO173" s="80">
        <v>0</v>
      </c>
    </row>
    <row r="174" spans="1:41" ht="15.75" x14ac:dyDescent="0.25">
      <c r="A174" s="84">
        <v>39</v>
      </c>
      <c r="B174" s="84"/>
      <c r="C174" s="84" t="s">
        <v>254</v>
      </c>
      <c r="D174" s="80" t="s">
        <v>245</v>
      </c>
      <c r="E174" s="438">
        <v>0</v>
      </c>
      <c r="F174" s="80">
        <v>0</v>
      </c>
      <c r="G174" s="80">
        <v>0</v>
      </c>
      <c r="H174" s="81">
        <v>0</v>
      </c>
      <c r="I174" s="390">
        <v>2</v>
      </c>
      <c r="J174" s="387">
        <v>2</v>
      </c>
      <c r="K174" s="80">
        <v>0</v>
      </c>
      <c r="L174" s="80">
        <v>0</v>
      </c>
      <c r="M174" s="80">
        <v>0</v>
      </c>
      <c r="N174" s="390">
        <v>1</v>
      </c>
      <c r="O174" s="81">
        <v>1</v>
      </c>
      <c r="P174" s="81">
        <v>0</v>
      </c>
      <c r="Q174" s="390">
        <v>2</v>
      </c>
      <c r="R174" s="387">
        <v>1</v>
      </c>
      <c r="S174" s="80">
        <v>0</v>
      </c>
      <c r="T174" s="81">
        <v>0</v>
      </c>
      <c r="U174" s="387">
        <v>1</v>
      </c>
      <c r="V174" s="390">
        <v>2</v>
      </c>
      <c r="W174" s="81">
        <v>0</v>
      </c>
      <c r="X174" s="80">
        <v>0</v>
      </c>
      <c r="Y174" s="80">
        <v>0</v>
      </c>
      <c r="Z174" s="387">
        <v>1</v>
      </c>
      <c r="AA174" s="387">
        <v>1</v>
      </c>
      <c r="AB174" s="387">
        <v>1</v>
      </c>
      <c r="AC174" s="387">
        <v>1</v>
      </c>
      <c r="AD174" s="387">
        <v>1</v>
      </c>
      <c r="AE174" s="387">
        <v>1</v>
      </c>
      <c r="AF174" s="387">
        <v>1</v>
      </c>
      <c r="AG174" s="81">
        <v>0</v>
      </c>
      <c r="AH174" s="387">
        <v>1</v>
      </c>
      <c r="AI174" s="81">
        <v>0</v>
      </c>
      <c r="AJ174" s="81">
        <v>0</v>
      </c>
      <c r="AK174" s="81">
        <v>0</v>
      </c>
      <c r="AL174" s="81">
        <v>0</v>
      </c>
      <c r="AM174" s="80">
        <v>0</v>
      </c>
      <c r="AN174" s="80">
        <v>0</v>
      </c>
      <c r="AO174" s="80">
        <v>0</v>
      </c>
    </row>
    <row r="175" spans="1:41" ht="15.75" x14ac:dyDescent="0.25">
      <c r="A175" s="84"/>
      <c r="B175" s="84"/>
      <c r="C175" s="84"/>
      <c r="D175" s="80" t="s">
        <v>246</v>
      </c>
      <c r="E175" s="80">
        <v>1</v>
      </c>
      <c r="F175" s="80">
        <v>0</v>
      </c>
      <c r="G175" s="80">
        <v>0</v>
      </c>
      <c r="H175" s="81">
        <v>0</v>
      </c>
      <c r="I175" s="81">
        <v>1</v>
      </c>
      <c r="J175" s="80">
        <v>2</v>
      </c>
      <c r="K175" s="80">
        <v>0</v>
      </c>
      <c r="L175" s="80">
        <v>0</v>
      </c>
      <c r="M175" s="80">
        <v>0</v>
      </c>
      <c r="N175" s="81">
        <v>1</v>
      </c>
      <c r="O175" s="81">
        <v>1</v>
      </c>
      <c r="P175" s="81">
        <v>0</v>
      </c>
      <c r="Q175" s="81">
        <v>2</v>
      </c>
      <c r="R175" s="80">
        <v>1</v>
      </c>
      <c r="S175" s="80">
        <v>0</v>
      </c>
      <c r="T175" s="81">
        <v>0</v>
      </c>
      <c r="U175" s="80">
        <v>1</v>
      </c>
      <c r="V175" s="81">
        <v>2</v>
      </c>
      <c r="W175" s="81">
        <v>0</v>
      </c>
      <c r="X175" s="80">
        <v>0</v>
      </c>
      <c r="Y175" s="80">
        <v>0</v>
      </c>
      <c r="Z175" s="80">
        <v>1</v>
      </c>
      <c r="AA175" s="80">
        <v>1</v>
      </c>
      <c r="AB175" s="80">
        <v>1</v>
      </c>
      <c r="AC175" s="80">
        <v>1</v>
      </c>
      <c r="AD175" s="80">
        <v>1</v>
      </c>
      <c r="AE175" s="80">
        <v>1</v>
      </c>
      <c r="AF175" s="80">
        <v>1</v>
      </c>
      <c r="AG175" s="81">
        <v>0</v>
      </c>
      <c r="AH175" s="80">
        <v>1</v>
      </c>
      <c r="AI175" s="81">
        <v>0</v>
      </c>
      <c r="AJ175" s="81">
        <v>0</v>
      </c>
      <c r="AK175" s="81">
        <v>0</v>
      </c>
      <c r="AL175" s="81">
        <v>0</v>
      </c>
      <c r="AM175" s="80">
        <v>0</v>
      </c>
      <c r="AN175" s="80">
        <v>0</v>
      </c>
      <c r="AO175" s="80">
        <v>0</v>
      </c>
    </row>
    <row r="176" spans="1:41" ht="15.75" x14ac:dyDescent="0.25">
      <c r="A176" s="84"/>
      <c r="B176" s="84"/>
      <c r="C176" s="84"/>
      <c r="D176" s="80" t="s">
        <v>247</v>
      </c>
      <c r="E176" s="80">
        <v>0</v>
      </c>
      <c r="F176" s="80">
        <v>0</v>
      </c>
      <c r="G176" s="80">
        <v>0</v>
      </c>
      <c r="H176" s="81">
        <v>0</v>
      </c>
      <c r="I176" s="81">
        <v>1</v>
      </c>
      <c r="J176" s="80">
        <v>0</v>
      </c>
      <c r="K176" s="80">
        <v>0</v>
      </c>
      <c r="L176" s="80">
        <v>0</v>
      </c>
      <c r="M176" s="80">
        <v>0</v>
      </c>
      <c r="N176" s="81">
        <v>0</v>
      </c>
      <c r="O176" s="81">
        <v>0</v>
      </c>
      <c r="P176" s="81">
        <v>0</v>
      </c>
      <c r="Q176" s="81">
        <v>0</v>
      </c>
      <c r="R176" s="80">
        <v>0</v>
      </c>
      <c r="S176" s="80">
        <v>0</v>
      </c>
      <c r="T176" s="81">
        <v>0</v>
      </c>
      <c r="U176" s="80">
        <v>0</v>
      </c>
      <c r="V176" s="81">
        <v>0</v>
      </c>
      <c r="W176" s="81">
        <v>0</v>
      </c>
      <c r="X176" s="80">
        <v>0</v>
      </c>
      <c r="Y176" s="80">
        <v>0</v>
      </c>
      <c r="Z176" s="80">
        <v>0</v>
      </c>
      <c r="AA176" s="80">
        <v>0</v>
      </c>
      <c r="AB176" s="80">
        <v>0</v>
      </c>
      <c r="AC176" s="80">
        <v>0</v>
      </c>
      <c r="AD176" s="80">
        <v>0</v>
      </c>
      <c r="AE176" s="80">
        <v>0</v>
      </c>
      <c r="AF176" s="80">
        <v>0</v>
      </c>
      <c r="AG176" s="81">
        <v>0</v>
      </c>
      <c r="AH176" s="80">
        <v>0</v>
      </c>
      <c r="AI176" s="81">
        <v>0</v>
      </c>
      <c r="AJ176" s="81">
        <v>0</v>
      </c>
      <c r="AK176" s="81">
        <v>0</v>
      </c>
      <c r="AL176" s="81">
        <v>0</v>
      </c>
      <c r="AM176" s="80">
        <v>0</v>
      </c>
      <c r="AN176" s="80">
        <v>0</v>
      </c>
      <c r="AO176" s="80">
        <v>0</v>
      </c>
    </row>
    <row r="177" spans="1:41" ht="15.75" x14ac:dyDescent="0.25">
      <c r="A177" s="84"/>
      <c r="B177" s="84"/>
      <c r="C177" s="84"/>
      <c r="D177" s="80" t="s">
        <v>248</v>
      </c>
      <c r="E177" s="80">
        <v>1</v>
      </c>
      <c r="F177" s="80">
        <v>0</v>
      </c>
      <c r="G177" s="80">
        <v>0</v>
      </c>
      <c r="H177" s="81">
        <v>0</v>
      </c>
      <c r="I177" s="81">
        <v>1</v>
      </c>
      <c r="J177" s="80">
        <v>2</v>
      </c>
      <c r="K177" s="80">
        <v>0</v>
      </c>
      <c r="L177" s="80">
        <v>0</v>
      </c>
      <c r="M177" s="80">
        <v>0</v>
      </c>
      <c r="N177" s="81">
        <v>1</v>
      </c>
      <c r="O177" s="81">
        <v>1</v>
      </c>
      <c r="P177" s="81">
        <v>0</v>
      </c>
      <c r="Q177" s="81">
        <v>2</v>
      </c>
      <c r="R177" s="80">
        <v>1</v>
      </c>
      <c r="S177" s="80">
        <v>0</v>
      </c>
      <c r="T177" s="81">
        <v>0</v>
      </c>
      <c r="U177" s="80">
        <v>1</v>
      </c>
      <c r="V177" s="81">
        <v>2</v>
      </c>
      <c r="W177" s="81">
        <v>0</v>
      </c>
      <c r="X177" s="80">
        <v>0</v>
      </c>
      <c r="Y177" s="80">
        <v>0</v>
      </c>
      <c r="Z177" s="80">
        <v>1</v>
      </c>
      <c r="AA177" s="80">
        <v>1</v>
      </c>
      <c r="AB177" s="80">
        <v>1</v>
      </c>
      <c r="AC177" s="80">
        <v>1</v>
      </c>
      <c r="AD177" s="80">
        <v>1</v>
      </c>
      <c r="AE177" s="80">
        <v>1</v>
      </c>
      <c r="AF177" s="80">
        <v>1</v>
      </c>
      <c r="AG177" s="81">
        <v>0</v>
      </c>
      <c r="AH177" s="80">
        <v>1</v>
      </c>
      <c r="AI177" s="81">
        <v>0</v>
      </c>
      <c r="AJ177" s="81">
        <v>0</v>
      </c>
      <c r="AK177" s="81">
        <v>0</v>
      </c>
      <c r="AL177" s="81">
        <v>0</v>
      </c>
      <c r="AM177" s="80">
        <v>0</v>
      </c>
      <c r="AN177" s="80">
        <v>0</v>
      </c>
      <c r="AO177" s="80">
        <v>0</v>
      </c>
    </row>
    <row r="178" spans="1:41" ht="15.75" x14ac:dyDescent="0.25">
      <c r="A178" s="84"/>
      <c r="B178" s="84"/>
      <c r="C178" s="84"/>
      <c r="D178" s="80" t="s">
        <v>258</v>
      </c>
      <c r="E178" s="80">
        <v>0</v>
      </c>
      <c r="F178" s="80">
        <v>0</v>
      </c>
      <c r="G178" s="80">
        <v>0</v>
      </c>
      <c r="H178" s="80">
        <v>0</v>
      </c>
      <c r="I178" s="80">
        <v>0</v>
      </c>
      <c r="J178" s="80">
        <v>0</v>
      </c>
      <c r="K178" s="80">
        <v>0</v>
      </c>
      <c r="L178" s="80">
        <v>0</v>
      </c>
      <c r="M178" s="80">
        <v>0</v>
      </c>
      <c r="N178" s="81">
        <v>0</v>
      </c>
      <c r="O178" s="80">
        <v>0</v>
      </c>
      <c r="P178" s="80">
        <v>0</v>
      </c>
      <c r="Q178" s="80">
        <v>0</v>
      </c>
      <c r="R178" s="80">
        <v>0</v>
      </c>
      <c r="S178" s="80">
        <v>0</v>
      </c>
      <c r="T178" s="80">
        <v>0</v>
      </c>
      <c r="U178" s="80">
        <v>0</v>
      </c>
      <c r="V178" s="80">
        <v>0</v>
      </c>
      <c r="W178" s="80">
        <v>0</v>
      </c>
      <c r="X178" s="80">
        <v>0</v>
      </c>
      <c r="Y178" s="80">
        <v>0</v>
      </c>
      <c r="Z178" s="80">
        <v>0</v>
      </c>
      <c r="AA178" s="80">
        <v>0</v>
      </c>
      <c r="AB178" s="80">
        <v>0</v>
      </c>
      <c r="AC178" s="80">
        <v>0</v>
      </c>
      <c r="AD178" s="80">
        <v>0</v>
      </c>
      <c r="AE178" s="80">
        <v>0</v>
      </c>
      <c r="AF178" s="80">
        <v>0</v>
      </c>
      <c r="AG178" s="80">
        <v>0</v>
      </c>
      <c r="AH178" s="80">
        <v>0</v>
      </c>
      <c r="AI178" s="80">
        <v>0</v>
      </c>
      <c r="AJ178" s="80">
        <v>0</v>
      </c>
      <c r="AK178" s="80">
        <v>0</v>
      </c>
      <c r="AL178" s="80">
        <v>0</v>
      </c>
      <c r="AM178" s="80">
        <v>0</v>
      </c>
      <c r="AN178" s="80">
        <v>0</v>
      </c>
      <c r="AO178" s="80">
        <v>0</v>
      </c>
    </row>
    <row r="179" spans="1:41" ht="15.75" x14ac:dyDescent="0.25">
      <c r="A179" s="84">
        <v>40</v>
      </c>
      <c r="B179" s="84"/>
      <c r="C179" s="84" t="s">
        <v>175</v>
      </c>
      <c r="D179" s="80" t="s">
        <v>245</v>
      </c>
      <c r="E179" s="438">
        <v>0</v>
      </c>
      <c r="F179" s="80">
        <v>0</v>
      </c>
      <c r="G179" s="80">
        <v>0</v>
      </c>
      <c r="H179" s="390">
        <v>1</v>
      </c>
      <c r="I179" s="81">
        <v>0</v>
      </c>
      <c r="J179" s="387">
        <v>2</v>
      </c>
      <c r="K179" s="80">
        <v>0</v>
      </c>
      <c r="L179" s="80">
        <v>0</v>
      </c>
      <c r="M179" s="80">
        <v>0</v>
      </c>
      <c r="N179" s="81">
        <v>0</v>
      </c>
      <c r="O179" s="390">
        <v>1</v>
      </c>
      <c r="P179" s="81">
        <v>0</v>
      </c>
      <c r="Q179" s="390">
        <v>1</v>
      </c>
      <c r="R179" s="80">
        <v>0</v>
      </c>
      <c r="S179" s="80">
        <v>0</v>
      </c>
      <c r="T179" s="81">
        <v>0</v>
      </c>
      <c r="U179" s="387">
        <v>2</v>
      </c>
      <c r="V179" s="390">
        <v>1</v>
      </c>
      <c r="W179" s="390">
        <v>1</v>
      </c>
      <c r="X179" s="80">
        <v>0</v>
      </c>
      <c r="Y179" s="80">
        <v>0</v>
      </c>
      <c r="Z179" s="80">
        <v>0</v>
      </c>
      <c r="AA179" s="80">
        <v>0</v>
      </c>
      <c r="AB179" s="80">
        <v>0</v>
      </c>
      <c r="AC179" s="407">
        <v>3</v>
      </c>
      <c r="AD179" s="407">
        <v>3</v>
      </c>
      <c r="AE179" s="80">
        <v>0</v>
      </c>
      <c r="AF179" s="80">
        <v>0</v>
      </c>
      <c r="AG179" s="81">
        <v>0</v>
      </c>
      <c r="AH179" s="80">
        <v>0</v>
      </c>
      <c r="AI179" s="81">
        <v>0</v>
      </c>
      <c r="AJ179" s="81">
        <v>0</v>
      </c>
      <c r="AK179" s="81">
        <v>0</v>
      </c>
      <c r="AL179" s="81">
        <v>0</v>
      </c>
      <c r="AM179" s="81">
        <v>3</v>
      </c>
      <c r="AN179" s="81">
        <v>3</v>
      </c>
      <c r="AO179" s="80">
        <v>0</v>
      </c>
    </row>
    <row r="180" spans="1:41" ht="15.75" x14ac:dyDescent="0.25">
      <c r="A180" s="84"/>
      <c r="B180" s="84"/>
      <c r="C180" s="84"/>
      <c r="D180" s="80" t="s">
        <v>246</v>
      </c>
      <c r="E180" s="80">
        <v>0</v>
      </c>
      <c r="F180" s="80">
        <v>0</v>
      </c>
      <c r="G180" s="80">
        <v>0</v>
      </c>
      <c r="H180" s="81">
        <v>1</v>
      </c>
      <c r="I180" s="81">
        <v>0</v>
      </c>
      <c r="J180" s="80">
        <v>2</v>
      </c>
      <c r="K180" s="80">
        <v>0</v>
      </c>
      <c r="L180" s="80">
        <v>0</v>
      </c>
      <c r="M180" s="80">
        <v>0</v>
      </c>
      <c r="N180" s="81">
        <v>0</v>
      </c>
      <c r="O180" s="81">
        <v>1</v>
      </c>
      <c r="P180" s="81">
        <v>0</v>
      </c>
      <c r="Q180" s="81">
        <v>1</v>
      </c>
      <c r="R180" s="80">
        <v>0</v>
      </c>
      <c r="S180" s="80">
        <v>0</v>
      </c>
      <c r="T180" s="81">
        <v>0</v>
      </c>
      <c r="U180" s="80">
        <v>2</v>
      </c>
      <c r="V180" s="81">
        <v>1</v>
      </c>
      <c r="W180" s="81">
        <v>1</v>
      </c>
      <c r="X180" s="80">
        <v>0</v>
      </c>
      <c r="Y180" s="80">
        <v>0</v>
      </c>
      <c r="Z180" s="80">
        <v>0</v>
      </c>
      <c r="AA180" s="80">
        <v>0</v>
      </c>
      <c r="AB180" s="80">
        <v>0</v>
      </c>
      <c r="AC180" s="80">
        <v>3</v>
      </c>
      <c r="AD180" s="80">
        <v>3</v>
      </c>
      <c r="AE180" s="80">
        <v>0</v>
      </c>
      <c r="AF180" s="80">
        <v>0</v>
      </c>
      <c r="AG180" s="81">
        <v>0</v>
      </c>
      <c r="AH180" s="80">
        <v>0</v>
      </c>
      <c r="AI180" s="81">
        <v>0</v>
      </c>
      <c r="AJ180" s="81">
        <v>0</v>
      </c>
      <c r="AK180" s="81">
        <v>0</v>
      </c>
      <c r="AL180" s="81">
        <v>0</v>
      </c>
      <c r="AM180" s="81">
        <v>3</v>
      </c>
      <c r="AN180" s="81">
        <v>3</v>
      </c>
      <c r="AO180" s="80">
        <v>0</v>
      </c>
    </row>
    <row r="181" spans="1:41" ht="15.75" x14ac:dyDescent="0.25">
      <c r="A181" s="84"/>
      <c r="B181" s="84"/>
      <c r="C181" s="84"/>
      <c r="D181" s="80" t="s">
        <v>247</v>
      </c>
      <c r="E181" s="80">
        <v>0</v>
      </c>
      <c r="F181" s="80">
        <v>0</v>
      </c>
      <c r="G181" s="80">
        <v>0</v>
      </c>
      <c r="H181" s="81">
        <v>0</v>
      </c>
      <c r="I181" s="81">
        <v>0</v>
      </c>
      <c r="J181" s="80">
        <v>0</v>
      </c>
      <c r="K181" s="80">
        <v>0</v>
      </c>
      <c r="L181" s="80">
        <v>0</v>
      </c>
      <c r="M181" s="80">
        <v>0</v>
      </c>
      <c r="N181" s="81">
        <v>0</v>
      </c>
      <c r="O181" s="81">
        <v>0</v>
      </c>
      <c r="P181" s="81">
        <v>0</v>
      </c>
      <c r="Q181" s="81">
        <v>0</v>
      </c>
      <c r="R181" s="80">
        <v>0</v>
      </c>
      <c r="S181" s="80">
        <v>0</v>
      </c>
      <c r="T181" s="81">
        <v>0</v>
      </c>
      <c r="U181" s="80">
        <v>0</v>
      </c>
      <c r="V181" s="81">
        <v>0</v>
      </c>
      <c r="W181" s="81">
        <v>0</v>
      </c>
      <c r="X181" s="80">
        <v>0</v>
      </c>
      <c r="Y181" s="80">
        <v>0</v>
      </c>
      <c r="Z181" s="80">
        <v>0</v>
      </c>
      <c r="AA181" s="80">
        <v>0</v>
      </c>
      <c r="AB181" s="80">
        <v>0</v>
      </c>
      <c r="AC181" s="80">
        <v>0</v>
      </c>
      <c r="AD181" s="80">
        <v>0</v>
      </c>
      <c r="AE181" s="80">
        <v>0</v>
      </c>
      <c r="AF181" s="80">
        <v>0</v>
      </c>
      <c r="AG181" s="81">
        <v>0</v>
      </c>
      <c r="AH181" s="80">
        <v>0</v>
      </c>
      <c r="AI181" s="81">
        <v>0</v>
      </c>
      <c r="AJ181" s="81">
        <v>0</v>
      </c>
      <c r="AK181" s="81">
        <v>0</v>
      </c>
      <c r="AL181" s="81">
        <v>0</v>
      </c>
      <c r="AM181" s="81">
        <v>0</v>
      </c>
      <c r="AN181" s="81">
        <v>0</v>
      </c>
      <c r="AO181" s="80">
        <v>0</v>
      </c>
    </row>
    <row r="182" spans="1:41" ht="15.75" x14ac:dyDescent="0.25">
      <c r="A182" s="84"/>
      <c r="B182" s="84"/>
      <c r="C182" s="84"/>
      <c r="D182" s="80" t="s">
        <v>248</v>
      </c>
      <c r="E182" s="80">
        <v>0</v>
      </c>
      <c r="F182" s="80">
        <v>0</v>
      </c>
      <c r="G182" s="80">
        <v>0</v>
      </c>
      <c r="H182" s="81">
        <v>1</v>
      </c>
      <c r="I182" s="81">
        <v>0</v>
      </c>
      <c r="J182" s="80">
        <v>2</v>
      </c>
      <c r="K182" s="80">
        <v>0</v>
      </c>
      <c r="L182" s="80">
        <v>0</v>
      </c>
      <c r="M182" s="80">
        <v>0</v>
      </c>
      <c r="N182" s="81">
        <v>0</v>
      </c>
      <c r="O182" s="81">
        <v>1</v>
      </c>
      <c r="P182" s="81">
        <v>0</v>
      </c>
      <c r="Q182" s="81">
        <v>1</v>
      </c>
      <c r="R182" s="80">
        <v>0</v>
      </c>
      <c r="S182" s="80">
        <v>0</v>
      </c>
      <c r="T182" s="81">
        <v>0</v>
      </c>
      <c r="U182" s="80">
        <v>2</v>
      </c>
      <c r="V182" s="81">
        <v>1</v>
      </c>
      <c r="W182" s="81">
        <v>1</v>
      </c>
      <c r="X182" s="80">
        <v>0</v>
      </c>
      <c r="Y182" s="80">
        <v>0</v>
      </c>
      <c r="Z182" s="80">
        <v>0</v>
      </c>
      <c r="AA182" s="80">
        <v>0</v>
      </c>
      <c r="AB182" s="80">
        <v>0</v>
      </c>
      <c r="AC182" s="80">
        <v>3</v>
      </c>
      <c r="AD182" s="80">
        <v>3</v>
      </c>
      <c r="AE182" s="80">
        <v>0</v>
      </c>
      <c r="AF182" s="80">
        <v>0</v>
      </c>
      <c r="AG182" s="81">
        <v>0</v>
      </c>
      <c r="AH182" s="80">
        <v>0</v>
      </c>
      <c r="AI182" s="81">
        <v>0</v>
      </c>
      <c r="AJ182" s="81">
        <v>0</v>
      </c>
      <c r="AK182" s="81">
        <v>0</v>
      </c>
      <c r="AL182" s="81">
        <v>0</v>
      </c>
      <c r="AM182" s="81">
        <v>3</v>
      </c>
      <c r="AN182" s="81">
        <v>3</v>
      </c>
      <c r="AO182" s="80">
        <v>0</v>
      </c>
    </row>
    <row r="183" spans="1:41" ht="15.75" x14ac:dyDescent="0.25">
      <c r="A183" s="84"/>
      <c r="B183" s="84"/>
      <c r="C183" s="84"/>
      <c r="D183" s="80" t="s">
        <v>258</v>
      </c>
      <c r="E183" s="80">
        <v>0</v>
      </c>
      <c r="F183" s="80">
        <v>0</v>
      </c>
      <c r="G183" s="80">
        <v>0</v>
      </c>
      <c r="H183" s="80">
        <v>0</v>
      </c>
      <c r="I183" s="80">
        <v>0</v>
      </c>
      <c r="J183" s="80">
        <v>0</v>
      </c>
      <c r="K183" s="80">
        <v>0</v>
      </c>
      <c r="L183" s="80">
        <v>0</v>
      </c>
      <c r="M183" s="80">
        <v>0</v>
      </c>
      <c r="N183" s="80">
        <v>0</v>
      </c>
      <c r="O183" s="80">
        <v>0</v>
      </c>
      <c r="P183" s="80">
        <v>0</v>
      </c>
      <c r="Q183" s="80">
        <v>0</v>
      </c>
      <c r="R183" s="80">
        <v>0</v>
      </c>
      <c r="S183" s="80">
        <v>0</v>
      </c>
      <c r="T183" s="80">
        <v>0</v>
      </c>
      <c r="U183" s="80">
        <v>0</v>
      </c>
      <c r="V183" s="80">
        <v>0</v>
      </c>
      <c r="W183" s="80">
        <v>0</v>
      </c>
      <c r="X183" s="80">
        <v>0</v>
      </c>
      <c r="Y183" s="80">
        <v>0</v>
      </c>
      <c r="Z183" s="80">
        <v>0</v>
      </c>
      <c r="AA183" s="80">
        <v>0</v>
      </c>
      <c r="AB183" s="80">
        <v>0</v>
      </c>
      <c r="AC183" s="80">
        <v>0</v>
      </c>
      <c r="AD183" s="80">
        <v>0</v>
      </c>
      <c r="AE183" s="80">
        <v>0</v>
      </c>
      <c r="AF183" s="80">
        <v>0</v>
      </c>
      <c r="AG183" s="80">
        <v>0</v>
      </c>
      <c r="AH183" s="80">
        <v>0</v>
      </c>
      <c r="AI183" s="80">
        <v>0</v>
      </c>
      <c r="AJ183" s="80">
        <v>0</v>
      </c>
      <c r="AK183" s="80">
        <v>0</v>
      </c>
      <c r="AL183" s="80">
        <v>0</v>
      </c>
      <c r="AM183" s="80">
        <v>0</v>
      </c>
      <c r="AN183" s="80">
        <v>0</v>
      </c>
      <c r="AO183" s="80">
        <v>0</v>
      </c>
    </row>
    <row r="184" spans="1:41" ht="15.75" x14ac:dyDescent="0.25">
      <c r="A184" s="84">
        <v>41</v>
      </c>
      <c r="B184" s="84" t="s">
        <v>169</v>
      </c>
      <c r="C184" s="84" t="s">
        <v>255</v>
      </c>
      <c r="D184" s="80" t="s">
        <v>245</v>
      </c>
      <c r="E184" s="438">
        <v>0</v>
      </c>
      <c r="F184" s="80">
        <v>0</v>
      </c>
      <c r="G184" s="80">
        <v>0</v>
      </c>
      <c r="H184" s="81">
        <v>0</v>
      </c>
      <c r="I184" s="390">
        <v>2</v>
      </c>
      <c r="J184" s="387">
        <v>1</v>
      </c>
      <c r="K184" s="80">
        <v>0</v>
      </c>
      <c r="L184" s="80">
        <v>0</v>
      </c>
      <c r="M184" s="80">
        <v>0</v>
      </c>
      <c r="N184" s="81">
        <v>0</v>
      </c>
      <c r="O184" s="390">
        <v>1</v>
      </c>
      <c r="P184" s="81">
        <v>0</v>
      </c>
      <c r="Q184" s="81">
        <v>0</v>
      </c>
      <c r="R184" s="80">
        <v>0</v>
      </c>
      <c r="S184" s="80">
        <v>0</v>
      </c>
      <c r="T184" s="81">
        <v>0</v>
      </c>
      <c r="U184" s="390">
        <v>2</v>
      </c>
      <c r="V184" s="390">
        <v>1</v>
      </c>
      <c r="W184" s="81">
        <v>0</v>
      </c>
      <c r="X184" s="81">
        <v>0</v>
      </c>
      <c r="Y184" s="80">
        <v>0</v>
      </c>
      <c r="Z184" s="387">
        <v>1</v>
      </c>
      <c r="AA184" s="387">
        <v>2</v>
      </c>
      <c r="AB184" s="387">
        <v>1</v>
      </c>
      <c r="AC184" s="387">
        <v>1</v>
      </c>
      <c r="AD184" s="80">
        <v>0</v>
      </c>
      <c r="AE184" s="387">
        <v>1</v>
      </c>
      <c r="AF184" s="387">
        <v>1</v>
      </c>
      <c r="AG184" s="390">
        <v>1</v>
      </c>
      <c r="AH184" s="387">
        <v>2</v>
      </c>
      <c r="AI184" s="81">
        <v>0</v>
      </c>
      <c r="AJ184" s="81">
        <v>0</v>
      </c>
      <c r="AK184" s="81">
        <v>0</v>
      </c>
      <c r="AL184" s="81">
        <v>0</v>
      </c>
      <c r="AM184" s="80">
        <v>0</v>
      </c>
      <c r="AN184" s="80">
        <v>0</v>
      </c>
      <c r="AO184" s="80">
        <v>0</v>
      </c>
    </row>
    <row r="185" spans="1:41" ht="15.75" x14ac:dyDescent="0.25">
      <c r="A185" s="84"/>
      <c r="B185" s="84"/>
      <c r="C185" s="84"/>
      <c r="D185" s="80" t="s">
        <v>246</v>
      </c>
      <c r="E185" s="80">
        <v>1</v>
      </c>
      <c r="F185" s="80">
        <v>0</v>
      </c>
      <c r="G185" s="80">
        <v>0</v>
      </c>
      <c r="H185" s="81">
        <v>1</v>
      </c>
      <c r="I185" s="81">
        <v>1</v>
      </c>
      <c r="J185" s="80">
        <v>1</v>
      </c>
      <c r="K185" s="80">
        <v>0</v>
      </c>
      <c r="L185" s="80">
        <v>0</v>
      </c>
      <c r="M185" s="80">
        <v>0</v>
      </c>
      <c r="N185" s="81">
        <v>0</v>
      </c>
      <c r="O185" s="81">
        <v>1</v>
      </c>
      <c r="P185" s="81">
        <v>0</v>
      </c>
      <c r="Q185" s="81">
        <v>0</v>
      </c>
      <c r="R185" s="80">
        <v>0</v>
      </c>
      <c r="S185" s="80">
        <v>0</v>
      </c>
      <c r="T185" s="81">
        <v>0</v>
      </c>
      <c r="U185" s="81">
        <v>2</v>
      </c>
      <c r="V185" s="81">
        <v>1</v>
      </c>
      <c r="W185" s="81">
        <v>0</v>
      </c>
      <c r="X185" s="81">
        <v>0</v>
      </c>
      <c r="Y185" s="80">
        <v>0</v>
      </c>
      <c r="Z185" s="80">
        <v>1</v>
      </c>
      <c r="AA185" s="80">
        <v>2</v>
      </c>
      <c r="AB185" s="80">
        <v>1</v>
      </c>
      <c r="AC185" s="80">
        <v>1</v>
      </c>
      <c r="AD185" s="80">
        <v>0</v>
      </c>
      <c r="AE185" s="80">
        <v>1</v>
      </c>
      <c r="AF185" s="80">
        <v>1</v>
      </c>
      <c r="AG185" s="81">
        <v>1</v>
      </c>
      <c r="AH185" s="80">
        <v>1</v>
      </c>
      <c r="AI185" s="81">
        <v>0</v>
      </c>
      <c r="AJ185" s="81">
        <v>0</v>
      </c>
      <c r="AK185" s="81">
        <v>0</v>
      </c>
      <c r="AL185" s="81">
        <v>0</v>
      </c>
      <c r="AM185" s="80">
        <v>0</v>
      </c>
      <c r="AN185" s="80">
        <v>0</v>
      </c>
      <c r="AO185" s="80">
        <v>0</v>
      </c>
    </row>
    <row r="186" spans="1:41" ht="15.75" x14ac:dyDescent="0.25">
      <c r="A186" s="84"/>
      <c r="B186" s="84"/>
      <c r="C186" s="84"/>
      <c r="D186" s="80" t="s">
        <v>247</v>
      </c>
      <c r="E186" s="80">
        <v>0</v>
      </c>
      <c r="F186" s="80">
        <v>0</v>
      </c>
      <c r="G186" s="80">
        <v>0</v>
      </c>
      <c r="H186" s="81">
        <v>0</v>
      </c>
      <c r="I186" s="81">
        <v>1</v>
      </c>
      <c r="J186" s="80">
        <v>0</v>
      </c>
      <c r="K186" s="80">
        <v>0</v>
      </c>
      <c r="L186" s="80">
        <v>0</v>
      </c>
      <c r="M186" s="80">
        <v>0</v>
      </c>
      <c r="N186" s="81">
        <v>0</v>
      </c>
      <c r="O186" s="81">
        <v>0</v>
      </c>
      <c r="P186" s="81">
        <v>0</v>
      </c>
      <c r="Q186" s="81">
        <v>0</v>
      </c>
      <c r="R186" s="80">
        <v>0</v>
      </c>
      <c r="S186" s="80">
        <v>0</v>
      </c>
      <c r="T186" s="81">
        <v>0</v>
      </c>
      <c r="U186" s="81">
        <v>0</v>
      </c>
      <c r="V186" s="81">
        <v>0</v>
      </c>
      <c r="W186" s="81">
        <v>0</v>
      </c>
      <c r="X186" s="81">
        <v>0</v>
      </c>
      <c r="Y186" s="80">
        <v>0</v>
      </c>
      <c r="Z186" s="80">
        <v>0</v>
      </c>
      <c r="AA186" s="80">
        <v>0</v>
      </c>
      <c r="AB186" s="80">
        <v>0</v>
      </c>
      <c r="AC186" s="80">
        <v>0</v>
      </c>
      <c r="AD186" s="80">
        <v>0</v>
      </c>
      <c r="AE186" s="80">
        <v>0</v>
      </c>
      <c r="AF186" s="80">
        <v>0</v>
      </c>
      <c r="AG186" s="81">
        <v>0</v>
      </c>
      <c r="AH186" s="80">
        <v>1</v>
      </c>
      <c r="AI186" s="81">
        <v>0</v>
      </c>
      <c r="AJ186" s="81">
        <v>0</v>
      </c>
      <c r="AK186" s="81">
        <v>0</v>
      </c>
      <c r="AL186" s="81">
        <v>0</v>
      </c>
      <c r="AM186" s="80">
        <v>0</v>
      </c>
      <c r="AN186" s="80">
        <v>0</v>
      </c>
      <c r="AO186" s="80">
        <v>0</v>
      </c>
    </row>
    <row r="187" spans="1:41" ht="15.75" x14ac:dyDescent="0.25">
      <c r="A187" s="84"/>
      <c r="B187" s="84"/>
      <c r="C187" s="84"/>
      <c r="D187" s="80" t="s">
        <v>248</v>
      </c>
      <c r="E187" s="80">
        <v>1</v>
      </c>
      <c r="F187" s="80">
        <v>0</v>
      </c>
      <c r="G187" s="80">
        <v>0</v>
      </c>
      <c r="H187" s="81">
        <v>1</v>
      </c>
      <c r="I187" s="81">
        <v>1</v>
      </c>
      <c r="J187" s="80">
        <v>1</v>
      </c>
      <c r="K187" s="80">
        <v>0</v>
      </c>
      <c r="L187" s="80">
        <v>0</v>
      </c>
      <c r="M187" s="80">
        <v>0</v>
      </c>
      <c r="N187" s="81">
        <v>0</v>
      </c>
      <c r="O187" s="81">
        <v>1</v>
      </c>
      <c r="P187" s="81">
        <v>0</v>
      </c>
      <c r="Q187" s="81">
        <v>0</v>
      </c>
      <c r="R187" s="80">
        <v>0</v>
      </c>
      <c r="S187" s="80">
        <v>0</v>
      </c>
      <c r="T187" s="81">
        <v>0</v>
      </c>
      <c r="U187" s="81">
        <v>2</v>
      </c>
      <c r="V187" s="81">
        <v>1</v>
      </c>
      <c r="W187" s="81">
        <v>0</v>
      </c>
      <c r="X187" s="81">
        <v>0</v>
      </c>
      <c r="Y187" s="80">
        <v>0</v>
      </c>
      <c r="Z187" s="80">
        <v>1</v>
      </c>
      <c r="AA187" s="80">
        <v>2</v>
      </c>
      <c r="AB187" s="80">
        <v>1</v>
      </c>
      <c r="AC187" s="80">
        <v>1</v>
      </c>
      <c r="AD187" s="80">
        <v>0</v>
      </c>
      <c r="AE187" s="80">
        <v>1</v>
      </c>
      <c r="AF187" s="80">
        <v>1</v>
      </c>
      <c r="AG187" s="81">
        <v>1</v>
      </c>
      <c r="AH187" s="80">
        <v>1</v>
      </c>
      <c r="AI187" s="81">
        <v>0</v>
      </c>
      <c r="AJ187" s="81">
        <v>0</v>
      </c>
      <c r="AK187" s="81">
        <v>0</v>
      </c>
      <c r="AL187" s="81">
        <v>0</v>
      </c>
      <c r="AM187" s="80">
        <v>0</v>
      </c>
      <c r="AN187" s="80">
        <v>0</v>
      </c>
      <c r="AO187" s="80">
        <v>0</v>
      </c>
    </row>
    <row r="188" spans="1:41" ht="15.75" x14ac:dyDescent="0.25">
      <c r="A188" s="84"/>
      <c r="B188" s="84"/>
      <c r="C188" s="84"/>
      <c r="D188" s="80" t="s">
        <v>258</v>
      </c>
      <c r="E188" s="80">
        <v>0</v>
      </c>
      <c r="F188" s="80">
        <v>0</v>
      </c>
      <c r="G188" s="80">
        <v>0</v>
      </c>
      <c r="H188" s="81">
        <v>0</v>
      </c>
      <c r="I188" s="81">
        <v>0</v>
      </c>
      <c r="J188" s="80">
        <v>0</v>
      </c>
      <c r="K188" s="80">
        <v>0</v>
      </c>
      <c r="L188" s="80">
        <v>0</v>
      </c>
      <c r="M188" s="80">
        <v>0</v>
      </c>
      <c r="N188" s="80">
        <v>0</v>
      </c>
      <c r="O188" s="80">
        <v>0</v>
      </c>
      <c r="P188" s="80">
        <v>0</v>
      </c>
      <c r="Q188" s="80">
        <v>0</v>
      </c>
      <c r="R188" s="80">
        <v>0</v>
      </c>
      <c r="S188" s="80">
        <v>0</v>
      </c>
      <c r="T188" s="80">
        <v>0</v>
      </c>
      <c r="U188" s="80">
        <v>0</v>
      </c>
      <c r="V188" s="80">
        <v>0</v>
      </c>
      <c r="W188" s="80">
        <v>0</v>
      </c>
      <c r="X188" s="80">
        <v>0</v>
      </c>
      <c r="Y188" s="80">
        <v>0</v>
      </c>
      <c r="Z188" s="80">
        <v>0</v>
      </c>
      <c r="AA188" s="80">
        <v>0</v>
      </c>
      <c r="AB188" s="80">
        <v>0</v>
      </c>
      <c r="AC188" s="80">
        <v>0</v>
      </c>
      <c r="AD188" s="80">
        <v>0</v>
      </c>
      <c r="AE188" s="80">
        <v>0</v>
      </c>
      <c r="AF188" s="80">
        <v>0</v>
      </c>
      <c r="AG188" s="80">
        <v>0</v>
      </c>
      <c r="AH188" s="80">
        <v>0</v>
      </c>
      <c r="AI188" s="80">
        <v>0</v>
      </c>
      <c r="AJ188" s="80">
        <v>0</v>
      </c>
      <c r="AK188" s="80">
        <v>0</v>
      </c>
      <c r="AL188" s="80">
        <v>0</v>
      </c>
      <c r="AM188" s="80">
        <v>0</v>
      </c>
      <c r="AN188" s="80">
        <v>0</v>
      </c>
      <c r="AO188" s="80">
        <v>0</v>
      </c>
    </row>
    <row r="189" spans="1:41" ht="15.75" x14ac:dyDescent="0.25">
      <c r="A189" s="84">
        <v>42</v>
      </c>
      <c r="B189" s="84"/>
      <c r="C189" s="84" t="s">
        <v>256</v>
      </c>
      <c r="D189" s="80" t="s">
        <v>245</v>
      </c>
      <c r="E189" s="438">
        <v>0</v>
      </c>
      <c r="F189" s="80">
        <v>0</v>
      </c>
      <c r="G189" s="80">
        <v>0</v>
      </c>
      <c r="H189" s="390">
        <v>1</v>
      </c>
      <c r="I189" s="390">
        <v>1</v>
      </c>
      <c r="J189" s="387">
        <v>1</v>
      </c>
      <c r="K189" s="80">
        <v>0</v>
      </c>
      <c r="L189" s="80">
        <v>0</v>
      </c>
      <c r="M189" s="80">
        <v>0</v>
      </c>
      <c r="N189" s="81">
        <v>0</v>
      </c>
      <c r="O189" s="390">
        <v>1</v>
      </c>
      <c r="P189" s="81">
        <v>0</v>
      </c>
      <c r="Q189" s="390">
        <v>1</v>
      </c>
      <c r="R189" s="80">
        <v>0</v>
      </c>
      <c r="S189" s="80">
        <v>0</v>
      </c>
      <c r="T189" s="81">
        <v>0</v>
      </c>
      <c r="U189" s="390">
        <v>1</v>
      </c>
      <c r="V189" s="390">
        <v>1</v>
      </c>
      <c r="W189" s="81">
        <v>0</v>
      </c>
      <c r="X189" s="81">
        <v>0</v>
      </c>
      <c r="Y189" s="80">
        <v>0</v>
      </c>
      <c r="Z189" s="80">
        <v>0</v>
      </c>
      <c r="AA189" s="80">
        <v>0</v>
      </c>
      <c r="AB189" s="80">
        <v>0</v>
      </c>
      <c r="AC189" s="80">
        <v>0</v>
      </c>
      <c r="AD189" s="80">
        <v>0</v>
      </c>
      <c r="AE189" s="387">
        <v>1</v>
      </c>
      <c r="AF189" s="80">
        <v>0</v>
      </c>
      <c r="AG189" s="390">
        <v>1</v>
      </c>
      <c r="AH189" s="387">
        <v>1</v>
      </c>
      <c r="AI189" s="81">
        <v>0</v>
      </c>
      <c r="AJ189" s="81">
        <v>0</v>
      </c>
      <c r="AK189" s="81">
        <v>0</v>
      </c>
      <c r="AL189" s="81">
        <v>0</v>
      </c>
      <c r="AM189" s="80">
        <v>0</v>
      </c>
      <c r="AN189" s="80">
        <v>0</v>
      </c>
      <c r="AO189" s="80">
        <v>0</v>
      </c>
    </row>
    <row r="190" spans="1:41" ht="15.75" x14ac:dyDescent="0.25">
      <c r="A190" s="84"/>
      <c r="B190" s="84"/>
      <c r="C190" s="84"/>
      <c r="D190" s="80" t="s">
        <v>246</v>
      </c>
      <c r="E190" s="80">
        <v>0</v>
      </c>
      <c r="F190" s="80">
        <v>0</v>
      </c>
      <c r="G190" s="80">
        <v>0</v>
      </c>
      <c r="H190" s="81">
        <v>1</v>
      </c>
      <c r="I190" s="81">
        <v>1</v>
      </c>
      <c r="J190" s="80">
        <v>1</v>
      </c>
      <c r="K190" s="80">
        <v>0</v>
      </c>
      <c r="L190" s="80">
        <v>0</v>
      </c>
      <c r="M190" s="80">
        <v>0</v>
      </c>
      <c r="N190" s="81">
        <v>0</v>
      </c>
      <c r="O190" s="81">
        <v>1</v>
      </c>
      <c r="P190" s="81">
        <v>0</v>
      </c>
      <c r="Q190" s="81">
        <v>1</v>
      </c>
      <c r="R190" s="80">
        <v>0</v>
      </c>
      <c r="S190" s="80">
        <v>0</v>
      </c>
      <c r="T190" s="81">
        <v>0</v>
      </c>
      <c r="U190" s="81">
        <v>1</v>
      </c>
      <c r="V190" s="81">
        <v>1</v>
      </c>
      <c r="W190" s="81">
        <v>0</v>
      </c>
      <c r="X190" s="81">
        <v>0</v>
      </c>
      <c r="Y190" s="80">
        <v>0</v>
      </c>
      <c r="Z190" s="80">
        <v>0</v>
      </c>
      <c r="AA190" s="80">
        <v>0</v>
      </c>
      <c r="AB190" s="80">
        <v>0</v>
      </c>
      <c r="AC190" s="80">
        <v>0</v>
      </c>
      <c r="AD190" s="80">
        <v>0</v>
      </c>
      <c r="AE190" s="80">
        <v>1</v>
      </c>
      <c r="AF190" s="80">
        <v>0</v>
      </c>
      <c r="AG190" s="81">
        <v>1</v>
      </c>
      <c r="AH190" s="80">
        <v>1</v>
      </c>
      <c r="AI190" s="81">
        <v>0</v>
      </c>
      <c r="AJ190" s="81">
        <v>0</v>
      </c>
      <c r="AK190" s="81">
        <v>0</v>
      </c>
      <c r="AL190" s="81">
        <v>0</v>
      </c>
      <c r="AM190" s="80">
        <v>0</v>
      </c>
      <c r="AN190" s="80">
        <v>0</v>
      </c>
      <c r="AO190" s="80">
        <v>0</v>
      </c>
    </row>
    <row r="191" spans="1:41" ht="15.75" x14ac:dyDescent="0.25">
      <c r="A191" s="84"/>
      <c r="B191" s="84"/>
      <c r="C191" s="84"/>
      <c r="D191" s="80" t="s">
        <v>247</v>
      </c>
      <c r="E191" s="80">
        <v>0</v>
      </c>
      <c r="F191" s="80">
        <v>0</v>
      </c>
      <c r="G191" s="80">
        <v>0</v>
      </c>
      <c r="H191" s="81">
        <v>0</v>
      </c>
      <c r="I191" s="81">
        <v>0</v>
      </c>
      <c r="J191" s="80">
        <v>0</v>
      </c>
      <c r="K191" s="80">
        <v>0</v>
      </c>
      <c r="L191" s="80">
        <v>0</v>
      </c>
      <c r="M191" s="80">
        <v>0</v>
      </c>
      <c r="N191" s="81">
        <v>0</v>
      </c>
      <c r="O191" s="81">
        <v>0</v>
      </c>
      <c r="P191" s="81">
        <v>0</v>
      </c>
      <c r="Q191" s="81">
        <v>0</v>
      </c>
      <c r="R191" s="80">
        <v>0</v>
      </c>
      <c r="S191" s="80">
        <v>0</v>
      </c>
      <c r="T191" s="81">
        <v>0</v>
      </c>
      <c r="U191" s="81">
        <v>0</v>
      </c>
      <c r="V191" s="81">
        <v>0</v>
      </c>
      <c r="W191" s="81">
        <v>0</v>
      </c>
      <c r="X191" s="81">
        <v>0</v>
      </c>
      <c r="Y191" s="80">
        <v>0</v>
      </c>
      <c r="Z191" s="80">
        <v>0</v>
      </c>
      <c r="AA191" s="80">
        <v>0</v>
      </c>
      <c r="AB191" s="80">
        <v>0</v>
      </c>
      <c r="AC191" s="80">
        <v>0</v>
      </c>
      <c r="AD191" s="80">
        <v>0</v>
      </c>
      <c r="AE191" s="80">
        <v>0</v>
      </c>
      <c r="AF191" s="80">
        <v>0</v>
      </c>
      <c r="AG191" s="81">
        <v>0</v>
      </c>
      <c r="AH191" s="80">
        <v>0</v>
      </c>
      <c r="AI191" s="81">
        <v>0</v>
      </c>
      <c r="AJ191" s="81">
        <v>0</v>
      </c>
      <c r="AK191" s="81">
        <v>0</v>
      </c>
      <c r="AL191" s="81">
        <v>0</v>
      </c>
      <c r="AM191" s="80">
        <v>0</v>
      </c>
      <c r="AN191" s="80">
        <v>0</v>
      </c>
      <c r="AO191" s="80">
        <v>0</v>
      </c>
    </row>
    <row r="192" spans="1:41" ht="15.75" x14ac:dyDescent="0.25">
      <c r="A192" s="84"/>
      <c r="B192" s="84"/>
      <c r="C192" s="84"/>
      <c r="D192" s="80" t="s">
        <v>248</v>
      </c>
      <c r="E192" s="80">
        <v>0</v>
      </c>
      <c r="F192" s="80">
        <v>0</v>
      </c>
      <c r="G192" s="80">
        <v>0</v>
      </c>
      <c r="H192" s="81">
        <v>1</v>
      </c>
      <c r="I192" s="81">
        <v>1</v>
      </c>
      <c r="J192" s="80">
        <v>1</v>
      </c>
      <c r="K192" s="80">
        <v>0</v>
      </c>
      <c r="L192" s="80">
        <v>0</v>
      </c>
      <c r="M192" s="80">
        <v>0</v>
      </c>
      <c r="N192" s="81">
        <v>0</v>
      </c>
      <c r="O192" s="81">
        <v>1</v>
      </c>
      <c r="P192" s="81">
        <v>0</v>
      </c>
      <c r="Q192" s="81">
        <v>1</v>
      </c>
      <c r="R192" s="80">
        <v>0</v>
      </c>
      <c r="S192" s="80">
        <v>0</v>
      </c>
      <c r="T192" s="81">
        <v>0</v>
      </c>
      <c r="U192" s="81">
        <v>1</v>
      </c>
      <c r="V192" s="81">
        <v>1</v>
      </c>
      <c r="W192" s="81">
        <v>0</v>
      </c>
      <c r="X192" s="81">
        <v>0</v>
      </c>
      <c r="Y192" s="80">
        <v>0</v>
      </c>
      <c r="Z192" s="80">
        <v>0</v>
      </c>
      <c r="AA192" s="80">
        <v>0</v>
      </c>
      <c r="AB192" s="80">
        <v>0</v>
      </c>
      <c r="AC192" s="80">
        <v>0</v>
      </c>
      <c r="AD192" s="80">
        <v>0</v>
      </c>
      <c r="AE192" s="80">
        <v>1</v>
      </c>
      <c r="AF192" s="80">
        <v>0</v>
      </c>
      <c r="AG192" s="81">
        <v>1</v>
      </c>
      <c r="AH192" s="80">
        <v>1</v>
      </c>
      <c r="AI192" s="81">
        <v>0</v>
      </c>
      <c r="AJ192" s="81">
        <v>0</v>
      </c>
      <c r="AK192" s="81">
        <v>0</v>
      </c>
      <c r="AL192" s="81">
        <v>0</v>
      </c>
      <c r="AM192" s="80">
        <v>0</v>
      </c>
      <c r="AN192" s="80">
        <v>0</v>
      </c>
      <c r="AO192" s="80">
        <v>0</v>
      </c>
    </row>
    <row r="193" spans="1:41" ht="15.75" x14ac:dyDescent="0.25">
      <c r="A193" s="84"/>
      <c r="B193" s="84"/>
      <c r="C193" s="84"/>
      <c r="D193" s="80" t="s">
        <v>258</v>
      </c>
      <c r="E193" s="80">
        <v>0</v>
      </c>
      <c r="F193" s="80">
        <v>0</v>
      </c>
      <c r="G193" s="80">
        <v>0</v>
      </c>
      <c r="H193" s="80">
        <v>0</v>
      </c>
      <c r="I193" s="80">
        <v>0</v>
      </c>
      <c r="J193" s="80">
        <v>0</v>
      </c>
      <c r="K193" s="80">
        <v>0</v>
      </c>
      <c r="L193" s="80">
        <v>0</v>
      </c>
      <c r="M193" s="80">
        <v>0</v>
      </c>
      <c r="N193" s="80">
        <v>0</v>
      </c>
      <c r="O193" s="80">
        <v>0</v>
      </c>
      <c r="P193" s="80">
        <v>0</v>
      </c>
      <c r="Q193" s="81">
        <v>0</v>
      </c>
      <c r="R193" s="80">
        <v>0</v>
      </c>
      <c r="S193" s="80">
        <v>0</v>
      </c>
      <c r="T193" s="80">
        <v>0</v>
      </c>
      <c r="U193" s="80">
        <v>0</v>
      </c>
      <c r="V193" s="80">
        <v>0</v>
      </c>
      <c r="W193" s="80">
        <v>0</v>
      </c>
      <c r="X193" s="80">
        <v>0</v>
      </c>
      <c r="Y193" s="80">
        <v>0</v>
      </c>
      <c r="Z193" s="80">
        <v>0</v>
      </c>
      <c r="AA193" s="80">
        <v>0</v>
      </c>
      <c r="AB193" s="80">
        <v>0</v>
      </c>
      <c r="AC193" s="80">
        <v>0</v>
      </c>
      <c r="AD193" s="80">
        <v>0</v>
      </c>
      <c r="AE193" s="80">
        <v>0</v>
      </c>
      <c r="AF193" s="80">
        <v>0</v>
      </c>
      <c r="AG193" s="80">
        <v>0</v>
      </c>
      <c r="AH193" s="80">
        <v>0</v>
      </c>
      <c r="AI193" s="80">
        <v>0</v>
      </c>
      <c r="AJ193" s="80">
        <v>0</v>
      </c>
      <c r="AK193" s="80">
        <v>0</v>
      </c>
      <c r="AL193" s="80">
        <v>0</v>
      </c>
      <c r="AM193" s="80">
        <v>0</v>
      </c>
      <c r="AN193" s="80">
        <v>0</v>
      </c>
      <c r="AO193" s="80">
        <v>0</v>
      </c>
    </row>
    <row r="194" spans="1:41" ht="15.75" x14ac:dyDescent="0.25">
      <c r="A194" s="84">
        <v>43</v>
      </c>
      <c r="B194" s="84"/>
      <c r="C194" s="84" t="s">
        <v>773</v>
      </c>
      <c r="D194" s="80" t="s">
        <v>245</v>
      </c>
      <c r="E194" s="438">
        <v>0</v>
      </c>
      <c r="F194" s="80">
        <v>0</v>
      </c>
      <c r="G194" s="80">
        <v>0</v>
      </c>
      <c r="H194" s="80">
        <v>0</v>
      </c>
      <c r="I194" s="387">
        <v>1</v>
      </c>
      <c r="J194" s="387">
        <v>1</v>
      </c>
      <c r="K194" s="80">
        <v>0</v>
      </c>
      <c r="L194" s="80">
        <v>0</v>
      </c>
      <c r="M194" s="80">
        <v>0</v>
      </c>
      <c r="N194" s="80">
        <v>0</v>
      </c>
      <c r="O194" s="80">
        <v>0</v>
      </c>
      <c r="P194" s="80">
        <v>0</v>
      </c>
      <c r="Q194" s="80">
        <v>0</v>
      </c>
      <c r="R194" s="80">
        <v>0</v>
      </c>
      <c r="S194" s="80">
        <v>0</v>
      </c>
      <c r="T194" s="80">
        <v>0</v>
      </c>
      <c r="U194" s="80">
        <v>0</v>
      </c>
      <c r="V194" s="80">
        <v>0</v>
      </c>
      <c r="W194" s="80">
        <v>0</v>
      </c>
      <c r="X194" s="80">
        <v>0</v>
      </c>
      <c r="Y194" s="80">
        <v>0</v>
      </c>
      <c r="Z194" s="80">
        <v>0</v>
      </c>
      <c r="AA194" s="80">
        <v>0</v>
      </c>
      <c r="AB194" s="80">
        <v>0</v>
      </c>
      <c r="AC194" s="80">
        <v>0</v>
      </c>
      <c r="AD194" s="80">
        <v>0</v>
      </c>
      <c r="AE194" s="80">
        <v>0</v>
      </c>
      <c r="AF194" s="80">
        <v>0</v>
      </c>
      <c r="AG194" s="80">
        <v>0</v>
      </c>
      <c r="AH194" s="80">
        <v>0</v>
      </c>
      <c r="AI194" s="80">
        <v>0</v>
      </c>
      <c r="AJ194" s="80">
        <v>0</v>
      </c>
      <c r="AK194" s="80">
        <v>0</v>
      </c>
      <c r="AL194" s="80">
        <v>0</v>
      </c>
      <c r="AM194" s="80">
        <v>0</v>
      </c>
      <c r="AN194" s="80">
        <v>0</v>
      </c>
      <c r="AO194" s="80">
        <v>0</v>
      </c>
    </row>
    <row r="195" spans="1:41" ht="15.75" x14ac:dyDescent="0.25">
      <c r="A195" s="84"/>
      <c r="B195" s="84"/>
      <c r="C195" s="84"/>
      <c r="D195" s="80" t="s">
        <v>246</v>
      </c>
      <c r="E195" s="80">
        <v>0</v>
      </c>
      <c r="F195" s="80">
        <v>0</v>
      </c>
      <c r="G195" s="80">
        <v>0</v>
      </c>
      <c r="H195" s="80">
        <v>0</v>
      </c>
      <c r="I195" s="80">
        <v>1</v>
      </c>
      <c r="J195" s="80">
        <v>1</v>
      </c>
      <c r="K195" s="80">
        <v>0</v>
      </c>
      <c r="L195" s="80">
        <v>0</v>
      </c>
      <c r="M195" s="80">
        <v>0</v>
      </c>
      <c r="N195" s="80">
        <v>0</v>
      </c>
      <c r="O195" s="80">
        <v>0</v>
      </c>
      <c r="P195" s="80">
        <v>0</v>
      </c>
      <c r="Q195" s="80">
        <v>0</v>
      </c>
      <c r="R195" s="80">
        <v>0</v>
      </c>
      <c r="S195" s="80">
        <v>0</v>
      </c>
      <c r="T195" s="80">
        <v>0</v>
      </c>
      <c r="U195" s="80">
        <v>0</v>
      </c>
      <c r="V195" s="80">
        <v>0</v>
      </c>
      <c r="W195" s="80">
        <v>0</v>
      </c>
      <c r="X195" s="80">
        <v>0</v>
      </c>
      <c r="Y195" s="80">
        <v>0</v>
      </c>
      <c r="Z195" s="80">
        <v>0</v>
      </c>
      <c r="AA195" s="80">
        <v>0</v>
      </c>
      <c r="AB195" s="80">
        <v>0</v>
      </c>
      <c r="AC195" s="80">
        <v>0</v>
      </c>
      <c r="AD195" s="80">
        <v>0</v>
      </c>
      <c r="AE195" s="80">
        <v>0</v>
      </c>
      <c r="AF195" s="80">
        <v>0</v>
      </c>
      <c r="AG195" s="80">
        <v>0</v>
      </c>
      <c r="AH195" s="80">
        <v>0</v>
      </c>
      <c r="AI195" s="80">
        <v>0</v>
      </c>
      <c r="AJ195" s="80">
        <v>0</v>
      </c>
      <c r="AK195" s="80">
        <v>0</v>
      </c>
      <c r="AL195" s="80">
        <v>0</v>
      </c>
      <c r="AM195" s="80">
        <v>0</v>
      </c>
      <c r="AN195" s="80">
        <v>0</v>
      </c>
      <c r="AO195" s="80">
        <v>0</v>
      </c>
    </row>
    <row r="196" spans="1:41" ht="15.75" x14ac:dyDescent="0.25">
      <c r="A196" s="84"/>
      <c r="B196" s="84"/>
      <c r="C196" s="84"/>
      <c r="D196" s="80" t="s">
        <v>247</v>
      </c>
      <c r="E196" s="80">
        <v>0</v>
      </c>
      <c r="F196" s="80">
        <v>0</v>
      </c>
      <c r="G196" s="80">
        <v>0</v>
      </c>
      <c r="H196" s="80">
        <v>0</v>
      </c>
      <c r="I196" s="80">
        <v>0</v>
      </c>
      <c r="J196" s="80">
        <v>0</v>
      </c>
      <c r="K196" s="80">
        <v>0</v>
      </c>
      <c r="L196" s="80">
        <v>0</v>
      </c>
      <c r="M196" s="80">
        <v>0</v>
      </c>
      <c r="N196" s="80">
        <v>0</v>
      </c>
      <c r="O196" s="80">
        <v>0</v>
      </c>
      <c r="P196" s="80">
        <v>0</v>
      </c>
      <c r="Q196" s="80">
        <v>0</v>
      </c>
      <c r="R196" s="80">
        <v>0</v>
      </c>
      <c r="S196" s="80">
        <v>0</v>
      </c>
      <c r="T196" s="80">
        <v>0</v>
      </c>
      <c r="U196" s="80">
        <v>0</v>
      </c>
      <c r="V196" s="80">
        <v>0</v>
      </c>
      <c r="W196" s="80">
        <v>0</v>
      </c>
      <c r="X196" s="80">
        <v>0</v>
      </c>
      <c r="Y196" s="80">
        <v>0</v>
      </c>
      <c r="Z196" s="80">
        <v>0</v>
      </c>
      <c r="AA196" s="80">
        <v>0</v>
      </c>
      <c r="AB196" s="80">
        <v>0</v>
      </c>
      <c r="AC196" s="80">
        <v>0</v>
      </c>
      <c r="AD196" s="80">
        <v>0</v>
      </c>
      <c r="AE196" s="80">
        <v>0</v>
      </c>
      <c r="AF196" s="80">
        <v>0</v>
      </c>
      <c r="AG196" s="80">
        <v>0</v>
      </c>
      <c r="AH196" s="80">
        <v>0</v>
      </c>
      <c r="AI196" s="80">
        <v>0</v>
      </c>
      <c r="AJ196" s="80">
        <v>0</v>
      </c>
      <c r="AK196" s="80">
        <v>0</v>
      </c>
      <c r="AL196" s="80">
        <v>0</v>
      </c>
      <c r="AM196" s="80">
        <v>0</v>
      </c>
      <c r="AN196" s="80">
        <v>0</v>
      </c>
      <c r="AO196" s="80">
        <v>0</v>
      </c>
    </row>
    <row r="197" spans="1:41" ht="15.75" x14ac:dyDescent="0.25">
      <c r="A197" s="84"/>
      <c r="B197" s="84"/>
      <c r="C197" s="84"/>
      <c r="D197" s="80" t="s">
        <v>248</v>
      </c>
      <c r="E197" s="80">
        <v>0</v>
      </c>
      <c r="F197" s="80">
        <v>0</v>
      </c>
      <c r="G197" s="80">
        <v>0</v>
      </c>
      <c r="H197" s="80">
        <v>0</v>
      </c>
      <c r="I197" s="80">
        <v>1</v>
      </c>
      <c r="J197" s="80">
        <v>1</v>
      </c>
      <c r="K197" s="80">
        <v>0</v>
      </c>
      <c r="L197" s="80">
        <v>0</v>
      </c>
      <c r="M197" s="80">
        <v>0</v>
      </c>
      <c r="N197" s="80">
        <v>0</v>
      </c>
      <c r="O197" s="80">
        <v>0</v>
      </c>
      <c r="P197" s="80">
        <v>0</v>
      </c>
      <c r="Q197" s="80">
        <v>0</v>
      </c>
      <c r="R197" s="80">
        <v>0</v>
      </c>
      <c r="S197" s="80">
        <v>0</v>
      </c>
      <c r="T197" s="80">
        <v>0</v>
      </c>
      <c r="U197" s="80">
        <v>0</v>
      </c>
      <c r="V197" s="80">
        <v>0</v>
      </c>
      <c r="W197" s="80">
        <v>0</v>
      </c>
      <c r="X197" s="80">
        <v>0</v>
      </c>
      <c r="Y197" s="80">
        <v>0</v>
      </c>
      <c r="Z197" s="80">
        <v>0</v>
      </c>
      <c r="AA197" s="80">
        <v>0</v>
      </c>
      <c r="AB197" s="80">
        <v>0</v>
      </c>
      <c r="AC197" s="80">
        <v>0</v>
      </c>
      <c r="AD197" s="80">
        <v>0</v>
      </c>
      <c r="AE197" s="80">
        <v>0</v>
      </c>
      <c r="AF197" s="80">
        <v>0</v>
      </c>
      <c r="AG197" s="80">
        <v>0</v>
      </c>
      <c r="AH197" s="80">
        <v>0</v>
      </c>
      <c r="AI197" s="80">
        <v>0</v>
      </c>
      <c r="AJ197" s="80">
        <v>0</v>
      </c>
      <c r="AK197" s="80">
        <v>0</v>
      </c>
      <c r="AL197" s="80">
        <v>0</v>
      </c>
      <c r="AM197" s="80">
        <v>0</v>
      </c>
      <c r="AN197" s="80">
        <v>0</v>
      </c>
      <c r="AO197" s="80">
        <v>0</v>
      </c>
    </row>
    <row r="198" spans="1:41" ht="15.75" x14ac:dyDescent="0.25">
      <c r="A198" s="84"/>
      <c r="B198" s="84"/>
      <c r="C198" s="84"/>
      <c r="D198" s="80" t="s">
        <v>258</v>
      </c>
      <c r="E198" s="80">
        <v>0</v>
      </c>
      <c r="F198" s="80">
        <v>0</v>
      </c>
      <c r="G198" s="80">
        <v>0</v>
      </c>
      <c r="H198" s="80">
        <v>0</v>
      </c>
      <c r="I198" s="80">
        <v>0</v>
      </c>
      <c r="J198" s="80">
        <v>0</v>
      </c>
      <c r="K198" s="80">
        <v>0</v>
      </c>
      <c r="L198" s="80">
        <v>0</v>
      </c>
      <c r="M198" s="80">
        <v>0</v>
      </c>
      <c r="N198" s="80">
        <v>0</v>
      </c>
      <c r="O198" s="80">
        <v>0</v>
      </c>
      <c r="P198" s="80">
        <v>0</v>
      </c>
      <c r="Q198" s="80">
        <v>0</v>
      </c>
      <c r="R198" s="80">
        <v>0</v>
      </c>
      <c r="S198" s="80">
        <v>0</v>
      </c>
      <c r="T198" s="80">
        <v>0</v>
      </c>
      <c r="U198" s="80">
        <v>0</v>
      </c>
      <c r="V198" s="80">
        <v>0</v>
      </c>
      <c r="W198" s="80">
        <v>0</v>
      </c>
      <c r="X198" s="80">
        <v>0</v>
      </c>
      <c r="Y198" s="80">
        <v>0</v>
      </c>
      <c r="Z198" s="80">
        <v>0</v>
      </c>
      <c r="AA198" s="80">
        <v>0</v>
      </c>
      <c r="AB198" s="80">
        <v>0</v>
      </c>
      <c r="AC198" s="80">
        <v>0</v>
      </c>
      <c r="AD198" s="80">
        <v>0</v>
      </c>
      <c r="AE198" s="80">
        <v>0</v>
      </c>
      <c r="AF198" s="80">
        <v>0</v>
      </c>
      <c r="AG198" s="80">
        <v>0</v>
      </c>
      <c r="AH198" s="80">
        <v>0</v>
      </c>
      <c r="AI198" s="80">
        <v>0</v>
      </c>
      <c r="AJ198" s="80">
        <v>0</v>
      </c>
      <c r="AK198" s="80">
        <v>0</v>
      </c>
      <c r="AL198" s="80">
        <v>0</v>
      </c>
      <c r="AM198" s="80">
        <v>0</v>
      </c>
      <c r="AN198" s="80">
        <v>0</v>
      </c>
      <c r="AO198" s="80">
        <v>0</v>
      </c>
    </row>
    <row r="199" spans="1:41" ht="15.75" x14ac:dyDescent="0.25">
      <c r="A199" s="84">
        <v>44</v>
      </c>
      <c r="B199" s="84" t="s">
        <v>257</v>
      </c>
      <c r="C199" s="84" t="s">
        <v>257</v>
      </c>
      <c r="D199" s="80" t="s">
        <v>245</v>
      </c>
      <c r="E199" s="438">
        <v>0</v>
      </c>
      <c r="F199" s="80">
        <v>0</v>
      </c>
      <c r="G199" s="80">
        <v>0</v>
      </c>
      <c r="H199" s="81">
        <v>0</v>
      </c>
      <c r="I199" s="390">
        <v>1</v>
      </c>
      <c r="J199" s="387">
        <v>1</v>
      </c>
      <c r="K199" s="80">
        <v>0</v>
      </c>
      <c r="L199" s="80">
        <v>0</v>
      </c>
      <c r="M199" s="387">
        <v>1</v>
      </c>
      <c r="N199" s="390">
        <v>1</v>
      </c>
      <c r="O199" s="390">
        <v>1</v>
      </c>
      <c r="P199" s="387">
        <v>1</v>
      </c>
      <c r="Q199" s="390">
        <v>1</v>
      </c>
      <c r="R199" s="80">
        <v>0</v>
      </c>
      <c r="S199" s="80">
        <v>0</v>
      </c>
      <c r="T199" s="81">
        <v>0</v>
      </c>
      <c r="U199" s="390">
        <v>2</v>
      </c>
      <c r="V199" s="390">
        <v>1</v>
      </c>
      <c r="W199" s="81">
        <v>0</v>
      </c>
      <c r="X199" s="81">
        <v>0</v>
      </c>
      <c r="Y199" s="81">
        <v>0</v>
      </c>
      <c r="Z199" s="81">
        <v>0</v>
      </c>
      <c r="AA199" s="81">
        <v>0</v>
      </c>
      <c r="AB199" s="81">
        <v>0</v>
      </c>
      <c r="AC199" s="81">
        <v>0</v>
      </c>
      <c r="AD199" s="81">
        <v>0</v>
      </c>
      <c r="AE199" s="81">
        <v>0</v>
      </c>
      <c r="AF199" s="81">
        <v>0</v>
      </c>
      <c r="AG199" s="81">
        <v>0</v>
      </c>
      <c r="AH199" s="81">
        <v>0</v>
      </c>
      <c r="AI199" s="81">
        <v>0</v>
      </c>
      <c r="AJ199" s="81">
        <v>0</v>
      </c>
      <c r="AK199" s="81">
        <v>0</v>
      </c>
      <c r="AL199" s="81">
        <v>0</v>
      </c>
      <c r="AM199" s="80">
        <v>0</v>
      </c>
      <c r="AN199" s="80">
        <v>0</v>
      </c>
      <c r="AO199" s="80">
        <v>0</v>
      </c>
    </row>
    <row r="200" spans="1:41" ht="15.75" x14ac:dyDescent="0.25">
      <c r="A200" s="84"/>
      <c r="B200" s="84"/>
      <c r="C200" s="84"/>
      <c r="D200" s="80" t="s">
        <v>246</v>
      </c>
      <c r="E200" s="80">
        <v>0</v>
      </c>
      <c r="F200" s="80">
        <v>0</v>
      </c>
      <c r="G200" s="80">
        <v>0</v>
      </c>
      <c r="H200" s="80">
        <v>0</v>
      </c>
      <c r="I200" s="81">
        <v>1</v>
      </c>
      <c r="J200" s="80">
        <v>1</v>
      </c>
      <c r="K200" s="80">
        <v>0</v>
      </c>
      <c r="L200" s="80">
        <v>0</v>
      </c>
      <c r="M200" s="80">
        <v>1</v>
      </c>
      <c r="N200" s="81">
        <v>1</v>
      </c>
      <c r="O200" s="81">
        <v>1</v>
      </c>
      <c r="P200" s="80">
        <v>1</v>
      </c>
      <c r="Q200" s="81">
        <v>1</v>
      </c>
      <c r="R200" s="80">
        <v>0</v>
      </c>
      <c r="S200" s="80">
        <v>0</v>
      </c>
      <c r="T200" s="81">
        <v>0</v>
      </c>
      <c r="U200" s="81">
        <v>2</v>
      </c>
      <c r="V200" s="81">
        <v>1</v>
      </c>
      <c r="W200" s="81">
        <v>0</v>
      </c>
      <c r="X200" s="81">
        <v>0</v>
      </c>
      <c r="Y200" s="81">
        <v>0</v>
      </c>
      <c r="Z200" s="81">
        <v>0</v>
      </c>
      <c r="AA200" s="81">
        <v>0</v>
      </c>
      <c r="AB200" s="81">
        <v>0</v>
      </c>
      <c r="AC200" s="81">
        <v>0</v>
      </c>
      <c r="AD200" s="81">
        <v>0</v>
      </c>
      <c r="AE200" s="81">
        <v>0</v>
      </c>
      <c r="AF200" s="81">
        <v>0</v>
      </c>
      <c r="AG200" s="81">
        <v>0</v>
      </c>
      <c r="AH200" s="81">
        <v>0</v>
      </c>
      <c r="AI200" s="81">
        <v>0</v>
      </c>
      <c r="AJ200" s="81">
        <v>0</v>
      </c>
      <c r="AK200" s="81">
        <v>0</v>
      </c>
      <c r="AL200" s="81">
        <v>0</v>
      </c>
      <c r="AM200" s="80">
        <v>0</v>
      </c>
      <c r="AN200" s="80">
        <v>0</v>
      </c>
      <c r="AO200" s="80">
        <v>0</v>
      </c>
    </row>
    <row r="201" spans="1:41" ht="15.75" x14ac:dyDescent="0.25">
      <c r="A201" s="84"/>
      <c r="B201" s="84"/>
      <c r="C201" s="84"/>
      <c r="D201" s="80" t="s">
        <v>247</v>
      </c>
      <c r="E201" s="80">
        <v>0</v>
      </c>
      <c r="F201" s="80">
        <v>0</v>
      </c>
      <c r="G201" s="80">
        <v>0</v>
      </c>
      <c r="H201" s="80">
        <v>0</v>
      </c>
      <c r="I201" s="81">
        <v>0</v>
      </c>
      <c r="J201" s="80">
        <v>0</v>
      </c>
      <c r="K201" s="80">
        <v>0</v>
      </c>
      <c r="L201" s="80">
        <v>0</v>
      </c>
      <c r="M201" s="80">
        <v>0</v>
      </c>
      <c r="N201" s="81">
        <v>0</v>
      </c>
      <c r="O201" s="81">
        <v>0</v>
      </c>
      <c r="P201" s="80">
        <v>0</v>
      </c>
      <c r="Q201" s="81">
        <v>0</v>
      </c>
      <c r="R201" s="80">
        <v>0</v>
      </c>
      <c r="S201" s="80">
        <v>0</v>
      </c>
      <c r="T201" s="81">
        <v>0</v>
      </c>
      <c r="U201" s="81">
        <v>0</v>
      </c>
      <c r="V201" s="81">
        <v>0</v>
      </c>
      <c r="W201" s="81">
        <v>0</v>
      </c>
      <c r="X201" s="81">
        <v>0</v>
      </c>
      <c r="Y201" s="81">
        <v>0</v>
      </c>
      <c r="Z201" s="81">
        <v>0</v>
      </c>
      <c r="AA201" s="81">
        <v>0</v>
      </c>
      <c r="AB201" s="81">
        <v>0</v>
      </c>
      <c r="AC201" s="81">
        <v>0</v>
      </c>
      <c r="AD201" s="81">
        <v>0</v>
      </c>
      <c r="AE201" s="81">
        <v>0</v>
      </c>
      <c r="AF201" s="81">
        <v>0</v>
      </c>
      <c r="AG201" s="81">
        <v>0</v>
      </c>
      <c r="AH201" s="81">
        <v>0</v>
      </c>
      <c r="AI201" s="81">
        <v>0</v>
      </c>
      <c r="AJ201" s="81">
        <v>0</v>
      </c>
      <c r="AK201" s="81">
        <v>0</v>
      </c>
      <c r="AL201" s="81">
        <v>0</v>
      </c>
      <c r="AM201" s="80">
        <v>0</v>
      </c>
      <c r="AN201" s="80">
        <v>0</v>
      </c>
      <c r="AO201" s="80">
        <v>0</v>
      </c>
    </row>
    <row r="202" spans="1:41" ht="15.75" x14ac:dyDescent="0.25">
      <c r="A202" s="84"/>
      <c r="B202" s="84"/>
      <c r="C202" s="84"/>
      <c r="D202" s="80" t="s">
        <v>248</v>
      </c>
      <c r="E202" s="80">
        <v>0</v>
      </c>
      <c r="F202" s="80">
        <v>0</v>
      </c>
      <c r="G202" s="80">
        <v>0</v>
      </c>
      <c r="H202" s="80">
        <v>0</v>
      </c>
      <c r="I202" s="81">
        <v>1</v>
      </c>
      <c r="J202" s="80">
        <v>1</v>
      </c>
      <c r="K202" s="80">
        <v>0</v>
      </c>
      <c r="L202" s="80">
        <v>0</v>
      </c>
      <c r="M202" s="80">
        <v>1</v>
      </c>
      <c r="N202" s="81">
        <v>1</v>
      </c>
      <c r="O202" s="81">
        <v>1</v>
      </c>
      <c r="P202" s="80">
        <v>1</v>
      </c>
      <c r="Q202" s="81">
        <v>1</v>
      </c>
      <c r="R202" s="80">
        <v>0</v>
      </c>
      <c r="S202" s="80">
        <v>0</v>
      </c>
      <c r="T202" s="81">
        <v>0</v>
      </c>
      <c r="U202" s="81">
        <v>0</v>
      </c>
      <c r="V202" s="81">
        <v>1</v>
      </c>
      <c r="W202" s="81">
        <v>0</v>
      </c>
      <c r="X202" s="81">
        <v>0</v>
      </c>
      <c r="Y202" s="81">
        <v>0</v>
      </c>
      <c r="Z202" s="81">
        <v>0</v>
      </c>
      <c r="AA202" s="81">
        <v>0</v>
      </c>
      <c r="AB202" s="81">
        <v>0</v>
      </c>
      <c r="AC202" s="81">
        <v>0</v>
      </c>
      <c r="AD202" s="81">
        <v>0</v>
      </c>
      <c r="AE202" s="81">
        <v>0</v>
      </c>
      <c r="AF202" s="81">
        <v>0</v>
      </c>
      <c r="AG202" s="81">
        <v>0</v>
      </c>
      <c r="AH202" s="81">
        <v>0</v>
      </c>
      <c r="AI202" s="81">
        <v>0</v>
      </c>
      <c r="AJ202" s="81">
        <v>0</v>
      </c>
      <c r="AK202" s="81">
        <v>0</v>
      </c>
      <c r="AL202" s="81">
        <v>0</v>
      </c>
      <c r="AM202" s="80">
        <v>0</v>
      </c>
      <c r="AN202" s="80">
        <v>0</v>
      </c>
      <c r="AO202" s="80">
        <v>0</v>
      </c>
    </row>
    <row r="203" spans="1:41" ht="15.75" x14ac:dyDescent="0.25">
      <c r="A203" s="84"/>
      <c r="B203" s="84"/>
      <c r="C203" s="84"/>
      <c r="D203" s="80" t="s">
        <v>258</v>
      </c>
      <c r="E203" s="80">
        <v>0</v>
      </c>
      <c r="F203" s="80">
        <v>0</v>
      </c>
      <c r="G203" s="80">
        <v>0</v>
      </c>
      <c r="H203" s="80">
        <v>0</v>
      </c>
      <c r="I203" s="80">
        <v>0</v>
      </c>
      <c r="J203" s="80">
        <v>0</v>
      </c>
      <c r="K203" s="80">
        <v>0</v>
      </c>
      <c r="L203" s="80">
        <v>0</v>
      </c>
      <c r="M203" s="80">
        <v>0</v>
      </c>
      <c r="N203" s="80">
        <v>0</v>
      </c>
      <c r="O203" s="80">
        <v>0</v>
      </c>
      <c r="P203" s="80">
        <v>0</v>
      </c>
      <c r="Q203" s="80">
        <v>0</v>
      </c>
      <c r="R203" s="80">
        <v>0</v>
      </c>
      <c r="S203" s="80">
        <v>0</v>
      </c>
      <c r="T203" s="80">
        <v>0</v>
      </c>
      <c r="U203" s="80">
        <v>2</v>
      </c>
      <c r="V203" s="80">
        <v>0</v>
      </c>
      <c r="W203" s="80">
        <v>0</v>
      </c>
      <c r="X203" s="80">
        <v>0</v>
      </c>
      <c r="Y203" s="80">
        <v>0</v>
      </c>
      <c r="Z203" s="80">
        <v>0</v>
      </c>
      <c r="AA203" s="80">
        <v>0</v>
      </c>
      <c r="AB203" s="80">
        <v>0</v>
      </c>
      <c r="AC203" s="80">
        <v>0</v>
      </c>
      <c r="AD203" s="80">
        <v>0</v>
      </c>
      <c r="AE203" s="80">
        <v>0</v>
      </c>
      <c r="AF203" s="80">
        <v>0</v>
      </c>
      <c r="AG203" s="80">
        <v>0</v>
      </c>
      <c r="AH203" s="80">
        <v>0</v>
      </c>
      <c r="AI203" s="80">
        <v>0</v>
      </c>
      <c r="AJ203" s="80">
        <v>0</v>
      </c>
      <c r="AK203" s="80">
        <v>0</v>
      </c>
      <c r="AL203" s="80">
        <v>0</v>
      </c>
      <c r="AM203" s="80">
        <v>0</v>
      </c>
      <c r="AN203" s="80">
        <v>0</v>
      </c>
      <c r="AO203" s="80">
        <v>0</v>
      </c>
    </row>
    <row r="204" spans="1:41" ht="15.75" x14ac:dyDescent="0.25">
      <c r="A204" s="84">
        <v>45</v>
      </c>
      <c r="B204" s="84"/>
      <c r="C204" s="84" t="s">
        <v>264</v>
      </c>
      <c r="D204" s="80" t="s">
        <v>245</v>
      </c>
      <c r="E204" s="438">
        <v>0</v>
      </c>
      <c r="F204" s="80">
        <v>0</v>
      </c>
      <c r="G204" s="80">
        <v>0</v>
      </c>
      <c r="H204" s="387">
        <v>1</v>
      </c>
      <c r="I204" s="387">
        <v>1</v>
      </c>
      <c r="J204" s="387">
        <v>1</v>
      </c>
      <c r="K204" s="80">
        <v>0</v>
      </c>
      <c r="L204" s="387">
        <v>1</v>
      </c>
      <c r="M204" s="80">
        <v>0</v>
      </c>
      <c r="N204" s="80">
        <v>0</v>
      </c>
      <c r="O204" s="80">
        <v>0</v>
      </c>
      <c r="P204" s="80">
        <v>0</v>
      </c>
      <c r="Q204" s="387">
        <v>1</v>
      </c>
      <c r="R204" s="80">
        <v>0</v>
      </c>
      <c r="S204" s="80">
        <v>0</v>
      </c>
      <c r="T204" s="80">
        <v>0</v>
      </c>
      <c r="U204" s="387">
        <v>2</v>
      </c>
      <c r="V204" s="80">
        <v>0</v>
      </c>
      <c r="W204" s="80">
        <v>0</v>
      </c>
      <c r="X204" s="80">
        <v>0</v>
      </c>
      <c r="Y204" s="80">
        <v>0</v>
      </c>
      <c r="Z204" s="80">
        <v>0</v>
      </c>
      <c r="AA204" s="80">
        <v>0</v>
      </c>
      <c r="AB204" s="80">
        <v>0</v>
      </c>
      <c r="AC204" s="80">
        <v>0</v>
      </c>
      <c r="AD204" s="80">
        <v>0</v>
      </c>
      <c r="AE204" s="80">
        <v>0</v>
      </c>
      <c r="AF204" s="80">
        <v>0</v>
      </c>
      <c r="AG204" s="80">
        <v>0</v>
      </c>
      <c r="AH204" s="80">
        <v>0</v>
      </c>
      <c r="AI204" s="80">
        <v>0</v>
      </c>
      <c r="AJ204" s="80">
        <v>0</v>
      </c>
      <c r="AK204" s="80">
        <v>0</v>
      </c>
      <c r="AL204" s="80">
        <v>0</v>
      </c>
      <c r="AM204" s="80">
        <v>0</v>
      </c>
      <c r="AN204" s="80">
        <v>0</v>
      </c>
      <c r="AO204" s="80">
        <v>0</v>
      </c>
    </row>
    <row r="205" spans="1:41" ht="15.75" x14ac:dyDescent="0.25">
      <c r="A205" s="84"/>
      <c r="B205" s="84"/>
      <c r="C205" s="84"/>
      <c r="D205" s="80" t="s">
        <v>246</v>
      </c>
      <c r="E205" s="80">
        <v>0</v>
      </c>
      <c r="F205" s="80">
        <v>0</v>
      </c>
      <c r="G205" s="80">
        <v>0</v>
      </c>
      <c r="H205" s="80">
        <v>1</v>
      </c>
      <c r="I205" s="80">
        <v>1</v>
      </c>
      <c r="J205" s="80">
        <v>1</v>
      </c>
      <c r="K205" s="80">
        <v>0</v>
      </c>
      <c r="L205" s="80">
        <v>1</v>
      </c>
      <c r="M205" s="80">
        <v>0</v>
      </c>
      <c r="N205" s="80">
        <v>0</v>
      </c>
      <c r="O205" s="80">
        <v>0</v>
      </c>
      <c r="P205" s="80">
        <v>0</v>
      </c>
      <c r="Q205" s="80">
        <v>1</v>
      </c>
      <c r="R205" s="80">
        <v>0</v>
      </c>
      <c r="S205" s="80">
        <v>0</v>
      </c>
      <c r="T205" s="80">
        <v>0</v>
      </c>
      <c r="U205" s="80">
        <v>2</v>
      </c>
      <c r="V205" s="80">
        <v>0</v>
      </c>
      <c r="W205" s="80">
        <v>0</v>
      </c>
      <c r="X205" s="80">
        <v>0</v>
      </c>
      <c r="Y205" s="80">
        <v>0</v>
      </c>
      <c r="Z205" s="80">
        <v>0</v>
      </c>
      <c r="AA205" s="80">
        <v>0</v>
      </c>
      <c r="AB205" s="80">
        <v>0</v>
      </c>
      <c r="AC205" s="80">
        <v>0</v>
      </c>
      <c r="AD205" s="80">
        <v>0</v>
      </c>
      <c r="AE205" s="80">
        <v>0</v>
      </c>
      <c r="AF205" s="80">
        <v>0</v>
      </c>
      <c r="AG205" s="80">
        <v>0</v>
      </c>
      <c r="AH205" s="80">
        <v>0</v>
      </c>
      <c r="AI205" s="80">
        <v>0</v>
      </c>
      <c r="AJ205" s="80">
        <v>0</v>
      </c>
      <c r="AK205" s="80">
        <v>0</v>
      </c>
      <c r="AL205" s="80">
        <v>0</v>
      </c>
      <c r="AM205" s="80">
        <v>0</v>
      </c>
      <c r="AN205" s="80">
        <v>0</v>
      </c>
      <c r="AO205" s="80">
        <v>0</v>
      </c>
    </row>
    <row r="206" spans="1:41" ht="15.75" x14ac:dyDescent="0.25">
      <c r="A206" s="84"/>
      <c r="B206" s="84"/>
      <c r="C206" s="84"/>
      <c r="D206" s="80" t="s">
        <v>247</v>
      </c>
      <c r="E206" s="80">
        <v>0</v>
      </c>
      <c r="F206" s="80">
        <v>0</v>
      </c>
      <c r="G206" s="80">
        <v>0</v>
      </c>
      <c r="H206" s="80">
        <v>0</v>
      </c>
      <c r="I206" s="80">
        <v>0</v>
      </c>
      <c r="J206" s="80">
        <v>0</v>
      </c>
      <c r="K206" s="80">
        <v>0</v>
      </c>
      <c r="L206" s="80">
        <v>0</v>
      </c>
      <c r="M206" s="80">
        <v>0</v>
      </c>
      <c r="N206" s="80">
        <v>0</v>
      </c>
      <c r="O206" s="80">
        <v>0</v>
      </c>
      <c r="P206" s="80">
        <v>0</v>
      </c>
      <c r="Q206" s="80">
        <v>0</v>
      </c>
      <c r="R206" s="80">
        <v>0</v>
      </c>
      <c r="S206" s="80">
        <v>0</v>
      </c>
      <c r="T206" s="80">
        <v>0</v>
      </c>
      <c r="U206" s="80">
        <v>0</v>
      </c>
      <c r="V206" s="80">
        <v>0</v>
      </c>
      <c r="W206" s="80">
        <v>0</v>
      </c>
      <c r="X206" s="80">
        <v>0</v>
      </c>
      <c r="Y206" s="80">
        <v>0</v>
      </c>
      <c r="Z206" s="80">
        <v>0</v>
      </c>
      <c r="AA206" s="80">
        <v>0</v>
      </c>
      <c r="AB206" s="80">
        <v>0</v>
      </c>
      <c r="AC206" s="80">
        <v>0</v>
      </c>
      <c r="AD206" s="80">
        <v>0</v>
      </c>
      <c r="AE206" s="80">
        <v>0</v>
      </c>
      <c r="AF206" s="80">
        <v>0</v>
      </c>
      <c r="AG206" s="80">
        <v>0</v>
      </c>
      <c r="AH206" s="80">
        <v>0</v>
      </c>
      <c r="AI206" s="80">
        <v>0</v>
      </c>
      <c r="AJ206" s="80">
        <v>0</v>
      </c>
      <c r="AK206" s="80">
        <v>0</v>
      </c>
      <c r="AL206" s="80">
        <v>0</v>
      </c>
      <c r="AM206" s="80">
        <v>0</v>
      </c>
      <c r="AN206" s="80">
        <v>0</v>
      </c>
      <c r="AO206" s="80">
        <v>0</v>
      </c>
    </row>
    <row r="207" spans="1:41" ht="15.75" x14ac:dyDescent="0.25">
      <c r="A207" s="84"/>
      <c r="B207" s="84"/>
      <c r="C207" s="84"/>
      <c r="D207" s="80" t="s">
        <v>248</v>
      </c>
      <c r="E207" s="80">
        <v>0</v>
      </c>
      <c r="F207" s="80">
        <v>0</v>
      </c>
      <c r="G207" s="80">
        <v>0</v>
      </c>
      <c r="H207" s="80">
        <v>1</v>
      </c>
      <c r="I207" s="80">
        <v>0</v>
      </c>
      <c r="J207" s="80">
        <v>1</v>
      </c>
      <c r="K207" s="80">
        <v>0</v>
      </c>
      <c r="L207" s="80">
        <v>1</v>
      </c>
      <c r="M207" s="80">
        <v>0</v>
      </c>
      <c r="N207" s="80">
        <v>0</v>
      </c>
      <c r="O207" s="80">
        <v>0</v>
      </c>
      <c r="P207" s="80">
        <v>0</v>
      </c>
      <c r="Q207" s="80">
        <v>1</v>
      </c>
      <c r="R207" s="80">
        <v>0</v>
      </c>
      <c r="S207" s="80">
        <v>0</v>
      </c>
      <c r="T207" s="80">
        <v>0</v>
      </c>
      <c r="U207" s="80">
        <v>2</v>
      </c>
      <c r="V207" s="80">
        <v>0</v>
      </c>
      <c r="W207" s="80">
        <v>0</v>
      </c>
      <c r="X207" s="80">
        <v>0</v>
      </c>
      <c r="Y207" s="80">
        <v>0</v>
      </c>
      <c r="Z207" s="80">
        <v>0</v>
      </c>
      <c r="AA207" s="80">
        <v>0</v>
      </c>
      <c r="AB207" s="80">
        <v>0</v>
      </c>
      <c r="AC207" s="80">
        <v>0</v>
      </c>
      <c r="AD207" s="80">
        <v>0</v>
      </c>
      <c r="AE207" s="80">
        <v>0</v>
      </c>
      <c r="AF207" s="80">
        <v>0</v>
      </c>
      <c r="AG207" s="80">
        <v>0</v>
      </c>
      <c r="AH207" s="80">
        <v>0</v>
      </c>
      <c r="AI207" s="80">
        <v>0</v>
      </c>
      <c r="AJ207" s="80">
        <v>0</v>
      </c>
      <c r="AK207" s="80">
        <v>0</v>
      </c>
      <c r="AL207" s="80">
        <v>0</v>
      </c>
      <c r="AM207" s="80">
        <v>0</v>
      </c>
      <c r="AN207" s="80">
        <v>0</v>
      </c>
      <c r="AO207" s="80">
        <v>0</v>
      </c>
    </row>
    <row r="208" spans="1:41" ht="15.75" x14ac:dyDescent="0.25">
      <c r="A208" s="84"/>
      <c r="B208" s="84"/>
      <c r="C208" s="84"/>
      <c r="D208" s="80" t="s">
        <v>258</v>
      </c>
      <c r="E208" s="80">
        <v>0</v>
      </c>
      <c r="F208" s="80">
        <v>0</v>
      </c>
      <c r="G208" s="80">
        <v>0</v>
      </c>
      <c r="H208" s="80">
        <v>0</v>
      </c>
      <c r="I208" s="80">
        <v>1</v>
      </c>
      <c r="J208" s="80">
        <v>0</v>
      </c>
      <c r="K208" s="80">
        <v>0</v>
      </c>
      <c r="L208" s="80">
        <v>0</v>
      </c>
      <c r="M208" s="80">
        <v>0</v>
      </c>
      <c r="N208" s="80">
        <v>0</v>
      </c>
      <c r="O208" s="80">
        <v>0</v>
      </c>
      <c r="P208" s="80">
        <v>0</v>
      </c>
      <c r="Q208" s="80">
        <v>0</v>
      </c>
      <c r="R208" s="80">
        <v>0</v>
      </c>
      <c r="S208" s="80">
        <v>0</v>
      </c>
      <c r="T208" s="80">
        <v>0</v>
      </c>
      <c r="U208" s="80">
        <v>0</v>
      </c>
      <c r="V208" s="80">
        <v>0</v>
      </c>
      <c r="W208" s="80">
        <v>0</v>
      </c>
      <c r="X208" s="80">
        <v>0</v>
      </c>
      <c r="Y208" s="80">
        <v>0</v>
      </c>
      <c r="Z208" s="80">
        <v>0</v>
      </c>
      <c r="AA208" s="80">
        <v>0</v>
      </c>
      <c r="AB208" s="80">
        <v>0</v>
      </c>
      <c r="AC208" s="80">
        <v>0</v>
      </c>
      <c r="AD208" s="80">
        <v>0</v>
      </c>
      <c r="AE208" s="80">
        <v>0</v>
      </c>
      <c r="AF208" s="80">
        <v>0</v>
      </c>
      <c r="AG208" s="80">
        <v>0</v>
      </c>
      <c r="AH208" s="80">
        <v>0</v>
      </c>
      <c r="AI208" s="80">
        <v>0</v>
      </c>
      <c r="AJ208" s="80">
        <v>0</v>
      </c>
      <c r="AK208" s="80">
        <v>0</v>
      </c>
      <c r="AL208" s="80">
        <v>0</v>
      </c>
      <c r="AM208" s="80">
        <v>0</v>
      </c>
      <c r="AN208" s="80">
        <v>0</v>
      </c>
      <c r="AO208" s="80">
        <v>0</v>
      </c>
    </row>
    <row r="209" spans="1:41" ht="15.75" x14ac:dyDescent="0.25">
      <c r="A209" s="84">
        <v>46</v>
      </c>
      <c r="B209" s="84"/>
      <c r="C209" s="84" t="s">
        <v>265</v>
      </c>
      <c r="D209" s="80" t="s">
        <v>245</v>
      </c>
      <c r="E209" s="438">
        <v>0</v>
      </c>
      <c r="F209" s="80">
        <v>0</v>
      </c>
      <c r="G209" s="80">
        <v>0</v>
      </c>
      <c r="H209" s="80">
        <v>0</v>
      </c>
      <c r="I209" s="387">
        <v>1</v>
      </c>
      <c r="J209" s="80">
        <v>0</v>
      </c>
      <c r="K209" s="80">
        <v>0</v>
      </c>
      <c r="L209" s="80">
        <v>0</v>
      </c>
      <c r="M209" s="80">
        <v>0</v>
      </c>
      <c r="N209" s="80">
        <v>0</v>
      </c>
      <c r="O209" s="80">
        <v>0</v>
      </c>
      <c r="P209" s="80">
        <v>0</v>
      </c>
      <c r="Q209" s="387">
        <v>1</v>
      </c>
      <c r="R209" s="80">
        <v>0</v>
      </c>
      <c r="S209" s="80">
        <v>0</v>
      </c>
      <c r="T209" s="80">
        <v>0</v>
      </c>
      <c r="U209" s="387">
        <v>2</v>
      </c>
      <c r="V209" s="387">
        <v>1</v>
      </c>
      <c r="W209" s="80">
        <v>0</v>
      </c>
      <c r="X209" s="80">
        <v>0</v>
      </c>
      <c r="Y209" s="80">
        <v>0</v>
      </c>
      <c r="Z209" s="387">
        <v>1</v>
      </c>
      <c r="AA209" s="80">
        <v>0</v>
      </c>
      <c r="AB209" s="387">
        <v>1</v>
      </c>
      <c r="AC209" s="80">
        <v>0</v>
      </c>
      <c r="AD209" s="387">
        <v>1</v>
      </c>
      <c r="AE209" s="387">
        <v>1</v>
      </c>
      <c r="AF209" s="80">
        <v>0</v>
      </c>
      <c r="AG209" s="80">
        <v>0</v>
      </c>
      <c r="AH209" s="80">
        <v>0</v>
      </c>
      <c r="AI209" s="80">
        <v>0</v>
      </c>
      <c r="AJ209" s="80">
        <v>0</v>
      </c>
      <c r="AK209" s="80">
        <v>0</v>
      </c>
      <c r="AL209" s="80">
        <v>0</v>
      </c>
      <c r="AM209" s="80">
        <v>0</v>
      </c>
      <c r="AN209" s="80">
        <v>0</v>
      </c>
      <c r="AO209" s="80">
        <v>0</v>
      </c>
    </row>
    <row r="210" spans="1:41" ht="15.75" x14ac:dyDescent="0.25">
      <c r="A210" s="84"/>
      <c r="B210" s="84"/>
      <c r="C210" s="84"/>
      <c r="D210" s="80" t="s">
        <v>246</v>
      </c>
      <c r="E210" s="80">
        <v>0</v>
      </c>
      <c r="F210" s="80">
        <v>0</v>
      </c>
      <c r="G210" s="80">
        <v>0</v>
      </c>
      <c r="H210" s="80">
        <v>0</v>
      </c>
      <c r="I210" s="80">
        <v>1</v>
      </c>
      <c r="J210" s="80">
        <v>0</v>
      </c>
      <c r="K210" s="80">
        <v>0</v>
      </c>
      <c r="L210" s="80">
        <v>0</v>
      </c>
      <c r="M210" s="80">
        <v>0</v>
      </c>
      <c r="N210" s="80">
        <v>0</v>
      </c>
      <c r="O210" s="80">
        <v>0</v>
      </c>
      <c r="P210" s="80">
        <v>0</v>
      </c>
      <c r="Q210" s="80">
        <v>1</v>
      </c>
      <c r="R210" s="80">
        <v>0</v>
      </c>
      <c r="S210" s="80">
        <v>0</v>
      </c>
      <c r="T210" s="80">
        <v>0</v>
      </c>
      <c r="U210" s="80">
        <v>2</v>
      </c>
      <c r="V210" s="80">
        <v>1</v>
      </c>
      <c r="W210" s="80">
        <v>0</v>
      </c>
      <c r="X210" s="80">
        <v>0</v>
      </c>
      <c r="Y210" s="80">
        <v>0</v>
      </c>
      <c r="Z210" s="80">
        <v>1</v>
      </c>
      <c r="AA210" s="80">
        <v>0</v>
      </c>
      <c r="AB210" s="80">
        <v>1</v>
      </c>
      <c r="AC210" s="80">
        <v>0</v>
      </c>
      <c r="AD210" s="80">
        <v>1</v>
      </c>
      <c r="AE210" s="80">
        <v>1</v>
      </c>
      <c r="AF210" s="80">
        <v>0</v>
      </c>
      <c r="AG210" s="80">
        <v>0</v>
      </c>
      <c r="AH210" s="80">
        <v>0</v>
      </c>
      <c r="AI210" s="80">
        <v>0</v>
      </c>
      <c r="AJ210" s="80">
        <v>0</v>
      </c>
      <c r="AK210" s="80">
        <v>0</v>
      </c>
      <c r="AL210" s="80">
        <v>0</v>
      </c>
      <c r="AM210" s="80">
        <v>0</v>
      </c>
      <c r="AN210" s="80">
        <v>0</v>
      </c>
      <c r="AO210" s="80">
        <v>0</v>
      </c>
    </row>
    <row r="211" spans="1:41" ht="15.75" x14ac:dyDescent="0.25">
      <c r="A211" s="84"/>
      <c r="B211" s="84"/>
      <c r="C211" s="84"/>
      <c r="D211" s="80" t="s">
        <v>247</v>
      </c>
      <c r="E211" s="80">
        <v>0</v>
      </c>
      <c r="F211" s="80">
        <v>0</v>
      </c>
      <c r="G211" s="80">
        <v>0</v>
      </c>
      <c r="H211" s="80">
        <v>0</v>
      </c>
      <c r="I211" s="80">
        <v>0</v>
      </c>
      <c r="J211" s="80">
        <v>0</v>
      </c>
      <c r="K211" s="80">
        <v>0</v>
      </c>
      <c r="L211" s="80">
        <v>0</v>
      </c>
      <c r="M211" s="80">
        <v>0</v>
      </c>
      <c r="N211" s="80">
        <v>0</v>
      </c>
      <c r="O211" s="80">
        <v>0</v>
      </c>
      <c r="P211" s="80">
        <v>0</v>
      </c>
      <c r="Q211" s="80">
        <v>0</v>
      </c>
      <c r="R211" s="80">
        <v>0</v>
      </c>
      <c r="S211" s="80">
        <v>0</v>
      </c>
      <c r="T211" s="80">
        <v>0</v>
      </c>
      <c r="U211" s="80">
        <v>0</v>
      </c>
      <c r="V211" s="80">
        <v>0</v>
      </c>
      <c r="W211" s="80">
        <v>0</v>
      </c>
      <c r="X211" s="80">
        <v>0</v>
      </c>
      <c r="Y211" s="80">
        <v>0</v>
      </c>
      <c r="Z211" s="80">
        <v>0</v>
      </c>
      <c r="AA211" s="80">
        <v>0</v>
      </c>
      <c r="AB211" s="80">
        <v>0</v>
      </c>
      <c r="AC211" s="80">
        <v>0</v>
      </c>
      <c r="AD211" s="80">
        <v>0</v>
      </c>
      <c r="AE211" s="80">
        <v>0</v>
      </c>
      <c r="AF211" s="80">
        <v>0</v>
      </c>
      <c r="AG211" s="80">
        <v>0</v>
      </c>
      <c r="AH211" s="80">
        <v>0</v>
      </c>
      <c r="AI211" s="80">
        <v>0</v>
      </c>
      <c r="AJ211" s="80">
        <v>0</v>
      </c>
      <c r="AK211" s="80">
        <v>0</v>
      </c>
      <c r="AL211" s="80">
        <v>0</v>
      </c>
      <c r="AM211" s="80">
        <v>0</v>
      </c>
      <c r="AN211" s="80">
        <v>0</v>
      </c>
      <c r="AO211" s="80">
        <v>0</v>
      </c>
    </row>
    <row r="212" spans="1:41" ht="15.75" x14ac:dyDescent="0.25">
      <c r="A212" s="84"/>
      <c r="B212" s="84"/>
      <c r="C212" s="84"/>
      <c r="D212" s="80" t="s">
        <v>248</v>
      </c>
      <c r="E212" s="80">
        <v>0</v>
      </c>
      <c r="F212" s="80">
        <v>0</v>
      </c>
      <c r="G212" s="80">
        <v>0</v>
      </c>
      <c r="H212" s="80">
        <v>0</v>
      </c>
      <c r="I212" s="80">
        <v>1</v>
      </c>
      <c r="J212" s="80">
        <v>0</v>
      </c>
      <c r="K212" s="80">
        <v>0</v>
      </c>
      <c r="L212" s="80">
        <v>0</v>
      </c>
      <c r="M212" s="80">
        <v>0</v>
      </c>
      <c r="N212" s="80">
        <v>0</v>
      </c>
      <c r="O212" s="80">
        <v>0</v>
      </c>
      <c r="P212" s="80">
        <v>0</v>
      </c>
      <c r="Q212" s="80">
        <v>1</v>
      </c>
      <c r="R212" s="80">
        <v>0</v>
      </c>
      <c r="S212" s="80">
        <v>0</v>
      </c>
      <c r="T212" s="80">
        <v>0</v>
      </c>
      <c r="U212" s="80">
        <v>2</v>
      </c>
      <c r="V212" s="80">
        <v>1</v>
      </c>
      <c r="W212" s="80">
        <v>0</v>
      </c>
      <c r="X212" s="80">
        <v>0</v>
      </c>
      <c r="Y212" s="80">
        <v>0</v>
      </c>
      <c r="Z212" s="80">
        <v>1</v>
      </c>
      <c r="AA212" s="80">
        <v>0</v>
      </c>
      <c r="AB212" s="80">
        <v>1</v>
      </c>
      <c r="AC212" s="80">
        <v>0</v>
      </c>
      <c r="AD212" s="80">
        <v>1</v>
      </c>
      <c r="AE212" s="80">
        <v>1</v>
      </c>
      <c r="AF212" s="80">
        <v>0</v>
      </c>
      <c r="AG212" s="80">
        <v>0</v>
      </c>
      <c r="AH212" s="80">
        <v>0</v>
      </c>
      <c r="AI212" s="80">
        <v>0</v>
      </c>
      <c r="AJ212" s="80">
        <v>0</v>
      </c>
      <c r="AK212" s="80">
        <v>0</v>
      </c>
      <c r="AL212" s="80">
        <v>0</v>
      </c>
      <c r="AM212" s="80">
        <v>0</v>
      </c>
      <c r="AN212" s="80">
        <v>0</v>
      </c>
      <c r="AO212" s="80">
        <v>0</v>
      </c>
    </row>
    <row r="213" spans="1:41" ht="15.75" x14ac:dyDescent="0.25">
      <c r="A213" s="84"/>
      <c r="B213" s="84"/>
      <c r="C213" s="84"/>
      <c r="D213" s="80" t="s">
        <v>258</v>
      </c>
      <c r="E213" s="80">
        <v>0</v>
      </c>
      <c r="F213" s="80">
        <v>0</v>
      </c>
      <c r="G213" s="80">
        <v>0</v>
      </c>
      <c r="H213" s="80">
        <v>0</v>
      </c>
      <c r="I213" s="80">
        <v>0</v>
      </c>
      <c r="J213" s="80">
        <v>0</v>
      </c>
      <c r="K213" s="80">
        <v>0</v>
      </c>
      <c r="L213" s="80">
        <v>0</v>
      </c>
      <c r="M213" s="80">
        <v>0</v>
      </c>
      <c r="N213" s="80">
        <v>0</v>
      </c>
      <c r="O213" s="80">
        <v>0</v>
      </c>
      <c r="P213" s="80">
        <v>0</v>
      </c>
      <c r="Q213" s="80">
        <v>0</v>
      </c>
      <c r="R213" s="80">
        <v>0</v>
      </c>
      <c r="S213" s="80">
        <v>0</v>
      </c>
      <c r="T213" s="80">
        <v>0</v>
      </c>
      <c r="U213" s="80">
        <v>0</v>
      </c>
      <c r="V213" s="80">
        <v>0</v>
      </c>
      <c r="W213" s="80">
        <v>0</v>
      </c>
      <c r="X213" s="80">
        <v>0</v>
      </c>
      <c r="Y213" s="80">
        <v>0</v>
      </c>
      <c r="Z213" s="80">
        <v>0</v>
      </c>
      <c r="AA213" s="80">
        <v>0</v>
      </c>
      <c r="AB213" s="80">
        <v>0</v>
      </c>
      <c r="AC213" s="80">
        <v>0</v>
      </c>
      <c r="AD213" s="80">
        <v>0</v>
      </c>
      <c r="AE213" s="80">
        <v>0</v>
      </c>
      <c r="AF213" s="80">
        <v>0</v>
      </c>
      <c r="AG213" s="80">
        <v>0</v>
      </c>
      <c r="AH213" s="80">
        <v>0</v>
      </c>
      <c r="AI213" s="80">
        <v>0</v>
      </c>
      <c r="AJ213" s="80">
        <v>0</v>
      </c>
      <c r="AK213" s="80">
        <v>0</v>
      </c>
      <c r="AL213" s="80">
        <v>0</v>
      </c>
      <c r="AM213" s="80">
        <v>0</v>
      </c>
      <c r="AN213" s="80">
        <v>0</v>
      </c>
      <c r="AO213" s="80">
        <v>0</v>
      </c>
    </row>
    <row r="214" spans="1:41" ht="15.75" x14ac:dyDescent="0.25">
      <c r="A214" s="84"/>
      <c r="B214" s="84"/>
      <c r="C214" s="84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147"/>
      <c r="AN214" s="147"/>
      <c r="AO214" s="147"/>
    </row>
    <row r="215" spans="1:41" ht="18.75" x14ac:dyDescent="0.3">
      <c r="A215" s="145"/>
      <c r="B215" s="145"/>
      <c r="C215" s="146" t="s">
        <v>771</v>
      </c>
      <c r="D215" s="135" t="s">
        <v>245</v>
      </c>
      <c r="E215" s="135">
        <f>E4+E9+E14+E19+E24+E29+E34+E39+E44+E49+E54+E59+E64+E69+E74+E79+E84+E89+E94+E99+E104+E109+E114+E119+E124+E129+E134+E139+E144+E149+E154+E159+E164+E169+E174+E179+E184+E189+E194+E199+E204+E209</f>
        <v>0</v>
      </c>
      <c r="F215" s="135">
        <f t="shared" ref="F215:AO215" si="0">F4+F9+F14+F19+F24+F29+F34+F39+F44+F49+F54+F59+F64+F69+F74+F79+F84+F89+F94+F99+F104+F109+F114+F119+F124+F129+F134+F139+F144+F149+F154+F159+F164+F169+F174+F179+F184+F189+F194+F199+F204+F209</f>
        <v>1</v>
      </c>
      <c r="G215" s="135">
        <f t="shared" si="0"/>
        <v>3</v>
      </c>
      <c r="H215" s="135">
        <f t="shared" si="0"/>
        <v>39</v>
      </c>
      <c r="I215" s="135">
        <f t="shared" si="0"/>
        <v>63</v>
      </c>
      <c r="J215" s="135">
        <f t="shared" si="0"/>
        <v>48</v>
      </c>
      <c r="K215" s="135">
        <f t="shared" si="0"/>
        <v>4</v>
      </c>
      <c r="L215" s="135">
        <f t="shared" si="0"/>
        <v>6</v>
      </c>
      <c r="M215" s="135">
        <f t="shared" si="0"/>
        <v>7</v>
      </c>
      <c r="N215" s="135">
        <f t="shared" si="0"/>
        <v>15</v>
      </c>
      <c r="O215" s="135">
        <f t="shared" si="0"/>
        <v>41</v>
      </c>
      <c r="P215" s="135">
        <f t="shared" si="0"/>
        <v>6</v>
      </c>
      <c r="Q215" s="135">
        <f t="shared" si="0"/>
        <v>43</v>
      </c>
      <c r="R215" s="135">
        <f t="shared" si="0"/>
        <v>17</v>
      </c>
      <c r="S215" s="135">
        <f t="shared" si="0"/>
        <v>0</v>
      </c>
      <c r="T215" s="135">
        <f t="shared" si="0"/>
        <v>6</v>
      </c>
      <c r="U215" s="135">
        <f t="shared" si="0"/>
        <v>69</v>
      </c>
      <c r="V215" s="135">
        <f t="shared" si="0"/>
        <v>48</v>
      </c>
      <c r="W215" s="135">
        <f t="shared" si="0"/>
        <v>19</v>
      </c>
      <c r="X215" s="135">
        <f t="shared" si="0"/>
        <v>10</v>
      </c>
      <c r="Y215" s="135">
        <f t="shared" si="0"/>
        <v>3</v>
      </c>
      <c r="Z215" s="135">
        <f t="shared" si="0"/>
        <v>35</v>
      </c>
      <c r="AA215" s="135">
        <f t="shared" si="0"/>
        <v>26</v>
      </c>
      <c r="AB215" s="135">
        <f t="shared" si="0"/>
        <v>22</v>
      </c>
      <c r="AC215" s="135">
        <f t="shared" si="0"/>
        <v>13</v>
      </c>
      <c r="AD215" s="135">
        <f t="shared" si="0"/>
        <v>11</v>
      </c>
      <c r="AE215" s="135">
        <f t="shared" si="0"/>
        <v>21</v>
      </c>
      <c r="AF215" s="135">
        <f t="shared" si="0"/>
        <v>6</v>
      </c>
      <c r="AG215" s="135">
        <f t="shared" si="0"/>
        <v>30</v>
      </c>
      <c r="AH215" s="135">
        <f t="shared" si="0"/>
        <v>21</v>
      </c>
      <c r="AI215" s="135">
        <f t="shared" si="0"/>
        <v>2</v>
      </c>
      <c r="AJ215" s="135">
        <f t="shared" si="0"/>
        <v>0</v>
      </c>
      <c r="AK215" s="135">
        <f t="shared" si="0"/>
        <v>0</v>
      </c>
      <c r="AL215" s="135">
        <f t="shared" si="0"/>
        <v>1</v>
      </c>
      <c r="AM215" s="135">
        <f t="shared" si="0"/>
        <v>15</v>
      </c>
      <c r="AN215" s="135">
        <f t="shared" si="0"/>
        <v>6</v>
      </c>
      <c r="AO215" s="135">
        <f t="shared" si="0"/>
        <v>2</v>
      </c>
    </row>
    <row r="216" spans="1:41" ht="18.75" x14ac:dyDescent="0.3">
      <c r="A216" s="145"/>
      <c r="B216" s="145"/>
      <c r="C216" s="146"/>
      <c r="D216" s="135" t="s">
        <v>246</v>
      </c>
      <c r="E216" s="135">
        <f t="shared" ref="E216:AO216" si="1">E5+E10+E15+E20+E25+E30+E35+E40+E45+E50+E55+E60+E65+E70+E75+E80+E85+E90+E95+E100+E105+E110+E115+E120+E125+E130+E135+E140+E145+E150+E155+E160+E165+E170+E175+E180+E185+E190+E195+E200+E205+E210</f>
        <v>8</v>
      </c>
      <c r="F216" s="135">
        <f t="shared" si="1"/>
        <v>1</v>
      </c>
      <c r="G216" s="135">
        <f t="shared" si="1"/>
        <v>3</v>
      </c>
      <c r="H216" s="135">
        <f t="shared" si="1"/>
        <v>35</v>
      </c>
      <c r="I216" s="135">
        <f t="shared" si="1"/>
        <v>51</v>
      </c>
      <c r="J216" s="135">
        <f t="shared" si="1"/>
        <v>49</v>
      </c>
      <c r="K216" s="135">
        <f t="shared" si="1"/>
        <v>4</v>
      </c>
      <c r="L216" s="135">
        <f t="shared" si="1"/>
        <v>4</v>
      </c>
      <c r="M216" s="135">
        <f t="shared" si="1"/>
        <v>6</v>
      </c>
      <c r="N216" s="135">
        <f t="shared" si="1"/>
        <v>15</v>
      </c>
      <c r="O216" s="135">
        <f t="shared" si="1"/>
        <v>41</v>
      </c>
      <c r="P216" s="135">
        <f t="shared" si="1"/>
        <v>5</v>
      </c>
      <c r="Q216" s="135">
        <f t="shared" si="1"/>
        <v>41</v>
      </c>
      <c r="R216" s="135">
        <f t="shared" si="1"/>
        <v>16</v>
      </c>
      <c r="S216" s="135">
        <f t="shared" si="1"/>
        <v>0</v>
      </c>
      <c r="T216" s="135">
        <f t="shared" si="1"/>
        <v>6</v>
      </c>
      <c r="U216" s="135">
        <f t="shared" si="1"/>
        <v>69</v>
      </c>
      <c r="V216" s="135">
        <f t="shared" si="1"/>
        <v>48</v>
      </c>
      <c r="W216" s="135">
        <f t="shared" si="1"/>
        <v>19</v>
      </c>
      <c r="X216" s="135">
        <f t="shared" si="1"/>
        <v>10</v>
      </c>
      <c r="Y216" s="135">
        <f t="shared" si="1"/>
        <v>3</v>
      </c>
      <c r="Z216" s="135">
        <f t="shared" si="1"/>
        <v>35</v>
      </c>
      <c r="AA216" s="135">
        <f t="shared" si="1"/>
        <v>26</v>
      </c>
      <c r="AB216" s="135">
        <f t="shared" si="1"/>
        <v>22</v>
      </c>
      <c r="AC216" s="135">
        <f t="shared" si="1"/>
        <v>13</v>
      </c>
      <c r="AD216" s="135">
        <f t="shared" si="1"/>
        <v>11</v>
      </c>
      <c r="AE216" s="135">
        <f t="shared" si="1"/>
        <v>21</v>
      </c>
      <c r="AF216" s="135">
        <f t="shared" si="1"/>
        <v>6</v>
      </c>
      <c r="AG216" s="135">
        <f t="shared" si="1"/>
        <v>29</v>
      </c>
      <c r="AH216" s="135">
        <f t="shared" si="1"/>
        <v>20</v>
      </c>
      <c r="AI216" s="135">
        <f t="shared" si="1"/>
        <v>2</v>
      </c>
      <c r="AJ216" s="135">
        <f t="shared" si="1"/>
        <v>0</v>
      </c>
      <c r="AK216" s="135">
        <f t="shared" si="1"/>
        <v>0</v>
      </c>
      <c r="AL216" s="135">
        <f t="shared" si="1"/>
        <v>1</v>
      </c>
      <c r="AM216" s="135">
        <f t="shared" si="1"/>
        <v>15</v>
      </c>
      <c r="AN216" s="135">
        <f t="shared" si="1"/>
        <v>6</v>
      </c>
      <c r="AO216" s="135">
        <f t="shared" si="1"/>
        <v>2</v>
      </c>
    </row>
    <row r="217" spans="1:41" ht="18.75" x14ac:dyDescent="0.3">
      <c r="A217" s="145"/>
      <c r="B217" s="145"/>
      <c r="C217" s="146"/>
      <c r="D217" s="135" t="s">
        <v>247</v>
      </c>
      <c r="E217" s="135">
        <f t="shared" ref="E217:AO217" si="2">E6+E11+E16+E21+E26+E31+E36+E41+E46+E51+E56+E61+E66+E71+E76+E81+E86+E91+E96+E101+E106+E111+E116+E121+E126+E131+E136+E141+E146+E151+E156+E161+E166+E171+E176+E181+E186+E191+E196+E201+E206+E211</f>
        <v>0</v>
      </c>
      <c r="F217" s="135">
        <f t="shared" si="2"/>
        <v>0</v>
      </c>
      <c r="G217" s="135">
        <f t="shared" si="2"/>
        <v>0</v>
      </c>
      <c r="H217" s="135">
        <f t="shared" si="2"/>
        <v>5</v>
      </c>
      <c r="I217" s="135">
        <f t="shared" si="2"/>
        <v>8</v>
      </c>
      <c r="J217" s="135">
        <f t="shared" si="2"/>
        <v>0</v>
      </c>
      <c r="K217" s="135">
        <f t="shared" si="2"/>
        <v>0</v>
      </c>
      <c r="L217" s="135">
        <f t="shared" si="2"/>
        <v>1</v>
      </c>
      <c r="M217" s="135">
        <f t="shared" si="2"/>
        <v>1</v>
      </c>
      <c r="N217" s="135">
        <f t="shared" si="2"/>
        <v>0</v>
      </c>
      <c r="O217" s="135">
        <f t="shared" si="2"/>
        <v>0</v>
      </c>
      <c r="P217" s="135">
        <f t="shared" si="2"/>
        <v>1</v>
      </c>
      <c r="Q217" s="135">
        <f t="shared" si="2"/>
        <v>2</v>
      </c>
      <c r="R217" s="135">
        <f t="shared" si="2"/>
        <v>1</v>
      </c>
      <c r="S217" s="135">
        <f t="shared" si="2"/>
        <v>1</v>
      </c>
      <c r="T217" s="135">
        <f t="shared" si="2"/>
        <v>1</v>
      </c>
      <c r="U217" s="135">
        <f t="shared" si="2"/>
        <v>0</v>
      </c>
      <c r="V217" s="135">
        <f t="shared" si="2"/>
        <v>0</v>
      </c>
      <c r="W217" s="135">
        <f t="shared" si="2"/>
        <v>0</v>
      </c>
      <c r="X217" s="135">
        <f t="shared" si="2"/>
        <v>0</v>
      </c>
      <c r="Y217" s="135">
        <f t="shared" si="2"/>
        <v>0</v>
      </c>
      <c r="Z217" s="135">
        <f t="shared" si="2"/>
        <v>0</v>
      </c>
      <c r="AA217" s="135">
        <f t="shared" si="2"/>
        <v>0</v>
      </c>
      <c r="AB217" s="135">
        <f t="shared" si="2"/>
        <v>0</v>
      </c>
      <c r="AC217" s="135">
        <f t="shared" si="2"/>
        <v>0</v>
      </c>
      <c r="AD217" s="135">
        <f t="shared" si="2"/>
        <v>0</v>
      </c>
      <c r="AE217" s="135">
        <f t="shared" si="2"/>
        <v>0</v>
      </c>
      <c r="AF217" s="135">
        <f t="shared" si="2"/>
        <v>0</v>
      </c>
      <c r="AG217" s="135">
        <f t="shared" si="2"/>
        <v>1</v>
      </c>
      <c r="AH217" s="135">
        <f t="shared" si="2"/>
        <v>1</v>
      </c>
      <c r="AI217" s="135">
        <f t="shared" si="2"/>
        <v>0</v>
      </c>
      <c r="AJ217" s="135">
        <f t="shared" si="2"/>
        <v>0</v>
      </c>
      <c r="AK217" s="135">
        <f t="shared" si="2"/>
        <v>0</v>
      </c>
      <c r="AL217" s="135">
        <f t="shared" si="2"/>
        <v>0</v>
      </c>
      <c r="AM217" s="135">
        <f t="shared" si="2"/>
        <v>0</v>
      </c>
      <c r="AN217" s="135">
        <f t="shared" si="2"/>
        <v>0</v>
      </c>
      <c r="AO217" s="135">
        <f t="shared" si="2"/>
        <v>0</v>
      </c>
    </row>
    <row r="218" spans="1:41" ht="15.75" x14ac:dyDescent="0.25">
      <c r="A218" s="147"/>
      <c r="B218" s="147"/>
      <c r="C218" s="148"/>
      <c r="D218" s="135" t="s">
        <v>248</v>
      </c>
      <c r="E218" s="135">
        <f t="shared" ref="E218:AO218" si="3">E7+E12+E17+E22+E27+E32+E37+E42+E47+E52+E57+E62+E67+E72+E77+E82+E87+E92+E97+E102+E107+E112+E117+E122+E127+E132+E137+E142+E147+E152+E157+E162+E167+E172+E177+E182+E187+E192+E197+E202+E207+E212</f>
        <v>8</v>
      </c>
      <c r="F218" s="135">
        <f t="shared" si="3"/>
        <v>1</v>
      </c>
      <c r="G218" s="135">
        <f t="shared" si="3"/>
        <v>3</v>
      </c>
      <c r="H218" s="135">
        <f t="shared" si="3"/>
        <v>34</v>
      </c>
      <c r="I218" s="135">
        <f t="shared" si="3"/>
        <v>51</v>
      </c>
      <c r="J218" s="135">
        <f t="shared" si="3"/>
        <v>49</v>
      </c>
      <c r="K218" s="135">
        <f t="shared" si="3"/>
        <v>3</v>
      </c>
      <c r="L218" s="135">
        <f t="shared" si="3"/>
        <v>3</v>
      </c>
      <c r="M218" s="135">
        <f t="shared" si="3"/>
        <v>6</v>
      </c>
      <c r="N218" s="135">
        <f t="shared" si="3"/>
        <v>14</v>
      </c>
      <c r="O218" s="135">
        <f t="shared" si="3"/>
        <v>41</v>
      </c>
      <c r="P218" s="135">
        <f t="shared" si="3"/>
        <v>5</v>
      </c>
      <c r="Q218" s="135">
        <f t="shared" si="3"/>
        <v>36</v>
      </c>
      <c r="R218" s="135">
        <f t="shared" si="3"/>
        <v>10</v>
      </c>
      <c r="S218" s="135">
        <f t="shared" si="3"/>
        <v>0</v>
      </c>
      <c r="T218" s="135">
        <f t="shared" si="3"/>
        <v>5</v>
      </c>
      <c r="U218" s="135">
        <f t="shared" si="3"/>
        <v>65</v>
      </c>
      <c r="V218" s="135">
        <f t="shared" si="3"/>
        <v>44</v>
      </c>
      <c r="W218" s="135">
        <f t="shared" si="3"/>
        <v>14</v>
      </c>
      <c r="X218" s="135">
        <f t="shared" si="3"/>
        <v>10</v>
      </c>
      <c r="Y218" s="135">
        <f t="shared" si="3"/>
        <v>3</v>
      </c>
      <c r="Z218" s="135">
        <f t="shared" si="3"/>
        <v>30</v>
      </c>
      <c r="AA218" s="135">
        <f t="shared" si="3"/>
        <v>24</v>
      </c>
      <c r="AB218" s="135">
        <f t="shared" si="3"/>
        <v>21</v>
      </c>
      <c r="AC218" s="135">
        <f t="shared" si="3"/>
        <v>11</v>
      </c>
      <c r="AD218" s="135">
        <f t="shared" si="3"/>
        <v>11</v>
      </c>
      <c r="AE218" s="135">
        <f t="shared" si="3"/>
        <v>18</v>
      </c>
      <c r="AF218" s="135">
        <f t="shared" si="3"/>
        <v>4</v>
      </c>
      <c r="AG218" s="135">
        <f t="shared" si="3"/>
        <v>28</v>
      </c>
      <c r="AH218" s="135">
        <f t="shared" si="3"/>
        <v>19</v>
      </c>
      <c r="AI218" s="135">
        <f t="shared" si="3"/>
        <v>1</v>
      </c>
      <c r="AJ218" s="135">
        <f t="shared" si="3"/>
        <v>0</v>
      </c>
      <c r="AK218" s="135">
        <f t="shared" si="3"/>
        <v>0</v>
      </c>
      <c r="AL218" s="135">
        <f t="shared" si="3"/>
        <v>1</v>
      </c>
      <c r="AM218" s="135">
        <f t="shared" si="3"/>
        <v>12</v>
      </c>
      <c r="AN218" s="135">
        <f t="shared" si="3"/>
        <v>6</v>
      </c>
      <c r="AO218" s="135">
        <f t="shared" si="3"/>
        <v>2</v>
      </c>
    </row>
    <row r="219" spans="1:41" ht="15.75" x14ac:dyDescent="0.25">
      <c r="A219" s="147"/>
      <c r="B219" s="147"/>
      <c r="C219" s="148"/>
      <c r="D219" s="135" t="s">
        <v>258</v>
      </c>
      <c r="E219" s="135">
        <f t="shared" ref="E219:AO219" si="4">E8+E13+E18+E23+E28+E33+E38+E43+E48+E53+E58+E63+E68+E73+E78+E83+E88+E93+E98+E103+E108+E113+E118+E123+E128+E133+E138+E143+E148+E153+E158+E163+E168+E173+E178+E183+E188+E193+E198+E203+E208+E213</f>
        <v>0</v>
      </c>
      <c r="F219" s="135">
        <f t="shared" si="4"/>
        <v>0</v>
      </c>
      <c r="G219" s="135">
        <f t="shared" si="4"/>
        <v>0</v>
      </c>
      <c r="H219" s="135">
        <f t="shared" si="4"/>
        <v>1</v>
      </c>
      <c r="I219" s="135">
        <f t="shared" si="4"/>
        <v>4</v>
      </c>
      <c r="J219" s="135">
        <f t="shared" si="4"/>
        <v>0</v>
      </c>
      <c r="K219" s="135">
        <f t="shared" si="4"/>
        <v>1</v>
      </c>
      <c r="L219" s="135">
        <f t="shared" si="4"/>
        <v>1</v>
      </c>
      <c r="M219" s="135">
        <f t="shared" si="4"/>
        <v>0</v>
      </c>
      <c r="N219" s="135">
        <f t="shared" si="4"/>
        <v>1</v>
      </c>
      <c r="O219" s="135">
        <f t="shared" si="4"/>
        <v>0</v>
      </c>
      <c r="P219" s="135">
        <f t="shared" si="4"/>
        <v>0</v>
      </c>
      <c r="Q219" s="135">
        <f t="shared" si="4"/>
        <v>5</v>
      </c>
      <c r="R219" s="135">
        <f t="shared" si="4"/>
        <v>6</v>
      </c>
      <c r="S219" s="135">
        <f t="shared" si="4"/>
        <v>0</v>
      </c>
      <c r="T219" s="135">
        <f t="shared" si="4"/>
        <v>1</v>
      </c>
      <c r="U219" s="135">
        <f t="shared" si="4"/>
        <v>4</v>
      </c>
      <c r="V219" s="135">
        <f t="shared" si="4"/>
        <v>4</v>
      </c>
      <c r="W219" s="135">
        <f t="shared" si="4"/>
        <v>5</v>
      </c>
      <c r="X219" s="135">
        <f t="shared" si="4"/>
        <v>0</v>
      </c>
      <c r="Y219" s="135">
        <f t="shared" si="4"/>
        <v>0</v>
      </c>
      <c r="Z219" s="135">
        <f t="shared" si="4"/>
        <v>3</v>
      </c>
      <c r="AA219" s="135">
        <f t="shared" si="4"/>
        <v>1</v>
      </c>
      <c r="AB219" s="135">
        <f t="shared" si="4"/>
        <v>1</v>
      </c>
      <c r="AC219" s="135">
        <f t="shared" si="4"/>
        <v>2</v>
      </c>
      <c r="AD219" s="135">
        <f t="shared" si="4"/>
        <v>0</v>
      </c>
      <c r="AE219" s="135">
        <f t="shared" si="4"/>
        <v>3</v>
      </c>
      <c r="AF219" s="135">
        <f t="shared" si="4"/>
        <v>2</v>
      </c>
      <c r="AG219" s="135">
        <f t="shared" si="4"/>
        <v>1</v>
      </c>
      <c r="AH219" s="135">
        <f t="shared" si="4"/>
        <v>1</v>
      </c>
      <c r="AI219" s="135">
        <f t="shared" si="4"/>
        <v>1</v>
      </c>
      <c r="AJ219" s="135">
        <f t="shared" si="4"/>
        <v>0</v>
      </c>
      <c r="AK219" s="135">
        <f t="shared" si="4"/>
        <v>0</v>
      </c>
      <c r="AL219" s="135">
        <f t="shared" si="4"/>
        <v>0</v>
      </c>
      <c r="AM219" s="135">
        <f t="shared" si="4"/>
        <v>3</v>
      </c>
      <c r="AN219" s="135">
        <f t="shared" si="4"/>
        <v>0</v>
      </c>
      <c r="AO219" s="135">
        <f t="shared" si="4"/>
        <v>0</v>
      </c>
    </row>
    <row r="220" spans="1:41" ht="15.75" x14ac:dyDescent="0.25">
      <c r="C220" s="149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  <c r="AA220" s="137"/>
      <c r="AB220" s="137"/>
      <c r="AC220" s="137"/>
      <c r="AD220" s="137"/>
      <c r="AE220" s="137"/>
      <c r="AF220" s="137"/>
      <c r="AG220" s="137"/>
      <c r="AH220" s="137"/>
      <c r="AI220" s="137"/>
      <c r="AJ220" s="137"/>
      <c r="AK220" s="137"/>
      <c r="AL220" s="137"/>
      <c r="AM220" s="137"/>
      <c r="AN220" s="137"/>
      <c r="AO220" s="137"/>
    </row>
    <row r="222" spans="1:41" ht="20.25" x14ac:dyDescent="0.3">
      <c r="A222" s="628" t="s">
        <v>1489</v>
      </c>
      <c r="B222" s="628"/>
      <c r="C222" s="628"/>
      <c r="D222" s="628"/>
      <c r="E222" s="628"/>
      <c r="F222" s="628"/>
      <c r="G222" s="628"/>
      <c r="H222" s="628"/>
      <c r="I222" s="628"/>
      <c r="J222" s="628"/>
      <c r="K222" s="628"/>
      <c r="L222" s="628"/>
      <c r="M222" s="628"/>
      <c r="N222" s="628"/>
      <c r="O222" s="628"/>
      <c r="P222" s="628"/>
      <c r="Q222" s="628"/>
      <c r="R222" s="628"/>
      <c r="S222" s="628"/>
      <c r="T222" s="628"/>
      <c r="U222" s="628"/>
      <c r="V222" s="628"/>
      <c r="W222" s="628"/>
      <c r="X222" s="628"/>
      <c r="Y222" s="628"/>
      <c r="Z222" s="628"/>
      <c r="AA222" s="628"/>
      <c r="AB222" s="628"/>
      <c r="AC222" s="628"/>
      <c r="AD222" s="628"/>
      <c r="AE222" s="628"/>
      <c r="AF222" s="628"/>
      <c r="AG222" s="628"/>
      <c r="AH222" s="628"/>
      <c r="AI222" s="628"/>
      <c r="AJ222" s="628"/>
      <c r="AK222" s="628"/>
      <c r="AL222" s="628"/>
      <c r="AM222" s="628"/>
      <c r="AN222" s="628"/>
      <c r="AO222" s="628"/>
    </row>
    <row r="223" spans="1:41" ht="132" x14ac:dyDescent="0.25">
      <c r="A223" s="74" t="s">
        <v>76</v>
      </c>
      <c r="B223" s="74" t="s">
        <v>217</v>
      </c>
      <c r="C223" s="75" t="s">
        <v>218</v>
      </c>
      <c r="D223" s="74" t="s">
        <v>219</v>
      </c>
      <c r="E223" s="76" t="s">
        <v>363</v>
      </c>
      <c r="F223" s="76" t="s">
        <v>266</v>
      </c>
      <c r="G223" s="76" t="s">
        <v>259</v>
      </c>
      <c r="H223" s="76" t="s">
        <v>220</v>
      </c>
      <c r="I223" s="76" t="s">
        <v>221</v>
      </c>
      <c r="J223" s="76" t="s">
        <v>222</v>
      </c>
      <c r="K223" s="76" t="s">
        <v>223</v>
      </c>
      <c r="L223" s="76" t="s">
        <v>261</v>
      </c>
      <c r="M223" s="76" t="s">
        <v>224</v>
      </c>
      <c r="N223" s="77" t="s">
        <v>260</v>
      </c>
      <c r="O223" s="76" t="s">
        <v>225</v>
      </c>
      <c r="P223" s="76" t="s">
        <v>707</v>
      </c>
      <c r="Q223" s="76" t="s">
        <v>226</v>
      </c>
      <c r="R223" s="76" t="s">
        <v>227</v>
      </c>
      <c r="S223" s="76" t="s">
        <v>228</v>
      </c>
      <c r="T223" s="78" t="s">
        <v>229</v>
      </c>
      <c r="U223" s="76" t="s">
        <v>230</v>
      </c>
      <c r="V223" s="78" t="s">
        <v>231</v>
      </c>
      <c r="W223" s="76" t="s">
        <v>232</v>
      </c>
      <c r="X223" s="76" t="s">
        <v>233</v>
      </c>
      <c r="Y223" s="76" t="s">
        <v>234</v>
      </c>
      <c r="Z223" s="76" t="s">
        <v>235</v>
      </c>
      <c r="AA223" s="76" t="s">
        <v>236</v>
      </c>
      <c r="AB223" s="76" t="s">
        <v>237</v>
      </c>
      <c r="AC223" s="76" t="s">
        <v>315</v>
      </c>
      <c r="AD223" s="76" t="s">
        <v>316</v>
      </c>
      <c r="AE223" s="76" t="s">
        <v>238</v>
      </c>
      <c r="AF223" s="76" t="s">
        <v>239</v>
      </c>
      <c r="AG223" s="77" t="s">
        <v>240</v>
      </c>
      <c r="AH223" s="76" t="s">
        <v>241</v>
      </c>
      <c r="AI223" s="78" t="s">
        <v>242</v>
      </c>
      <c r="AJ223" s="76" t="s">
        <v>243</v>
      </c>
      <c r="AK223" s="76" t="s">
        <v>244</v>
      </c>
      <c r="AL223" s="76" t="s">
        <v>262</v>
      </c>
      <c r="AM223" s="76" t="s">
        <v>362</v>
      </c>
      <c r="AN223" s="242" t="s">
        <v>408</v>
      </c>
      <c r="AO223" s="242" t="s">
        <v>409</v>
      </c>
    </row>
    <row r="224" spans="1:41" ht="15.75" x14ac:dyDescent="0.25">
      <c r="A224" s="159">
        <v>1</v>
      </c>
      <c r="B224" s="159" t="s">
        <v>186</v>
      </c>
      <c r="C224" s="74" t="s">
        <v>186</v>
      </c>
      <c r="D224" s="80" t="s">
        <v>245</v>
      </c>
      <c r="E224" s="438">
        <v>0</v>
      </c>
      <c r="F224" s="80">
        <v>0</v>
      </c>
      <c r="G224" s="80">
        <v>0</v>
      </c>
      <c r="H224" s="387">
        <v>1</v>
      </c>
      <c r="I224" s="387">
        <v>1</v>
      </c>
      <c r="J224" s="387">
        <v>1</v>
      </c>
      <c r="K224" s="80">
        <v>0</v>
      </c>
      <c r="L224" s="80">
        <v>0</v>
      </c>
      <c r="M224" s="80">
        <v>0</v>
      </c>
      <c r="N224" s="80">
        <v>0</v>
      </c>
      <c r="O224" s="387">
        <v>1</v>
      </c>
      <c r="P224" s="80">
        <v>0</v>
      </c>
      <c r="Q224" s="80">
        <v>0</v>
      </c>
      <c r="R224" s="387">
        <v>1</v>
      </c>
      <c r="S224" s="80">
        <v>0</v>
      </c>
      <c r="T224" s="80">
        <v>0</v>
      </c>
      <c r="U224" s="387">
        <v>1</v>
      </c>
      <c r="V224" s="387">
        <v>2</v>
      </c>
      <c r="W224" s="80">
        <v>0</v>
      </c>
      <c r="X224" s="80">
        <v>0</v>
      </c>
      <c r="Y224" s="80">
        <v>0</v>
      </c>
      <c r="Z224" s="387">
        <v>0</v>
      </c>
      <c r="AA224" s="80">
        <v>0</v>
      </c>
      <c r="AB224" s="387">
        <v>1</v>
      </c>
      <c r="AC224" s="80">
        <v>0</v>
      </c>
      <c r="AD224" s="80">
        <v>2</v>
      </c>
      <c r="AE224" s="387">
        <v>0</v>
      </c>
      <c r="AF224" s="80">
        <v>0</v>
      </c>
      <c r="AG224" s="387">
        <v>1</v>
      </c>
      <c r="AH224" s="387">
        <v>1</v>
      </c>
      <c r="AI224" s="80">
        <v>0</v>
      </c>
      <c r="AJ224" s="80">
        <v>0</v>
      </c>
      <c r="AK224" s="80">
        <v>0</v>
      </c>
      <c r="AL224" s="80">
        <v>0</v>
      </c>
      <c r="AM224" s="80">
        <v>0</v>
      </c>
      <c r="AN224" s="80">
        <v>0</v>
      </c>
      <c r="AO224" s="80">
        <v>0</v>
      </c>
    </row>
    <row r="225" spans="1:41" ht="15.75" x14ac:dyDescent="0.25">
      <c r="A225" s="159"/>
      <c r="B225" s="159"/>
      <c r="C225" s="74"/>
      <c r="D225" s="80" t="s">
        <v>246</v>
      </c>
      <c r="E225" s="80">
        <v>1</v>
      </c>
      <c r="F225" s="80">
        <v>0</v>
      </c>
      <c r="G225" s="80">
        <v>0</v>
      </c>
      <c r="H225" s="80">
        <v>1</v>
      </c>
      <c r="I225" s="80">
        <v>1</v>
      </c>
      <c r="J225" s="80">
        <v>1</v>
      </c>
      <c r="K225" s="80">
        <v>0</v>
      </c>
      <c r="L225" s="80">
        <v>0</v>
      </c>
      <c r="M225" s="80">
        <v>0</v>
      </c>
      <c r="N225" s="80">
        <v>0</v>
      </c>
      <c r="O225" s="80">
        <v>1</v>
      </c>
      <c r="P225" s="80">
        <v>0</v>
      </c>
      <c r="Q225" s="80">
        <v>0</v>
      </c>
      <c r="R225" s="80">
        <v>1</v>
      </c>
      <c r="S225" s="80">
        <v>0</v>
      </c>
      <c r="T225" s="80">
        <v>0</v>
      </c>
      <c r="U225" s="80">
        <v>1</v>
      </c>
      <c r="V225" s="80">
        <v>2</v>
      </c>
      <c r="W225" s="80">
        <v>0</v>
      </c>
      <c r="X225" s="80">
        <v>0</v>
      </c>
      <c r="Y225" s="80">
        <v>0</v>
      </c>
      <c r="Z225" s="80">
        <v>0</v>
      </c>
      <c r="AA225" s="80">
        <v>0</v>
      </c>
      <c r="AB225" s="80">
        <v>1</v>
      </c>
      <c r="AC225" s="80">
        <v>0</v>
      </c>
      <c r="AD225" s="80">
        <v>2</v>
      </c>
      <c r="AE225" s="80">
        <v>0</v>
      </c>
      <c r="AF225" s="80">
        <v>0</v>
      </c>
      <c r="AG225" s="81">
        <v>1</v>
      </c>
      <c r="AH225" s="80">
        <v>1</v>
      </c>
      <c r="AI225" s="81">
        <v>0</v>
      </c>
      <c r="AJ225" s="81">
        <v>0</v>
      </c>
      <c r="AK225" s="81">
        <v>0</v>
      </c>
      <c r="AL225" s="81">
        <v>0</v>
      </c>
      <c r="AM225" s="80">
        <v>0</v>
      </c>
      <c r="AN225" s="80">
        <v>0</v>
      </c>
      <c r="AO225" s="80">
        <v>0</v>
      </c>
    </row>
    <row r="226" spans="1:41" ht="15.75" x14ac:dyDescent="0.25">
      <c r="A226" s="159"/>
      <c r="B226" s="159"/>
      <c r="C226" s="74"/>
      <c r="D226" s="80" t="s">
        <v>247</v>
      </c>
      <c r="E226" s="80">
        <v>0</v>
      </c>
      <c r="F226" s="80">
        <v>0</v>
      </c>
      <c r="G226" s="80">
        <v>0</v>
      </c>
      <c r="H226" s="80">
        <v>0</v>
      </c>
      <c r="I226" s="80">
        <v>0</v>
      </c>
      <c r="J226" s="80">
        <v>0</v>
      </c>
      <c r="K226" s="80">
        <v>0</v>
      </c>
      <c r="L226" s="80">
        <v>0</v>
      </c>
      <c r="M226" s="80">
        <v>0</v>
      </c>
      <c r="N226" s="80">
        <v>0</v>
      </c>
      <c r="O226" s="80">
        <v>0</v>
      </c>
      <c r="P226" s="80">
        <v>0</v>
      </c>
      <c r="Q226" s="80">
        <v>0</v>
      </c>
      <c r="R226" s="80">
        <v>0</v>
      </c>
      <c r="S226" s="80">
        <v>0</v>
      </c>
      <c r="T226" s="80">
        <v>0</v>
      </c>
      <c r="U226" s="80">
        <v>0</v>
      </c>
      <c r="V226" s="80">
        <v>0</v>
      </c>
      <c r="W226" s="80">
        <v>0</v>
      </c>
      <c r="X226" s="80">
        <v>0</v>
      </c>
      <c r="Y226" s="80">
        <v>0</v>
      </c>
      <c r="Z226" s="80">
        <v>0</v>
      </c>
      <c r="AA226" s="80">
        <v>0</v>
      </c>
      <c r="AB226" s="80">
        <v>0</v>
      </c>
      <c r="AC226" s="80">
        <v>0</v>
      </c>
      <c r="AD226" s="80">
        <v>0</v>
      </c>
      <c r="AE226" s="80">
        <v>0</v>
      </c>
      <c r="AF226" s="80">
        <v>0</v>
      </c>
      <c r="AG226" s="81">
        <v>0</v>
      </c>
      <c r="AH226" s="80">
        <v>0</v>
      </c>
      <c r="AI226" s="81">
        <v>0</v>
      </c>
      <c r="AJ226" s="81">
        <v>0</v>
      </c>
      <c r="AK226" s="81">
        <v>0</v>
      </c>
      <c r="AL226" s="81">
        <v>0</v>
      </c>
      <c r="AM226" s="80">
        <v>0</v>
      </c>
      <c r="AN226" s="80">
        <v>0</v>
      </c>
      <c r="AO226" s="80">
        <v>0</v>
      </c>
    </row>
    <row r="227" spans="1:41" ht="15.75" x14ac:dyDescent="0.25">
      <c r="A227" s="159"/>
      <c r="B227" s="159"/>
      <c r="C227" s="74"/>
      <c r="D227" s="80" t="s">
        <v>248</v>
      </c>
      <c r="E227" s="80">
        <v>1</v>
      </c>
      <c r="F227" s="80">
        <v>0</v>
      </c>
      <c r="G227" s="80">
        <v>0</v>
      </c>
      <c r="H227" s="80">
        <v>1</v>
      </c>
      <c r="I227" s="80">
        <v>1</v>
      </c>
      <c r="J227" s="80">
        <v>1</v>
      </c>
      <c r="K227" s="80">
        <v>0</v>
      </c>
      <c r="L227" s="80">
        <v>0</v>
      </c>
      <c r="M227" s="80">
        <v>0</v>
      </c>
      <c r="N227" s="80">
        <v>0</v>
      </c>
      <c r="O227" s="80">
        <v>1</v>
      </c>
      <c r="P227" s="80">
        <v>0</v>
      </c>
      <c r="Q227" s="80">
        <v>0</v>
      </c>
      <c r="R227" s="80">
        <v>1</v>
      </c>
      <c r="S227" s="80">
        <v>0</v>
      </c>
      <c r="T227" s="80">
        <v>0</v>
      </c>
      <c r="U227" s="80">
        <v>1</v>
      </c>
      <c r="V227" s="80">
        <v>2</v>
      </c>
      <c r="W227" s="80">
        <v>0</v>
      </c>
      <c r="X227" s="80">
        <v>0</v>
      </c>
      <c r="Y227" s="80">
        <v>0</v>
      </c>
      <c r="Z227" s="80">
        <v>0</v>
      </c>
      <c r="AA227" s="80">
        <v>0</v>
      </c>
      <c r="AB227" s="80">
        <v>1</v>
      </c>
      <c r="AC227" s="80">
        <v>0</v>
      </c>
      <c r="AD227" s="80">
        <v>2</v>
      </c>
      <c r="AE227" s="80">
        <v>0</v>
      </c>
      <c r="AF227" s="80">
        <v>0</v>
      </c>
      <c r="AG227" s="80">
        <v>1</v>
      </c>
      <c r="AH227" s="80">
        <v>1</v>
      </c>
      <c r="AI227" s="80">
        <v>0</v>
      </c>
      <c r="AJ227" s="80">
        <v>0</v>
      </c>
      <c r="AK227" s="80">
        <v>0</v>
      </c>
      <c r="AL227" s="80">
        <v>0</v>
      </c>
      <c r="AM227" s="80">
        <v>0</v>
      </c>
      <c r="AN227" s="80">
        <v>0</v>
      </c>
      <c r="AO227" s="80">
        <v>0</v>
      </c>
    </row>
    <row r="228" spans="1:41" ht="15.75" x14ac:dyDescent="0.25">
      <c r="A228" s="159"/>
      <c r="B228" s="159"/>
      <c r="C228" s="74"/>
      <c r="D228" s="80" t="s">
        <v>258</v>
      </c>
      <c r="E228" s="80">
        <v>0</v>
      </c>
      <c r="F228" s="80">
        <v>0</v>
      </c>
      <c r="G228" s="80">
        <v>0</v>
      </c>
      <c r="H228" s="80">
        <v>0</v>
      </c>
      <c r="I228" s="80">
        <v>0</v>
      </c>
      <c r="J228" s="80">
        <v>0</v>
      </c>
      <c r="K228" s="80">
        <v>0</v>
      </c>
      <c r="L228" s="80">
        <v>0</v>
      </c>
      <c r="M228" s="80">
        <v>0</v>
      </c>
      <c r="N228" s="80">
        <v>0</v>
      </c>
      <c r="O228" s="80">
        <v>0</v>
      </c>
      <c r="P228" s="80">
        <v>0</v>
      </c>
      <c r="Q228" s="80">
        <v>0</v>
      </c>
      <c r="R228" s="80">
        <v>0</v>
      </c>
      <c r="S228" s="80">
        <v>0</v>
      </c>
      <c r="T228" s="80">
        <v>0</v>
      </c>
      <c r="U228" s="80">
        <v>0</v>
      </c>
      <c r="V228" s="80">
        <v>0</v>
      </c>
      <c r="W228" s="80">
        <v>0</v>
      </c>
      <c r="X228" s="80">
        <v>0</v>
      </c>
      <c r="Y228" s="80">
        <v>0</v>
      </c>
      <c r="Z228" s="80">
        <v>0</v>
      </c>
      <c r="AA228" s="80">
        <v>0</v>
      </c>
      <c r="AB228" s="80">
        <v>0</v>
      </c>
      <c r="AC228" s="80">
        <v>0</v>
      </c>
      <c r="AD228" s="80">
        <v>0</v>
      </c>
      <c r="AE228" s="80">
        <v>0</v>
      </c>
      <c r="AF228" s="80">
        <v>0</v>
      </c>
      <c r="AG228" s="80">
        <v>0</v>
      </c>
      <c r="AH228" s="80">
        <v>0</v>
      </c>
      <c r="AI228" s="80">
        <v>0</v>
      </c>
      <c r="AJ228" s="80">
        <v>0</v>
      </c>
      <c r="AK228" s="80">
        <v>0</v>
      </c>
      <c r="AL228" s="80">
        <v>0</v>
      </c>
      <c r="AM228" s="80">
        <v>0</v>
      </c>
      <c r="AN228" s="80">
        <v>0</v>
      </c>
      <c r="AO228" s="80">
        <v>0</v>
      </c>
    </row>
    <row r="229" spans="1:41" ht="15.75" x14ac:dyDescent="0.25">
      <c r="A229" s="159">
        <v>2</v>
      </c>
      <c r="B229" s="159"/>
      <c r="C229" s="74" t="s">
        <v>39</v>
      </c>
      <c r="D229" s="80" t="s">
        <v>245</v>
      </c>
      <c r="E229" s="438">
        <v>0</v>
      </c>
      <c r="F229" s="80">
        <v>0</v>
      </c>
      <c r="G229" s="80">
        <v>0</v>
      </c>
      <c r="H229" s="80">
        <v>0</v>
      </c>
      <c r="I229" s="387">
        <v>3</v>
      </c>
      <c r="J229" s="387">
        <v>1</v>
      </c>
      <c r="K229" s="80">
        <v>0</v>
      </c>
      <c r="L229" s="80">
        <v>0</v>
      </c>
      <c r="M229" s="80">
        <v>0</v>
      </c>
      <c r="N229" s="387">
        <v>1</v>
      </c>
      <c r="O229" s="80">
        <v>0</v>
      </c>
      <c r="P229" s="80">
        <v>0</v>
      </c>
      <c r="Q229" s="387">
        <v>1</v>
      </c>
      <c r="R229" s="387">
        <v>1</v>
      </c>
      <c r="S229" s="80">
        <v>0</v>
      </c>
      <c r="T229" s="80">
        <v>0</v>
      </c>
      <c r="U229" s="387">
        <v>1</v>
      </c>
      <c r="V229" s="387">
        <v>2</v>
      </c>
      <c r="W229" s="80">
        <v>0</v>
      </c>
      <c r="X229" s="80">
        <v>0</v>
      </c>
      <c r="Y229" s="80">
        <v>0</v>
      </c>
      <c r="Z229" s="80">
        <v>0</v>
      </c>
      <c r="AA229" s="80">
        <v>0</v>
      </c>
      <c r="AB229" s="80">
        <v>0</v>
      </c>
      <c r="AC229" s="80">
        <v>0</v>
      </c>
      <c r="AD229" s="80">
        <v>0</v>
      </c>
      <c r="AE229" s="80">
        <v>0</v>
      </c>
      <c r="AF229" s="80">
        <v>0</v>
      </c>
      <c r="AG229" s="390">
        <v>1</v>
      </c>
      <c r="AH229" s="80">
        <v>0</v>
      </c>
      <c r="AI229" s="81">
        <v>0</v>
      </c>
      <c r="AJ229" s="81">
        <v>0</v>
      </c>
      <c r="AK229" s="81">
        <v>0</v>
      </c>
      <c r="AL229" s="81">
        <v>0</v>
      </c>
      <c r="AM229" s="390">
        <v>2</v>
      </c>
      <c r="AN229" s="390">
        <v>1</v>
      </c>
      <c r="AO229" s="80">
        <v>0</v>
      </c>
    </row>
    <row r="230" spans="1:41" ht="15.75" x14ac:dyDescent="0.25">
      <c r="A230" s="159"/>
      <c r="B230" s="159"/>
      <c r="C230" s="74"/>
      <c r="D230" s="80" t="s">
        <v>246</v>
      </c>
      <c r="E230" s="80">
        <v>0</v>
      </c>
      <c r="F230" s="80">
        <v>0</v>
      </c>
      <c r="G230" s="80">
        <v>0</v>
      </c>
      <c r="H230" s="80">
        <v>0</v>
      </c>
      <c r="I230" s="80">
        <v>2</v>
      </c>
      <c r="J230" s="80">
        <v>1</v>
      </c>
      <c r="K230" s="80">
        <v>0</v>
      </c>
      <c r="L230" s="80">
        <v>0</v>
      </c>
      <c r="M230" s="80">
        <v>0</v>
      </c>
      <c r="N230" s="80">
        <v>1</v>
      </c>
      <c r="O230" s="80">
        <v>0</v>
      </c>
      <c r="P230" s="80">
        <v>0</v>
      </c>
      <c r="Q230" s="80">
        <v>1</v>
      </c>
      <c r="R230" s="80">
        <v>1</v>
      </c>
      <c r="S230" s="80">
        <v>0</v>
      </c>
      <c r="T230" s="80">
        <v>0</v>
      </c>
      <c r="U230" s="80">
        <v>1</v>
      </c>
      <c r="V230" s="80">
        <v>2</v>
      </c>
      <c r="W230" s="80">
        <v>0</v>
      </c>
      <c r="X230" s="80">
        <v>0</v>
      </c>
      <c r="Y230" s="80">
        <v>0</v>
      </c>
      <c r="Z230" s="80">
        <v>0</v>
      </c>
      <c r="AA230" s="80">
        <v>0</v>
      </c>
      <c r="AB230" s="80">
        <v>0</v>
      </c>
      <c r="AC230" s="80">
        <v>0</v>
      </c>
      <c r="AD230" s="80">
        <v>0</v>
      </c>
      <c r="AE230" s="80">
        <v>0</v>
      </c>
      <c r="AF230" s="80">
        <v>0</v>
      </c>
      <c r="AG230" s="81">
        <v>1</v>
      </c>
      <c r="AH230" s="80">
        <v>0</v>
      </c>
      <c r="AI230" s="81">
        <v>0</v>
      </c>
      <c r="AJ230" s="81">
        <v>0</v>
      </c>
      <c r="AK230" s="81">
        <v>0</v>
      </c>
      <c r="AL230" s="81">
        <v>0</v>
      </c>
      <c r="AM230" s="81">
        <v>2</v>
      </c>
      <c r="AN230" s="81">
        <v>1</v>
      </c>
      <c r="AO230" s="80">
        <v>0</v>
      </c>
    </row>
    <row r="231" spans="1:41" ht="15.75" x14ac:dyDescent="0.25">
      <c r="A231" s="159"/>
      <c r="B231" s="159"/>
      <c r="C231" s="74"/>
      <c r="D231" s="80" t="s">
        <v>247</v>
      </c>
      <c r="E231" s="80">
        <v>0</v>
      </c>
      <c r="F231" s="80">
        <v>0</v>
      </c>
      <c r="G231" s="80">
        <v>0</v>
      </c>
      <c r="H231" s="80">
        <v>0</v>
      </c>
      <c r="I231" s="80">
        <v>1</v>
      </c>
      <c r="J231" s="80">
        <v>0</v>
      </c>
      <c r="K231" s="80">
        <v>0</v>
      </c>
      <c r="L231" s="80">
        <v>0</v>
      </c>
      <c r="M231" s="80">
        <v>0</v>
      </c>
      <c r="N231" s="80">
        <v>0</v>
      </c>
      <c r="O231" s="80">
        <v>0</v>
      </c>
      <c r="P231" s="80">
        <v>0</v>
      </c>
      <c r="Q231" s="80">
        <v>0</v>
      </c>
      <c r="R231" s="80">
        <v>0</v>
      </c>
      <c r="S231" s="80">
        <v>0</v>
      </c>
      <c r="T231" s="80">
        <v>0</v>
      </c>
      <c r="U231" s="80">
        <v>0</v>
      </c>
      <c r="V231" s="80">
        <v>0</v>
      </c>
      <c r="W231" s="80">
        <v>0</v>
      </c>
      <c r="X231" s="80">
        <v>0</v>
      </c>
      <c r="Y231" s="80">
        <v>0</v>
      </c>
      <c r="Z231" s="80">
        <v>0</v>
      </c>
      <c r="AA231" s="80">
        <v>0</v>
      </c>
      <c r="AB231" s="80">
        <v>0</v>
      </c>
      <c r="AC231" s="80">
        <v>0</v>
      </c>
      <c r="AD231" s="80">
        <v>0</v>
      </c>
      <c r="AE231" s="80">
        <v>0</v>
      </c>
      <c r="AF231" s="80">
        <v>0</v>
      </c>
      <c r="AG231" s="81">
        <v>0</v>
      </c>
      <c r="AH231" s="80">
        <v>0</v>
      </c>
      <c r="AI231" s="81">
        <v>0</v>
      </c>
      <c r="AJ231" s="81">
        <v>0</v>
      </c>
      <c r="AK231" s="81">
        <v>0</v>
      </c>
      <c r="AL231" s="81">
        <v>0</v>
      </c>
      <c r="AM231" s="81">
        <v>0</v>
      </c>
      <c r="AN231" s="81">
        <v>0</v>
      </c>
      <c r="AO231" s="80">
        <v>0</v>
      </c>
    </row>
    <row r="232" spans="1:41" ht="15.75" x14ac:dyDescent="0.25">
      <c r="A232" s="159"/>
      <c r="B232" s="159"/>
      <c r="C232" s="74"/>
      <c r="D232" s="80" t="s">
        <v>248</v>
      </c>
      <c r="E232" s="80">
        <v>0</v>
      </c>
      <c r="F232" s="80">
        <v>0</v>
      </c>
      <c r="G232" s="80">
        <v>0</v>
      </c>
      <c r="H232" s="80">
        <v>0</v>
      </c>
      <c r="I232" s="80">
        <v>2</v>
      </c>
      <c r="J232" s="80">
        <v>1</v>
      </c>
      <c r="K232" s="80">
        <v>0</v>
      </c>
      <c r="L232" s="80">
        <v>0</v>
      </c>
      <c r="M232" s="80">
        <v>0</v>
      </c>
      <c r="N232" s="80">
        <v>1</v>
      </c>
      <c r="O232" s="80">
        <v>0</v>
      </c>
      <c r="P232" s="80">
        <v>0</v>
      </c>
      <c r="Q232" s="80">
        <v>1</v>
      </c>
      <c r="R232" s="80">
        <v>0</v>
      </c>
      <c r="S232" s="80">
        <v>0</v>
      </c>
      <c r="T232" s="80">
        <v>0</v>
      </c>
      <c r="U232" s="80">
        <v>1</v>
      </c>
      <c r="V232" s="80">
        <v>2</v>
      </c>
      <c r="W232" s="80">
        <v>0</v>
      </c>
      <c r="X232" s="80">
        <v>0</v>
      </c>
      <c r="Y232" s="80">
        <v>0</v>
      </c>
      <c r="Z232" s="80">
        <v>0</v>
      </c>
      <c r="AA232" s="80">
        <v>0</v>
      </c>
      <c r="AB232" s="80">
        <v>0</v>
      </c>
      <c r="AC232" s="80">
        <v>0</v>
      </c>
      <c r="AD232" s="80">
        <v>0</v>
      </c>
      <c r="AE232" s="80">
        <v>0</v>
      </c>
      <c r="AF232" s="80">
        <v>0</v>
      </c>
      <c r="AG232" s="81">
        <v>1</v>
      </c>
      <c r="AH232" s="80">
        <v>0</v>
      </c>
      <c r="AI232" s="81">
        <v>0</v>
      </c>
      <c r="AJ232" s="81">
        <v>0</v>
      </c>
      <c r="AK232" s="81">
        <v>0</v>
      </c>
      <c r="AL232" s="81">
        <v>0</v>
      </c>
      <c r="AM232" s="81">
        <v>1</v>
      </c>
      <c r="AN232" s="81">
        <v>1</v>
      </c>
      <c r="AO232" s="80">
        <v>0</v>
      </c>
    </row>
    <row r="233" spans="1:41" ht="15.75" x14ac:dyDescent="0.25">
      <c r="A233" s="159"/>
      <c r="B233" s="159"/>
      <c r="C233" s="74"/>
      <c r="D233" s="80" t="s">
        <v>258</v>
      </c>
      <c r="E233" s="80">
        <v>0</v>
      </c>
      <c r="F233" s="80">
        <v>0</v>
      </c>
      <c r="G233" s="80">
        <v>0</v>
      </c>
      <c r="H233" s="80">
        <v>0</v>
      </c>
      <c r="I233" s="80">
        <v>0</v>
      </c>
      <c r="J233" s="80">
        <v>0</v>
      </c>
      <c r="K233" s="80">
        <v>0</v>
      </c>
      <c r="L233" s="80">
        <v>0</v>
      </c>
      <c r="M233" s="80">
        <v>0</v>
      </c>
      <c r="N233" s="80">
        <v>0</v>
      </c>
      <c r="O233" s="80">
        <v>0</v>
      </c>
      <c r="P233" s="80">
        <v>0</v>
      </c>
      <c r="Q233" s="80">
        <v>0</v>
      </c>
      <c r="R233" s="80">
        <v>1</v>
      </c>
      <c r="S233" s="80">
        <v>0</v>
      </c>
      <c r="T233" s="80">
        <v>0</v>
      </c>
      <c r="U233" s="80">
        <v>0</v>
      </c>
      <c r="V233" s="80">
        <v>0</v>
      </c>
      <c r="W233" s="80">
        <v>0</v>
      </c>
      <c r="X233" s="80">
        <v>0</v>
      </c>
      <c r="Y233" s="80">
        <v>0</v>
      </c>
      <c r="Z233" s="80">
        <v>0</v>
      </c>
      <c r="AA233" s="80">
        <v>0</v>
      </c>
      <c r="AB233" s="80">
        <v>0</v>
      </c>
      <c r="AC233" s="80">
        <v>0</v>
      </c>
      <c r="AD233" s="80">
        <v>0</v>
      </c>
      <c r="AE233" s="80">
        <v>0</v>
      </c>
      <c r="AF233" s="80">
        <v>0</v>
      </c>
      <c r="AG233" s="80">
        <v>0</v>
      </c>
      <c r="AH233" s="80">
        <v>0</v>
      </c>
      <c r="AI233" s="80">
        <v>0</v>
      </c>
      <c r="AJ233" s="80">
        <v>0</v>
      </c>
      <c r="AK233" s="80">
        <v>0</v>
      </c>
      <c r="AL233" s="80">
        <v>0</v>
      </c>
      <c r="AM233" s="81">
        <v>1</v>
      </c>
      <c r="AN233" s="81">
        <v>0</v>
      </c>
      <c r="AO233" s="80">
        <v>0</v>
      </c>
    </row>
    <row r="234" spans="1:41" ht="15.75" x14ac:dyDescent="0.25">
      <c r="A234" s="74">
        <v>3</v>
      </c>
      <c r="B234" s="74" t="s">
        <v>167</v>
      </c>
      <c r="C234" s="629" t="s">
        <v>167</v>
      </c>
      <c r="D234" s="80" t="s">
        <v>245</v>
      </c>
      <c r="E234" s="438">
        <v>0</v>
      </c>
      <c r="F234" s="80">
        <v>0</v>
      </c>
      <c r="G234" s="80">
        <v>0</v>
      </c>
      <c r="H234" s="387">
        <v>2</v>
      </c>
      <c r="I234" s="80">
        <v>0</v>
      </c>
      <c r="J234" s="387">
        <v>1</v>
      </c>
      <c r="K234" s="80">
        <v>0</v>
      </c>
      <c r="L234" s="80">
        <v>0</v>
      </c>
      <c r="M234" s="387">
        <v>1</v>
      </c>
      <c r="N234" s="387">
        <v>2</v>
      </c>
      <c r="O234" s="387">
        <v>1</v>
      </c>
      <c r="P234" s="80">
        <v>0</v>
      </c>
      <c r="Q234" s="387">
        <v>2</v>
      </c>
      <c r="R234" s="387">
        <v>1</v>
      </c>
      <c r="S234" s="80">
        <v>0</v>
      </c>
      <c r="T234" s="80">
        <v>0</v>
      </c>
      <c r="U234" s="387">
        <v>2</v>
      </c>
      <c r="V234" s="387">
        <v>2</v>
      </c>
      <c r="W234" s="387">
        <v>2</v>
      </c>
      <c r="X234" s="387">
        <v>1</v>
      </c>
      <c r="Y234" s="80">
        <v>0</v>
      </c>
      <c r="Z234" s="387">
        <v>2</v>
      </c>
      <c r="AA234" s="387">
        <v>2</v>
      </c>
      <c r="AB234" s="387">
        <v>1</v>
      </c>
      <c r="AC234" s="387">
        <v>1</v>
      </c>
      <c r="AD234" s="80">
        <v>0</v>
      </c>
      <c r="AE234" s="80">
        <v>0</v>
      </c>
      <c r="AF234" s="80">
        <v>0</v>
      </c>
      <c r="AG234" s="390">
        <v>1</v>
      </c>
      <c r="AH234" s="81">
        <v>0</v>
      </c>
      <c r="AI234" s="81">
        <v>0</v>
      </c>
      <c r="AJ234" s="81">
        <v>0</v>
      </c>
      <c r="AK234" s="81">
        <v>0</v>
      </c>
      <c r="AL234" s="81">
        <v>0</v>
      </c>
      <c r="AM234" s="81">
        <v>0</v>
      </c>
      <c r="AN234" s="81">
        <v>0</v>
      </c>
      <c r="AO234" s="80">
        <v>0</v>
      </c>
    </row>
    <row r="235" spans="1:41" ht="15.75" x14ac:dyDescent="0.25">
      <c r="A235" s="74"/>
      <c r="B235" s="74"/>
      <c r="C235" s="630"/>
      <c r="D235" s="80" t="s">
        <v>246</v>
      </c>
      <c r="E235" s="80">
        <v>1</v>
      </c>
      <c r="F235" s="80">
        <v>0</v>
      </c>
      <c r="G235" s="80">
        <v>0</v>
      </c>
      <c r="H235" s="80">
        <v>2</v>
      </c>
      <c r="I235" s="80">
        <v>0</v>
      </c>
      <c r="J235" s="80">
        <v>1</v>
      </c>
      <c r="K235" s="80">
        <v>0</v>
      </c>
      <c r="L235" s="80">
        <v>0</v>
      </c>
      <c r="M235" s="80">
        <v>1</v>
      </c>
      <c r="N235" s="80">
        <v>2</v>
      </c>
      <c r="O235" s="80">
        <v>1</v>
      </c>
      <c r="P235" s="80">
        <v>0</v>
      </c>
      <c r="Q235" s="80">
        <v>2</v>
      </c>
      <c r="R235" s="80">
        <v>1</v>
      </c>
      <c r="S235" s="80">
        <v>0</v>
      </c>
      <c r="T235" s="80">
        <v>0</v>
      </c>
      <c r="U235" s="80">
        <v>2</v>
      </c>
      <c r="V235" s="80">
        <v>2</v>
      </c>
      <c r="W235" s="80">
        <v>2</v>
      </c>
      <c r="X235" s="80">
        <v>1</v>
      </c>
      <c r="Y235" s="80">
        <v>0</v>
      </c>
      <c r="Z235" s="80">
        <v>2</v>
      </c>
      <c r="AA235" s="80">
        <v>2</v>
      </c>
      <c r="AB235" s="80">
        <v>1</v>
      </c>
      <c r="AC235" s="80">
        <v>1</v>
      </c>
      <c r="AD235" s="80">
        <v>0</v>
      </c>
      <c r="AE235" s="80">
        <v>0</v>
      </c>
      <c r="AF235" s="80">
        <v>0</v>
      </c>
      <c r="AG235" s="81">
        <v>1</v>
      </c>
      <c r="AH235" s="81">
        <v>0</v>
      </c>
      <c r="AI235" s="81">
        <v>0</v>
      </c>
      <c r="AJ235" s="81">
        <v>0</v>
      </c>
      <c r="AK235" s="81">
        <v>0</v>
      </c>
      <c r="AL235" s="81">
        <v>0</v>
      </c>
      <c r="AM235" s="81">
        <v>0</v>
      </c>
      <c r="AN235" s="81">
        <v>0</v>
      </c>
      <c r="AO235" s="80">
        <v>0</v>
      </c>
    </row>
    <row r="236" spans="1:41" ht="15.75" x14ac:dyDescent="0.25">
      <c r="A236" s="74"/>
      <c r="B236" s="74"/>
      <c r="C236" s="630"/>
      <c r="D236" s="80" t="s">
        <v>247</v>
      </c>
      <c r="E236" s="80">
        <v>0</v>
      </c>
      <c r="F236" s="80">
        <v>0</v>
      </c>
      <c r="G236" s="80">
        <v>0</v>
      </c>
      <c r="H236" s="80">
        <v>0</v>
      </c>
      <c r="I236" s="80">
        <v>0</v>
      </c>
      <c r="J236" s="80">
        <v>0</v>
      </c>
      <c r="K236" s="80">
        <v>0</v>
      </c>
      <c r="L236" s="80">
        <v>0</v>
      </c>
      <c r="M236" s="80">
        <v>0</v>
      </c>
      <c r="N236" s="80">
        <v>0</v>
      </c>
      <c r="O236" s="80">
        <v>0</v>
      </c>
      <c r="P236" s="80">
        <v>0</v>
      </c>
      <c r="Q236" s="80">
        <v>0</v>
      </c>
      <c r="R236" s="80">
        <v>0</v>
      </c>
      <c r="S236" s="80">
        <v>0</v>
      </c>
      <c r="T236" s="80">
        <v>0</v>
      </c>
      <c r="U236" s="80">
        <v>0</v>
      </c>
      <c r="V236" s="80">
        <v>0</v>
      </c>
      <c r="W236" s="80">
        <v>0</v>
      </c>
      <c r="X236" s="80">
        <v>0</v>
      </c>
      <c r="Y236" s="80">
        <v>0</v>
      </c>
      <c r="Z236" s="80">
        <v>0</v>
      </c>
      <c r="AA236" s="80">
        <v>0</v>
      </c>
      <c r="AB236" s="80">
        <v>0</v>
      </c>
      <c r="AC236" s="80">
        <v>0</v>
      </c>
      <c r="AD236" s="80">
        <v>0</v>
      </c>
      <c r="AE236" s="80">
        <v>0</v>
      </c>
      <c r="AF236" s="80">
        <v>0</v>
      </c>
      <c r="AG236" s="81">
        <v>0</v>
      </c>
      <c r="AH236" s="81">
        <v>0</v>
      </c>
      <c r="AI236" s="81">
        <v>0</v>
      </c>
      <c r="AJ236" s="81">
        <v>0</v>
      </c>
      <c r="AK236" s="81">
        <v>0</v>
      </c>
      <c r="AL236" s="81">
        <v>0</v>
      </c>
      <c r="AM236" s="81">
        <v>0</v>
      </c>
      <c r="AN236" s="81">
        <v>0</v>
      </c>
      <c r="AO236" s="80">
        <v>0</v>
      </c>
    </row>
    <row r="237" spans="1:41" ht="15.75" x14ac:dyDescent="0.25">
      <c r="A237" s="74"/>
      <c r="B237" s="74"/>
      <c r="C237" s="630"/>
      <c r="D237" s="80" t="s">
        <v>248</v>
      </c>
      <c r="E237" s="80">
        <v>1</v>
      </c>
      <c r="F237" s="80">
        <v>0</v>
      </c>
      <c r="G237" s="80">
        <v>0</v>
      </c>
      <c r="H237" s="80">
        <v>2</v>
      </c>
      <c r="I237" s="80">
        <v>0</v>
      </c>
      <c r="J237" s="80">
        <v>1</v>
      </c>
      <c r="K237" s="80">
        <v>0</v>
      </c>
      <c r="L237" s="80">
        <v>0</v>
      </c>
      <c r="M237" s="80">
        <v>1</v>
      </c>
      <c r="N237" s="80">
        <v>2</v>
      </c>
      <c r="O237" s="80">
        <v>1</v>
      </c>
      <c r="P237" s="80">
        <v>0</v>
      </c>
      <c r="Q237" s="80">
        <v>2</v>
      </c>
      <c r="R237" s="80">
        <v>1</v>
      </c>
      <c r="S237" s="80">
        <v>0</v>
      </c>
      <c r="T237" s="80">
        <v>0</v>
      </c>
      <c r="U237" s="80">
        <v>2</v>
      </c>
      <c r="V237" s="80">
        <v>2</v>
      </c>
      <c r="W237" s="80">
        <v>0</v>
      </c>
      <c r="X237" s="80">
        <v>1</v>
      </c>
      <c r="Y237" s="80">
        <v>0</v>
      </c>
      <c r="Z237" s="80">
        <v>2</v>
      </c>
      <c r="AA237" s="80">
        <v>2</v>
      </c>
      <c r="AB237" s="80">
        <v>1</v>
      </c>
      <c r="AC237" s="80">
        <v>1</v>
      </c>
      <c r="AD237" s="80">
        <v>0</v>
      </c>
      <c r="AE237" s="80">
        <v>0</v>
      </c>
      <c r="AF237" s="80">
        <v>0</v>
      </c>
      <c r="AG237" s="81">
        <v>1</v>
      </c>
      <c r="AH237" s="81">
        <v>0</v>
      </c>
      <c r="AI237" s="81">
        <v>0</v>
      </c>
      <c r="AJ237" s="81">
        <v>0</v>
      </c>
      <c r="AK237" s="81">
        <v>0</v>
      </c>
      <c r="AL237" s="81">
        <v>0</v>
      </c>
      <c r="AM237" s="81">
        <v>0</v>
      </c>
      <c r="AN237" s="81">
        <v>0</v>
      </c>
      <c r="AO237" s="80">
        <v>0</v>
      </c>
    </row>
    <row r="238" spans="1:41" ht="15.75" x14ac:dyDescent="0.25">
      <c r="A238" s="74"/>
      <c r="B238" s="74"/>
      <c r="C238" s="631"/>
      <c r="D238" s="80" t="s">
        <v>258</v>
      </c>
      <c r="E238" s="80">
        <v>0</v>
      </c>
      <c r="F238" s="80">
        <v>0</v>
      </c>
      <c r="G238" s="80">
        <v>0</v>
      </c>
      <c r="H238" s="80">
        <v>0</v>
      </c>
      <c r="I238" s="80">
        <v>0</v>
      </c>
      <c r="J238" s="80">
        <v>0</v>
      </c>
      <c r="K238" s="80">
        <v>0</v>
      </c>
      <c r="L238" s="80">
        <v>0</v>
      </c>
      <c r="M238" s="80">
        <v>0</v>
      </c>
      <c r="N238" s="80">
        <v>0</v>
      </c>
      <c r="O238" s="80">
        <v>0</v>
      </c>
      <c r="P238" s="80">
        <v>0</v>
      </c>
      <c r="Q238" s="80">
        <v>0</v>
      </c>
      <c r="R238" s="80">
        <v>0</v>
      </c>
      <c r="S238" s="80">
        <v>0</v>
      </c>
      <c r="T238" s="80">
        <v>0</v>
      </c>
      <c r="U238" s="80">
        <v>0</v>
      </c>
      <c r="V238" s="80">
        <v>0</v>
      </c>
      <c r="W238" s="80">
        <v>2</v>
      </c>
      <c r="X238" s="80">
        <v>0</v>
      </c>
      <c r="Y238" s="80">
        <v>0</v>
      </c>
      <c r="Z238" s="80">
        <v>0</v>
      </c>
      <c r="AA238" s="80">
        <v>0</v>
      </c>
      <c r="AB238" s="80">
        <v>0</v>
      </c>
      <c r="AC238" s="80">
        <v>0</v>
      </c>
      <c r="AD238" s="80">
        <v>0</v>
      </c>
      <c r="AE238" s="80">
        <v>0</v>
      </c>
      <c r="AF238" s="80">
        <v>0</v>
      </c>
      <c r="AG238" s="80">
        <v>0</v>
      </c>
      <c r="AH238" s="80">
        <v>0</v>
      </c>
      <c r="AI238" s="80">
        <v>0</v>
      </c>
      <c r="AJ238" s="80">
        <v>0</v>
      </c>
      <c r="AK238" s="80">
        <v>0</v>
      </c>
      <c r="AL238" s="80">
        <v>0</v>
      </c>
      <c r="AM238" s="81">
        <v>0</v>
      </c>
      <c r="AN238" s="81">
        <v>0</v>
      </c>
      <c r="AO238" s="80">
        <v>0</v>
      </c>
    </row>
    <row r="239" spans="1:41" ht="15.75" x14ac:dyDescent="0.25">
      <c r="A239" s="74">
        <v>4</v>
      </c>
      <c r="B239" s="74"/>
      <c r="C239" s="627" t="s">
        <v>249</v>
      </c>
      <c r="D239" s="80" t="s">
        <v>245</v>
      </c>
      <c r="E239" s="438">
        <v>0</v>
      </c>
      <c r="F239" s="80">
        <v>0</v>
      </c>
      <c r="G239" s="80">
        <v>0</v>
      </c>
      <c r="H239" s="80">
        <v>0</v>
      </c>
      <c r="I239" s="387">
        <v>3</v>
      </c>
      <c r="J239" s="387">
        <v>2</v>
      </c>
      <c r="K239" s="80">
        <v>0</v>
      </c>
      <c r="L239" s="80">
        <v>0</v>
      </c>
      <c r="M239" s="80">
        <v>0</v>
      </c>
      <c r="N239" s="80">
        <v>0</v>
      </c>
      <c r="O239" s="387">
        <v>1</v>
      </c>
      <c r="P239" s="80">
        <v>0</v>
      </c>
      <c r="Q239" s="387">
        <v>2</v>
      </c>
      <c r="R239" s="387">
        <v>2</v>
      </c>
      <c r="S239" s="80">
        <v>0</v>
      </c>
      <c r="T239" s="80">
        <v>0</v>
      </c>
      <c r="U239" s="387">
        <v>2</v>
      </c>
      <c r="V239" s="80">
        <v>0</v>
      </c>
      <c r="W239" s="80">
        <v>0</v>
      </c>
      <c r="X239" s="387">
        <v>2</v>
      </c>
      <c r="Y239" s="80">
        <v>0</v>
      </c>
      <c r="Z239" s="387">
        <v>4</v>
      </c>
      <c r="AA239" s="80">
        <v>0</v>
      </c>
      <c r="AB239" s="387">
        <v>1</v>
      </c>
      <c r="AC239" s="80">
        <v>0</v>
      </c>
      <c r="AD239" s="80">
        <v>0</v>
      </c>
      <c r="AE239" s="80">
        <v>0</v>
      </c>
      <c r="AF239" s="80">
        <v>0</v>
      </c>
      <c r="AG239" s="387">
        <v>2</v>
      </c>
      <c r="AH239" s="80">
        <v>0</v>
      </c>
      <c r="AI239" s="80">
        <v>0</v>
      </c>
      <c r="AJ239" s="80">
        <v>0</v>
      </c>
      <c r="AK239" s="80">
        <v>0</v>
      </c>
      <c r="AL239" s="80">
        <v>0</v>
      </c>
      <c r="AM239" s="81">
        <v>0</v>
      </c>
      <c r="AN239" s="81">
        <v>0</v>
      </c>
      <c r="AO239" s="80">
        <v>0</v>
      </c>
    </row>
    <row r="240" spans="1:41" ht="15.75" x14ac:dyDescent="0.25">
      <c r="A240" s="74"/>
      <c r="B240" s="74"/>
      <c r="C240" s="627"/>
      <c r="D240" s="80" t="s">
        <v>246</v>
      </c>
      <c r="E240" s="80">
        <v>0</v>
      </c>
      <c r="F240" s="80">
        <v>0</v>
      </c>
      <c r="G240" s="80">
        <v>0</v>
      </c>
      <c r="H240" s="80">
        <v>0</v>
      </c>
      <c r="I240" s="80">
        <v>3</v>
      </c>
      <c r="J240" s="80">
        <v>2</v>
      </c>
      <c r="K240" s="80">
        <v>0</v>
      </c>
      <c r="L240" s="80">
        <v>0</v>
      </c>
      <c r="M240" s="80">
        <v>0</v>
      </c>
      <c r="N240" s="80">
        <v>0</v>
      </c>
      <c r="O240" s="80">
        <v>1</v>
      </c>
      <c r="P240" s="80">
        <v>0</v>
      </c>
      <c r="Q240" s="80">
        <v>2</v>
      </c>
      <c r="R240" s="80">
        <v>2</v>
      </c>
      <c r="S240" s="80">
        <v>0</v>
      </c>
      <c r="T240" s="80">
        <v>0</v>
      </c>
      <c r="U240" s="80">
        <v>2</v>
      </c>
      <c r="V240" s="80">
        <v>0</v>
      </c>
      <c r="W240" s="80">
        <v>0</v>
      </c>
      <c r="X240" s="80">
        <v>2</v>
      </c>
      <c r="Y240" s="80">
        <v>0</v>
      </c>
      <c r="Z240" s="80">
        <v>4</v>
      </c>
      <c r="AA240" s="80">
        <v>0</v>
      </c>
      <c r="AB240" s="80">
        <v>1</v>
      </c>
      <c r="AC240" s="80">
        <v>0</v>
      </c>
      <c r="AD240" s="80">
        <v>0</v>
      </c>
      <c r="AE240" s="80">
        <v>0</v>
      </c>
      <c r="AF240" s="80">
        <v>0</v>
      </c>
      <c r="AG240" s="81">
        <v>2</v>
      </c>
      <c r="AH240" s="80">
        <v>0</v>
      </c>
      <c r="AI240" s="81">
        <v>0</v>
      </c>
      <c r="AJ240" s="81">
        <v>0</v>
      </c>
      <c r="AK240" s="81">
        <v>0</v>
      </c>
      <c r="AL240" s="81">
        <v>0</v>
      </c>
      <c r="AM240" s="81">
        <v>0</v>
      </c>
      <c r="AN240" s="81">
        <v>0</v>
      </c>
      <c r="AO240" s="80">
        <v>0</v>
      </c>
    </row>
    <row r="241" spans="1:41" ht="15.75" x14ac:dyDescent="0.25">
      <c r="A241" s="74"/>
      <c r="B241" s="74"/>
      <c r="C241" s="627"/>
      <c r="D241" s="80" t="s">
        <v>247</v>
      </c>
      <c r="E241" s="80">
        <v>0</v>
      </c>
      <c r="F241" s="80">
        <v>0</v>
      </c>
      <c r="G241" s="80">
        <v>0</v>
      </c>
      <c r="H241" s="80">
        <v>0</v>
      </c>
      <c r="I241" s="80">
        <v>0</v>
      </c>
      <c r="J241" s="80">
        <v>0</v>
      </c>
      <c r="K241" s="80">
        <v>0</v>
      </c>
      <c r="L241" s="80">
        <v>0</v>
      </c>
      <c r="M241" s="80">
        <v>0</v>
      </c>
      <c r="N241" s="80">
        <v>0</v>
      </c>
      <c r="O241" s="80">
        <v>0</v>
      </c>
      <c r="P241" s="80">
        <v>0</v>
      </c>
      <c r="Q241" s="80">
        <v>0</v>
      </c>
      <c r="R241" s="80">
        <v>0</v>
      </c>
      <c r="S241" s="80">
        <v>0</v>
      </c>
      <c r="T241" s="80">
        <v>0</v>
      </c>
      <c r="U241" s="80">
        <v>0</v>
      </c>
      <c r="V241" s="80">
        <v>0</v>
      </c>
      <c r="W241" s="80">
        <v>0</v>
      </c>
      <c r="X241" s="80">
        <v>0</v>
      </c>
      <c r="Y241" s="80">
        <v>0</v>
      </c>
      <c r="Z241" s="80">
        <v>0</v>
      </c>
      <c r="AA241" s="80">
        <v>0</v>
      </c>
      <c r="AB241" s="80">
        <v>0</v>
      </c>
      <c r="AC241" s="80">
        <v>0</v>
      </c>
      <c r="AD241" s="80">
        <v>0</v>
      </c>
      <c r="AE241" s="80">
        <v>0</v>
      </c>
      <c r="AF241" s="80">
        <v>0</v>
      </c>
      <c r="AG241" s="81">
        <v>0</v>
      </c>
      <c r="AH241" s="80">
        <v>0</v>
      </c>
      <c r="AI241" s="81">
        <v>0</v>
      </c>
      <c r="AJ241" s="81">
        <v>0</v>
      </c>
      <c r="AK241" s="81">
        <v>0</v>
      </c>
      <c r="AL241" s="81">
        <v>0</v>
      </c>
      <c r="AM241" s="81">
        <v>0</v>
      </c>
      <c r="AN241" s="81">
        <v>0</v>
      </c>
      <c r="AO241" s="80">
        <v>0</v>
      </c>
    </row>
    <row r="242" spans="1:41" ht="18.75" x14ac:dyDescent="0.3">
      <c r="A242" s="74"/>
      <c r="B242" s="74"/>
      <c r="C242" s="627"/>
      <c r="D242" s="80" t="s">
        <v>248</v>
      </c>
      <c r="E242" s="80">
        <v>0</v>
      </c>
      <c r="F242" s="80">
        <v>0</v>
      </c>
      <c r="G242" s="80">
        <v>0</v>
      </c>
      <c r="H242" s="80">
        <v>0</v>
      </c>
      <c r="I242" s="80">
        <v>3</v>
      </c>
      <c r="J242" s="160">
        <v>2</v>
      </c>
      <c r="K242" s="80">
        <v>0</v>
      </c>
      <c r="L242" s="80">
        <v>0</v>
      </c>
      <c r="M242" s="80">
        <v>0</v>
      </c>
      <c r="N242" s="80">
        <v>0</v>
      </c>
      <c r="O242" s="80">
        <v>1</v>
      </c>
      <c r="P242" s="80">
        <v>0</v>
      </c>
      <c r="Q242" s="80">
        <v>2</v>
      </c>
      <c r="R242" s="80">
        <v>2</v>
      </c>
      <c r="S242" s="80">
        <v>0</v>
      </c>
      <c r="T242" s="80">
        <v>0</v>
      </c>
      <c r="U242" s="80">
        <v>2</v>
      </c>
      <c r="V242" s="80">
        <v>0</v>
      </c>
      <c r="W242" s="80">
        <v>0</v>
      </c>
      <c r="X242" s="80">
        <v>2</v>
      </c>
      <c r="Y242" s="80">
        <v>0</v>
      </c>
      <c r="Z242" s="80">
        <v>4</v>
      </c>
      <c r="AA242" s="80">
        <v>0</v>
      </c>
      <c r="AB242" s="80">
        <v>1</v>
      </c>
      <c r="AC242" s="80">
        <v>0</v>
      </c>
      <c r="AD242" s="80">
        <v>0</v>
      </c>
      <c r="AE242" s="80">
        <v>0</v>
      </c>
      <c r="AF242" s="80">
        <v>0</v>
      </c>
      <c r="AG242" s="81">
        <v>2</v>
      </c>
      <c r="AH242" s="80">
        <v>0</v>
      </c>
      <c r="AI242" s="81">
        <v>0</v>
      </c>
      <c r="AJ242" s="81">
        <v>0</v>
      </c>
      <c r="AK242" s="81">
        <v>0</v>
      </c>
      <c r="AL242" s="81">
        <v>0</v>
      </c>
      <c r="AM242" s="81">
        <v>0</v>
      </c>
      <c r="AN242" s="81">
        <v>0</v>
      </c>
      <c r="AO242" s="80">
        <v>0</v>
      </c>
    </row>
    <row r="243" spans="1:41" ht="15.75" x14ac:dyDescent="0.25">
      <c r="A243" s="74"/>
      <c r="B243" s="74"/>
      <c r="C243" s="627"/>
      <c r="D243" s="80" t="s">
        <v>258</v>
      </c>
      <c r="E243" s="80">
        <v>0</v>
      </c>
      <c r="F243" s="80">
        <v>0</v>
      </c>
      <c r="G243" s="80">
        <v>0</v>
      </c>
      <c r="H243" s="80">
        <v>0</v>
      </c>
      <c r="I243" s="80">
        <v>0</v>
      </c>
      <c r="J243" s="80">
        <v>0</v>
      </c>
      <c r="K243" s="80">
        <v>0</v>
      </c>
      <c r="L243" s="80">
        <v>0</v>
      </c>
      <c r="M243" s="80">
        <v>0</v>
      </c>
      <c r="N243" s="80">
        <v>0</v>
      </c>
      <c r="O243" s="80">
        <v>0</v>
      </c>
      <c r="P243" s="80">
        <v>0</v>
      </c>
      <c r="Q243" s="80">
        <v>0</v>
      </c>
      <c r="R243" s="80">
        <v>0</v>
      </c>
      <c r="S243" s="80">
        <v>0</v>
      </c>
      <c r="T243" s="80">
        <v>0</v>
      </c>
      <c r="U243" s="80">
        <v>0</v>
      </c>
      <c r="V243" s="80">
        <v>0</v>
      </c>
      <c r="W243" s="80">
        <v>0</v>
      </c>
      <c r="X243" s="80">
        <v>0</v>
      </c>
      <c r="Y243" s="80">
        <v>0</v>
      </c>
      <c r="Z243" s="80">
        <v>0</v>
      </c>
      <c r="AA243" s="80">
        <v>0</v>
      </c>
      <c r="AB243" s="80">
        <v>0</v>
      </c>
      <c r="AC243" s="80">
        <v>0</v>
      </c>
      <c r="AD243" s="80">
        <v>0</v>
      </c>
      <c r="AE243" s="80">
        <v>0</v>
      </c>
      <c r="AF243" s="80">
        <v>0</v>
      </c>
      <c r="AG243" s="80">
        <v>0</v>
      </c>
      <c r="AH243" s="80">
        <v>0</v>
      </c>
      <c r="AI243" s="80">
        <v>0</v>
      </c>
      <c r="AJ243" s="80">
        <v>0</v>
      </c>
      <c r="AK243" s="80">
        <v>0</v>
      </c>
      <c r="AL243" s="80">
        <v>0</v>
      </c>
      <c r="AM243" s="81">
        <v>0</v>
      </c>
      <c r="AN243" s="81">
        <v>0</v>
      </c>
      <c r="AO243" s="80">
        <v>0</v>
      </c>
    </row>
    <row r="244" spans="1:41" ht="15.75" x14ac:dyDescent="0.25">
      <c r="A244" s="74">
        <v>5</v>
      </c>
      <c r="B244" s="74"/>
      <c r="C244" s="627" t="s">
        <v>821</v>
      </c>
      <c r="D244" s="80" t="s">
        <v>245</v>
      </c>
      <c r="E244" s="438">
        <v>0</v>
      </c>
      <c r="F244" s="80">
        <v>0</v>
      </c>
      <c r="G244" s="80">
        <v>0</v>
      </c>
      <c r="H244" s="80">
        <v>0</v>
      </c>
      <c r="I244" s="80">
        <v>1</v>
      </c>
      <c r="J244" s="80">
        <v>0</v>
      </c>
      <c r="K244" s="80">
        <v>0</v>
      </c>
      <c r="L244" s="80">
        <v>0</v>
      </c>
      <c r="M244" s="80">
        <v>0</v>
      </c>
      <c r="N244" s="80">
        <v>0</v>
      </c>
      <c r="O244" s="80">
        <v>0</v>
      </c>
      <c r="P244" s="80">
        <v>0</v>
      </c>
      <c r="Q244" s="80">
        <v>0</v>
      </c>
      <c r="R244" s="80">
        <v>0</v>
      </c>
      <c r="S244" s="80">
        <v>0</v>
      </c>
      <c r="T244" s="80">
        <v>0</v>
      </c>
      <c r="U244" s="80">
        <v>0</v>
      </c>
      <c r="V244" s="80">
        <v>0</v>
      </c>
      <c r="W244" s="80">
        <v>0</v>
      </c>
      <c r="X244" s="80">
        <v>0</v>
      </c>
      <c r="Y244" s="80">
        <v>0</v>
      </c>
      <c r="Z244" s="80">
        <v>0</v>
      </c>
      <c r="AA244" s="80">
        <v>0</v>
      </c>
      <c r="AB244" s="80">
        <v>0</v>
      </c>
      <c r="AC244" s="80">
        <v>0</v>
      </c>
      <c r="AD244" s="80">
        <v>0</v>
      </c>
      <c r="AE244" s="80">
        <v>0</v>
      </c>
      <c r="AF244" s="80">
        <v>0</v>
      </c>
      <c r="AG244" s="80">
        <v>0</v>
      </c>
      <c r="AH244" s="80">
        <v>0</v>
      </c>
      <c r="AI244" s="80">
        <v>0</v>
      </c>
      <c r="AJ244" s="80">
        <v>0</v>
      </c>
      <c r="AK244" s="80">
        <v>0</v>
      </c>
      <c r="AL244" s="80">
        <v>0</v>
      </c>
      <c r="AM244" s="80">
        <v>0</v>
      </c>
      <c r="AN244" s="80">
        <v>0</v>
      </c>
      <c r="AO244" s="80">
        <v>0</v>
      </c>
    </row>
    <row r="245" spans="1:41" ht="15.75" x14ac:dyDescent="0.25">
      <c r="A245" s="74"/>
      <c r="B245" s="74"/>
      <c r="C245" s="627"/>
      <c r="D245" s="80" t="s">
        <v>246</v>
      </c>
      <c r="E245" s="80">
        <v>0</v>
      </c>
      <c r="F245" s="80">
        <v>0</v>
      </c>
      <c r="G245" s="80">
        <v>0</v>
      </c>
      <c r="H245" s="80">
        <v>0</v>
      </c>
      <c r="I245" s="80">
        <v>1</v>
      </c>
      <c r="J245" s="80">
        <v>0</v>
      </c>
      <c r="K245" s="80">
        <v>0</v>
      </c>
      <c r="L245" s="80">
        <v>0</v>
      </c>
      <c r="M245" s="80">
        <v>0</v>
      </c>
      <c r="N245" s="80">
        <v>0</v>
      </c>
      <c r="O245" s="80">
        <v>0</v>
      </c>
      <c r="P245" s="80">
        <v>0</v>
      </c>
      <c r="Q245" s="80">
        <v>0</v>
      </c>
      <c r="R245" s="80">
        <v>0</v>
      </c>
      <c r="S245" s="80">
        <v>0</v>
      </c>
      <c r="T245" s="80">
        <v>0</v>
      </c>
      <c r="U245" s="80">
        <v>0</v>
      </c>
      <c r="V245" s="80">
        <v>0</v>
      </c>
      <c r="W245" s="80">
        <v>0</v>
      </c>
      <c r="X245" s="80">
        <v>0</v>
      </c>
      <c r="Y245" s="80">
        <v>0</v>
      </c>
      <c r="Z245" s="80">
        <v>0</v>
      </c>
      <c r="AA245" s="80">
        <v>0</v>
      </c>
      <c r="AB245" s="80">
        <v>0</v>
      </c>
      <c r="AC245" s="80">
        <v>0</v>
      </c>
      <c r="AD245" s="80">
        <v>0</v>
      </c>
      <c r="AE245" s="80">
        <v>0</v>
      </c>
      <c r="AF245" s="80">
        <v>0</v>
      </c>
      <c r="AG245" s="80">
        <v>0</v>
      </c>
      <c r="AH245" s="80">
        <v>0</v>
      </c>
      <c r="AI245" s="80">
        <v>0</v>
      </c>
      <c r="AJ245" s="80">
        <v>0</v>
      </c>
      <c r="AK245" s="80">
        <v>0</v>
      </c>
      <c r="AL245" s="80">
        <v>0</v>
      </c>
      <c r="AM245" s="80">
        <v>0</v>
      </c>
      <c r="AN245" s="80">
        <v>0</v>
      </c>
      <c r="AO245" s="80">
        <v>0</v>
      </c>
    </row>
    <row r="246" spans="1:41" ht="15.75" x14ac:dyDescent="0.25">
      <c r="A246" s="74"/>
      <c r="B246" s="74"/>
      <c r="C246" s="627"/>
      <c r="D246" s="80" t="s">
        <v>247</v>
      </c>
      <c r="E246" s="80">
        <v>0</v>
      </c>
      <c r="F246" s="80">
        <v>0</v>
      </c>
      <c r="G246" s="80">
        <v>0</v>
      </c>
      <c r="H246" s="80">
        <v>0</v>
      </c>
      <c r="I246" s="80">
        <v>0</v>
      </c>
      <c r="J246" s="80">
        <v>0</v>
      </c>
      <c r="K246" s="80">
        <v>0</v>
      </c>
      <c r="L246" s="80">
        <v>0</v>
      </c>
      <c r="M246" s="80">
        <v>0</v>
      </c>
      <c r="N246" s="80">
        <v>0</v>
      </c>
      <c r="O246" s="80">
        <v>0</v>
      </c>
      <c r="P246" s="80">
        <v>0</v>
      </c>
      <c r="Q246" s="80">
        <v>0</v>
      </c>
      <c r="R246" s="80">
        <v>0</v>
      </c>
      <c r="S246" s="80">
        <v>0</v>
      </c>
      <c r="T246" s="80">
        <v>0</v>
      </c>
      <c r="U246" s="80">
        <v>0</v>
      </c>
      <c r="V246" s="80">
        <v>0</v>
      </c>
      <c r="W246" s="80">
        <v>0</v>
      </c>
      <c r="X246" s="80">
        <v>0</v>
      </c>
      <c r="Y246" s="80">
        <v>0</v>
      </c>
      <c r="Z246" s="80">
        <v>0</v>
      </c>
      <c r="AA246" s="80">
        <v>0</v>
      </c>
      <c r="AB246" s="80">
        <v>0</v>
      </c>
      <c r="AC246" s="80">
        <v>0</v>
      </c>
      <c r="AD246" s="80">
        <v>0</v>
      </c>
      <c r="AE246" s="80">
        <v>0</v>
      </c>
      <c r="AF246" s="80">
        <v>0</v>
      </c>
      <c r="AG246" s="80">
        <v>0</v>
      </c>
      <c r="AH246" s="80">
        <v>0</v>
      </c>
      <c r="AI246" s="80">
        <v>0</v>
      </c>
      <c r="AJ246" s="80">
        <v>0</v>
      </c>
      <c r="AK246" s="80">
        <v>0</v>
      </c>
      <c r="AL246" s="80">
        <v>0</v>
      </c>
      <c r="AM246" s="80">
        <v>0</v>
      </c>
      <c r="AN246" s="80">
        <v>0</v>
      </c>
      <c r="AO246" s="80">
        <v>0</v>
      </c>
    </row>
    <row r="247" spans="1:41" ht="15.75" x14ac:dyDescent="0.25">
      <c r="A247" s="74"/>
      <c r="B247" s="74"/>
      <c r="C247" s="627"/>
      <c r="D247" s="80" t="s">
        <v>248</v>
      </c>
      <c r="E247" s="80">
        <v>0</v>
      </c>
      <c r="F247" s="80">
        <v>0</v>
      </c>
      <c r="G247" s="80">
        <v>0</v>
      </c>
      <c r="H247" s="80">
        <v>0</v>
      </c>
      <c r="I247" s="80">
        <v>1</v>
      </c>
      <c r="J247" s="80">
        <v>0</v>
      </c>
      <c r="K247" s="80">
        <v>0</v>
      </c>
      <c r="L247" s="80">
        <v>0</v>
      </c>
      <c r="M247" s="80">
        <v>0</v>
      </c>
      <c r="N247" s="80">
        <v>0</v>
      </c>
      <c r="O247" s="80">
        <v>0</v>
      </c>
      <c r="P247" s="80">
        <v>0</v>
      </c>
      <c r="Q247" s="80">
        <v>0</v>
      </c>
      <c r="R247" s="80">
        <v>0</v>
      </c>
      <c r="S247" s="80">
        <v>0</v>
      </c>
      <c r="T247" s="80">
        <v>0</v>
      </c>
      <c r="U247" s="80">
        <v>0</v>
      </c>
      <c r="V247" s="80">
        <v>0</v>
      </c>
      <c r="W247" s="80">
        <v>0</v>
      </c>
      <c r="X247" s="80">
        <v>0</v>
      </c>
      <c r="Y247" s="80">
        <v>0</v>
      </c>
      <c r="Z247" s="80">
        <v>0</v>
      </c>
      <c r="AA247" s="80">
        <v>0</v>
      </c>
      <c r="AB247" s="80">
        <v>0</v>
      </c>
      <c r="AC247" s="80">
        <v>0</v>
      </c>
      <c r="AD247" s="80">
        <v>0</v>
      </c>
      <c r="AE247" s="80">
        <v>0</v>
      </c>
      <c r="AF247" s="80">
        <v>0</v>
      </c>
      <c r="AG247" s="80">
        <v>0</v>
      </c>
      <c r="AH247" s="80">
        <v>0</v>
      </c>
      <c r="AI247" s="80">
        <v>0</v>
      </c>
      <c r="AJ247" s="80">
        <v>0</v>
      </c>
      <c r="AK247" s="80">
        <v>0</v>
      </c>
      <c r="AL247" s="80">
        <v>0</v>
      </c>
      <c r="AM247" s="80">
        <v>0</v>
      </c>
      <c r="AN247" s="80">
        <v>0</v>
      </c>
      <c r="AO247" s="80">
        <v>0</v>
      </c>
    </row>
    <row r="248" spans="1:41" ht="15.75" x14ac:dyDescent="0.25">
      <c r="A248" s="74"/>
      <c r="B248" s="74"/>
      <c r="C248" s="627"/>
      <c r="D248" s="80" t="s">
        <v>258</v>
      </c>
      <c r="E248" s="80">
        <v>0</v>
      </c>
      <c r="F248" s="80">
        <v>0</v>
      </c>
      <c r="G248" s="80">
        <v>0</v>
      </c>
      <c r="H248" s="80">
        <v>0</v>
      </c>
      <c r="I248" s="80">
        <v>0</v>
      </c>
      <c r="J248" s="80">
        <v>0</v>
      </c>
      <c r="K248" s="80">
        <v>0</v>
      </c>
      <c r="L248" s="80">
        <v>0</v>
      </c>
      <c r="M248" s="80">
        <v>0</v>
      </c>
      <c r="N248" s="80">
        <v>0</v>
      </c>
      <c r="O248" s="80">
        <v>0</v>
      </c>
      <c r="P248" s="80">
        <v>0</v>
      </c>
      <c r="Q248" s="80">
        <v>0</v>
      </c>
      <c r="R248" s="80">
        <v>0</v>
      </c>
      <c r="S248" s="80">
        <v>0</v>
      </c>
      <c r="T248" s="80">
        <v>0</v>
      </c>
      <c r="U248" s="80">
        <v>0</v>
      </c>
      <c r="V248" s="80">
        <v>0</v>
      </c>
      <c r="W248" s="80">
        <v>0</v>
      </c>
      <c r="X248" s="80">
        <v>0</v>
      </c>
      <c r="Y248" s="80">
        <v>0</v>
      </c>
      <c r="Z248" s="80">
        <v>0</v>
      </c>
      <c r="AA248" s="80">
        <v>0</v>
      </c>
      <c r="AB248" s="80">
        <v>0</v>
      </c>
      <c r="AC248" s="80">
        <v>0</v>
      </c>
      <c r="AD248" s="80">
        <v>0</v>
      </c>
      <c r="AE248" s="80">
        <v>0</v>
      </c>
      <c r="AF248" s="80">
        <v>0</v>
      </c>
      <c r="AG248" s="80">
        <v>0</v>
      </c>
      <c r="AH248" s="80">
        <v>0</v>
      </c>
      <c r="AI248" s="80">
        <v>0</v>
      </c>
      <c r="AJ248" s="80">
        <v>0</v>
      </c>
      <c r="AK248" s="80">
        <v>0</v>
      </c>
      <c r="AL248" s="80">
        <v>0</v>
      </c>
      <c r="AM248" s="80">
        <v>0</v>
      </c>
      <c r="AN248" s="80">
        <v>0</v>
      </c>
      <c r="AO248" s="80">
        <v>0</v>
      </c>
    </row>
    <row r="249" spans="1:41" ht="15.75" x14ac:dyDescent="0.25">
      <c r="A249" s="159">
        <v>6</v>
      </c>
      <c r="B249" s="159" t="s">
        <v>20</v>
      </c>
      <c r="C249" s="159" t="s">
        <v>20</v>
      </c>
      <c r="D249" s="80" t="s">
        <v>245</v>
      </c>
      <c r="E249" s="438">
        <v>0</v>
      </c>
      <c r="F249" s="80">
        <v>0</v>
      </c>
      <c r="G249" s="80">
        <v>0</v>
      </c>
      <c r="H249" s="387">
        <v>2</v>
      </c>
      <c r="I249" s="387">
        <v>1</v>
      </c>
      <c r="J249" s="387">
        <v>1</v>
      </c>
      <c r="K249" s="80">
        <v>0</v>
      </c>
      <c r="L249" s="80">
        <v>0</v>
      </c>
      <c r="M249" s="387">
        <v>1</v>
      </c>
      <c r="N249" s="387">
        <v>1</v>
      </c>
      <c r="O249" s="387">
        <v>1</v>
      </c>
      <c r="P249" s="80">
        <v>0</v>
      </c>
      <c r="Q249" s="387">
        <v>1</v>
      </c>
      <c r="R249" s="80">
        <v>0</v>
      </c>
      <c r="S249" s="80">
        <v>0</v>
      </c>
      <c r="T249" s="80">
        <v>0</v>
      </c>
      <c r="U249" s="387">
        <v>2</v>
      </c>
      <c r="V249" s="387">
        <v>1</v>
      </c>
      <c r="W249" s="387">
        <v>1</v>
      </c>
      <c r="X249" s="80">
        <v>0</v>
      </c>
      <c r="Y249" s="80">
        <v>0</v>
      </c>
      <c r="Z249" s="387">
        <v>2</v>
      </c>
      <c r="AA249" s="387">
        <v>1</v>
      </c>
      <c r="AB249" s="387">
        <v>1</v>
      </c>
      <c r="AC249" s="80">
        <v>0</v>
      </c>
      <c r="AD249" s="387">
        <v>1</v>
      </c>
      <c r="AE249" s="387">
        <v>1</v>
      </c>
      <c r="AF249" s="80">
        <v>0</v>
      </c>
      <c r="AG249" s="390">
        <v>1</v>
      </c>
      <c r="AH249" s="80">
        <v>0</v>
      </c>
      <c r="AI249" s="81">
        <v>0</v>
      </c>
      <c r="AJ249" s="81">
        <v>0</v>
      </c>
      <c r="AK249" s="81">
        <v>0</v>
      </c>
      <c r="AL249" s="81">
        <v>0</v>
      </c>
      <c r="AM249" s="81">
        <v>0</v>
      </c>
      <c r="AN249" s="81">
        <v>0</v>
      </c>
      <c r="AO249" s="80">
        <v>0</v>
      </c>
    </row>
    <row r="250" spans="1:41" ht="15.75" x14ac:dyDescent="0.25">
      <c r="A250" s="159"/>
      <c r="B250" s="159"/>
      <c r="C250" s="159"/>
      <c r="D250" s="80" t="s">
        <v>246</v>
      </c>
      <c r="E250" s="80">
        <v>0</v>
      </c>
      <c r="F250" s="80">
        <v>0</v>
      </c>
      <c r="G250" s="80">
        <v>0</v>
      </c>
      <c r="H250" s="80">
        <v>2</v>
      </c>
      <c r="I250" s="80">
        <v>1</v>
      </c>
      <c r="J250" s="80">
        <v>1</v>
      </c>
      <c r="K250" s="80">
        <v>0</v>
      </c>
      <c r="L250" s="80">
        <v>0</v>
      </c>
      <c r="M250" s="80">
        <v>1</v>
      </c>
      <c r="N250" s="80">
        <v>1</v>
      </c>
      <c r="O250" s="80">
        <v>1</v>
      </c>
      <c r="P250" s="80">
        <v>0</v>
      </c>
      <c r="Q250" s="80">
        <v>1</v>
      </c>
      <c r="R250" s="80">
        <v>0</v>
      </c>
      <c r="S250" s="80">
        <v>0</v>
      </c>
      <c r="T250" s="80">
        <v>0</v>
      </c>
      <c r="U250" s="80">
        <v>2</v>
      </c>
      <c r="V250" s="80">
        <v>1</v>
      </c>
      <c r="W250" s="80">
        <v>1</v>
      </c>
      <c r="X250" s="80">
        <v>0</v>
      </c>
      <c r="Y250" s="80">
        <v>0</v>
      </c>
      <c r="Z250" s="80">
        <v>2</v>
      </c>
      <c r="AA250" s="80">
        <v>1</v>
      </c>
      <c r="AB250" s="80">
        <v>1</v>
      </c>
      <c r="AC250" s="80">
        <v>0</v>
      </c>
      <c r="AD250" s="80">
        <v>1</v>
      </c>
      <c r="AE250" s="80">
        <v>1</v>
      </c>
      <c r="AF250" s="80">
        <v>0</v>
      </c>
      <c r="AG250" s="81">
        <v>1</v>
      </c>
      <c r="AH250" s="80">
        <v>0</v>
      </c>
      <c r="AI250" s="81">
        <v>0</v>
      </c>
      <c r="AJ250" s="81">
        <v>0</v>
      </c>
      <c r="AK250" s="81">
        <v>0</v>
      </c>
      <c r="AL250" s="81">
        <v>0</v>
      </c>
      <c r="AM250" s="81">
        <v>0</v>
      </c>
      <c r="AN250" s="81">
        <v>0</v>
      </c>
      <c r="AO250" s="80">
        <v>0</v>
      </c>
    </row>
    <row r="251" spans="1:41" ht="15.75" x14ac:dyDescent="0.25">
      <c r="A251" s="159"/>
      <c r="B251" s="159"/>
      <c r="C251" s="159"/>
      <c r="D251" s="80" t="s">
        <v>247</v>
      </c>
      <c r="E251" s="80">
        <v>0</v>
      </c>
      <c r="F251" s="80">
        <v>0</v>
      </c>
      <c r="G251" s="80">
        <v>0</v>
      </c>
      <c r="H251" s="80">
        <v>0</v>
      </c>
      <c r="I251" s="80">
        <v>0</v>
      </c>
      <c r="J251" s="80">
        <v>0</v>
      </c>
      <c r="K251" s="80">
        <v>0</v>
      </c>
      <c r="L251" s="80">
        <v>0</v>
      </c>
      <c r="M251" s="80">
        <v>0</v>
      </c>
      <c r="N251" s="80">
        <v>0</v>
      </c>
      <c r="O251" s="80">
        <v>0</v>
      </c>
      <c r="P251" s="80">
        <v>0</v>
      </c>
      <c r="Q251" s="80">
        <v>0</v>
      </c>
      <c r="R251" s="80">
        <v>0</v>
      </c>
      <c r="S251" s="80">
        <v>0</v>
      </c>
      <c r="T251" s="80">
        <v>0</v>
      </c>
      <c r="U251" s="80">
        <v>0</v>
      </c>
      <c r="V251" s="80">
        <v>0</v>
      </c>
      <c r="W251" s="80">
        <v>0</v>
      </c>
      <c r="X251" s="80">
        <v>0</v>
      </c>
      <c r="Y251" s="80">
        <v>0</v>
      </c>
      <c r="Z251" s="80">
        <v>0</v>
      </c>
      <c r="AA251" s="80">
        <v>0</v>
      </c>
      <c r="AB251" s="80">
        <v>0</v>
      </c>
      <c r="AC251" s="80">
        <v>0</v>
      </c>
      <c r="AD251" s="80">
        <v>0</v>
      </c>
      <c r="AE251" s="80">
        <v>0</v>
      </c>
      <c r="AF251" s="80">
        <v>0</v>
      </c>
      <c r="AG251" s="81">
        <v>0</v>
      </c>
      <c r="AH251" s="80">
        <v>0</v>
      </c>
      <c r="AI251" s="81">
        <v>0</v>
      </c>
      <c r="AJ251" s="81">
        <v>0</v>
      </c>
      <c r="AK251" s="81">
        <v>0</v>
      </c>
      <c r="AL251" s="81">
        <v>0</v>
      </c>
      <c r="AM251" s="81">
        <v>0</v>
      </c>
      <c r="AN251" s="81">
        <v>0</v>
      </c>
      <c r="AO251" s="80">
        <v>0</v>
      </c>
    </row>
    <row r="252" spans="1:41" ht="15.75" x14ac:dyDescent="0.25">
      <c r="A252" s="159"/>
      <c r="B252" s="159"/>
      <c r="C252" s="159"/>
      <c r="D252" s="80" t="s">
        <v>248</v>
      </c>
      <c r="E252" s="80">
        <v>0</v>
      </c>
      <c r="F252" s="80">
        <v>0</v>
      </c>
      <c r="G252" s="80">
        <v>0</v>
      </c>
      <c r="H252" s="80">
        <v>2</v>
      </c>
      <c r="I252" s="80">
        <v>1</v>
      </c>
      <c r="J252" s="80">
        <v>1</v>
      </c>
      <c r="K252" s="80">
        <v>0</v>
      </c>
      <c r="L252" s="80">
        <v>0</v>
      </c>
      <c r="M252" s="80">
        <v>1</v>
      </c>
      <c r="N252" s="80">
        <v>1</v>
      </c>
      <c r="O252" s="80">
        <v>1</v>
      </c>
      <c r="P252" s="80">
        <v>0</v>
      </c>
      <c r="Q252" s="80">
        <v>1</v>
      </c>
      <c r="R252" s="80">
        <v>0</v>
      </c>
      <c r="S252" s="80">
        <v>0</v>
      </c>
      <c r="T252" s="80">
        <v>0</v>
      </c>
      <c r="U252" s="80">
        <v>2</v>
      </c>
      <c r="V252" s="80">
        <v>1</v>
      </c>
      <c r="W252" s="80">
        <v>1</v>
      </c>
      <c r="X252" s="80">
        <v>0</v>
      </c>
      <c r="Y252" s="80">
        <v>0</v>
      </c>
      <c r="Z252" s="80">
        <v>1</v>
      </c>
      <c r="AA252" s="80">
        <v>1</v>
      </c>
      <c r="AB252" s="80">
        <v>1</v>
      </c>
      <c r="AC252" s="80">
        <v>0</v>
      </c>
      <c r="AD252" s="80">
        <v>1</v>
      </c>
      <c r="AE252" s="80">
        <v>1</v>
      </c>
      <c r="AF252" s="80">
        <v>0</v>
      </c>
      <c r="AG252" s="81">
        <v>1</v>
      </c>
      <c r="AH252" s="80">
        <v>0</v>
      </c>
      <c r="AI252" s="81">
        <v>0</v>
      </c>
      <c r="AJ252" s="81">
        <v>0</v>
      </c>
      <c r="AK252" s="81">
        <v>0</v>
      </c>
      <c r="AL252" s="81">
        <v>0</v>
      </c>
      <c r="AM252" s="81">
        <v>0</v>
      </c>
      <c r="AN252" s="81">
        <v>0</v>
      </c>
      <c r="AO252" s="80">
        <v>0</v>
      </c>
    </row>
    <row r="253" spans="1:41" ht="15.75" x14ac:dyDescent="0.25">
      <c r="A253" s="159"/>
      <c r="B253" s="159"/>
      <c r="C253" s="159"/>
      <c r="D253" s="80" t="s">
        <v>258</v>
      </c>
      <c r="E253" s="80">
        <v>0</v>
      </c>
      <c r="F253" s="80">
        <v>0</v>
      </c>
      <c r="G253" s="80">
        <v>0</v>
      </c>
      <c r="H253" s="80">
        <v>0</v>
      </c>
      <c r="I253" s="80">
        <v>0</v>
      </c>
      <c r="J253" s="80">
        <v>0</v>
      </c>
      <c r="K253" s="80">
        <v>0</v>
      </c>
      <c r="L253" s="80">
        <v>0</v>
      </c>
      <c r="M253" s="80">
        <v>0</v>
      </c>
      <c r="N253" s="80">
        <v>0</v>
      </c>
      <c r="O253" s="80">
        <v>0</v>
      </c>
      <c r="P253" s="80">
        <v>0</v>
      </c>
      <c r="Q253" s="80">
        <v>0</v>
      </c>
      <c r="R253" s="80">
        <v>0</v>
      </c>
      <c r="S253" s="80">
        <v>0</v>
      </c>
      <c r="T253" s="80">
        <v>0</v>
      </c>
      <c r="U253" s="80">
        <v>0</v>
      </c>
      <c r="V253" s="80">
        <v>0</v>
      </c>
      <c r="W253" s="80">
        <v>0</v>
      </c>
      <c r="X253" s="80">
        <v>0</v>
      </c>
      <c r="Y253" s="80">
        <v>0</v>
      </c>
      <c r="Z253" s="80">
        <v>0</v>
      </c>
      <c r="AA253" s="80">
        <v>0</v>
      </c>
      <c r="AB253" s="80">
        <v>0</v>
      </c>
      <c r="AC253" s="80">
        <v>0</v>
      </c>
      <c r="AD253" s="80">
        <v>0</v>
      </c>
      <c r="AE253" s="80">
        <v>0</v>
      </c>
      <c r="AF253" s="80">
        <v>0</v>
      </c>
      <c r="AG253" s="80">
        <v>0</v>
      </c>
      <c r="AH253" s="80">
        <v>0</v>
      </c>
      <c r="AI253" s="80">
        <v>0</v>
      </c>
      <c r="AJ253" s="80">
        <v>0</v>
      </c>
      <c r="AK253" s="80">
        <v>0</v>
      </c>
      <c r="AL253" s="80">
        <v>0</v>
      </c>
      <c r="AM253" s="81">
        <v>0</v>
      </c>
      <c r="AN253" s="81">
        <v>0</v>
      </c>
      <c r="AO253" s="80">
        <v>0</v>
      </c>
    </row>
    <row r="254" spans="1:41" ht="15.75" x14ac:dyDescent="0.25">
      <c r="A254" s="84">
        <v>7</v>
      </c>
      <c r="B254" s="84" t="s">
        <v>127</v>
      </c>
      <c r="C254" s="84" t="s">
        <v>127</v>
      </c>
      <c r="D254" s="80" t="s">
        <v>245</v>
      </c>
      <c r="E254" s="438">
        <v>0</v>
      </c>
      <c r="F254" s="387">
        <v>1</v>
      </c>
      <c r="G254" s="387">
        <v>1</v>
      </c>
      <c r="H254" s="80">
        <v>0</v>
      </c>
      <c r="I254" s="387">
        <v>7</v>
      </c>
      <c r="J254" s="387">
        <v>2</v>
      </c>
      <c r="K254" s="80">
        <v>0</v>
      </c>
      <c r="L254" s="80">
        <v>0</v>
      </c>
      <c r="M254" s="80">
        <v>0</v>
      </c>
      <c r="N254" s="387">
        <v>1</v>
      </c>
      <c r="O254" s="387">
        <v>4</v>
      </c>
      <c r="P254" s="80">
        <v>0</v>
      </c>
      <c r="Q254" s="387">
        <v>4</v>
      </c>
      <c r="R254" s="387">
        <v>1</v>
      </c>
      <c r="S254" s="80">
        <v>0</v>
      </c>
      <c r="T254" s="387">
        <v>1</v>
      </c>
      <c r="U254" s="387">
        <v>2</v>
      </c>
      <c r="V254" s="387">
        <v>3</v>
      </c>
      <c r="W254" s="387">
        <v>1</v>
      </c>
      <c r="X254" s="387">
        <v>1</v>
      </c>
      <c r="Y254" s="387">
        <v>1</v>
      </c>
      <c r="Z254" s="387">
        <v>1</v>
      </c>
      <c r="AA254" s="387">
        <v>2</v>
      </c>
      <c r="AB254" s="387">
        <v>1</v>
      </c>
      <c r="AC254" s="80">
        <v>0</v>
      </c>
      <c r="AD254" s="80">
        <v>0</v>
      </c>
      <c r="AE254" s="387">
        <v>1</v>
      </c>
      <c r="AF254" s="387">
        <v>1</v>
      </c>
      <c r="AG254" s="80">
        <v>0</v>
      </c>
      <c r="AH254" s="387">
        <v>5</v>
      </c>
      <c r="AI254" s="81">
        <v>0</v>
      </c>
      <c r="AJ254" s="81">
        <v>0</v>
      </c>
      <c r="AK254" s="81">
        <v>0</v>
      </c>
      <c r="AL254" s="390">
        <v>1</v>
      </c>
      <c r="AM254" s="81">
        <v>0</v>
      </c>
      <c r="AN254" s="390">
        <v>1</v>
      </c>
      <c r="AO254" s="80">
        <v>0</v>
      </c>
    </row>
    <row r="255" spans="1:41" ht="15.75" x14ac:dyDescent="0.25">
      <c r="A255" s="84"/>
      <c r="B255" s="84"/>
      <c r="C255" s="84"/>
      <c r="D255" s="80" t="s">
        <v>246</v>
      </c>
      <c r="E255" s="80">
        <v>1</v>
      </c>
      <c r="F255" s="80">
        <v>1</v>
      </c>
      <c r="G255" s="80">
        <v>1</v>
      </c>
      <c r="H255" s="80">
        <v>0</v>
      </c>
      <c r="I255" s="80">
        <v>3</v>
      </c>
      <c r="J255" s="80">
        <v>2</v>
      </c>
      <c r="K255" s="80">
        <v>0</v>
      </c>
      <c r="L255" s="80">
        <v>0</v>
      </c>
      <c r="M255" s="80">
        <v>0</v>
      </c>
      <c r="N255" s="80">
        <v>1</v>
      </c>
      <c r="O255" s="80">
        <v>4</v>
      </c>
      <c r="P255" s="80">
        <v>0</v>
      </c>
      <c r="Q255" s="80">
        <v>4</v>
      </c>
      <c r="R255" s="80">
        <v>1</v>
      </c>
      <c r="S255" s="80">
        <v>0</v>
      </c>
      <c r="T255" s="80">
        <v>1</v>
      </c>
      <c r="U255" s="80">
        <v>2</v>
      </c>
      <c r="V255" s="80">
        <v>3</v>
      </c>
      <c r="W255" s="80">
        <v>1</v>
      </c>
      <c r="X255" s="80">
        <v>1</v>
      </c>
      <c r="Y255" s="80">
        <v>1</v>
      </c>
      <c r="Z255" s="80">
        <v>1</v>
      </c>
      <c r="AA255" s="80">
        <v>2</v>
      </c>
      <c r="AB255" s="80">
        <v>1</v>
      </c>
      <c r="AC255" s="80">
        <v>0</v>
      </c>
      <c r="AD255" s="80">
        <v>0</v>
      </c>
      <c r="AE255" s="80">
        <v>1</v>
      </c>
      <c r="AF255" s="80">
        <v>1</v>
      </c>
      <c r="AG255" s="80">
        <v>0</v>
      </c>
      <c r="AH255" s="80">
        <v>5</v>
      </c>
      <c r="AI255" s="81">
        <v>0</v>
      </c>
      <c r="AJ255" s="81">
        <v>0</v>
      </c>
      <c r="AK255" s="81">
        <v>0</v>
      </c>
      <c r="AL255" s="81">
        <v>1</v>
      </c>
      <c r="AM255" s="81">
        <v>0</v>
      </c>
      <c r="AN255" s="81">
        <v>1</v>
      </c>
      <c r="AO255" s="80">
        <v>0</v>
      </c>
    </row>
    <row r="256" spans="1:41" ht="15.75" x14ac:dyDescent="0.25">
      <c r="A256" s="84"/>
      <c r="B256" s="84"/>
      <c r="C256" s="84"/>
      <c r="D256" s="80" t="s">
        <v>247</v>
      </c>
      <c r="E256" s="80">
        <v>0</v>
      </c>
      <c r="F256" s="80">
        <v>0</v>
      </c>
      <c r="G256" s="80">
        <v>0</v>
      </c>
      <c r="H256" s="80">
        <v>0</v>
      </c>
      <c r="I256" s="80">
        <v>0</v>
      </c>
      <c r="J256" s="80">
        <v>0</v>
      </c>
      <c r="K256" s="80">
        <v>0</v>
      </c>
      <c r="L256" s="80">
        <v>0</v>
      </c>
      <c r="M256" s="80">
        <v>0</v>
      </c>
      <c r="N256" s="80">
        <v>0</v>
      </c>
      <c r="O256" s="80">
        <v>0</v>
      </c>
      <c r="P256" s="80">
        <v>0</v>
      </c>
      <c r="Q256" s="80">
        <v>0</v>
      </c>
      <c r="R256" s="80">
        <v>0</v>
      </c>
      <c r="S256" s="80">
        <v>0</v>
      </c>
      <c r="T256" s="80">
        <v>0</v>
      </c>
      <c r="U256" s="80">
        <v>0</v>
      </c>
      <c r="V256" s="80">
        <v>0</v>
      </c>
      <c r="W256" s="80">
        <v>0</v>
      </c>
      <c r="X256" s="80">
        <v>0</v>
      </c>
      <c r="Y256" s="80">
        <v>0</v>
      </c>
      <c r="Z256" s="80">
        <v>0</v>
      </c>
      <c r="AA256" s="80">
        <v>0</v>
      </c>
      <c r="AB256" s="80">
        <v>0</v>
      </c>
      <c r="AC256" s="80">
        <v>0</v>
      </c>
      <c r="AD256" s="80">
        <v>0</v>
      </c>
      <c r="AE256" s="80">
        <v>0</v>
      </c>
      <c r="AF256" s="80">
        <v>0</v>
      </c>
      <c r="AG256" s="80">
        <v>0</v>
      </c>
      <c r="AH256" s="80">
        <v>0</v>
      </c>
      <c r="AI256" s="81">
        <v>0</v>
      </c>
      <c r="AJ256" s="81">
        <v>0</v>
      </c>
      <c r="AK256" s="81">
        <v>0</v>
      </c>
      <c r="AL256" s="81">
        <v>0</v>
      </c>
      <c r="AM256" s="81">
        <v>0</v>
      </c>
      <c r="AN256" s="81">
        <v>0</v>
      </c>
      <c r="AO256" s="80">
        <v>0</v>
      </c>
    </row>
    <row r="257" spans="1:41" ht="15.75" x14ac:dyDescent="0.25">
      <c r="A257" s="84"/>
      <c r="B257" s="84"/>
      <c r="C257" s="84"/>
      <c r="D257" s="80" t="s">
        <v>248</v>
      </c>
      <c r="E257" s="80">
        <v>1</v>
      </c>
      <c r="F257" s="80">
        <v>1</v>
      </c>
      <c r="G257" s="80">
        <v>1</v>
      </c>
      <c r="H257" s="80">
        <v>0</v>
      </c>
      <c r="I257" s="80">
        <v>7</v>
      </c>
      <c r="J257" s="80">
        <v>2</v>
      </c>
      <c r="K257" s="80">
        <v>0</v>
      </c>
      <c r="L257" s="80">
        <v>0</v>
      </c>
      <c r="M257" s="80">
        <v>0</v>
      </c>
      <c r="N257" s="80">
        <v>1</v>
      </c>
      <c r="O257" s="80">
        <v>4</v>
      </c>
      <c r="P257" s="80">
        <v>0</v>
      </c>
      <c r="Q257" s="80">
        <v>4</v>
      </c>
      <c r="R257" s="80">
        <v>0</v>
      </c>
      <c r="S257" s="80">
        <v>0</v>
      </c>
      <c r="T257" s="80">
        <v>0</v>
      </c>
      <c r="U257" s="80">
        <v>2</v>
      </c>
      <c r="V257" s="80">
        <v>3</v>
      </c>
      <c r="W257" s="80">
        <v>1</v>
      </c>
      <c r="X257" s="80">
        <v>1</v>
      </c>
      <c r="Y257" s="80">
        <v>1</v>
      </c>
      <c r="Z257" s="80">
        <v>0</v>
      </c>
      <c r="AA257" s="80">
        <v>2</v>
      </c>
      <c r="AB257" s="80">
        <v>1</v>
      </c>
      <c r="AC257" s="80">
        <v>0</v>
      </c>
      <c r="AD257" s="80">
        <v>0</v>
      </c>
      <c r="AE257" s="80">
        <v>1</v>
      </c>
      <c r="AF257" s="80">
        <v>1</v>
      </c>
      <c r="AG257" s="80">
        <v>0</v>
      </c>
      <c r="AH257" s="80">
        <v>5</v>
      </c>
      <c r="AI257" s="81">
        <v>0</v>
      </c>
      <c r="AJ257" s="81">
        <v>0</v>
      </c>
      <c r="AK257" s="81">
        <v>0</v>
      </c>
      <c r="AL257" s="81">
        <v>1</v>
      </c>
      <c r="AM257" s="81">
        <v>0</v>
      </c>
      <c r="AN257" s="81">
        <v>1</v>
      </c>
      <c r="AO257" s="80">
        <v>0</v>
      </c>
    </row>
    <row r="258" spans="1:41" ht="15.75" x14ac:dyDescent="0.25">
      <c r="A258" s="84"/>
      <c r="B258" s="84"/>
      <c r="C258" s="84"/>
      <c r="D258" s="80" t="s">
        <v>258</v>
      </c>
      <c r="E258" s="80">
        <v>0</v>
      </c>
      <c r="F258" s="80">
        <v>0</v>
      </c>
      <c r="G258" s="80">
        <v>0</v>
      </c>
      <c r="H258" s="80">
        <v>0</v>
      </c>
      <c r="I258" s="80">
        <v>0</v>
      </c>
      <c r="J258" s="80">
        <v>0</v>
      </c>
      <c r="K258" s="80">
        <v>0</v>
      </c>
      <c r="L258" s="80">
        <v>0</v>
      </c>
      <c r="M258" s="80">
        <v>0</v>
      </c>
      <c r="N258" s="80">
        <v>0</v>
      </c>
      <c r="O258" s="80">
        <v>0</v>
      </c>
      <c r="P258" s="80">
        <v>0</v>
      </c>
      <c r="Q258" s="80">
        <v>0</v>
      </c>
      <c r="R258" s="80">
        <v>1</v>
      </c>
      <c r="S258" s="80">
        <v>0</v>
      </c>
      <c r="T258" s="80">
        <v>1</v>
      </c>
      <c r="U258" s="80">
        <v>0</v>
      </c>
      <c r="V258" s="80">
        <v>0</v>
      </c>
      <c r="W258" s="80">
        <v>0</v>
      </c>
      <c r="X258" s="80">
        <v>0</v>
      </c>
      <c r="Y258" s="80">
        <v>0</v>
      </c>
      <c r="Z258" s="80">
        <v>1</v>
      </c>
      <c r="AA258" s="80">
        <v>0</v>
      </c>
      <c r="AB258" s="80">
        <v>0</v>
      </c>
      <c r="AC258" s="80">
        <v>0</v>
      </c>
      <c r="AD258" s="80">
        <v>0</v>
      </c>
      <c r="AE258" s="80">
        <v>0</v>
      </c>
      <c r="AF258" s="80">
        <v>0</v>
      </c>
      <c r="AG258" s="81">
        <v>0</v>
      </c>
      <c r="AH258" s="80">
        <v>0</v>
      </c>
      <c r="AI258" s="80">
        <v>0</v>
      </c>
      <c r="AJ258" s="80">
        <v>0</v>
      </c>
      <c r="AK258" s="80">
        <v>0</v>
      </c>
      <c r="AL258" s="80">
        <v>0</v>
      </c>
      <c r="AM258" s="81">
        <v>0</v>
      </c>
      <c r="AN258" s="81">
        <v>0</v>
      </c>
      <c r="AO258" s="80">
        <v>0</v>
      </c>
    </row>
    <row r="259" spans="1:41" ht="15.75" x14ac:dyDescent="0.25">
      <c r="A259" s="84">
        <v>8</v>
      </c>
      <c r="B259" s="84"/>
      <c r="C259" s="84" t="s">
        <v>172</v>
      </c>
      <c r="D259" s="80" t="s">
        <v>245</v>
      </c>
      <c r="E259" s="438">
        <v>0</v>
      </c>
      <c r="F259" s="80">
        <v>0</v>
      </c>
      <c r="G259" s="80">
        <v>0</v>
      </c>
      <c r="H259" s="387">
        <v>1</v>
      </c>
      <c r="I259" s="387">
        <v>2</v>
      </c>
      <c r="J259" s="387">
        <v>1</v>
      </c>
      <c r="K259" s="80">
        <v>0</v>
      </c>
      <c r="L259" s="387">
        <v>1</v>
      </c>
      <c r="M259" s="80">
        <v>0</v>
      </c>
      <c r="N259" s="80">
        <v>0</v>
      </c>
      <c r="O259" s="387">
        <v>1</v>
      </c>
      <c r="P259" s="80">
        <v>0</v>
      </c>
      <c r="Q259" s="387">
        <v>2</v>
      </c>
      <c r="R259" s="387">
        <v>1</v>
      </c>
      <c r="S259" s="80">
        <v>0</v>
      </c>
      <c r="T259" s="387">
        <v>1</v>
      </c>
      <c r="U259" s="387">
        <v>2</v>
      </c>
      <c r="V259" s="387">
        <v>1</v>
      </c>
      <c r="W259" s="387">
        <v>1</v>
      </c>
      <c r="X259" s="80">
        <v>0</v>
      </c>
      <c r="Y259" s="80">
        <v>0</v>
      </c>
      <c r="Z259" s="387">
        <v>2</v>
      </c>
      <c r="AA259" s="387">
        <v>1</v>
      </c>
      <c r="AB259" s="387">
        <v>1</v>
      </c>
      <c r="AC259" s="80">
        <v>1</v>
      </c>
      <c r="AD259" s="80">
        <v>0</v>
      </c>
      <c r="AE259" s="387">
        <v>1</v>
      </c>
      <c r="AF259" s="387">
        <v>1</v>
      </c>
      <c r="AG259" s="390">
        <v>1</v>
      </c>
      <c r="AH259" s="387">
        <v>1</v>
      </c>
      <c r="AI259" s="81">
        <v>0</v>
      </c>
      <c r="AJ259" s="81">
        <v>0</v>
      </c>
      <c r="AK259" s="81">
        <v>0</v>
      </c>
      <c r="AL259" s="81">
        <v>0</v>
      </c>
      <c r="AM259" s="81">
        <v>2</v>
      </c>
      <c r="AN259" s="390">
        <v>1</v>
      </c>
      <c r="AO259" s="81">
        <v>1</v>
      </c>
    </row>
    <row r="260" spans="1:41" ht="15.75" x14ac:dyDescent="0.25">
      <c r="A260" s="84"/>
      <c r="B260" s="84"/>
      <c r="C260" s="84"/>
      <c r="D260" s="80" t="s">
        <v>246</v>
      </c>
      <c r="E260" s="80">
        <v>0</v>
      </c>
      <c r="F260" s="80">
        <v>0</v>
      </c>
      <c r="G260" s="80">
        <v>0</v>
      </c>
      <c r="H260" s="80">
        <v>1</v>
      </c>
      <c r="I260" s="80">
        <v>2</v>
      </c>
      <c r="J260" s="80">
        <v>1</v>
      </c>
      <c r="K260" s="80">
        <v>0</v>
      </c>
      <c r="L260" s="80">
        <v>1</v>
      </c>
      <c r="M260" s="80">
        <v>0</v>
      </c>
      <c r="N260" s="80">
        <v>0</v>
      </c>
      <c r="O260" s="80">
        <v>1</v>
      </c>
      <c r="P260" s="80">
        <v>0</v>
      </c>
      <c r="Q260" s="80">
        <v>2</v>
      </c>
      <c r="R260" s="80">
        <v>1</v>
      </c>
      <c r="S260" s="80">
        <v>0</v>
      </c>
      <c r="T260" s="80">
        <v>1</v>
      </c>
      <c r="U260" s="80">
        <v>2</v>
      </c>
      <c r="V260" s="80">
        <v>1</v>
      </c>
      <c r="W260" s="80">
        <v>1</v>
      </c>
      <c r="X260" s="80">
        <v>0</v>
      </c>
      <c r="Y260" s="80">
        <v>0</v>
      </c>
      <c r="Z260" s="407">
        <v>2</v>
      </c>
      <c r="AA260" s="80">
        <v>1</v>
      </c>
      <c r="AB260" s="80">
        <v>1</v>
      </c>
      <c r="AC260" s="80">
        <v>1</v>
      </c>
      <c r="AD260" s="80">
        <v>0</v>
      </c>
      <c r="AE260" s="80">
        <v>1</v>
      </c>
      <c r="AF260" s="80">
        <v>1</v>
      </c>
      <c r="AG260" s="81">
        <v>1</v>
      </c>
      <c r="AH260" s="80">
        <v>1</v>
      </c>
      <c r="AI260" s="81">
        <v>0</v>
      </c>
      <c r="AJ260" s="81">
        <v>0</v>
      </c>
      <c r="AK260" s="81">
        <v>0</v>
      </c>
      <c r="AL260" s="81">
        <v>0</v>
      </c>
      <c r="AM260" s="81">
        <v>2</v>
      </c>
      <c r="AN260" s="81">
        <v>1</v>
      </c>
      <c r="AO260" s="81">
        <v>1</v>
      </c>
    </row>
    <row r="261" spans="1:41" ht="15.75" x14ac:dyDescent="0.25">
      <c r="A261" s="84"/>
      <c r="B261" s="84"/>
      <c r="C261" s="84"/>
      <c r="D261" s="80" t="s">
        <v>247</v>
      </c>
      <c r="E261" s="80">
        <v>0</v>
      </c>
      <c r="F261" s="80">
        <v>0</v>
      </c>
      <c r="G261" s="80">
        <v>0</v>
      </c>
      <c r="H261" s="80">
        <v>0</v>
      </c>
      <c r="I261" s="80">
        <v>0</v>
      </c>
      <c r="J261" s="80">
        <v>0</v>
      </c>
      <c r="K261" s="80">
        <v>0</v>
      </c>
      <c r="L261" s="80">
        <v>0</v>
      </c>
      <c r="M261" s="80">
        <v>0</v>
      </c>
      <c r="N261" s="80">
        <v>0</v>
      </c>
      <c r="O261" s="80">
        <v>0</v>
      </c>
      <c r="P261" s="80">
        <v>0</v>
      </c>
      <c r="Q261" s="80">
        <v>0</v>
      </c>
      <c r="R261" s="80">
        <v>0</v>
      </c>
      <c r="S261" s="80">
        <v>0</v>
      </c>
      <c r="T261" s="80">
        <v>0</v>
      </c>
      <c r="U261" s="80">
        <v>0</v>
      </c>
      <c r="V261" s="80">
        <v>0</v>
      </c>
      <c r="W261" s="80">
        <v>0</v>
      </c>
      <c r="X261" s="80">
        <v>0</v>
      </c>
      <c r="Y261" s="80">
        <v>0</v>
      </c>
      <c r="Z261" s="407">
        <v>0</v>
      </c>
      <c r="AA261" s="407">
        <v>0</v>
      </c>
      <c r="AB261" s="80">
        <v>0</v>
      </c>
      <c r="AC261" s="80">
        <v>0</v>
      </c>
      <c r="AD261" s="80">
        <v>0</v>
      </c>
      <c r="AE261" s="80">
        <v>0</v>
      </c>
      <c r="AF261" s="80">
        <v>0</v>
      </c>
      <c r="AG261" s="81">
        <v>0</v>
      </c>
      <c r="AH261" s="80">
        <v>0</v>
      </c>
      <c r="AI261" s="81">
        <v>0</v>
      </c>
      <c r="AJ261" s="81">
        <v>0</v>
      </c>
      <c r="AK261" s="81">
        <v>0</v>
      </c>
      <c r="AL261" s="81">
        <v>0</v>
      </c>
      <c r="AM261" s="81">
        <v>0</v>
      </c>
      <c r="AN261" s="81">
        <v>0</v>
      </c>
      <c r="AO261" s="81">
        <v>0</v>
      </c>
    </row>
    <row r="262" spans="1:41" ht="15.75" x14ac:dyDescent="0.25">
      <c r="A262" s="84"/>
      <c r="B262" s="84"/>
      <c r="C262" s="84"/>
      <c r="D262" s="80" t="s">
        <v>248</v>
      </c>
      <c r="E262" s="80">
        <v>0</v>
      </c>
      <c r="F262" s="80">
        <v>0</v>
      </c>
      <c r="G262" s="80">
        <v>0</v>
      </c>
      <c r="H262" s="80">
        <v>1</v>
      </c>
      <c r="I262" s="80">
        <v>1</v>
      </c>
      <c r="J262" s="80">
        <v>1</v>
      </c>
      <c r="K262" s="80">
        <v>0</v>
      </c>
      <c r="L262" s="80">
        <v>1</v>
      </c>
      <c r="M262" s="80">
        <v>0</v>
      </c>
      <c r="N262" s="80">
        <v>0</v>
      </c>
      <c r="O262" s="80">
        <v>1</v>
      </c>
      <c r="P262" s="80">
        <v>0</v>
      </c>
      <c r="Q262" s="80">
        <v>1</v>
      </c>
      <c r="R262" s="80">
        <v>1</v>
      </c>
      <c r="S262" s="80">
        <v>0</v>
      </c>
      <c r="T262" s="80">
        <v>1</v>
      </c>
      <c r="U262" s="80">
        <v>2</v>
      </c>
      <c r="V262" s="80">
        <v>1</v>
      </c>
      <c r="W262" s="80">
        <v>1</v>
      </c>
      <c r="X262" s="80">
        <v>0</v>
      </c>
      <c r="Y262" s="80">
        <v>0</v>
      </c>
      <c r="Z262" s="407">
        <v>1</v>
      </c>
      <c r="AA262" s="407">
        <v>0</v>
      </c>
      <c r="AB262" s="80">
        <v>0</v>
      </c>
      <c r="AC262" s="80">
        <v>0</v>
      </c>
      <c r="AD262" s="80">
        <v>0</v>
      </c>
      <c r="AE262" s="80">
        <v>0</v>
      </c>
      <c r="AF262" s="80">
        <v>0</v>
      </c>
      <c r="AG262" s="81">
        <v>1</v>
      </c>
      <c r="AH262" s="80">
        <v>0</v>
      </c>
      <c r="AI262" s="81">
        <v>0</v>
      </c>
      <c r="AJ262" s="81">
        <v>0</v>
      </c>
      <c r="AK262" s="81">
        <v>0</v>
      </c>
      <c r="AL262" s="81">
        <v>0</v>
      </c>
      <c r="AM262" s="81">
        <v>2</v>
      </c>
      <c r="AN262" s="81">
        <v>1</v>
      </c>
      <c r="AO262" s="81">
        <v>1</v>
      </c>
    </row>
    <row r="263" spans="1:41" ht="15.75" x14ac:dyDescent="0.25">
      <c r="A263" s="84"/>
      <c r="B263" s="84"/>
      <c r="C263" s="84"/>
      <c r="D263" s="80" t="s">
        <v>258</v>
      </c>
      <c r="E263" s="80">
        <v>0</v>
      </c>
      <c r="F263" s="80">
        <v>0</v>
      </c>
      <c r="G263" s="80">
        <v>0</v>
      </c>
      <c r="H263" s="80">
        <v>0</v>
      </c>
      <c r="I263" s="80">
        <v>1</v>
      </c>
      <c r="J263" s="80">
        <v>0</v>
      </c>
      <c r="K263" s="80">
        <v>0</v>
      </c>
      <c r="L263" s="80">
        <v>0</v>
      </c>
      <c r="M263" s="80">
        <v>0</v>
      </c>
      <c r="N263" s="80">
        <v>0</v>
      </c>
      <c r="O263" s="80">
        <v>0</v>
      </c>
      <c r="P263" s="80">
        <v>0</v>
      </c>
      <c r="Q263" s="80">
        <v>1</v>
      </c>
      <c r="R263" s="80">
        <v>0</v>
      </c>
      <c r="S263" s="80">
        <v>0</v>
      </c>
      <c r="T263" s="80">
        <v>0</v>
      </c>
      <c r="U263" s="80">
        <v>0</v>
      </c>
      <c r="V263" s="80">
        <v>0</v>
      </c>
      <c r="W263" s="80">
        <v>0</v>
      </c>
      <c r="X263" s="80">
        <v>0</v>
      </c>
      <c r="Y263" s="80">
        <v>0</v>
      </c>
      <c r="Z263" s="407">
        <v>0</v>
      </c>
      <c r="AA263" s="407">
        <v>0</v>
      </c>
      <c r="AB263" s="80">
        <v>1</v>
      </c>
      <c r="AC263" s="80">
        <v>1</v>
      </c>
      <c r="AD263" s="80">
        <v>0</v>
      </c>
      <c r="AE263" s="80">
        <v>1</v>
      </c>
      <c r="AF263" s="80">
        <v>1</v>
      </c>
      <c r="AG263" s="80">
        <v>0</v>
      </c>
      <c r="AH263" s="80">
        <v>1</v>
      </c>
      <c r="AI263" s="80">
        <v>0</v>
      </c>
      <c r="AJ263" s="80">
        <v>0</v>
      </c>
      <c r="AK263" s="80">
        <v>0</v>
      </c>
      <c r="AL263" s="80">
        <v>0</v>
      </c>
      <c r="AM263" s="81">
        <v>0</v>
      </c>
      <c r="AN263" s="81">
        <v>0</v>
      </c>
      <c r="AO263" s="81">
        <v>0</v>
      </c>
    </row>
    <row r="264" spans="1:41" ht="15.75" x14ac:dyDescent="0.25">
      <c r="A264" s="84">
        <v>9</v>
      </c>
      <c r="B264" s="84"/>
      <c r="C264" s="84" t="s">
        <v>250</v>
      </c>
      <c r="D264" s="80" t="s">
        <v>245</v>
      </c>
      <c r="E264" s="438">
        <v>0</v>
      </c>
      <c r="F264" s="80">
        <v>0</v>
      </c>
      <c r="G264" s="80">
        <v>0</v>
      </c>
      <c r="H264" s="387">
        <v>1</v>
      </c>
      <c r="I264" s="80">
        <v>0</v>
      </c>
      <c r="J264" s="387">
        <v>1</v>
      </c>
      <c r="K264" s="80">
        <v>0</v>
      </c>
      <c r="L264" s="80">
        <v>0</v>
      </c>
      <c r="M264" s="80">
        <v>0</v>
      </c>
      <c r="N264" s="80">
        <v>0</v>
      </c>
      <c r="O264" s="387">
        <v>1</v>
      </c>
      <c r="P264" s="80">
        <v>0</v>
      </c>
      <c r="Q264" s="387">
        <v>1</v>
      </c>
      <c r="R264" s="80">
        <v>0</v>
      </c>
      <c r="S264" s="80">
        <v>0</v>
      </c>
      <c r="T264" s="80">
        <v>0</v>
      </c>
      <c r="U264" s="387">
        <v>1</v>
      </c>
      <c r="V264" s="387">
        <v>1</v>
      </c>
      <c r="W264" s="387">
        <v>1</v>
      </c>
      <c r="X264" s="80">
        <v>0</v>
      </c>
      <c r="Y264" s="80">
        <v>0</v>
      </c>
      <c r="Z264" s="80">
        <v>0</v>
      </c>
      <c r="AA264" s="387">
        <v>2</v>
      </c>
      <c r="AB264" s="387">
        <v>2</v>
      </c>
      <c r="AC264" s="80">
        <v>0</v>
      </c>
      <c r="AD264" s="80">
        <v>0</v>
      </c>
      <c r="AE264" s="387">
        <v>3</v>
      </c>
      <c r="AF264" s="80">
        <v>0</v>
      </c>
      <c r="AG264" s="390">
        <v>1</v>
      </c>
      <c r="AH264" s="80">
        <v>0</v>
      </c>
      <c r="AI264" s="81">
        <v>0</v>
      </c>
      <c r="AJ264" s="81">
        <v>0</v>
      </c>
      <c r="AK264" s="81">
        <v>0</v>
      </c>
      <c r="AL264" s="81">
        <v>0</v>
      </c>
      <c r="AM264" s="81">
        <v>3</v>
      </c>
      <c r="AN264" s="81">
        <v>0</v>
      </c>
      <c r="AO264" s="81">
        <v>0</v>
      </c>
    </row>
    <row r="265" spans="1:41" ht="15.75" x14ac:dyDescent="0.25">
      <c r="A265" s="84"/>
      <c r="B265" s="84"/>
      <c r="C265" s="84"/>
      <c r="D265" s="80" t="s">
        <v>246</v>
      </c>
      <c r="E265" s="80">
        <v>0</v>
      </c>
      <c r="F265" s="80">
        <v>0</v>
      </c>
      <c r="G265" s="80">
        <v>0</v>
      </c>
      <c r="H265" s="80">
        <v>1</v>
      </c>
      <c r="I265" s="80">
        <v>0</v>
      </c>
      <c r="J265" s="80">
        <v>1</v>
      </c>
      <c r="K265" s="80">
        <v>0</v>
      </c>
      <c r="L265" s="80">
        <v>0</v>
      </c>
      <c r="M265" s="80">
        <v>0</v>
      </c>
      <c r="N265" s="80">
        <v>0</v>
      </c>
      <c r="O265" s="80">
        <v>1</v>
      </c>
      <c r="P265" s="80">
        <v>0</v>
      </c>
      <c r="Q265" s="80">
        <v>1</v>
      </c>
      <c r="R265" s="80">
        <v>0</v>
      </c>
      <c r="S265" s="80">
        <v>0</v>
      </c>
      <c r="T265" s="80">
        <v>0</v>
      </c>
      <c r="U265" s="80">
        <v>1</v>
      </c>
      <c r="V265" s="80">
        <v>1</v>
      </c>
      <c r="W265" s="80">
        <v>1</v>
      </c>
      <c r="X265" s="80">
        <v>0</v>
      </c>
      <c r="Y265" s="80">
        <v>0</v>
      </c>
      <c r="Z265" s="80">
        <v>0</v>
      </c>
      <c r="AA265" s="80">
        <v>2</v>
      </c>
      <c r="AB265" s="80">
        <v>2</v>
      </c>
      <c r="AC265" s="80">
        <v>0</v>
      </c>
      <c r="AD265" s="80">
        <v>0</v>
      </c>
      <c r="AE265" s="80">
        <v>3</v>
      </c>
      <c r="AF265" s="80">
        <v>0</v>
      </c>
      <c r="AG265" s="81">
        <v>1</v>
      </c>
      <c r="AH265" s="80">
        <v>0</v>
      </c>
      <c r="AI265" s="81">
        <v>0</v>
      </c>
      <c r="AJ265" s="81">
        <v>0</v>
      </c>
      <c r="AK265" s="81">
        <v>0</v>
      </c>
      <c r="AL265" s="81">
        <v>0</v>
      </c>
      <c r="AM265" s="81">
        <v>3</v>
      </c>
      <c r="AN265" s="81">
        <v>0</v>
      </c>
      <c r="AO265" s="81">
        <v>0</v>
      </c>
    </row>
    <row r="266" spans="1:41" ht="15.75" x14ac:dyDescent="0.25">
      <c r="A266" s="84"/>
      <c r="B266" s="84"/>
      <c r="C266" s="84"/>
      <c r="D266" s="80" t="s">
        <v>247</v>
      </c>
      <c r="E266" s="80">
        <v>0</v>
      </c>
      <c r="F266" s="80">
        <v>0</v>
      </c>
      <c r="G266" s="80">
        <v>0</v>
      </c>
      <c r="H266" s="80">
        <v>0</v>
      </c>
      <c r="I266" s="80">
        <v>0</v>
      </c>
      <c r="J266" s="80">
        <v>0</v>
      </c>
      <c r="K266" s="80">
        <v>0</v>
      </c>
      <c r="L266" s="80">
        <v>0</v>
      </c>
      <c r="M266" s="80">
        <v>0</v>
      </c>
      <c r="N266" s="80">
        <v>0</v>
      </c>
      <c r="O266" s="80">
        <v>0</v>
      </c>
      <c r="P266" s="80">
        <v>0</v>
      </c>
      <c r="Q266" s="80">
        <v>0</v>
      </c>
      <c r="R266" s="80">
        <v>0</v>
      </c>
      <c r="S266" s="80">
        <v>0</v>
      </c>
      <c r="T266" s="80">
        <v>0</v>
      </c>
      <c r="U266" s="80">
        <v>0</v>
      </c>
      <c r="V266" s="80">
        <v>0</v>
      </c>
      <c r="W266" s="80">
        <v>0</v>
      </c>
      <c r="X266" s="80">
        <v>0</v>
      </c>
      <c r="Y266" s="80">
        <v>0</v>
      </c>
      <c r="Z266" s="80">
        <v>0</v>
      </c>
      <c r="AA266" s="80">
        <v>0</v>
      </c>
      <c r="AB266" s="80">
        <v>0</v>
      </c>
      <c r="AC266" s="80">
        <v>0</v>
      </c>
      <c r="AD266" s="80">
        <v>0</v>
      </c>
      <c r="AE266" s="80">
        <v>0</v>
      </c>
      <c r="AF266" s="80">
        <v>0</v>
      </c>
      <c r="AG266" s="81">
        <v>0</v>
      </c>
      <c r="AH266" s="80">
        <v>0</v>
      </c>
      <c r="AI266" s="81">
        <v>0</v>
      </c>
      <c r="AJ266" s="81">
        <v>0</v>
      </c>
      <c r="AK266" s="81">
        <v>0</v>
      </c>
      <c r="AL266" s="81">
        <v>0</v>
      </c>
      <c r="AM266" s="81">
        <v>0</v>
      </c>
      <c r="AN266" s="81">
        <v>0</v>
      </c>
      <c r="AO266" s="81">
        <v>0</v>
      </c>
    </row>
    <row r="267" spans="1:41" ht="15.75" x14ac:dyDescent="0.25">
      <c r="A267" s="84"/>
      <c r="B267" s="84"/>
      <c r="C267" s="84"/>
      <c r="D267" s="80" t="s">
        <v>248</v>
      </c>
      <c r="E267" s="80">
        <v>0</v>
      </c>
      <c r="F267" s="80">
        <v>0</v>
      </c>
      <c r="G267" s="80">
        <v>0</v>
      </c>
      <c r="H267" s="80">
        <v>1</v>
      </c>
      <c r="I267" s="80">
        <v>0</v>
      </c>
      <c r="J267" s="80">
        <v>1</v>
      </c>
      <c r="K267" s="80">
        <v>0</v>
      </c>
      <c r="L267" s="80">
        <v>0</v>
      </c>
      <c r="M267" s="80">
        <v>0</v>
      </c>
      <c r="N267" s="80">
        <v>0</v>
      </c>
      <c r="O267" s="80">
        <v>1</v>
      </c>
      <c r="P267" s="80">
        <v>0</v>
      </c>
      <c r="Q267" s="80">
        <v>1</v>
      </c>
      <c r="R267" s="80">
        <v>0</v>
      </c>
      <c r="S267" s="80">
        <v>0</v>
      </c>
      <c r="T267" s="80">
        <v>0</v>
      </c>
      <c r="U267" s="80">
        <v>1</v>
      </c>
      <c r="V267" s="80">
        <v>1</v>
      </c>
      <c r="W267" s="80">
        <v>1</v>
      </c>
      <c r="X267" s="80">
        <v>0</v>
      </c>
      <c r="Y267" s="80">
        <v>0</v>
      </c>
      <c r="Z267" s="80">
        <v>0</v>
      </c>
      <c r="AA267" s="80">
        <v>2</v>
      </c>
      <c r="AB267" s="80">
        <v>2</v>
      </c>
      <c r="AC267" s="80">
        <v>0</v>
      </c>
      <c r="AD267" s="80">
        <v>0</v>
      </c>
      <c r="AE267" s="80">
        <v>2</v>
      </c>
      <c r="AF267" s="80">
        <v>0</v>
      </c>
      <c r="AG267" s="81">
        <v>1</v>
      </c>
      <c r="AH267" s="80">
        <v>0</v>
      </c>
      <c r="AI267" s="81">
        <v>0</v>
      </c>
      <c r="AJ267" s="81">
        <v>0</v>
      </c>
      <c r="AK267" s="81">
        <v>0</v>
      </c>
      <c r="AL267" s="81">
        <v>0</v>
      </c>
      <c r="AM267" s="81">
        <v>2</v>
      </c>
      <c r="AN267" s="81">
        <v>0</v>
      </c>
      <c r="AO267" s="81">
        <v>0</v>
      </c>
    </row>
    <row r="268" spans="1:41" ht="15.75" x14ac:dyDescent="0.25">
      <c r="A268" s="84"/>
      <c r="B268" s="84"/>
      <c r="C268" s="84"/>
      <c r="D268" s="80" t="s">
        <v>258</v>
      </c>
      <c r="E268" s="80">
        <v>0</v>
      </c>
      <c r="F268" s="80">
        <v>0</v>
      </c>
      <c r="G268" s="80">
        <v>0</v>
      </c>
      <c r="H268" s="80">
        <v>0</v>
      </c>
      <c r="I268" s="80">
        <v>0</v>
      </c>
      <c r="J268" s="80">
        <v>0</v>
      </c>
      <c r="K268" s="80">
        <v>0</v>
      </c>
      <c r="L268" s="80">
        <v>0</v>
      </c>
      <c r="M268" s="80">
        <v>0</v>
      </c>
      <c r="N268" s="80">
        <v>0</v>
      </c>
      <c r="O268" s="80">
        <v>0</v>
      </c>
      <c r="P268" s="80">
        <v>0</v>
      </c>
      <c r="Q268" s="80">
        <v>0</v>
      </c>
      <c r="R268" s="80">
        <v>0</v>
      </c>
      <c r="S268" s="80">
        <v>0</v>
      </c>
      <c r="T268" s="80">
        <v>0</v>
      </c>
      <c r="U268" s="80">
        <v>0</v>
      </c>
      <c r="V268" s="80">
        <v>0</v>
      </c>
      <c r="W268" s="80">
        <v>0</v>
      </c>
      <c r="X268" s="80">
        <v>0</v>
      </c>
      <c r="Y268" s="80">
        <v>0</v>
      </c>
      <c r="Z268" s="80">
        <v>0</v>
      </c>
      <c r="AA268" s="80">
        <v>0</v>
      </c>
      <c r="AB268" s="80">
        <v>0</v>
      </c>
      <c r="AC268" s="80">
        <v>0</v>
      </c>
      <c r="AD268" s="80">
        <v>0</v>
      </c>
      <c r="AE268" s="80">
        <v>1</v>
      </c>
      <c r="AF268" s="80">
        <v>0</v>
      </c>
      <c r="AG268" s="80">
        <v>0</v>
      </c>
      <c r="AH268" s="80">
        <v>0</v>
      </c>
      <c r="AI268" s="80">
        <v>0</v>
      </c>
      <c r="AJ268" s="80">
        <v>0</v>
      </c>
      <c r="AK268" s="80">
        <v>0</v>
      </c>
      <c r="AL268" s="80">
        <v>0</v>
      </c>
      <c r="AM268" s="81">
        <v>1</v>
      </c>
      <c r="AN268" s="81">
        <v>0</v>
      </c>
      <c r="AO268" s="81">
        <v>0</v>
      </c>
    </row>
    <row r="269" spans="1:41" ht="15.75" x14ac:dyDescent="0.25">
      <c r="A269" s="84">
        <v>10</v>
      </c>
      <c r="B269" s="84"/>
      <c r="C269" s="84" t="s">
        <v>173</v>
      </c>
      <c r="D269" s="80" t="s">
        <v>245</v>
      </c>
      <c r="E269" s="438">
        <v>0</v>
      </c>
      <c r="F269" s="80">
        <v>0</v>
      </c>
      <c r="G269" s="80">
        <v>0</v>
      </c>
      <c r="H269" s="80">
        <v>0</v>
      </c>
      <c r="I269" s="387">
        <v>2</v>
      </c>
      <c r="J269" s="387">
        <v>1</v>
      </c>
      <c r="K269" s="80">
        <v>0</v>
      </c>
      <c r="L269" s="80">
        <v>0</v>
      </c>
      <c r="M269" s="80">
        <v>0</v>
      </c>
      <c r="N269" s="387">
        <v>1</v>
      </c>
      <c r="O269" s="387">
        <v>1</v>
      </c>
      <c r="P269" s="80">
        <v>0</v>
      </c>
      <c r="Q269" s="387">
        <v>1</v>
      </c>
      <c r="R269" s="80">
        <v>0</v>
      </c>
      <c r="S269" s="80">
        <v>0</v>
      </c>
      <c r="T269" s="80">
        <v>0</v>
      </c>
      <c r="U269" s="387">
        <v>1</v>
      </c>
      <c r="V269" s="387">
        <v>1</v>
      </c>
      <c r="W269" s="80">
        <v>0</v>
      </c>
      <c r="X269" s="387">
        <v>1</v>
      </c>
      <c r="Y269" s="80">
        <v>0</v>
      </c>
      <c r="Z269" s="387">
        <v>3</v>
      </c>
      <c r="AA269" s="387">
        <v>1</v>
      </c>
      <c r="AB269" s="80">
        <v>0</v>
      </c>
      <c r="AC269" s="80">
        <v>0</v>
      </c>
      <c r="AD269" s="80">
        <v>0</v>
      </c>
      <c r="AE269" s="80">
        <v>0</v>
      </c>
      <c r="AF269" s="80">
        <v>0</v>
      </c>
      <c r="AG269" s="80">
        <v>0</v>
      </c>
      <c r="AH269" s="80">
        <v>0</v>
      </c>
      <c r="AI269" s="387">
        <v>1</v>
      </c>
      <c r="AJ269" s="80">
        <v>0</v>
      </c>
      <c r="AK269" s="80">
        <v>0</v>
      </c>
      <c r="AL269" s="80">
        <v>0</v>
      </c>
      <c r="AM269" s="80">
        <v>0</v>
      </c>
      <c r="AN269" s="80">
        <v>0</v>
      </c>
      <c r="AO269" s="80">
        <v>0</v>
      </c>
    </row>
    <row r="270" spans="1:41" ht="15.75" x14ac:dyDescent="0.25">
      <c r="A270" s="84"/>
      <c r="B270" s="84"/>
      <c r="C270" s="84"/>
      <c r="D270" s="80" t="s">
        <v>246</v>
      </c>
      <c r="E270" s="80">
        <v>0</v>
      </c>
      <c r="F270" s="80">
        <v>0</v>
      </c>
      <c r="G270" s="80">
        <v>0</v>
      </c>
      <c r="H270" s="80">
        <v>0</v>
      </c>
      <c r="I270" s="80">
        <v>2</v>
      </c>
      <c r="J270" s="80">
        <v>1</v>
      </c>
      <c r="K270" s="80">
        <v>0</v>
      </c>
      <c r="L270" s="80">
        <v>0</v>
      </c>
      <c r="M270" s="80">
        <v>0</v>
      </c>
      <c r="N270" s="80">
        <v>1</v>
      </c>
      <c r="O270" s="80">
        <v>1</v>
      </c>
      <c r="P270" s="80">
        <v>0</v>
      </c>
      <c r="Q270" s="80">
        <v>1</v>
      </c>
      <c r="R270" s="80">
        <v>0</v>
      </c>
      <c r="S270" s="80">
        <v>0</v>
      </c>
      <c r="T270" s="80">
        <v>0</v>
      </c>
      <c r="U270" s="80">
        <v>1</v>
      </c>
      <c r="V270" s="80">
        <v>1</v>
      </c>
      <c r="W270" s="80">
        <v>0</v>
      </c>
      <c r="X270" s="80">
        <v>1</v>
      </c>
      <c r="Y270" s="80">
        <v>0</v>
      </c>
      <c r="Z270" s="80">
        <v>3</v>
      </c>
      <c r="AA270" s="80">
        <v>1</v>
      </c>
      <c r="AB270" s="80">
        <v>0</v>
      </c>
      <c r="AC270" s="80">
        <v>0</v>
      </c>
      <c r="AD270" s="80">
        <v>0</v>
      </c>
      <c r="AE270" s="80">
        <v>0</v>
      </c>
      <c r="AF270" s="80">
        <v>0</v>
      </c>
      <c r="AG270" s="81">
        <v>0</v>
      </c>
      <c r="AH270" s="80">
        <v>0</v>
      </c>
      <c r="AI270" s="81">
        <v>1</v>
      </c>
      <c r="AJ270" s="81">
        <v>0</v>
      </c>
      <c r="AK270" s="81">
        <v>0</v>
      </c>
      <c r="AL270" s="81">
        <v>0</v>
      </c>
      <c r="AM270" s="81">
        <v>0</v>
      </c>
      <c r="AN270" s="81">
        <v>0</v>
      </c>
      <c r="AO270" s="81">
        <v>0</v>
      </c>
    </row>
    <row r="271" spans="1:41" ht="15.75" x14ac:dyDescent="0.25">
      <c r="A271" s="84"/>
      <c r="B271" s="84"/>
      <c r="C271" s="84"/>
      <c r="D271" s="80" t="s">
        <v>247</v>
      </c>
      <c r="E271" s="80">
        <v>0</v>
      </c>
      <c r="F271" s="80">
        <v>0</v>
      </c>
      <c r="G271" s="80">
        <v>0</v>
      </c>
      <c r="H271" s="80">
        <v>0</v>
      </c>
      <c r="I271" s="80">
        <v>0</v>
      </c>
      <c r="J271" s="80">
        <v>0</v>
      </c>
      <c r="K271" s="80">
        <v>0</v>
      </c>
      <c r="L271" s="80">
        <v>0</v>
      </c>
      <c r="M271" s="80">
        <v>0</v>
      </c>
      <c r="N271" s="80">
        <v>0</v>
      </c>
      <c r="O271" s="80">
        <v>0</v>
      </c>
      <c r="P271" s="80">
        <v>0</v>
      </c>
      <c r="Q271" s="80">
        <v>0</v>
      </c>
      <c r="R271" s="80">
        <v>0</v>
      </c>
      <c r="S271" s="80">
        <v>0</v>
      </c>
      <c r="T271" s="80">
        <v>0</v>
      </c>
      <c r="U271" s="80">
        <v>0</v>
      </c>
      <c r="V271" s="80">
        <v>0</v>
      </c>
      <c r="W271" s="80">
        <v>0</v>
      </c>
      <c r="X271" s="80">
        <v>0</v>
      </c>
      <c r="Y271" s="80">
        <v>0</v>
      </c>
      <c r="Z271" s="80">
        <v>0</v>
      </c>
      <c r="AA271" s="80">
        <v>0</v>
      </c>
      <c r="AB271" s="80">
        <v>0</v>
      </c>
      <c r="AC271" s="80">
        <v>0</v>
      </c>
      <c r="AD271" s="80">
        <v>0</v>
      </c>
      <c r="AE271" s="80">
        <v>0</v>
      </c>
      <c r="AF271" s="80">
        <v>0</v>
      </c>
      <c r="AG271" s="81">
        <v>0</v>
      </c>
      <c r="AH271" s="80">
        <v>0</v>
      </c>
      <c r="AI271" s="81">
        <v>0</v>
      </c>
      <c r="AJ271" s="81">
        <v>0</v>
      </c>
      <c r="AK271" s="81">
        <v>0</v>
      </c>
      <c r="AL271" s="81">
        <v>0</v>
      </c>
      <c r="AM271" s="81">
        <v>0</v>
      </c>
      <c r="AN271" s="81">
        <v>0</v>
      </c>
      <c r="AO271" s="81">
        <v>0</v>
      </c>
    </row>
    <row r="272" spans="1:41" ht="15.75" x14ac:dyDescent="0.25">
      <c r="A272" s="84"/>
      <c r="B272" s="84"/>
      <c r="C272" s="84"/>
      <c r="D272" s="80" t="s">
        <v>248</v>
      </c>
      <c r="E272" s="80">
        <v>0</v>
      </c>
      <c r="F272" s="80">
        <v>0</v>
      </c>
      <c r="G272" s="80">
        <v>0</v>
      </c>
      <c r="H272" s="80">
        <v>0</v>
      </c>
      <c r="I272" s="80">
        <v>2</v>
      </c>
      <c r="J272" s="80">
        <v>1</v>
      </c>
      <c r="K272" s="80">
        <v>0</v>
      </c>
      <c r="L272" s="80">
        <v>0</v>
      </c>
      <c r="M272" s="80">
        <v>0</v>
      </c>
      <c r="N272" s="80">
        <v>0</v>
      </c>
      <c r="O272" s="80">
        <v>1</v>
      </c>
      <c r="P272" s="80">
        <v>0</v>
      </c>
      <c r="Q272" s="80">
        <v>1</v>
      </c>
      <c r="R272" s="80">
        <v>0</v>
      </c>
      <c r="S272" s="80">
        <v>0</v>
      </c>
      <c r="T272" s="80">
        <v>0</v>
      </c>
      <c r="U272" s="80">
        <v>1</v>
      </c>
      <c r="V272" s="80">
        <v>1</v>
      </c>
      <c r="W272" s="80">
        <v>0</v>
      </c>
      <c r="X272" s="80">
        <v>1</v>
      </c>
      <c r="Y272" s="80">
        <v>0</v>
      </c>
      <c r="Z272" s="80">
        <v>3</v>
      </c>
      <c r="AA272" s="80">
        <v>1</v>
      </c>
      <c r="AB272" s="80">
        <v>0</v>
      </c>
      <c r="AC272" s="80">
        <v>0</v>
      </c>
      <c r="AD272" s="80">
        <v>0</v>
      </c>
      <c r="AE272" s="80">
        <v>0</v>
      </c>
      <c r="AF272" s="80">
        <v>0</v>
      </c>
      <c r="AG272" s="81">
        <v>0</v>
      </c>
      <c r="AH272" s="80">
        <v>0</v>
      </c>
      <c r="AI272" s="81">
        <v>1</v>
      </c>
      <c r="AJ272" s="81">
        <v>0</v>
      </c>
      <c r="AK272" s="81">
        <v>0</v>
      </c>
      <c r="AL272" s="81">
        <v>0</v>
      </c>
      <c r="AM272" s="81">
        <v>0</v>
      </c>
      <c r="AN272" s="81">
        <v>0</v>
      </c>
      <c r="AO272" s="81">
        <v>0</v>
      </c>
    </row>
    <row r="273" spans="1:41" ht="15.75" x14ac:dyDescent="0.25">
      <c r="A273" s="84"/>
      <c r="B273" s="84"/>
      <c r="C273" s="84"/>
      <c r="D273" s="80" t="s">
        <v>258</v>
      </c>
      <c r="E273" s="80">
        <v>0</v>
      </c>
      <c r="F273" s="80">
        <v>0</v>
      </c>
      <c r="G273" s="80">
        <v>0</v>
      </c>
      <c r="H273" s="80">
        <v>0</v>
      </c>
      <c r="I273" s="80">
        <v>0</v>
      </c>
      <c r="J273" s="80">
        <v>0</v>
      </c>
      <c r="K273" s="80">
        <v>0</v>
      </c>
      <c r="L273" s="80">
        <v>0</v>
      </c>
      <c r="M273" s="80">
        <v>0</v>
      </c>
      <c r="N273" s="80">
        <v>1</v>
      </c>
      <c r="O273" s="80">
        <v>0</v>
      </c>
      <c r="P273" s="80">
        <v>0</v>
      </c>
      <c r="Q273" s="80">
        <v>0</v>
      </c>
      <c r="R273" s="80">
        <v>0</v>
      </c>
      <c r="S273" s="80">
        <v>0</v>
      </c>
      <c r="T273" s="80">
        <v>0</v>
      </c>
      <c r="U273" s="80">
        <v>0</v>
      </c>
      <c r="V273" s="80">
        <v>0</v>
      </c>
      <c r="W273" s="80">
        <v>0</v>
      </c>
      <c r="X273" s="80">
        <v>0</v>
      </c>
      <c r="Y273" s="80">
        <v>0</v>
      </c>
      <c r="Z273" s="80">
        <v>0</v>
      </c>
      <c r="AA273" s="80">
        <v>0</v>
      </c>
      <c r="AB273" s="80">
        <v>0</v>
      </c>
      <c r="AC273" s="80">
        <v>0</v>
      </c>
      <c r="AD273" s="80">
        <v>0</v>
      </c>
      <c r="AE273" s="80">
        <v>0</v>
      </c>
      <c r="AF273" s="80">
        <v>0</v>
      </c>
      <c r="AG273" s="80">
        <v>0</v>
      </c>
      <c r="AH273" s="80">
        <v>0</v>
      </c>
      <c r="AI273" s="80">
        <v>0</v>
      </c>
      <c r="AJ273" s="80">
        <v>0</v>
      </c>
      <c r="AK273" s="80">
        <v>0</v>
      </c>
      <c r="AL273" s="80">
        <v>0</v>
      </c>
      <c r="AM273" s="81">
        <v>0</v>
      </c>
      <c r="AN273" s="81">
        <v>0</v>
      </c>
      <c r="AO273" s="81">
        <v>0</v>
      </c>
    </row>
    <row r="274" spans="1:41" ht="15.75" x14ac:dyDescent="0.25">
      <c r="A274" s="84">
        <v>11</v>
      </c>
      <c r="B274" s="84"/>
      <c r="C274" s="84" t="s">
        <v>174</v>
      </c>
      <c r="D274" s="80" t="s">
        <v>245</v>
      </c>
      <c r="E274" s="438">
        <v>0</v>
      </c>
      <c r="F274" s="80">
        <v>0</v>
      </c>
      <c r="G274" s="80">
        <v>0</v>
      </c>
      <c r="H274" s="387">
        <v>2</v>
      </c>
      <c r="I274" s="387">
        <v>2</v>
      </c>
      <c r="J274" s="387">
        <v>1</v>
      </c>
      <c r="K274" s="387">
        <v>1</v>
      </c>
      <c r="L274" s="387">
        <v>1</v>
      </c>
      <c r="M274" s="80">
        <v>0</v>
      </c>
      <c r="N274" s="387">
        <v>1</v>
      </c>
      <c r="O274" s="387">
        <v>1</v>
      </c>
      <c r="P274" s="80">
        <v>0</v>
      </c>
      <c r="Q274" s="387">
        <v>1</v>
      </c>
      <c r="R274" s="80">
        <v>0</v>
      </c>
      <c r="S274" s="80">
        <v>0</v>
      </c>
      <c r="T274" s="80">
        <v>0</v>
      </c>
      <c r="U274" s="387">
        <v>1</v>
      </c>
      <c r="V274" s="387">
        <v>1</v>
      </c>
      <c r="W274" s="387">
        <v>1</v>
      </c>
      <c r="X274" s="80">
        <v>1</v>
      </c>
      <c r="Y274" s="80">
        <v>0</v>
      </c>
      <c r="Z274" s="387">
        <v>2</v>
      </c>
      <c r="AA274" s="387">
        <v>2</v>
      </c>
      <c r="AB274" s="80">
        <v>0</v>
      </c>
      <c r="AC274" s="80">
        <v>0</v>
      </c>
      <c r="AD274" s="80">
        <v>0</v>
      </c>
      <c r="AE274" s="387">
        <v>1</v>
      </c>
      <c r="AF274" s="80">
        <v>0</v>
      </c>
      <c r="AG274" s="390">
        <v>1</v>
      </c>
      <c r="AH274" s="80">
        <v>0</v>
      </c>
      <c r="AI274" s="81">
        <v>0</v>
      </c>
      <c r="AJ274" s="81">
        <v>0</v>
      </c>
      <c r="AK274" s="81">
        <v>0</v>
      </c>
      <c r="AL274" s="81">
        <v>0</v>
      </c>
      <c r="AM274" s="81">
        <v>0</v>
      </c>
      <c r="AN274" s="81">
        <v>0</v>
      </c>
      <c r="AO274" s="81">
        <v>0</v>
      </c>
    </row>
    <row r="275" spans="1:41" ht="15.75" x14ac:dyDescent="0.25">
      <c r="A275" s="84"/>
      <c r="B275" s="84"/>
      <c r="C275" s="84"/>
      <c r="D275" s="80" t="s">
        <v>246</v>
      </c>
      <c r="E275" s="80">
        <v>0</v>
      </c>
      <c r="F275" s="80">
        <v>0</v>
      </c>
      <c r="G275" s="80">
        <v>0</v>
      </c>
      <c r="H275" s="80">
        <v>2</v>
      </c>
      <c r="I275" s="80">
        <v>2</v>
      </c>
      <c r="J275" s="80">
        <v>1</v>
      </c>
      <c r="K275" s="80">
        <v>1</v>
      </c>
      <c r="L275" s="80">
        <v>1</v>
      </c>
      <c r="M275" s="80">
        <v>0</v>
      </c>
      <c r="N275" s="80">
        <v>1</v>
      </c>
      <c r="O275" s="80">
        <v>1</v>
      </c>
      <c r="P275" s="80">
        <v>0</v>
      </c>
      <c r="Q275" s="80">
        <v>1</v>
      </c>
      <c r="R275" s="80">
        <v>0</v>
      </c>
      <c r="S275" s="80">
        <v>0</v>
      </c>
      <c r="T275" s="80">
        <v>0</v>
      </c>
      <c r="U275" s="80">
        <v>1</v>
      </c>
      <c r="V275" s="80">
        <v>1</v>
      </c>
      <c r="W275" s="80">
        <v>1</v>
      </c>
      <c r="X275" s="80">
        <v>1</v>
      </c>
      <c r="Y275" s="80">
        <v>0</v>
      </c>
      <c r="Z275" s="80">
        <v>2</v>
      </c>
      <c r="AA275" s="80">
        <v>2</v>
      </c>
      <c r="AB275" s="80">
        <v>0</v>
      </c>
      <c r="AC275" s="80">
        <v>0</v>
      </c>
      <c r="AD275" s="80">
        <v>0</v>
      </c>
      <c r="AE275" s="80">
        <v>1</v>
      </c>
      <c r="AF275" s="80">
        <v>0</v>
      </c>
      <c r="AG275" s="81">
        <v>1</v>
      </c>
      <c r="AH275" s="80">
        <v>0</v>
      </c>
      <c r="AI275" s="81">
        <v>0</v>
      </c>
      <c r="AJ275" s="81">
        <v>0</v>
      </c>
      <c r="AK275" s="81">
        <v>0</v>
      </c>
      <c r="AL275" s="81">
        <v>0</v>
      </c>
      <c r="AM275" s="81">
        <v>0</v>
      </c>
      <c r="AN275" s="81">
        <v>0</v>
      </c>
      <c r="AO275" s="81">
        <v>0</v>
      </c>
    </row>
    <row r="276" spans="1:41" ht="15.75" x14ac:dyDescent="0.25">
      <c r="A276" s="84"/>
      <c r="B276" s="84"/>
      <c r="C276" s="84"/>
      <c r="D276" s="80" t="s">
        <v>247</v>
      </c>
      <c r="E276" s="80">
        <v>0</v>
      </c>
      <c r="F276" s="80">
        <v>0</v>
      </c>
      <c r="G276" s="80">
        <v>0</v>
      </c>
      <c r="H276" s="80">
        <v>0</v>
      </c>
      <c r="I276" s="80">
        <v>0</v>
      </c>
      <c r="J276" s="80">
        <v>0</v>
      </c>
      <c r="K276" s="80">
        <v>0</v>
      </c>
      <c r="L276" s="80">
        <v>0</v>
      </c>
      <c r="M276" s="80">
        <v>0</v>
      </c>
      <c r="N276" s="80">
        <v>0</v>
      </c>
      <c r="O276" s="80">
        <v>0</v>
      </c>
      <c r="P276" s="80">
        <v>0</v>
      </c>
      <c r="Q276" s="80">
        <v>0</v>
      </c>
      <c r="R276" s="80">
        <v>0</v>
      </c>
      <c r="S276" s="80">
        <v>0</v>
      </c>
      <c r="T276" s="80">
        <v>0</v>
      </c>
      <c r="U276" s="80">
        <v>0</v>
      </c>
      <c r="V276" s="80">
        <v>0</v>
      </c>
      <c r="W276" s="80">
        <v>0</v>
      </c>
      <c r="X276" s="80">
        <v>0</v>
      </c>
      <c r="Y276" s="80">
        <v>0</v>
      </c>
      <c r="Z276" s="80">
        <v>0</v>
      </c>
      <c r="AA276" s="80">
        <v>0</v>
      </c>
      <c r="AB276" s="80">
        <v>0</v>
      </c>
      <c r="AC276" s="80">
        <v>0</v>
      </c>
      <c r="AD276" s="80">
        <v>0</v>
      </c>
      <c r="AE276" s="80">
        <v>0</v>
      </c>
      <c r="AF276" s="80">
        <v>0</v>
      </c>
      <c r="AG276" s="81">
        <v>0</v>
      </c>
      <c r="AH276" s="80">
        <v>0</v>
      </c>
      <c r="AI276" s="81">
        <v>0</v>
      </c>
      <c r="AJ276" s="81">
        <v>0</v>
      </c>
      <c r="AK276" s="81">
        <v>0</v>
      </c>
      <c r="AL276" s="81">
        <v>0</v>
      </c>
      <c r="AM276" s="81">
        <v>0</v>
      </c>
      <c r="AN276" s="81">
        <v>0</v>
      </c>
      <c r="AO276" s="81">
        <v>0</v>
      </c>
    </row>
    <row r="277" spans="1:41" ht="15.75" x14ac:dyDescent="0.25">
      <c r="A277" s="84"/>
      <c r="B277" s="84"/>
      <c r="C277" s="84"/>
      <c r="D277" s="80" t="s">
        <v>248</v>
      </c>
      <c r="E277" s="80">
        <v>0</v>
      </c>
      <c r="F277" s="80">
        <v>0</v>
      </c>
      <c r="G277" s="80">
        <v>0</v>
      </c>
      <c r="H277" s="80">
        <v>1</v>
      </c>
      <c r="I277" s="80">
        <v>1</v>
      </c>
      <c r="J277" s="80">
        <v>1</v>
      </c>
      <c r="K277" s="80">
        <v>0</v>
      </c>
      <c r="L277" s="80">
        <v>0</v>
      </c>
      <c r="M277" s="80">
        <v>0</v>
      </c>
      <c r="N277" s="80">
        <v>1</v>
      </c>
      <c r="O277" s="80">
        <v>1</v>
      </c>
      <c r="P277" s="80">
        <v>0</v>
      </c>
      <c r="Q277" s="80">
        <v>1</v>
      </c>
      <c r="R277" s="80">
        <v>0</v>
      </c>
      <c r="S277" s="80">
        <v>0</v>
      </c>
      <c r="T277" s="80">
        <v>0</v>
      </c>
      <c r="U277" s="80">
        <v>1</v>
      </c>
      <c r="V277" s="80">
        <v>1</v>
      </c>
      <c r="W277" s="80">
        <v>1</v>
      </c>
      <c r="X277" s="80">
        <v>1</v>
      </c>
      <c r="Y277" s="80">
        <v>0</v>
      </c>
      <c r="Z277" s="80">
        <v>2</v>
      </c>
      <c r="AA277" s="80">
        <v>2</v>
      </c>
      <c r="AB277" s="80">
        <v>0</v>
      </c>
      <c r="AC277" s="80">
        <v>0</v>
      </c>
      <c r="AD277" s="80">
        <v>0</v>
      </c>
      <c r="AE277" s="80">
        <v>1</v>
      </c>
      <c r="AF277" s="80">
        <v>0</v>
      </c>
      <c r="AG277" s="81">
        <v>1</v>
      </c>
      <c r="AH277" s="80">
        <v>0</v>
      </c>
      <c r="AI277" s="81">
        <v>0</v>
      </c>
      <c r="AJ277" s="81">
        <v>0</v>
      </c>
      <c r="AK277" s="81">
        <v>0</v>
      </c>
      <c r="AL277" s="81">
        <v>0</v>
      </c>
      <c r="AM277" s="81">
        <v>0</v>
      </c>
      <c r="AN277" s="81">
        <v>0</v>
      </c>
      <c r="AO277" s="81">
        <v>0</v>
      </c>
    </row>
    <row r="278" spans="1:41" ht="15.75" x14ac:dyDescent="0.25">
      <c r="A278" s="84"/>
      <c r="B278" s="84"/>
      <c r="C278" s="84"/>
      <c r="D278" s="80" t="s">
        <v>258</v>
      </c>
      <c r="E278" s="80">
        <v>0</v>
      </c>
      <c r="F278" s="80">
        <v>0</v>
      </c>
      <c r="G278" s="80">
        <v>0</v>
      </c>
      <c r="H278" s="80">
        <v>1</v>
      </c>
      <c r="I278" s="80">
        <v>1</v>
      </c>
      <c r="J278" s="80">
        <v>0</v>
      </c>
      <c r="K278" s="80">
        <v>1</v>
      </c>
      <c r="L278" s="80">
        <v>1</v>
      </c>
      <c r="M278" s="80">
        <v>0</v>
      </c>
      <c r="N278" s="80">
        <v>0</v>
      </c>
      <c r="O278" s="80">
        <v>0</v>
      </c>
      <c r="P278" s="80">
        <v>0</v>
      </c>
      <c r="Q278" s="80">
        <v>0</v>
      </c>
      <c r="R278" s="80">
        <v>0</v>
      </c>
      <c r="S278" s="80">
        <v>0</v>
      </c>
      <c r="T278" s="80">
        <v>0</v>
      </c>
      <c r="U278" s="80">
        <v>0</v>
      </c>
      <c r="V278" s="80">
        <v>0</v>
      </c>
      <c r="W278" s="80">
        <v>0</v>
      </c>
      <c r="X278" s="80">
        <v>0</v>
      </c>
      <c r="Y278" s="80">
        <v>0</v>
      </c>
      <c r="Z278" s="80">
        <v>0</v>
      </c>
      <c r="AA278" s="80">
        <v>0</v>
      </c>
      <c r="AB278" s="80">
        <v>0</v>
      </c>
      <c r="AC278" s="80">
        <v>0</v>
      </c>
      <c r="AD278" s="80">
        <v>0</v>
      </c>
      <c r="AE278" s="80">
        <v>0</v>
      </c>
      <c r="AF278" s="80">
        <v>0</v>
      </c>
      <c r="AG278" s="80">
        <v>0</v>
      </c>
      <c r="AH278" s="80">
        <v>0</v>
      </c>
      <c r="AI278" s="80">
        <v>0</v>
      </c>
      <c r="AJ278" s="80">
        <v>0</v>
      </c>
      <c r="AK278" s="80">
        <v>0</v>
      </c>
      <c r="AL278" s="80">
        <v>0</v>
      </c>
      <c r="AM278" s="81">
        <v>0</v>
      </c>
      <c r="AN278" s="81">
        <v>0</v>
      </c>
      <c r="AO278" s="81">
        <v>0</v>
      </c>
    </row>
    <row r="279" spans="1:41" ht="15.75" x14ac:dyDescent="0.25">
      <c r="A279" s="84">
        <v>12</v>
      </c>
      <c r="B279" s="147"/>
      <c r="C279" s="84" t="s">
        <v>141</v>
      </c>
      <c r="D279" s="80" t="s">
        <v>245</v>
      </c>
      <c r="E279" s="438">
        <v>0</v>
      </c>
      <c r="F279" s="80">
        <v>0</v>
      </c>
      <c r="G279" s="80">
        <v>0</v>
      </c>
      <c r="H279" s="387">
        <v>2</v>
      </c>
      <c r="I279" s="80">
        <v>0</v>
      </c>
      <c r="J279" s="80">
        <v>0</v>
      </c>
      <c r="K279" s="80">
        <v>0</v>
      </c>
      <c r="L279" s="80">
        <v>0</v>
      </c>
      <c r="M279" s="80">
        <v>0</v>
      </c>
      <c r="N279" s="387">
        <v>1</v>
      </c>
      <c r="O279" s="387">
        <v>1</v>
      </c>
      <c r="P279" s="407">
        <v>1</v>
      </c>
      <c r="Q279" s="407">
        <v>1</v>
      </c>
      <c r="R279" s="80">
        <v>0</v>
      </c>
      <c r="S279" s="80">
        <v>0</v>
      </c>
      <c r="T279" s="80">
        <v>0</v>
      </c>
      <c r="U279" s="387">
        <v>1</v>
      </c>
      <c r="V279" s="387">
        <v>1</v>
      </c>
      <c r="W279" s="80">
        <v>0</v>
      </c>
      <c r="X279" s="80">
        <v>0</v>
      </c>
      <c r="Y279" s="80">
        <v>0</v>
      </c>
      <c r="Z279" s="80">
        <v>0</v>
      </c>
      <c r="AA279" s="387">
        <v>1</v>
      </c>
      <c r="AB279" s="80">
        <v>0</v>
      </c>
      <c r="AC279" s="80">
        <v>0</v>
      </c>
      <c r="AD279" s="80">
        <v>0</v>
      </c>
      <c r="AE279" s="80">
        <v>0</v>
      </c>
      <c r="AF279" s="80">
        <v>0</v>
      </c>
      <c r="AG279" s="80">
        <v>0</v>
      </c>
      <c r="AH279" s="80">
        <v>0</v>
      </c>
      <c r="AI279" s="80">
        <v>0</v>
      </c>
      <c r="AJ279" s="80">
        <v>0</v>
      </c>
      <c r="AK279" s="80">
        <v>0</v>
      </c>
      <c r="AL279" s="80">
        <v>0</v>
      </c>
      <c r="AM279" s="407">
        <v>1</v>
      </c>
      <c r="AN279" s="80">
        <v>0</v>
      </c>
      <c r="AO279" s="80">
        <v>0</v>
      </c>
    </row>
    <row r="280" spans="1:41" ht="15.75" x14ac:dyDescent="0.25">
      <c r="A280" s="84"/>
      <c r="B280" s="147"/>
      <c r="C280" s="84"/>
      <c r="D280" s="80" t="s">
        <v>246</v>
      </c>
      <c r="E280" s="80">
        <v>0</v>
      </c>
      <c r="F280" s="80">
        <v>0</v>
      </c>
      <c r="G280" s="80">
        <v>0</v>
      </c>
      <c r="H280" s="80">
        <v>2</v>
      </c>
      <c r="I280" s="80">
        <v>0</v>
      </c>
      <c r="J280" s="80">
        <v>0</v>
      </c>
      <c r="K280" s="80">
        <v>0</v>
      </c>
      <c r="L280" s="80">
        <v>0</v>
      </c>
      <c r="M280" s="80">
        <v>0</v>
      </c>
      <c r="N280" s="80">
        <v>1</v>
      </c>
      <c r="O280" s="80">
        <v>1</v>
      </c>
      <c r="P280" s="80">
        <v>1</v>
      </c>
      <c r="Q280" s="80">
        <v>1</v>
      </c>
      <c r="R280" s="80">
        <v>0</v>
      </c>
      <c r="S280" s="80">
        <v>0</v>
      </c>
      <c r="T280" s="80">
        <v>0</v>
      </c>
      <c r="U280" s="80">
        <v>1</v>
      </c>
      <c r="V280" s="80">
        <v>1</v>
      </c>
      <c r="W280" s="80">
        <v>0</v>
      </c>
      <c r="X280" s="80">
        <v>0</v>
      </c>
      <c r="Y280" s="80">
        <v>0</v>
      </c>
      <c r="Z280" s="80">
        <v>0</v>
      </c>
      <c r="AA280" s="80">
        <v>1</v>
      </c>
      <c r="AB280" s="80">
        <v>0</v>
      </c>
      <c r="AC280" s="80">
        <v>0</v>
      </c>
      <c r="AD280" s="80">
        <v>0</v>
      </c>
      <c r="AE280" s="80">
        <v>0</v>
      </c>
      <c r="AF280" s="80">
        <v>0</v>
      </c>
      <c r="AG280" s="80">
        <v>0</v>
      </c>
      <c r="AH280" s="80">
        <v>0</v>
      </c>
      <c r="AI280" s="80">
        <v>0</v>
      </c>
      <c r="AJ280" s="80">
        <v>0</v>
      </c>
      <c r="AK280" s="80">
        <v>0</v>
      </c>
      <c r="AL280" s="80">
        <v>0</v>
      </c>
      <c r="AM280" s="80">
        <v>1</v>
      </c>
      <c r="AN280" s="80">
        <v>0</v>
      </c>
      <c r="AO280" s="80">
        <v>0</v>
      </c>
    </row>
    <row r="281" spans="1:41" ht="15.75" x14ac:dyDescent="0.25">
      <c r="A281" s="84"/>
      <c r="B281" s="147"/>
      <c r="C281" s="84"/>
      <c r="D281" s="80" t="s">
        <v>247</v>
      </c>
      <c r="E281" s="80">
        <v>0</v>
      </c>
      <c r="F281" s="80">
        <v>0</v>
      </c>
      <c r="G281" s="80">
        <v>0</v>
      </c>
      <c r="H281" s="80">
        <v>0</v>
      </c>
      <c r="I281" s="80">
        <v>0</v>
      </c>
      <c r="J281" s="80">
        <v>0</v>
      </c>
      <c r="K281" s="80">
        <v>0</v>
      </c>
      <c r="L281" s="80">
        <v>0</v>
      </c>
      <c r="M281" s="80">
        <v>0</v>
      </c>
      <c r="N281" s="80">
        <v>0</v>
      </c>
      <c r="O281" s="80">
        <v>0</v>
      </c>
      <c r="P281" s="80">
        <v>0</v>
      </c>
      <c r="Q281" s="80">
        <v>0</v>
      </c>
      <c r="R281" s="80">
        <v>0</v>
      </c>
      <c r="S281" s="80">
        <v>0</v>
      </c>
      <c r="T281" s="80">
        <v>0</v>
      </c>
      <c r="U281" s="80">
        <v>0</v>
      </c>
      <c r="V281" s="80">
        <v>0</v>
      </c>
      <c r="W281" s="80">
        <v>0</v>
      </c>
      <c r="X281" s="80">
        <v>0</v>
      </c>
      <c r="Y281" s="80">
        <v>0</v>
      </c>
      <c r="Z281" s="80">
        <v>0</v>
      </c>
      <c r="AA281" s="80">
        <v>0</v>
      </c>
      <c r="AB281" s="80">
        <v>0</v>
      </c>
      <c r="AC281" s="80">
        <v>0</v>
      </c>
      <c r="AD281" s="80">
        <v>0</v>
      </c>
      <c r="AE281" s="80">
        <v>0</v>
      </c>
      <c r="AF281" s="80">
        <v>0</v>
      </c>
      <c r="AG281" s="80">
        <v>0</v>
      </c>
      <c r="AH281" s="80">
        <v>0</v>
      </c>
      <c r="AI281" s="80">
        <v>0</v>
      </c>
      <c r="AJ281" s="80">
        <v>0</v>
      </c>
      <c r="AK281" s="80">
        <v>0</v>
      </c>
      <c r="AL281" s="80">
        <v>0</v>
      </c>
      <c r="AM281" s="80">
        <v>0</v>
      </c>
      <c r="AN281" s="80">
        <v>0</v>
      </c>
      <c r="AO281" s="80">
        <v>0</v>
      </c>
    </row>
    <row r="282" spans="1:41" ht="15.75" x14ac:dyDescent="0.25">
      <c r="A282" s="84"/>
      <c r="B282" s="147"/>
      <c r="C282" s="84"/>
      <c r="D282" s="80" t="s">
        <v>248</v>
      </c>
      <c r="E282" s="80">
        <v>0</v>
      </c>
      <c r="F282" s="80">
        <v>0</v>
      </c>
      <c r="G282" s="80">
        <v>0</v>
      </c>
      <c r="H282" s="80">
        <v>2</v>
      </c>
      <c r="I282" s="80">
        <v>0</v>
      </c>
      <c r="J282" s="80">
        <v>0</v>
      </c>
      <c r="K282" s="80">
        <v>0</v>
      </c>
      <c r="L282" s="80">
        <v>0</v>
      </c>
      <c r="M282" s="80">
        <v>0</v>
      </c>
      <c r="N282" s="80">
        <v>1</v>
      </c>
      <c r="O282" s="80">
        <v>1</v>
      </c>
      <c r="P282" s="80">
        <v>1</v>
      </c>
      <c r="Q282" s="80">
        <v>1</v>
      </c>
      <c r="R282" s="80">
        <v>0</v>
      </c>
      <c r="S282" s="80">
        <v>0</v>
      </c>
      <c r="T282" s="80">
        <v>0</v>
      </c>
      <c r="U282" s="80">
        <v>1</v>
      </c>
      <c r="V282" s="80">
        <v>1</v>
      </c>
      <c r="W282" s="80">
        <v>0</v>
      </c>
      <c r="X282" s="80">
        <v>0</v>
      </c>
      <c r="Y282" s="80">
        <v>0</v>
      </c>
      <c r="Z282" s="80">
        <v>0</v>
      </c>
      <c r="AA282" s="80">
        <v>1</v>
      </c>
      <c r="AB282" s="80">
        <v>0</v>
      </c>
      <c r="AC282" s="80">
        <v>0</v>
      </c>
      <c r="AD282" s="80">
        <v>0</v>
      </c>
      <c r="AE282" s="80">
        <v>0</v>
      </c>
      <c r="AF282" s="80">
        <v>0</v>
      </c>
      <c r="AG282" s="80">
        <v>0</v>
      </c>
      <c r="AH282" s="80">
        <v>0</v>
      </c>
      <c r="AI282" s="80">
        <v>0</v>
      </c>
      <c r="AJ282" s="80">
        <v>0</v>
      </c>
      <c r="AK282" s="80">
        <v>0</v>
      </c>
      <c r="AL282" s="80">
        <v>0</v>
      </c>
      <c r="AM282" s="80">
        <v>1</v>
      </c>
      <c r="AN282" s="80">
        <v>0</v>
      </c>
      <c r="AO282" s="80">
        <v>0</v>
      </c>
    </row>
    <row r="283" spans="1:41" ht="15.75" x14ac:dyDescent="0.25">
      <c r="A283" s="84"/>
      <c r="B283" s="147"/>
      <c r="C283" s="84"/>
      <c r="D283" s="80" t="s">
        <v>258</v>
      </c>
      <c r="E283" s="80">
        <v>0</v>
      </c>
      <c r="F283" s="80">
        <v>0</v>
      </c>
      <c r="G283" s="80">
        <v>0</v>
      </c>
      <c r="H283" s="80">
        <v>0</v>
      </c>
      <c r="I283" s="80">
        <v>0</v>
      </c>
      <c r="J283" s="80">
        <v>0</v>
      </c>
      <c r="K283" s="80">
        <v>0</v>
      </c>
      <c r="L283" s="80">
        <v>0</v>
      </c>
      <c r="M283" s="80">
        <v>0</v>
      </c>
      <c r="N283" s="80">
        <v>0</v>
      </c>
      <c r="O283" s="80">
        <v>0</v>
      </c>
      <c r="P283" s="80">
        <v>0</v>
      </c>
      <c r="Q283" s="80">
        <v>0</v>
      </c>
      <c r="R283" s="80">
        <v>0</v>
      </c>
      <c r="S283" s="80">
        <v>0</v>
      </c>
      <c r="T283" s="80">
        <v>0</v>
      </c>
      <c r="U283" s="80">
        <v>0</v>
      </c>
      <c r="V283" s="80">
        <v>0</v>
      </c>
      <c r="W283" s="80">
        <v>0</v>
      </c>
      <c r="X283" s="80">
        <v>0</v>
      </c>
      <c r="Y283" s="80">
        <v>0</v>
      </c>
      <c r="Z283" s="80">
        <v>0</v>
      </c>
      <c r="AA283" s="80">
        <v>0</v>
      </c>
      <c r="AB283" s="80">
        <v>0</v>
      </c>
      <c r="AC283" s="80">
        <v>0</v>
      </c>
      <c r="AD283" s="80">
        <v>0</v>
      </c>
      <c r="AE283" s="80">
        <v>0</v>
      </c>
      <c r="AF283" s="80">
        <v>0</v>
      </c>
      <c r="AG283" s="80">
        <v>0</v>
      </c>
      <c r="AH283" s="80">
        <v>0</v>
      </c>
      <c r="AI283" s="80">
        <v>0</v>
      </c>
      <c r="AJ283" s="80">
        <v>0</v>
      </c>
      <c r="AK283" s="80">
        <v>0</v>
      </c>
      <c r="AL283" s="80">
        <v>0</v>
      </c>
      <c r="AM283" s="80">
        <v>0</v>
      </c>
      <c r="AN283" s="80">
        <v>0</v>
      </c>
      <c r="AO283" s="80">
        <v>0</v>
      </c>
    </row>
    <row r="284" spans="1:41" ht="15.75" x14ac:dyDescent="0.25">
      <c r="A284" s="84">
        <v>13</v>
      </c>
      <c r="B284" s="84" t="s">
        <v>191</v>
      </c>
      <c r="C284" s="84" t="s">
        <v>251</v>
      </c>
      <c r="D284" s="80" t="s">
        <v>245</v>
      </c>
      <c r="E284" s="438">
        <v>0</v>
      </c>
      <c r="F284" s="80">
        <v>0</v>
      </c>
      <c r="G284" s="80">
        <v>0</v>
      </c>
      <c r="H284" s="387">
        <v>2</v>
      </c>
      <c r="I284" s="387">
        <v>3</v>
      </c>
      <c r="J284" s="387">
        <v>3</v>
      </c>
      <c r="K284" s="80">
        <v>0</v>
      </c>
      <c r="L284" s="80">
        <v>0</v>
      </c>
      <c r="M284" s="80">
        <v>0</v>
      </c>
      <c r="N284" s="80">
        <v>0</v>
      </c>
      <c r="O284" s="387">
        <v>1</v>
      </c>
      <c r="P284" s="80">
        <v>1</v>
      </c>
      <c r="Q284" s="80">
        <v>0</v>
      </c>
      <c r="R284" s="80">
        <v>0</v>
      </c>
      <c r="S284" s="80">
        <v>0</v>
      </c>
      <c r="T284" s="80">
        <v>0</v>
      </c>
      <c r="U284" s="387">
        <v>4</v>
      </c>
      <c r="V284" s="387">
        <v>5</v>
      </c>
      <c r="W284" s="387">
        <v>1</v>
      </c>
      <c r="X284" s="387">
        <v>1</v>
      </c>
      <c r="Y284" s="80">
        <v>0</v>
      </c>
      <c r="Z284" s="80">
        <v>0</v>
      </c>
      <c r="AA284" s="387">
        <v>1</v>
      </c>
      <c r="AB284" s="387">
        <v>3</v>
      </c>
      <c r="AC284" s="80">
        <v>0</v>
      </c>
      <c r="AD284" s="80">
        <v>0</v>
      </c>
      <c r="AE284" s="80">
        <v>0</v>
      </c>
      <c r="AF284" s="80">
        <v>0</v>
      </c>
      <c r="AG284" s="390">
        <v>2</v>
      </c>
      <c r="AH284" s="387">
        <v>1</v>
      </c>
      <c r="AI284" s="81">
        <v>0</v>
      </c>
      <c r="AJ284" s="81">
        <v>0</v>
      </c>
      <c r="AK284" s="81">
        <v>0</v>
      </c>
      <c r="AL284" s="81">
        <v>0</v>
      </c>
      <c r="AM284" s="81">
        <v>0</v>
      </c>
      <c r="AN284" s="81">
        <v>0</v>
      </c>
      <c r="AO284" s="81">
        <v>0</v>
      </c>
    </row>
    <row r="285" spans="1:41" ht="15.75" x14ac:dyDescent="0.25">
      <c r="A285" s="84">
        <v>14</v>
      </c>
      <c r="B285" s="84"/>
      <c r="C285" s="84" t="s">
        <v>376</v>
      </c>
      <c r="D285" s="80" t="s">
        <v>246</v>
      </c>
      <c r="E285" s="80">
        <v>1</v>
      </c>
      <c r="F285" s="80">
        <v>0</v>
      </c>
      <c r="G285" s="80">
        <v>0</v>
      </c>
      <c r="H285" s="80">
        <v>1</v>
      </c>
      <c r="I285" s="80">
        <v>3</v>
      </c>
      <c r="J285" s="80">
        <v>3</v>
      </c>
      <c r="K285" s="80">
        <v>0</v>
      </c>
      <c r="L285" s="80">
        <v>0</v>
      </c>
      <c r="M285" s="80">
        <v>0</v>
      </c>
      <c r="N285" s="80">
        <v>0</v>
      </c>
      <c r="O285" s="80">
        <v>1</v>
      </c>
      <c r="P285" s="80">
        <v>1</v>
      </c>
      <c r="Q285" s="80">
        <v>0</v>
      </c>
      <c r="R285" s="80">
        <v>0</v>
      </c>
      <c r="S285" s="80">
        <v>0</v>
      </c>
      <c r="T285" s="80">
        <v>0</v>
      </c>
      <c r="U285" s="80">
        <v>4</v>
      </c>
      <c r="V285" s="80">
        <v>5</v>
      </c>
      <c r="W285" s="80">
        <v>1</v>
      </c>
      <c r="X285" s="80">
        <v>1</v>
      </c>
      <c r="Y285" s="80">
        <v>0</v>
      </c>
      <c r="Z285" s="80">
        <v>0</v>
      </c>
      <c r="AA285" s="80">
        <v>1</v>
      </c>
      <c r="AB285" s="80">
        <v>3</v>
      </c>
      <c r="AC285" s="80">
        <v>0</v>
      </c>
      <c r="AD285" s="80">
        <v>0</v>
      </c>
      <c r="AE285" s="80">
        <v>0</v>
      </c>
      <c r="AF285" s="80">
        <v>0</v>
      </c>
      <c r="AG285" s="81">
        <v>1</v>
      </c>
      <c r="AH285" s="80">
        <v>1</v>
      </c>
      <c r="AI285" s="81">
        <v>0</v>
      </c>
      <c r="AJ285" s="81">
        <v>0</v>
      </c>
      <c r="AK285" s="81">
        <v>0</v>
      </c>
      <c r="AL285" s="81">
        <v>0</v>
      </c>
      <c r="AM285" s="81">
        <v>0</v>
      </c>
      <c r="AN285" s="81">
        <v>0</v>
      </c>
      <c r="AO285" s="81">
        <v>0</v>
      </c>
    </row>
    <row r="286" spans="1:41" ht="15.75" x14ac:dyDescent="0.25">
      <c r="A286" s="84">
        <v>15</v>
      </c>
      <c r="B286" s="84"/>
      <c r="C286" s="84" t="s">
        <v>163</v>
      </c>
      <c r="D286" s="80" t="s">
        <v>247</v>
      </c>
      <c r="E286" s="80">
        <v>0</v>
      </c>
      <c r="F286" s="80">
        <v>0</v>
      </c>
      <c r="G286" s="80">
        <v>0</v>
      </c>
      <c r="H286" s="80">
        <v>1</v>
      </c>
      <c r="I286" s="80">
        <v>0</v>
      </c>
      <c r="J286" s="80">
        <v>0</v>
      </c>
      <c r="K286" s="80">
        <v>0</v>
      </c>
      <c r="L286" s="80">
        <v>0</v>
      </c>
      <c r="M286" s="80">
        <v>0</v>
      </c>
      <c r="N286" s="80">
        <v>0</v>
      </c>
      <c r="O286" s="80">
        <v>0</v>
      </c>
      <c r="P286" s="80">
        <v>0</v>
      </c>
      <c r="Q286" s="80">
        <v>0</v>
      </c>
      <c r="R286" s="80">
        <v>0</v>
      </c>
      <c r="S286" s="80">
        <v>0</v>
      </c>
      <c r="T286" s="80">
        <v>0</v>
      </c>
      <c r="U286" s="80">
        <v>0</v>
      </c>
      <c r="V286" s="80">
        <v>0</v>
      </c>
      <c r="W286" s="80">
        <v>0</v>
      </c>
      <c r="X286" s="80">
        <v>0</v>
      </c>
      <c r="Y286" s="80">
        <v>0</v>
      </c>
      <c r="Z286" s="80">
        <v>0</v>
      </c>
      <c r="AA286" s="80">
        <v>0</v>
      </c>
      <c r="AB286" s="80">
        <v>0</v>
      </c>
      <c r="AC286" s="80">
        <v>0</v>
      </c>
      <c r="AD286" s="80">
        <v>0</v>
      </c>
      <c r="AE286" s="80">
        <v>0</v>
      </c>
      <c r="AF286" s="80">
        <v>0</v>
      </c>
      <c r="AG286" s="81">
        <v>1</v>
      </c>
      <c r="AH286" s="80">
        <v>0</v>
      </c>
      <c r="AI286" s="81">
        <v>0</v>
      </c>
      <c r="AJ286" s="81">
        <v>0</v>
      </c>
      <c r="AK286" s="81">
        <v>0</v>
      </c>
      <c r="AL286" s="81">
        <v>0</v>
      </c>
      <c r="AM286" s="81">
        <v>0</v>
      </c>
      <c r="AN286" s="81">
        <v>0</v>
      </c>
      <c r="AO286" s="81">
        <v>0</v>
      </c>
    </row>
    <row r="287" spans="1:41" ht="15.75" x14ac:dyDescent="0.25">
      <c r="A287" s="84"/>
      <c r="B287" s="84"/>
      <c r="C287" s="84"/>
      <c r="D287" s="80" t="s">
        <v>248</v>
      </c>
      <c r="E287" s="80">
        <v>1</v>
      </c>
      <c r="F287" s="80">
        <v>0</v>
      </c>
      <c r="G287" s="80">
        <v>0</v>
      </c>
      <c r="H287" s="80">
        <v>1</v>
      </c>
      <c r="I287" s="80">
        <v>3</v>
      </c>
      <c r="J287" s="80">
        <v>3</v>
      </c>
      <c r="K287" s="80">
        <v>0</v>
      </c>
      <c r="L287" s="80">
        <v>0</v>
      </c>
      <c r="M287" s="80">
        <v>0</v>
      </c>
      <c r="N287" s="80">
        <v>0</v>
      </c>
      <c r="O287" s="80">
        <v>1</v>
      </c>
      <c r="P287" s="80">
        <v>1</v>
      </c>
      <c r="Q287" s="80">
        <v>0</v>
      </c>
      <c r="R287" s="80">
        <v>0</v>
      </c>
      <c r="S287" s="80">
        <v>0</v>
      </c>
      <c r="T287" s="80">
        <v>0</v>
      </c>
      <c r="U287" s="80">
        <v>4</v>
      </c>
      <c r="V287" s="80">
        <v>5</v>
      </c>
      <c r="W287" s="80">
        <v>1</v>
      </c>
      <c r="X287" s="80">
        <v>1</v>
      </c>
      <c r="Y287" s="80">
        <v>0</v>
      </c>
      <c r="Z287" s="80">
        <v>0</v>
      </c>
      <c r="AA287" s="80">
        <v>1</v>
      </c>
      <c r="AB287" s="80">
        <v>3</v>
      </c>
      <c r="AC287" s="80">
        <v>0</v>
      </c>
      <c r="AD287" s="80">
        <v>0</v>
      </c>
      <c r="AE287" s="80">
        <v>0</v>
      </c>
      <c r="AF287" s="80">
        <v>0</v>
      </c>
      <c r="AG287" s="81">
        <v>1</v>
      </c>
      <c r="AH287" s="80">
        <v>1</v>
      </c>
      <c r="AI287" s="81">
        <v>0</v>
      </c>
      <c r="AJ287" s="81">
        <v>0</v>
      </c>
      <c r="AK287" s="81">
        <v>0</v>
      </c>
      <c r="AL287" s="81">
        <v>0</v>
      </c>
      <c r="AM287" s="81">
        <v>0</v>
      </c>
      <c r="AN287" s="81">
        <v>0</v>
      </c>
      <c r="AO287" s="81">
        <v>0</v>
      </c>
    </row>
    <row r="288" spans="1:41" ht="15.75" x14ac:dyDescent="0.25">
      <c r="A288" s="84"/>
      <c r="B288" s="84"/>
      <c r="C288" s="84"/>
      <c r="D288" s="80" t="s">
        <v>258</v>
      </c>
      <c r="E288" s="80">
        <v>0</v>
      </c>
      <c r="F288" s="80">
        <v>0</v>
      </c>
      <c r="G288" s="80">
        <v>0</v>
      </c>
      <c r="H288" s="80">
        <v>0</v>
      </c>
      <c r="I288" s="80">
        <v>0</v>
      </c>
      <c r="J288" s="80">
        <v>0</v>
      </c>
      <c r="K288" s="80">
        <v>0</v>
      </c>
      <c r="L288" s="80">
        <v>0</v>
      </c>
      <c r="M288" s="80">
        <v>0</v>
      </c>
      <c r="N288" s="80">
        <v>0</v>
      </c>
      <c r="O288" s="80">
        <v>0</v>
      </c>
      <c r="P288" s="80">
        <v>0</v>
      </c>
      <c r="Q288" s="80">
        <v>0</v>
      </c>
      <c r="R288" s="80">
        <v>0</v>
      </c>
      <c r="S288" s="80">
        <v>0</v>
      </c>
      <c r="T288" s="80">
        <v>0</v>
      </c>
      <c r="U288" s="80">
        <v>0</v>
      </c>
      <c r="V288" s="80">
        <v>0</v>
      </c>
      <c r="W288" s="80">
        <v>0</v>
      </c>
      <c r="X288" s="80">
        <v>0</v>
      </c>
      <c r="Y288" s="80">
        <v>0</v>
      </c>
      <c r="Z288" s="80">
        <v>0</v>
      </c>
      <c r="AA288" s="80">
        <v>0</v>
      </c>
      <c r="AB288" s="80">
        <v>0</v>
      </c>
      <c r="AC288" s="80">
        <v>0</v>
      </c>
      <c r="AD288" s="80">
        <v>0</v>
      </c>
      <c r="AE288" s="80">
        <v>0</v>
      </c>
      <c r="AF288" s="80">
        <v>0</v>
      </c>
      <c r="AG288" s="80">
        <v>0</v>
      </c>
      <c r="AH288" s="80">
        <v>0</v>
      </c>
      <c r="AI288" s="80">
        <v>0</v>
      </c>
      <c r="AJ288" s="80">
        <v>0</v>
      </c>
      <c r="AK288" s="80">
        <v>0</v>
      </c>
      <c r="AL288" s="80">
        <v>0</v>
      </c>
      <c r="AM288" s="81">
        <v>0</v>
      </c>
      <c r="AN288" s="81">
        <v>0</v>
      </c>
      <c r="AO288" s="81">
        <v>0</v>
      </c>
    </row>
    <row r="289" spans="1:41" ht="15.75" x14ac:dyDescent="0.25">
      <c r="A289" s="84">
        <v>16</v>
      </c>
      <c r="B289" s="84"/>
      <c r="C289" s="84" t="s">
        <v>164</v>
      </c>
      <c r="D289" s="80" t="s">
        <v>245</v>
      </c>
      <c r="E289" s="438">
        <v>0</v>
      </c>
      <c r="F289" s="80">
        <v>0</v>
      </c>
      <c r="G289" s="80">
        <v>0</v>
      </c>
      <c r="H289" s="387">
        <v>1</v>
      </c>
      <c r="I289" s="387">
        <v>3</v>
      </c>
      <c r="J289" s="387">
        <v>2</v>
      </c>
      <c r="K289" s="80">
        <v>0</v>
      </c>
      <c r="L289" s="80">
        <v>0</v>
      </c>
      <c r="M289" s="80">
        <v>0</v>
      </c>
      <c r="N289" s="80">
        <v>0</v>
      </c>
      <c r="O289" s="387">
        <v>2</v>
      </c>
      <c r="P289" s="387">
        <v>1</v>
      </c>
      <c r="Q289" s="387">
        <v>1</v>
      </c>
      <c r="R289" s="387">
        <v>1</v>
      </c>
      <c r="S289" s="80">
        <v>0</v>
      </c>
      <c r="T289" s="80">
        <v>0</v>
      </c>
      <c r="U289" s="387">
        <v>1</v>
      </c>
      <c r="V289" s="387">
        <v>1</v>
      </c>
      <c r="W289" s="80">
        <v>0</v>
      </c>
      <c r="X289" s="80">
        <v>0</v>
      </c>
      <c r="Y289" s="80">
        <v>0</v>
      </c>
      <c r="Z289" s="80">
        <v>0</v>
      </c>
      <c r="AA289" s="80">
        <v>0</v>
      </c>
      <c r="AB289" s="80">
        <v>0</v>
      </c>
      <c r="AC289" s="80">
        <v>0</v>
      </c>
      <c r="AD289" s="80">
        <v>0</v>
      </c>
      <c r="AE289" s="387">
        <v>1</v>
      </c>
      <c r="AF289" s="80">
        <v>0</v>
      </c>
      <c r="AG289" s="390">
        <v>2</v>
      </c>
      <c r="AH289" s="387">
        <v>1</v>
      </c>
      <c r="AI289" s="81">
        <v>0</v>
      </c>
      <c r="AJ289" s="81">
        <v>0</v>
      </c>
      <c r="AK289" s="81">
        <v>0</v>
      </c>
      <c r="AL289" s="81">
        <v>0</v>
      </c>
      <c r="AM289" s="390">
        <v>1</v>
      </c>
      <c r="AN289" s="81">
        <v>0</v>
      </c>
      <c r="AO289" s="390">
        <v>1</v>
      </c>
    </row>
    <row r="290" spans="1:41" ht="15.75" x14ac:dyDescent="0.25">
      <c r="A290" s="84"/>
      <c r="B290" s="84"/>
      <c r="C290" s="84" t="s">
        <v>410</v>
      </c>
      <c r="D290" s="80" t="s">
        <v>246</v>
      </c>
      <c r="E290" s="80">
        <v>0</v>
      </c>
      <c r="F290" s="80">
        <v>0</v>
      </c>
      <c r="G290" s="80">
        <v>0</v>
      </c>
      <c r="H290" s="80">
        <v>1</v>
      </c>
      <c r="I290" s="80">
        <v>2</v>
      </c>
      <c r="J290" s="80">
        <v>2</v>
      </c>
      <c r="K290" s="80">
        <v>0</v>
      </c>
      <c r="L290" s="80">
        <v>0</v>
      </c>
      <c r="M290" s="80">
        <v>0</v>
      </c>
      <c r="N290" s="80">
        <v>0</v>
      </c>
      <c r="O290" s="80">
        <v>2</v>
      </c>
      <c r="P290" s="80">
        <v>0</v>
      </c>
      <c r="Q290" s="80">
        <v>0</v>
      </c>
      <c r="R290" s="80">
        <v>0</v>
      </c>
      <c r="S290" s="80">
        <v>0</v>
      </c>
      <c r="T290" s="80">
        <v>0</v>
      </c>
      <c r="U290" s="80">
        <v>1</v>
      </c>
      <c r="V290" s="80">
        <v>1</v>
      </c>
      <c r="W290" s="80">
        <v>0</v>
      </c>
      <c r="X290" s="80">
        <v>0</v>
      </c>
      <c r="Y290" s="80">
        <v>0</v>
      </c>
      <c r="Z290" s="80">
        <v>0</v>
      </c>
      <c r="AA290" s="80">
        <v>0</v>
      </c>
      <c r="AB290" s="80">
        <v>0</v>
      </c>
      <c r="AC290" s="80">
        <v>0</v>
      </c>
      <c r="AD290" s="80">
        <v>0</v>
      </c>
      <c r="AE290" s="80">
        <v>1</v>
      </c>
      <c r="AF290" s="80">
        <v>0</v>
      </c>
      <c r="AG290" s="81">
        <v>2</v>
      </c>
      <c r="AH290" s="80">
        <v>1</v>
      </c>
      <c r="AI290" s="81">
        <v>0</v>
      </c>
      <c r="AJ290" s="81">
        <v>0</v>
      </c>
      <c r="AK290" s="81">
        <v>0</v>
      </c>
      <c r="AL290" s="81">
        <v>0</v>
      </c>
      <c r="AM290" s="81">
        <v>1</v>
      </c>
      <c r="AN290" s="81">
        <v>0</v>
      </c>
      <c r="AO290" s="81">
        <v>1</v>
      </c>
    </row>
    <row r="291" spans="1:41" ht="15.75" x14ac:dyDescent="0.25">
      <c r="A291" s="84"/>
      <c r="B291" s="84"/>
      <c r="C291" s="84"/>
      <c r="D291" s="80" t="s">
        <v>247</v>
      </c>
      <c r="E291" s="80">
        <v>0</v>
      </c>
      <c r="F291" s="80">
        <v>0</v>
      </c>
      <c r="G291" s="80">
        <v>0</v>
      </c>
      <c r="H291" s="80">
        <v>0</v>
      </c>
      <c r="I291" s="80">
        <v>1</v>
      </c>
      <c r="J291" s="80">
        <v>0</v>
      </c>
      <c r="K291" s="80">
        <v>0</v>
      </c>
      <c r="L291" s="80">
        <v>0</v>
      </c>
      <c r="M291" s="80">
        <v>0</v>
      </c>
      <c r="N291" s="80">
        <v>0</v>
      </c>
      <c r="O291" s="80">
        <v>0</v>
      </c>
      <c r="P291" s="80">
        <v>1</v>
      </c>
      <c r="Q291" s="80">
        <v>1</v>
      </c>
      <c r="R291" s="80">
        <v>1</v>
      </c>
      <c r="S291" s="80">
        <v>0</v>
      </c>
      <c r="T291" s="80">
        <v>0</v>
      </c>
      <c r="U291" s="80">
        <v>0</v>
      </c>
      <c r="V291" s="80">
        <v>0</v>
      </c>
      <c r="W291" s="80">
        <v>0</v>
      </c>
      <c r="X291" s="80">
        <v>0</v>
      </c>
      <c r="Y291" s="80">
        <v>0</v>
      </c>
      <c r="Z291" s="80">
        <v>0</v>
      </c>
      <c r="AA291" s="80">
        <v>0</v>
      </c>
      <c r="AB291" s="80">
        <v>0</v>
      </c>
      <c r="AC291" s="80">
        <v>0</v>
      </c>
      <c r="AD291" s="80">
        <v>0</v>
      </c>
      <c r="AE291" s="80">
        <v>0</v>
      </c>
      <c r="AF291" s="80">
        <v>0</v>
      </c>
      <c r="AG291" s="81">
        <v>0</v>
      </c>
      <c r="AH291" s="80">
        <v>0</v>
      </c>
      <c r="AI291" s="81">
        <v>0</v>
      </c>
      <c r="AJ291" s="81">
        <v>0</v>
      </c>
      <c r="AK291" s="81">
        <v>0</v>
      </c>
      <c r="AL291" s="81">
        <v>0</v>
      </c>
      <c r="AM291" s="81">
        <v>0</v>
      </c>
      <c r="AN291" s="81">
        <v>0</v>
      </c>
      <c r="AO291" s="81">
        <v>0</v>
      </c>
    </row>
    <row r="292" spans="1:41" ht="15.75" x14ac:dyDescent="0.25">
      <c r="A292" s="84"/>
      <c r="B292" s="84"/>
      <c r="C292" s="84"/>
      <c r="D292" s="80" t="s">
        <v>248</v>
      </c>
      <c r="E292" s="80">
        <v>0</v>
      </c>
      <c r="F292" s="80">
        <v>0</v>
      </c>
      <c r="G292" s="80">
        <v>0</v>
      </c>
      <c r="H292" s="80">
        <v>1</v>
      </c>
      <c r="I292" s="80">
        <v>2</v>
      </c>
      <c r="J292" s="80">
        <v>2</v>
      </c>
      <c r="K292" s="80">
        <v>0</v>
      </c>
      <c r="L292" s="80">
        <v>0</v>
      </c>
      <c r="M292" s="80">
        <v>0</v>
      </c>
      <c r="N292" s="80">
        <v>0</v>
      </c>
      <c r="O292" s="80">
        <v>2</v>
      </c>
      <c r="P292" s="80">
        <v>0</v>
      </c>
      <c r="Q292" s="80">
        <v>0</v>
      </c>
      <c r="R292" s="80">
        <v>0</v>
      </c>
      <c r="S292" s="80">
        <v>0</v>
      </c>
      <c r="T292" s="80">
        <v>0</v>
      </c>
      <c r="U292" s="80">
        <v>1</v>
      </c>
      <c r="V292" s="80">
        <v>1</v>
      </c>
      <c r="W292" s="80">
        <v>0</v>
      </c>
      <c r="X292" s="80">
        <v>0</v>
      </c>
      <c r="Y292" s="80">
        <v>0</v>
      </c>
      <c r="Z292" s="80">
        <v>0</v>
      </c>
      <c r="AA292" s="80">
        <v>0</v>
      </c>
      <c r="AB292" s="80">
        <v>0</v>
      </c>
      <c r="AC292" s="80">
        <v>0</v>
      </c>
      <c r="AD292" s="80">
        <v>0</v>
      </c>
      <c r="AE292" s="80">
        <v>1</v>
      </c>
      <c r="AF292" s="80">
        <v>0</v>
      </c>
      <c r="AG292" s="81">
        <v>2</v>
      </c>
      <c r="AH292" s="80">
        <v>1</v>
      </c>
      <c r="AI292" s="81">
        <v>0</v>
      </c>
      <c r="AJ292" s="81">
        <v>0</v>
      </c>
      <c r="AK292" s="81">
        <v>0</v>
      </c>
      <c r="AL292" s="81">
        <v>0</v>
      </c>
      <c r="AM292" s="81">
        <v>1</v>
      </c>
      <c r="AN292" s="81">
        <v>0</v>
      </c>
      <c r="AO292" s="81">
        <v>1</v>
      </c>
    </row>
    <row r="293" spans="1:41" ht="15.75" x14ac:dyDescent="0.25">
      <c r="A293" s="84"/>
      <c r="B293" s="84"/>
      <c r="C293" s="84"/>
      <c r="D293" s="80" t="s">
        <v>258</v>
      </c>
      <c r="E293" s="80">
        <v>0</v>
      </c>
      <c r="F293" s="80">
        <v>0</v>
      </c>
      <c r="G293" s="80">
        <v>0</v>
      </c>
      <c r="H293" s="80">
        <v>0</v>
      </c>
      <c r="I293" s="80">
        <v>0</v>
      </c>
      <c r="J293" s="80">
        <v>0</v>
      </c>
      <c r="K293" s="80">
        <v>0</v>
      </c>
      <c r="L293" s="80">
        <v>0</v>
      </c>
      <c r="M293" s="80">
        <v>0</v>
      </c>
      <c r="N293" s="80">
        <v>0</v>
      </c>
      <c r="O293" s="80">
        <v>0</v>
      </c>
      <c r="P293" s="80">
        <v>0</v>
      </c>
      <c r="Q293" s="80">
        <v>0</v>
      </c>
      <c r="R293" s="80">
        <v>0</v>
      </c>
      <c r="S293" s="80">
        <v>0</v>
      </c>
      <c r="T293" s="80">
        <v>0</v>
      </c>
      <c r="U293" s="80">
        <v>0</v>
      </c>
      <c r="V293" s="80">
        <v>0</v>
      </c>
      <c r="W293" s="80">
        <v>0</v>
      </c>
      <c r="X293" s="80">
        <v>0</v>
      </c>
      <c r="Y293" s="80">
        <v>0</v>
      </c>
      <c r="Z293" s="80">
        <v>0</v>
      </c>
      <c r="AA293" s="80">
        <v>0</v>
      </c>
      <c r="AB293" s="80">
        <v>0</v>
      </c>
      <c r="AC293" s="80">
        <v>0</v>
      </c>
      <c r="AD293" s="80">
        <v>0</v>
      </c>
      <c r="AE293" s="80">
        <v>0</v>
      </c>
      <c r="AF293" s="80">
        <v>0</v>
      </c>
      <c r="AG293" s="80">
        <v>0</v>
      </c>
      <c r="AH293" s="80">
        <v>0</v>
      </c>
      <c r="AI293" s="80">
        <v>0</v>
      </c>
      <c r="AJ293" s="80">
        <v>0</v>
      </c>
      <c r="AK293" s="80">
        <v>0</v>
      </c>
      <c r="AL293" s="80">
        <v>0</v>
      </c>
      <c r="AM293" s="81">
        <v>0</v>
      </c>
      <c r="AN293" s="81">
        <v>0</v>
      </c>
      <c r="AO293" s="81">
        <v>0</v>
      </c>
    </row>
    <row r="294" spans="1:41" ht="15.75" x14ac:dyDescent="0.25">
      <c r="A294" s="84">
        <v>17</v>
      </c>
      <c r="B294" s="84" t="s">
        <v>267</v>
      </c>
      <c r="C294" s="84" t="s">
        <v>177</v>
      </c>
      <c r="D294" s="80" t="s">
        <v>245</v>
      </c>
      <c r="E294" s="438">
        <v>0</v>
      </c>
      <c r="F294" s="80">
        <v>0</v>
      </c>
      <c r="G294" s="80">
        <v>1</v>
      </c>
      <c r="H294" s="387">
        <v>1</v>
      </c>
      <c r="I294" s="387">
        <v>2</v>
      </c>
      <c r="J294" s="387">
        <v>2</v>
      </c>
      <c r="K294" s="80">
        <v>0</v>
      </c>
      <c r="L294" s="80">
        <v>0</v>
      </c>
      <c r="M294" s="80">
        <v>0</v>
      </c>
      <c r="N294" s="80">
        <v>0</v>
      </c>
      <c r="O294" s="387">
        <v>1</v>
      </c>
      <c r="P294" s="80">
        <v>0</v>
      </c>
      <c r="Q294" s="80">
        <v>0</v>
      </c>
      <c r="R294" s="80">
        <v>0</v>
      </c>
      <c r="S294" s="80">
        <v>0</v>
      </c>
      <c r="T294" s="387">
        <v>1</v>
      </c>
      <c r="U294" s="387">
        <v>2</v>
      </c>
      <c r="V294" s="387">
        <v>1</v>
      </c>
      <c r="W294" s="80">
        <v>0</v>
      </c>
      <c r="X294" s="80">
        <v>0</v>
      </c>
      <c r="Y294" s="387">
        <v>1</v>
      </c>
      <c r="Z294" s="387">
        <v>1</v>
      </c>
      <c r="AA294" s="80">
        <v>0</v>
      </c>
      <c r="AB294" s="387">
        <v>1</v>
      </c>
      <c r="AC294" s="387">
        <v>1</v>
      </c>
      <c r="AD294" s="80">
        <v>0</v>
      </c>
      <c r="AE294" s="387">
        <v>1</v>
      </c>
      <c r="AF294" s="80">
        <v>0</v>
      </c>
      <c r="AG294" s="81">
        <v>0</v>
      </c>
      <c r="AH294" s="387">
        <v>2</v>
      </c>
      <c r="AI294" s="81">
        <v>0</v>
      </c>
      <c r="AJ294" s="81">
        <v>0</v>
      </c>
      <c r="AK294" s="81">
        <v>0</v>
      </c>
      <c r="AL294" s="81">
        <v>0</v>
      </c>
      <c r="AM294" s="81">
        <v>0</v>
      </c>
      <c r="AN294" s="81">
        <v>0</v>
      </c>
      <c r="AO294" s="81">
        <v>0</v>
      </c>
    </row>
    <row r="295" spans="1:41" ht="15.75" x14ac:dyDescent="0.25">
      <c r="A295" s="84"/>
      <c r="B295" s="84"/>
      <c r="C295" s="84"/>
      <c r="D295" s="80" t="s">
        <v>246</v>
      </c>
      <c r="E295" s="80">
        <v>0</v>
      </c>
      <c r="F295" s="80">
        <v>0</v>
      </c>
      <c r="G295" s="80">
        <v>1</v>
      </c>
      <c r="H295" s="80">
        <v>1</v>
      </c>
      <c r="I295" s="80">
        <v>2</v>
      </c>
      <c r="J295" s="80">
        <v>2</v>
      </c>
      <c r="K295" s="80">
        <v>0</v>
      </c>
      <c r="L295" s="80">
        <v>0</v>
      </c>
      <c r="M295" s="80">
        <v>0</v>
      </c>
      <c r="N295" s="80">
        <v>0</v>
      </c>
      <c r="O295" s="80">
        <v>1</v>
      </c>
      <c r="P295" s="80">
        <v>0</v>
      </c>
      <c r="Q295" s="80">
        <v>0</v>
      </c>
      <c r="R295" s="80">
        <v>0</v>
      </c>
      <c r="S295" s="80">
        <v>0</v>
      </c>
      <c r="T295" s="80">
        <v>1</v>
      </c>
      <c r="U295" s="80">
        <v>2</v>
      </c>
      <c r="V295" s="80">
        <v>1</v>
      </c>
      <c r="W295" s="80">
        <v>0</v>
      </c>
      <c r="X295" s="80">
        <v>0</v>
      </c>
      <c r="Y295" s="80">
        <v>1</v>
      </c>
      <c r="Z295" s="80">
        <v>1</v>
      </c>
      <c r="AA295" s="80">
        <v>0</v>
      </c>
      <c r="AB295" s="80">
        <v>1</v>
      </c>
      <c r="AC295" s="80">
        <v>1</v>
      </c>
      <c r="AD295" s="80">
        <v>0</v>
      </c>
      <c r="AE295" s="80">
        <v>1</v>
      </c>
      <c r="AF295" s="80">
        <v>0</v>
      </c>
      <c r="AG295" s="81">
        <v>0</v>
      </c>
      <c r="AH295" s="80">
        <v>2</v>
      </c>
      <c r="AI295" s="81">
        <v>0</v>
      </c>
      <c r="AJ295" s="81">
        <v>0</v>
      </c>
      <c r="AK295" s="81">
        <v>0</v>
      </c>
      <c r="AL295" s="81">
        <v>0</v>
      </c>
      <c r="AM295" s="81">
        <v>0</v>
      </c>
      <c r="AN295" s="81">
        <v>0</v>
      </c>
      <c r="AO295" s="81">
        <v>0</v>
      </c>
    </row>
    <row r="296" spans="1:41" ht="15.75" x14ac:dyDescent="0.25">
      <c r="A296" s="84"/>
      <c r="B296" s="84"/>
      <c r="C296" s="84"/>
      <c r="D296" s="80" t="s">
        <v>247</v>
      </c>
      <c r="E296" s="80">
        <v>0</v>
      </c>
      <c r="F296" s="80">
        <v>0</v>
      </c>
      <c r="G296" s="80">
        <v>0</v>
      </c>
      <c r="H296" s="80">
        <v>0</v>
      </c>
      <c r="I296" s="80">
        <v>0</v>
      </c>
      <c r="J296" s="80">
        <v>0</v>
      </c>
      <c r="K296" s="80">
        <v>0</v>
      </c>
      <c r="L296" s="80">
        <v>0</v>
      </c>
      <c r="M296" s="80">
        <v>0</v>
      </c>
      <c r="N296" s="80">
        <v>0</v>
      </c>
      <c r="O296" s="80">
        <v>0</v>
      </c>
      <c r="P296" s="80">
        <v>0</v>
      </c>
      <c r="Q296" s="80">
        <v>0</v>
      </c>
      <c r="R296" s="80">
        <v>0</v>
      </c>
      <c r="S296" s="80">
        <v>0</v>
      </c>
      <c r="T296" s="80">
        <v>0</v>
      </c>
      <c r="U296" s="80">
        <v>0</v>
      </c>
      <c r="V296" s="80">
        <v>0</v>
      </c>
      <c r="W296" s="80">
        <v>0</v>
      </c>
      <c r="X296" s="80">
        <v>0</v>
      </c>
      <c r="Y296" s="80">
        <v>0</v>
      </c>
      <c r="Z296" s="80">
        <v>0</v>
      </c>
      <c r="AA296" s="80">
        <v>0</v>
      </c>
      <c r="AB296" s="80">
        <v>0</v>
      </c>
      <c r="AC296" s="80">
        <v>0</v>
      </c>
      <c r="AD296" s="80">
        <v>0</v>
      </c>
      <c r="AE296" s="80">
        <v>0</v>
      </c>
      <c r="AF296" s="80">
        <v>0</v>
      </c>
      <c r="AG296" s="81">
        <v>0</v>
      </c>
      <c r="AH296" s="80">
        <v>0</v>
      </c>
      <c r="AI296" s="81">
        <v>0</v>
      </c>
      <c r="AJ296" s="81">
        <v>0</v>
      </c>
      <c r="AK296" s="81">
        <v>0</v>
      </c>
      <c r="AL296" s="81">
        <v>0</v>
      </c>
      <c r="AM296" s="81">
        <v>0</v>
      </c>
      <c r="AN296" s="81">
        <v>0</v>
      </c>
      <c r="AO296" s="81">
        <v>0</v>
      </c>
    </row>
    <row r="297" spans="1:41" ht="15.75" x14ac:dyDescent="0.25">
      <c r="A297" s="84"/>
      <c r="B297" s="84"/>
      <c r="C297" s="84"/>
      <c r="D297" s="80" t="s">
        <v>248</v>
      </c>
      <c r="E297" s="80">
        <v>0</v>
      </c>
      <c r="F297" s="80">
        <v>0</v>
      </c>
      <c r="G297" s="80">
        <v>1</v>
      </c>
      <c r="H297" s="80">
        <v>1</v>
      </c>
      <c r="I297" s="80">
        <v>2</v>
      </c>
      <c r="J297" s="80">
        <v>2</v>
      </c>
      <c r="K297" s="80">
        <v>0</v>
      </c>
      <c r="L297" s="80">
        <v>0</v>
      </c>
      <c r="M297" s="80">
        <v>0</v>
      </c>
      <c r="N297" s="80">
        <v>0</v>
      </c>
      <c r="O297" s="80">
        <v>1</v>
      </c>
      <c r="P297" s="80">
        <v>0</v>
      </c>
      <c r="Q297" s="80">
        <v>0</v>
      </c>
      <c r="R297" s="80">
        <v>0</v>
      </c>
      <c r="S297" s="80">
        <v>0</v>
      </c>
      <c r="T297" s="80">
        <v>1</v>
      </c>
      <c r="U297" s="80">
        <v>2</v>
      </c>
      <c r="V297" s="80">
        <v>1</v>
      </c>
      <c r="W297" s="80">
        <v>0</v>
      </c>
      <c r="X297" s="80">
        <v>0</v>
      </c>
      <c r="Y297" s="80">
        <v>1</v>
      </c>
      <c r="Z297" s="80">
        <v>1</v>
      </c>
      <c r="AA297" s="80">
        <v>0</v>
      </c>
      <c r="AB297" s="80">
        <v>1</v>
      </c>
      <c r="AC297" s="80">
        <v>1</v>
      </c>
      <c r="AD297" s="80">
        <v>0</v>
      </c>
      <c r="AE297" s="80">
        <v>1</v>
      </c>
      <c r="AF297" s="80">
        <v>0</v>
      </c>
      <c r="AG297" s="81">
        <v>0</v>
      </c>
      <c r="AH297" s="80">
        <v>2</v>
      </c>
      <c r="AI297" s="81">
        <v>0</v>
      </c>
      <c r="AJ297" s="81">
        <v>0</v>
      </c>
      <c r="AK297" s="81">
        <v>0</v>
      </c>
      <c r="AL297" s="81">
        <v>0</v>
      </c>
      <c r="AM297" s="81">
        <v>0</v>
      </c>
      <c r="AN297" s="81">
        <v>0</v>
      </c>
      <c r="AO297" s="81">
        <v>0</v>
      </c>
    </row>
    <row r="298" spans="1:41" ht="15.75" x14ac:dyDescent="0.25">
      <c r="A298" s="84"/>
      <c r="B298" s="84"/>
      <c r="C298" s="84"/>
      <c r="D298" s="80" t="s">
        <v>258</v>
      </c>
      <c r="E298" s="80">
        <v>0</v>
      </c>
      <c r="F298" s="80">
        <v>0</v>
      </c>
      <c r="G298" s="80">
        <v>0</v>
      </c>
      <c r="H298" s="80">
        <v>0</v>
      </c>
      <c r="I298" s="80">
        <v>0</v>
      </c>
      <c r="J298" s="80">
        <v>0</v>
      </c>
      <c r="K298" s="80">
        <v>0</v>
      </c>
      <c r="L298" s="80">
        <v>0</v>
      </c>
      <c r="M298" s="80">
        <v>0</v>
      </c>
      <c r="N298" s="80">
        <v>0</v>
      </c>
      <c r="O298" s="80">
        <v>0</v>
      </c>
      <c r="P298" s="80">
        <v>0</v>
      </c>
      <c r="Q298" s="80">
        <v>0</v>
      </c>
      <c r="R298" s="80">
        <v>0</v>
      </c>
      <c r="S298" s="80">
        <v>0</v>
      </c>
      <c r="T298" s="80">
        <v>0</v>
      </c>
      <c r="U298" s="80">
        <v>0</v>
      </c>
      <c r="V298" s="80">
        <v>0</v>
      </c>
      <c r="W298" s="80">
        <v>0</v>
      </c>
      <c r="X298" s="80">
        <v>0</v>
      </c>
      <c r="Y298" s="80">
        <v>0</v>
      </c>
      <c r="Z298" s="80">
        <v>0</v>
      </c>
      <c r="AA298" s="80">
        <v>0</v>
      </c>
      <c r="AB298" s="80">
        <v>0</v>
      </c>
      <c r="AC298" s="80">
        <v>0</v>
      </c>
      <c r="AD298" s="80">
        <v>0</v>
      </c>
      <c r="AE298" s="80">
        <v>0</v>
      </c>
      <c r="AF298" s="80">
        <v>0</v>
      </c>
      <c r="AG298" s="80">
        <v>0</v>
      </c>
      <c r="AH298" s="80">
        <v>0</v>
      </c>
      <c r="AI298" s="80">
        <v>0</v>
      </c>
      <c r="AJ298" s="80">
        <v>0</v>
      </c>
      <c r="AK298" s="80">
        <v>0</v>
      </c>
      <c r="AL298" s="80">
        <v>0</v>
      </c>
      <c r="AM298" s="81">
        <v>0</v>
      </c>
      <c r="AN298" s="81">
        <v>0</v>
      </c>
      <c r="AO298" s="81">
        <v>0</v>
      </c>
    </row>
    <row r="299" spans="1:41" ht="15.75" x14ac:dyDescent="0.25">
      <c r="A299" s="84">
        <v>18</v>
      </c>
      <c r="B299" s="84"/>
      <c r="C299" s="84" t="s">
        <v>179</v>
      </c>
      <c r="D299" s="80" t="s">
        <v>245</v>
      </c>
      <c r="E299" s="438">
        <v>0</v>
      </c>
      <c r="F299" s="80">
        <v>0</v>
      </c>
      <c r="G299" s="80">
        <v>0</v>
      </c>
      <c r="H299" s="387">
        <v>2</v>
      </c>
      <c r="I299" s="387">
        <v>2</v>
      </c>
      <c r="J299" s="387">
        <v>1</v>
      </c>
      <c r="K299" s="80">
        <v>0</v>
      </c>
      <c r="L299" s="80">
        <v>0</v>
      </c>
      <c r="M299" s="80">
        <v>0</v>
      </c>
      <c r="N299" s="80">
        <v>0</v>
      </c>
      <c r="O299" s="80">
        <v>1</v>
      </c>
      <c r="P299" s="80">
        <v>0</v>
      </c>
      <c r="Q299" s="80">
        <v>1</v>
      </c>
      <c r="R299" s="387">
        <v>2</v>
      </c>
      <c r="S299" s="80">
        <v>0</v>
      </c>
      <c r="T299" s="80">
        <v>0</v>
      </c>
      <c r="U299" s="387">
        <v>2</v>
      </c>
      <c r="V299" s="387">
        <v>1</v>
      </c>
      <c r="W299" s="387">
        <v>1</v>
      </c>
      <c r="X299" s="387">
        <v>1</v>
      </c>
      <c r="Y299" s="80">
        <v>0</v>
      </c>
      <c r="Z299" s="387">
        <v>1</v>
      </c>
      <c r="AA299" s="387">
        <v>1</v>
      </c>
      <c r="AB299" s="387">
        <v>2</v>
      </c>
      <c r="AC299" s="80">
        <v>0</v>
      </c>
      <c r="AD299" s="80">
        <v>0</v>
      </c>
      <c r="AE299" s="80">
        <v>0</v>
      </c>
      <c r="AF299" s="80">
        <v>0</v>
      </c>
      <c r="AG299" s="390">
        <v>1</v>
      </c>
      <c r="AH299" s="80">
        <v>0</v>
      </c>
      <c r="AI299" s="81">
        <v>0</v>
      </c>
      <c r="AJ299" s="81">
        <v>0</v>
      </c>
      <c r="AK299" s="81">
        <v>0</v>
      </c>
      <c r="AL299" s="81">
        <v>0</v>
      </c>
      <c r="AM299" s="81">
        <v>0</v>
      </c>
      <c r="AN299" s="81">
        <v>0</v>
      </c>
      <c r="AO299" s="81">
        <v>0</v>
      </c>
    </row>
    <row r="300" spans="1:41" ht="15.75" x14ac:dyDescent="0.25">
      <c r="A300" s="84"/>
      <c r="B300" s="84"/>
      <c r="C300" s="84"/>
      <c r="D300" s="80" t="s">
        <v>246</v>
      </c>
      <c r="E300" s="80">
        <v>0</v>
      </c>
      <c r="F300" s="80">
        <v>0</v>
      </c>
      <c r="G300" s="80">
        <v>0</v>
      </c>
      <c r="H300" s="80">
        <v>2</v>
      </c>
      <c r="I300" s="80">
        <v>0</v>
      </c>
      <c r="J300" s="80">
        <v>1</v>
      </c>
      <c r="K300" s="80">
        <v>0</v>
      </c>
      <c r="L300" s="80">
        <v>0</v>
      </c>
      <c r="M300" s="80">
        <v>0</v>
      </c>
      <c r="N300" s="80">
        <v>0</v>
      </c>
      <c r="O300" s="80">
        <v>1</v>
      </c>
      <c r="P300" s="80">
        <v>0</v>
      </c>
      <c r="Q300" s="80">
        <v>1</v>
      </c>
      <c r="R300" s="80">
        <v>2</v>
      </c>
      <c r="S300" s="80">
        <v>0</v>
      </c>
      <c r="T300" s="80">
        <v>0</v>
      </c>
      <c r="U300" s="80">
        <v>2</v>
      </c>
      <c r="V300" s="80">
        <v>1</v>
      </c>
      <c r="W300" s="80">
        <v>1</v>
      </c>
      <c r="X300" s="80">
        <v>1</v>
      </c>
      <c r="Y300" s="80">
        <v>0</v>
      </c>
      <c r="Z300" s="80">
        <v>1</v>
      </c>
      <c r="AA300" s="80">
        <v>1</v>
      </c>
      <c r="AB300" s="80">
        <v>2</v>
      </c>
      <c r="AC300" s="80">
        <v>0</v>
      </c>
      <c r="AD300" s="80">
        <v>0</v>
      </c>
      <c r="AE300" s="80">
        <v>0</v>
      </c>
      <c r="AF300" s="80">
        <v>0</v>
      </c>
      <c r="AG300" s="81">
        <v>1</v>
      </c>
      <c r="AH300" s="80">
        <v>0</v>
      </c>
      <c r="AI300" s="81">
        <v>0</v>
      </c>
      <c r="AJ300" s="81">
        <v>0</v>
      </c>
      <c r="AK300" s="81">
        <v>0</v>
      </c>
      <c r="AL300" s="81">
        <v>0</v>
      </c>
      <c r="AM300" s="81">
        <v>0</v>
      </c>
      <c r="AN300" s="81">
        <v>0</v>
      </c>
      <c r="AO300" s="81">
        <v>0</v>
      </c>
    </row>
    <row r="301" spans="1:41" ht="15.75" x14ac:dyDescent="0.25">
      <c r="A301" s="84"/>
      <c r="B301" s="84"/>
      <c r="C301" s="84"/>
      <c r="D301" s="80" t="s">
        <v>247</v>
      </c>
      <c r="E301" s="80">
        <v>0</v>
      </c>
      <c r="F301" s="80">
        <v>0</v>
      </c>
      <c r="G301" s="80">
        <v>0</v>
      </c>
      <c r="H301" s="80">
        <v>0</v>
      </c>
      <c r="I301" s="80">
        <v>2</v>
      </c>
      <c r="J301" s="80">
        <v>0</v>
      </c>
      <c r="K301" s="80">
        <v>0</v>
      </c>
      <c r="L301" s="80">
        <v>0</v>
      </c>
      <c r="M301" s="80">
        <v>0</v>
      </c>
      <c r="N301" s="80">
        <v>0</v>
      </c>
      <c r="O301" s="80">
        <v>0</v>
      </c>
      <c r="P301" s="80">
        <v>0</v>
      </c>
      <c r="Q301" s="80">
        <v>0</v>
      </c>
      <c r="R301" s="80">
        <v>0</v>
      </c>
      <c r="S301" s="80">
        <v>0</v>
      </c>
      <c r="T301" s="80">
        <v>0</v>
      </c>
      <c r="U301" s="80">
        <v>0</v>
      </c>
      <c r="V301" s="80">
        <v>0</v>
      </c>
      <c r="W301" s="80">
        <v>0</v>
      </c>
      <c r="X301" s="80">
        <v>0</v>
      </c>
      <c r="Y301" s="80">
        <v>0</v>
      </c>
      <c r="Z301" s="80">
        <v>0</v>
      </c>
      <c r="AA301" s="80">
        <v>0</v>
      </c>
      <c r="AB301" s="80">
        <v>0</v>
      </c>
      <c r="AC301" s="80">
        <v>0</v>
      </c>
      <c r="AD301" s="80">
        <v>0</v>
      </c>
      <c r="AE301" s="80">
        <v>0</v>
      </c>
      <c r="AF301" s="80">
        <v>0</v>
      </c>
      <c r="AG301" s="81">
        <v>0</v>
      </c>
      <c r="AH301" s="80">
        <v>0</v>
      </c>
      <c r="AI301" s="81">
        <v>0</v>
      </c>
      <c r="AJ301" s="81">
        <v>0</v>
      </c>
      <c r="AK301" s="81">
        <v>0</v>
      </c>
      <c r="AL301" s="81">
        <v>0</v>
      </c>
      <c r="AM301" s="81">
        <v>0</v>
      </c>
      <c r="AN301" s="81">
        <v>0</v>
      </c>
      <c r="AO301" s="81">
        <v>0</v>
      </c>
    </row>
    <row r="302" spans="1:41" ht="15.75" x14ac:dyDescent="0.25">
      <c r="A302" s="84"/>
      <c r="B302" s="84"/>
      <c r="C302" s="84"/>
      <c r="D302" s="80" t="s">
        <v>248</v>
      </c>
      <c r="E302" s="80">
        <v>0</v>
      </c>
      <c r="F302" s="80">
        <v>0</v>
      </c>
      <c r="G302" s="80">
        <v>0</v>
      </c>
      <c r="H302" s="80">
        <v>2</v>
      </c>
      <c r="I302" s="80">
        <v>0</v>
      </c>
      <c r="J302" s="80">
        <v>1</v>
      </c>
      <c r="K302" s="80">
        <v>0</v>
      </c>
      <c r="L302" s="80">
        <v>0</v>
      </c>
      <c r="M302" s="80">
        <v>0</v>
      </c>
      <c r="N302" s="80">
        <v>0</v>
      </c>
      <c r="O302" s="80">
        <v>1</v>
      </c>
      <c r="P302" s="80">
        <v>0</v>
      </c>
      <c r="Q302" s="80">
        <v>1</v>
      </c>
      <c r="R302" s="80">
        <v>1</v>
      </c>
      <c r="S302" s="80">
        <v>0</v>
      </c>
      <c r="T302" s="80">
        <v>0</v>
      </c>
      <c r="U302" s="80">
        <v>2</v>
      </c>
      <c r="V302" s="80">
        <v>1</v>
      </c>
      <c r="W302" s="80">
        <v>0</v>
      </c>
      <c r="X302" s="80">
        <v>1</v>
      </c>
      <c r="Y302" s="80">
        <v>0</v>
      </c>
      <c r="Z302" s="80">
        <v>1</v>
      </c>
      <c r="AA302" s="80">
        <v>1</v>
      </c>
      <c r="AB302" s="80">
        <v>2</v>
      </c>
      <c r="AC302" s="80">
        <v>0</v>
      </c>
      <c r="AD302" s="80">
        <v>0</v>
      </c>
      <c r="AE302" s="80">
        <v>0</v>
      </c>
      <c r="AF302" s="80">
        <v>0</v>
      </c>
      <c r="AG302" s="81">
        <v>1</v>
      </c>
      <c r="AH302" s="80">
        <v>0</v>
      </c>
      <c r="AI302" s="81">
        <v>0</v>
      </c>
      <c r="AJ302" s="81">
        <v>0</v>
      </c>
      <c r="AK302" s="81">
        <v>0</v>
      </c>
      <c r="AL302" s="81">
        <v>0</v>
      </c>
      <c r="AM302" s="81">
        <v>0</v>
      </c>
      <c r="AN302" s="81">
        <v>0</v>
      </c>
      <c r="AO302" s="81">
        <v>0</v>
      </c>
    </row>
    <row r="303" spans="1:41" ht="15.75" x14ac:dyDescent="0.25">
      <c r="A303" s="84"/>
      <c r="B303" s="84"/>
      <c r="C303" s="84"/>
      <c r="D303" s="80" t="s">
        <v>258</v>
      </c>
      <c r="E303" s="80">
        <v>0</v>
      </c>
      <c r="F303" s="80">
        <v>0</v>
      </c>
      <c r="G303" s="80">
        <v>0</v>
      </c>
      <c r="H303" s="80">
        <v>0</v>
      </c>
      <c r="I303" s="80">
        <v>0</v>
      </c>
      <c r="J303" s="80">
        <v>0</v>
      </c>
      <c r="K303" s="80">
        <v>0</v>
      </c>
      <c r="L303" s="80">
        <v>0</v>
      </c>
      <c r="M303" s="80">
        <v>0</v>
      </c>
      <c r="N303" s="80">
        <v>0</v>
      </c>
      <c r="O303" s="80">
        <v>0</v>
      </c>
      <c r="P303" s="80">
        <v>0</v>
      </c>
      <c r="Q303" s="80">
        <v>0</v>
      </c>
      <c r="R303" s="80">
        <v>1</v>
      </c>
      <c r="S303" s="80">
        <v>0</v>
      </c>
      <c r="T303" s="80">
        <v>0</v>
      </c>
      <c r="U303" s="80">
        <v>0</v>
      </c>
      <c r="V303" s="80">
        <v>0</v>
      </c>
      <c r="W303" s="80">
        <v>1</v>
      </c>
      <c r="X303" s="80">
        <v>0</v>
      </c>
      <c r="Y303" s="80">
        <v>0</v>
      </c>
      <c r="Z303" s="80">
        <v>0</v>
      </c>
      <c r="AA303" s="80">
        <v>0</v>
      </c>
      <c r="AB303" s="80">
        <v>0</v>
      </c>
      <c r="AC303" s="80"/>
      <c r="AD303" s="80">
        <v>0</v>
      </c>
      <c r="AE303" s="80">
        <v>0</v>
      </c>
      <c r="AF303" s="80">
        <v>0</v>
      </c>
      <c r="AG303" s="80">
        <v>0</v>
      </c>
      <c r="AH303" s="80">
        <v>0</v>
      </c>
      <c r="AI303" s="80">
        <v>0</v>
      </c>
      <c r="AJ303" s="80">
        <v>0</v>
      </c>
      <c r="AK303" s="80">
        <v>0</v>
      </c>
      <c r="AL303" s="80">
        <v>0</v>
      </c>
      <c r="AM303" s="81">
        <v>0</v>
      </c>
      <c r="AN303" s="81">
        <v>0</v>
      </c>
      <c r="AO303" s="81">
        <v>0</v>
      </c>
    </row>
    <row r="304" spans="1:41" ht="18.75" customHeight="1" x14ac:dyDescent="0.25">
      <c r="A304" s="84">
        <v>19</v>
      </c>
      <c r="B304" s="84"/>
      <c r="C304" s="84" t="s">
        <v>178</v>
      </c>
      <c r="D304" s="80" t="s">
        <v>245</v>
      </c>
      <c r="E304" s="438">
        <v>0</v>
      </c>
      <c r="F304" s="80">
        <v>0</v>
      </c>
      <c r="G304" s="80">
        <v>0</v>
      </c>
      <c r="H304" s="387">
        <v>1</v>
      </c>
      <c r="I304" s="387">
        <v>2</v>
      </c>
      <c r="J304" s="392">
        <v>2</v>
      </c>
      <c r="K304" s="80">
        <v>0</v>
      </c>
      <c r="L304" s="80">
        <v>0</v>
      </c>
      <c r="M304" s="80">
        <v>0</v>
      </c>
      <c r="N304" s="387">
        <v>1</v>
      </c>
      <c r="O304" s="387">
        <v>1</v>
      </c>
      <c r="P304" s="80">
        <v>0</v>
      </c>
      <c r="Q304" s="387">
        <v>2</v>
      </c>
      <c r="R304" s="80">
        <v>0</v>
      </c>
      <c r="S304" s="80">
        <v>0</v>
      </c>
      <c r="T304" s="80">
        <v>0</v>
      </c>
      <c r="U304" s="387">
        <v>2</v>
      </c>
      <c r="V304" s="387">
        <v>1</v>
      </c>
      <c r="W304" s="80">
        <v>0</v>
      </c>
      <c r="X304" s="80">
        <v>0</v>
      </c>
      <c r="Y304" s="80">
        <v>0</v>
      </c>
      <c r="Z304" s="80">
        <v>0</v>
      </c>
      <c r="AA304" s="387">
        <v>1</v>
      </c>
      <c r="AB304" s="80">
        <v>0</v>
      </c>
      <c r="AC304" s="387">
        <v>1</v>
      </c>
      <c r="AD304" s="80">
        <v>0</v>
      </c>
      <c r="AE304" s="80">
        <v>0</v>
      </c>
      <c r="AF304" s="80">
        <v>0</v>
      </c>
      <c r="AG304" s="387">
        <v>2</v>
      </c>
      <c r="AH304" s="80">
        <v>0</v>
      </c>
      <c r="AI304" s="80">
        <v>0</v>
      </c>
      <c r="AJ304" s="80">
        <v>0</v>
      </c>
      <c r="AK304" s="80">
        <v>0</v>
      </c>
      <c r="AL304" s="80">
        <v>0</v>
      </c>
      <c r="AM304" s="80">
        <v>0</v>
      </c>
      <c r="AN304" s="80">
        <v>0</v>
      </c>
      <c r="AO304" s="80">
        <v>0</v>
      </c>
    </row>
    <row r="305" spans="1:41" ht="15.75" x14ac:dyDescent="0.25">
      <c r="A305" s="84"/>
      <c r="B305" s="84"/>
      <c r="C305" s="84"/>
      <c r="D305" s="80" t="s">
        <v>246</v>
      </c>
      <c r="E305" s="80">
        <v>0</v>
      </c>
      <c r="F305" s="80">
        <v>0</v>
      </c>
      <c r="G305" s="80">
        <v>0</v>
      </c>
      <c r="H305" s="80">
        <v>0</v>
      </c>
      <c r="I305" s="80">
        <v>2</v>
      </c>
      <c r="J305" s="80">
        <v>2</v>
      </c>
      <c r="K305" s="80">
        <v>0</v>
      </c>
      <c r="L305" s="80">
        <v>0</v>
      </c>
      <c r="M305" s="80">
        <v>0</v>
      </c>
      <c r="N305" s="80">
        <v>1</v>
      </c>
      <c r="O305" s="80">
        <v>1</v>
      </c>
      <c r="P305" s="80">
        <v>0</v>
      </c>
      <c r="Q305" s="80">
        <v>1</v>
      </c>
      <c r="R305" s="80">
        <v>0</v>
      </c>
      <c r="S305" s="80">
        <v>0</v>
      </c>
      <c r="T305" s="80">
        <v>0</v>
      </c>
      <c r="U305" s="80">
        <v>2</v>
      </c>
      <c r="V305" s="80">
        <v>1</v>
      </c>
      <c r="W305" s="80">
        <v>0</v>
      </c>
      <c r="X305" s="80">
        <v>0</v>
      </c>
      <c r="Y305" s="80">
        <v>0</v>
      </c>
      <c r="Z305" s="80">
        <v>0</v>
      </c>
      <c r="AA305" s="80">
        <v>1</v>
      </c>
      <c r="AB305" s="80">
        <v>0</v>
      </c>
      <c r="AC305" s="80">
        <v>1</v>
      </c>
      <c r="AD305" s="80">
        <v>0</v>
      </c>
      <c r="AE305" s="80">
        <v>0</v>
      </c>
      <c r="AF305" s="80">
        <v>0</v>
      </c>
      <c r="AG305" s="81">
        <v>2</v>
      </c>
      <c r="AH305" s="80">
        <v>0</v>
      </c>
      <c r="AI305" s="81">
        <v>0</v>
      </c>
      <c r="AJ305" s="81">
        <v>0</v>
      </c>
      <c r="AK305" s="81">
        <v>0</v>
      </c>
      <c r="AL305" s="81">
        <v>0</v>
      </c>
      <c r="AM305" s="81">
        <v>0</v>
      </c>
      <c r="AN305" s="81">
        <v>0</v>
      </c>
      <c r="AO305" s="81">
        <v>0</v>
      </c>
    </row>
    <row r="306" spans="1:41" ht="15.75" x14ac:dyDescent="0.25">
      <c r="A306" s="84"/>
      <c r="B306" s="84"/>
      <c r="C306" s="84"/>
      <c r="D306" s="80" t="s">
        <v>247</v>
      </c>
      <c r="E306" s="80">
        <v>0</v>
      </c>
      <c r="F306" s="80">
        <v>0</v>
      </c>
      <c r="G306" s="80">
        <v>0</v>
      </c>
      <c r="H306" s="80">
        <v>1</v>
      </c>
      <c r="I306" s="80">
        <v>0</v>
      </c>
      <c r="J306" s="80">
        <v>0</v>
      </c>
      <c r="K306" s="80">
        <v>0</v>
      </c>
      <c r="L306" s="80">
        <v>0</v>
      </c>
      <c r="M306" s="80">
        <v>0</v>
      </c>
      <c r="N306" s="80">
        <v>0</v>
      </c>
      <c r="O306" s="80">
        <v>0</v>
      </c>
      <c r="P306" s="80">
        <v>0</v>
      </c>
      <c r="Q306" s="80">
        <v>1</v>
      </c>
      <c r="R306" s="80">
        <v>0</v>
      </c>
      <c r="S306" s="80">
        <v>0</v>
      </c>
      <c r="T306" s="80">
        <v>0</v>
      </c>
      <c r="U306" s="80">
        <v>0</v>
      </c>
      <c r="V306" s="80">
        <v>0</v>
      </c>
      <c r="W306" s="80">
        <v>0</v>
      </c>
      <c r="X306" s="80">
        <v>0</v>
      </c>
      <c r="Y306" s="80">
        <v>0</v>
      </c>
      <c r="Z306" s="80">
        <v>0</v>
      </c>
      <c r="AA306" s="80">
        <v>0</v>
      </c>
      <c r="AB306" s="80">
        <v>0</v>
      </c>
      <c r="AC306" s="80">
        <v>0</v>
      </c>
      <c r="AD306" s="80">
        <v>0</v>
      </c>
      <c r="AE306" s="80">
        <v>0</v>
      </c>
      <c r="AF306" s="80">
        <v>0</v>
      </c>
      <c r="AG306" s="81">
        <v>0</v>
      </c>
      <c r="AH306" s="80">
        <v>0</v>
      </c>
      <c r="AI306" s="81">
        <v>0</v>
      </c>
      <c r="AJ306" s="81">
        <v>0</v>
      </c>
      <c r="AK306" s="81">
        <v>0</v>
      </c>
      <c r="AL306" s="81">
        <v>0</v>
      </c>
      <c r="AM306" s="81">
        <v>0</v>
      </c>
      <c r="AN306" s="81">
        <v>0</v>
      </c>
      <c r="AO306" s="81">
        <v>0</v>
      </c>
    </row>
    <row r="307" spans="1:41" ht="15.75" x14ac:dyDescent="0.25">
      <c r="A307" s="84"/>
      <c r="B307" s="84"/>
      <c r="C307" s="84"/>
      <c r="D307" s="80" t="s">
        <v>248</v>
      </c>
      <c r="E307" s="80">
        <v>0</v>
      </c>
      <c r="F307" s="80">
        <v>0</v>
      </c>
      <c r="G307" s="80">
        <v>0</v>
      </c>
      <c r="H307" s="80">
        <v>0</v>
      </c>
      <c r="I307" s="80">
        <v>2</v>
      </c>
      <c r="J307" s="80">
        <v>2</v>
      </c>
      <c r="K307" s="80">
        <v>0</v>
      </c>
      <c r="L307" s="80">
        <v>0</v>
      </c>
      <c r="M307" s="80">
        <v>0</v>
      </c>
      <c r="N307" s="80">
        <v>1</v>
      </c>
      <c r="O307" s="80">
        <v>1</v>
      </c>
      <c r="P307" s="80">
        <v>0</v>
      </c>
      <c r="Q307" s="80">
        <v>1</v>
      </c>
      <c r="R307" s="80">
        <v>0</v>
      </c>
      <c r="S307" s="80">
        <v>0</v>
      </c>
      <c r="T307" s="80">
        <v>0</v>
      </c>
      <c r="U307" s="80">
        <v>2</v>
      </c>
      <c r="V307" s="80">
        <v>0</v>
      </c>
      <c r="W307" s="80">
        <v>0</v>
      </c>
      <c r="X307" s="80">
        <v>0</v>
      </c>
      <c r="Y307" s="80">
        <v>0</v>
      </c>
      <c r="Z307" s="80">
        <v>0</v>
      </c>
      <c r="AA307" s="80">
        <v>1</v>
      </c>
      <c r="AB307" s="80">
        <v>0</v>
      </c>
      <c r="AC307" s="80">
        <v>1</v>
      </c>
      <c r="AD307" s="80">
        <v>0</v>
      </c>
      <c r="AE307" s="80">
        <v>0</v>
      </c>
      <c r="AF307" s="80">
        <v>0</v>
      </c>
      <c r="AG307" s="81">
        <v>1</v>
      </c>
      <c r="AH307" s="80">
        <v>0</v>
      </c>
      <c r="AI307" s="81">
        <v>0</v>
      </c>
      <c r="AJ307" s="81">
        <v>0</v>
      </c>
      <c r="AK307" s="81">
        <v>0</v>
      </c>
      <c r="AL307" s="81">
        <v>0</v>
      </c>
      <c r="AM307" s="81">
        <v>0</v>
      </c>
      <c r="AN307" s="81">
        <v>0</v>
      </c>
      <c r="AO307" s="81">
        <v>0</v>
      </c>
    </row>
    <row r="308" spans="1:41" ht="15.75" x14ac:dyDescent="0.25">
      <c r="A308" s="84"/>
      <c r="B308" s="84"/>
      <c r="C308" s="84"/>
      <c r="D308" s="80" t="s">
        <v>258</v>
      </c>
      <c r="E308" s="80">
        <v>0</v>
      </c>
      <c r="F308" s="80">
        <v>0</v>
      </c>
      <c r="G308" s="80">
        <v>0</v>
      </c>
      <c r="H308" s="80">
        <v>0</v>
      </c>
      <c r="I308" s="80">
        <v>0</v>
      </c>
      <c r="J308" s="80">
        <v>0</v>
      </c>
      <c r="K308" s="80">
        <v>0</v>
      </c>
      <c r="L308" s="80">
        <v>0</v>
      </c>
      <c r="M308" s="80">
        <v>0</v>
      </c>
      <c r="N308" s="80">
        <v>0</v>
      </c>
      <c r="O308" s="80">
        <v>0</v>
      </c>
      <c r="P308" s="80">
        <v>0</v>
      </c>
      <c r="Q308" s="80">
        <v>0</v>
      </c>
      <c r="R308" s="80">
        <v>0</v>
      </c>
      <c r="S308" s="80">
        <v>0</v>
      </c>
      <c r="T308" s="80">
        <v>0</v>
      </c>
      <c r="U308" s="80">
        <v>0</v>
      </c>
      <c r="V308" s="80">
        <v>1</v>
      </c>
      <c r="W308" s="80">
        <v>0</v>
      </c>
      <c r="X308" s="80">
        <v>0</v>
      </c>
      <c r="Y308" s="80">
        <v>0</v>
      </c>
      <c r="Z308" s="80">
        <v>0</v>
      </c>
      <c r="AA308" s="80">
        <v>0</v>
      </c>
      <c r="AB308" s="80">
        <v>0</v>
      </c>
      <c r="AC308" s="80">
        <v>0</v>
      </c>
      <c r="AD308" s="80">
        <v>0</v>
      </c>
      <c r="AE308" s="80">
        <v>0</v>
      </c>
      <c r="AF308" s="80">
        <v>0</v>
      </c>
      <c r="AG308" s="80">
        <v>1</v>
      </c>
      <c r="AH308" s="80">
        <v>0</v>
      </c>
      <c r="AI308" s="80">
        <v>0</v>
      </c>
      <c r="AJ308" s="80">
        <v>0</v>
      </c>
      <c r="AK308" s="80">
        <v>0</v>
      </c>
      <c r="AL308" s="80">
        <v>0</v>
      </c>
      <c r="AM308" s="81">
        <v>0</v>
      </c>
      <c r="AN308" s="81">
        <v>0</v>
      </c>
      <c r="AO308" s="81">
        <v>0</v>
      </c>
    </row>
    <row r="309" spans="1:41" ht="15.75" x14ac:dyDescent="0.25">
      <c r="A309" s="84">
        <v>20</v>
      </c>
      <c r="B309" s="84"/>
      <c r="C309" s="84" t="s">
        <v>58</v>
      </c>
      <c r="D309" s="80" t="s">
        <v>245</v>
      </c>
      <c r="E309" s="438">
        <v>0</v>
      </c>
      <c r="F309" s="80">
        <v>0</v>
      </c>
      <c r="G309" s="80">
        <v>0</v>
      </c>
      <c r="H309" s="80">
        <v>0</v>
      </c>
      <c r="I309" s="387">
        <v>2</v>
      </c>
      <c r="J309" s="387">
        <v>1</v>
      </c>
      <c r="K309" s="80">
        <v>0</v>
      </c>
      <c r="L309" s="80">
        <v>0</v>
      </c>
      <c r="M309" s="80">
        <v>0</v>
      </c>
      <c r="N309" s="80">
        <v>0</v>
      </c>
      <c r="O309" s="387">
        <v>1</v>
      </c>
      <c r="P309" s="80">
        <v>0</v>
      </c>
      <c r="Q309" s="387">
        <v>1</v>
      </c>
      <c r="R309" s="80">
        <v>0</v>
      </c>
      <c r="S309" s="80">
        <v>0</v>
      </c>
      <c r="T309" s="80">
        <v>0</v>
      </c>
      <c r="U309" s="387">
        <v>2</v>
      </c>
      <c r="V309" s="387">
        <v>2</v>
      </c>
      <c r="W309" s="80">
        <v>1</v>
      </c>
      <c r="X309" s="80">
        <v>0</v>
      </c>
      <c r="Y309" s="80">
        <v>0</v>
      </c>
      <c r="Z309" s="387">
        <v>2</v>
      </c>
      <c r="AA309" s="387">
        <v>1</v>
      </c>
      <c r="AB309" s="387">
        <v>2</v>
      </c>
      <c r="AC309" s="80">
        <v>0</v>
      </c>
      <c r="AD309" s="80">
        <v>0</v>
      </c>
      <c r="AE309" s="80">
        <v>0</v>
      </c>
      <c r="AF309" s="80">
        <v>0</v>
      </c>
      <c r="AG309" s="390">
        <v>1</v>
      </c>
      <c r="AH309" s="80">
        <v>0</v>
      </c>
      <c r="AI309" s="81">
        <v>0</v>
      </c>
      <c r="AJ309" s="81">
        <v>0</v>
      </c>
      <c r="AK309" s="81">
        <v>0</v>
      </c>
      <c r="AL309" s="81">
        <v>0</v>
      </c>
      <c r="AM309" s="81">
        <v>0</v>
      </c>
      <c r="AN309" s="81">
        <v>0</v>
      </c>
      <c r="AO309" s="81">
        <v>0</v>
      </c>
    </row>
    <row r="310" spans="1:41" ht="15.75" x14ac:dyDescent="0.25">
      <c r="A310" s="84"/>
      <c r="B310" s="84"/>
      <c r="C310" s="84"/>
      <c r="D310" s="80" t="s">
        <v>246</v>
      </c>
      <c r="E310" s="80">
        <v>0</v>
      </c>
      <c r="F310" s="80">
        <v>0</v>
      </c>
      <c r="G310" s="80">
        <v>0</v>
      </c>
      <c r="H310" s="80">
        <v>0</v>
      </c>
      <c r="I310" s="80">
        <v>1</v>
      </c>
      <c r="J310" s="80">
        <v>1</v>
      </c>
      <c r="K310" s="80">
        <v>0</v>
      </c>
      <c r="L310" s="80">
        <v>0</v>
      </c>
      <c r="M310" s="80">
        <v>0</v>
      </c>
      <c r="N310" s="80">
        <v>0</v>
      </c>
      <c r="O310" s="80">
        <v>1</v>
      </c>
      <c r="P310" s="80">
        <v>0</v>
      </c>
      <c r="Q310" s="80">
        <v>1</v>
      </c>
      <c r="R310" s="80">
        <v>0</v>
      </c>
      <c r="S310" s="80">
        <v>0</v>
      </c>
      <c r="T310" s="80">
        <v>0</v>
      </c>
      <c r="U310" s="80">
        <v>2</v>
      </c>
      <c r="V310" s="80">
        <v>2</v>
      </c>
      <c r="W310" s="80">
        <v>1</v>
      </c>
      <c r="X310" s="80">
        <v>0</v>
      </c>
      <c r="Y310" s="80">
        <v>0</v>
      </c>
      <c r="Z310" s="80">
        <v>2</v>
      </c>
      <c r="AA310" s="80">
        <v>1</v>
      </c>
      <c r="AB310" s="80">
        <v>2</v>
      </c>
      <c r="AC310" s="80">
        <v>0</v>
      </c>
      <c r="AD310" s="80">
        <v>0</v>
      </c>
      <c r="AE310" s="80">
        <v>0</v>
      </c>
      <c r="AF310" s="80">
        <v>0</v>
      </c>
      <c r="AG310" s="81">
        <v>1</v>
      </c>
      <c r="AH310" s="80">
        <v>0</v>
      </c>
      <c r="AI310" s="81">
        <v>0</v>
      </c>
      <c r="AJ310" s="81">
        <v>0</v>
      </c>
      <c r="AK310" s="81">
        <v>0</v>
      </c>
      <c r="AL310" s="81">
        <v>0</v>
      </c>
      <c r="AM310" s="81">
        <v>0</v>
      </c>
      <c r="AN310" s="81">
        <v>0</v>
      </c>
      <c r="AO310" s="81">
        <v>0</v>
      </c>
    </row>
    <row r="311" spans="1:41" ht="15.75" x14ac:dyDescent="0.25">
      <c r="A311" s="84"/>
      <c r="B311" s="84"/>
      <c r="C311" s="84"/>
      <c r="D311" s="80" t="s">
        <v>247</v>
      </c>
      <c r="E311" s="80">
        <v>0</v>
      </c>
      <c r="F311" s="80">
        <v>0</v>
      </c>
      <c r="G311" s="80">
        <v>0</v>
      </c>
      <c r="H311" s="80">
        <v>0</v>
      </c>
      <c r="I311" s="80">
        <v>1</v>
      </c>
      <c r="J311" s="80">
        <v>0</v>
      </c>
      <c r="K311" s="80">
        <v>0</v>
      </c>
      <c r="L311" s="80">
        <v>0</v>
      </c>
      <c r="M311" s="80">
        <v>0</v>
      </c>
      <c r="N311" s="80">
        <v>0</v>
      </c>
      <c r="O311" s="80">
        <v>0</v>
      </c>
      <c r="P311" s="80">
        <v>0</v>
      </c>
      <c r="Q311" s="80">
        <v>0</v>
      </c>
      <c r="R311" s="80">
        <v>0</v>
      </c>
      <c r="S311" s="80">
        <v>0</v>
      </c>
      <c r="T311" s="80">
        <v>0</v>
      </c>
      <c r="U311" s="80">
        <v>0</v>
      </c>
      <c r="V311" s="80">
        <v>0</v>
      </c>
      <c r="W311" s="80">
        <v>0</v>
      </c>
      <c r="X311" s="80">
        <v>0</v>
      </c>
      <c r="Y311" s="80">
        <v>0</v>
      </c>
      <c r="Z311" s="80">
        <v>0</v>
      </c>
      <c r="AA311" s="80">
        <v>0</v>
      </c>
      <c r="AB311" s="80">
        <v>0</v>
      </c>
      <c r="AC311" s="80">
        <v>0</v>
      </c>
      <c r="AD311" s="80">
        <v>0</v>
      </c>
      <c r="AE311" s="80">
        <v>0</v>
      </c>
      <c r="AF311" s="80">
        <v>0</v>
      </c>
      <c r="AG311" s="81">
        <v>0</v>
      </c>
      <c r="AH311" s="80">
        <v>0</v>
      </c>
      <c r="AI311" s="81">
        <v>0</v>
      </c>
      <c r="AJ311" s="81">
        <v>0</v>
      </c>
      <c r="AK311" s="81">
        <v>0</v>
      </c>
      <c r="AL311" s="81">
        <v>0</v>
      </c>
      <c r="AM311" s="81">
        <v>0</v>
      </c>
      <c r="AN311" s="81">
        <v>0</v>
      </c>
      <c r="AO311" s="81">
        <v>0</v>
      </c>
    </row>
    <row r="312" spans="1:41" ht="15.75" x14ac:dyDescent="0.25">
      <c r="A312" s="84"/>
      <c r="B312" s="84"/>
      <c r="C312" s="84"/>
      <c r="D312" s="80" t="s">
        <v>248</v>
      </c>
      <c r="E312" s="80">
        <v>0</v>
      </c>
      <c r="F312" s="80">
        <v>0</v>
      </c>
      <c r="G312" s="80">
        <v>0</v>
      </c>
      <c r="H312" s="80">
        <v>0</v>
      </c>
      <c r="I312" s="80">
        <v>1</v>
      </c>
      <c r="J312" s="80">
        <v>1</v>
      </c>
      <c r="K312" s="80">
        <v>0</v>
      </c>
      <c r="L312" s="80">
        <v>0</v>
      </c>
      <c r="M312" s="80">
        <v>0</v>
      </c>
      <c r="N312" s="80">
        <v>0</v>
      </c>
      <c r="O312" s="80">
        <v>1</v>
      </c>
      <c r="P312" s="80">
        <v>0</v>
      </c>
      <c r="Q312" s="80">
        <v>1</v>
      </c>
      <c r="R312" s="80">
        <v>0</v>
      </c>
      <c r="S312" s="80">
        <v>0</v>
      </c>
      <c r="T312" s="80">
        <v>0</v>
      </c>
      <c r="U312" s="80">
        <v>2</v>
      </c>
      <c r="V312" s="80">
        <v>1</v>
      </c>
      <c r="W312" s="80">
        <v>0</v>
      </c>
      <c r="X312" s="80">
        <v>0</v>
      </c>
      <c r="Y312" s="80">
        <v>0</v>
      </c>
      <c r="Z312" s="80">
        <v>1</v>
      </c>
      <c r="AA312" s="80">
        <v>1</v>
      </c>
      <c r="AB312" s="80">
        <v>2</v>
      </c>
      <c r="AC312" s="80">
        <v>0</v>
      </c>
      <c r="AD312" s="80">
        <v>0</v>
      </c>
      <c r="AE312" s="80">
        <v>0</v>
      </c>
      <c r="AF312" s="80">
        <v>0</v>
      </c>
      <c r="AG312" s="81">
        <v>1</v>
      </c>
      <c r="AH312" s="80">
        <v>0</v>
      </c>
      <c r="AI312" s="81">
        <v>0</v>
      </c>
      <c r="AJ312" s="81">
        <v>0</v>
      </c>
      <c r="AK312" s="81">
        <v>0</v>
      </c>
      <c r="AL312" s="81">
        <v>0</v>
      </c>
      <c r="AM312" s="81">
        <v>0</v>
      </c>
      <c r="AN312" s="81">
        <v>0</v>
      </c>
      <c r="AO312" s="81">
        <v>0</v>
      </c>
    </row>
    <row r="313" spans="1:41" ht="15.75" x14ac:dyDescent="0.25">
      <c r="A313" s="84"/>
      <c r="B313" s="84"/>
      <c r="C313" s="84"/>
      <c r="D313" s="80" t="s">
        <v>258</v>
      </c>
      <c r="E313" s="80">
        <v>0</v>
      </c>
      <c r="F313" s="80">
        <v>0</v>
      </c>
      <c r="G313" s="80">
        <v>0</v>
      </c>
      <c r="H313" s="80">
        <v>0</v>
      </c>
      <c r="I313" s="80">
        <v>0</v>
      </c>
      <c r="J313" s="80">
        <v>0</v>
      </c>
      <c r="K313" s="80">
        <v>0</v>
      </c>
      <c r="L313" s="80">
        <v>0</v>
      </c>
      <c r="M313" s="80">
        <v>0</v>
      </c>
      <c r="N313" s="80">
        <v>0</v>
      </c>
      <c r="O313" s="80">
        <v>0</v>
      </c>
      <c r="P313" s="80">
        <v>0</v>
      </c>
      <c r="Q313" s="80">
        <v>0</v>
      </c>
      <c r="R313" s="80">
        <v>0</v>
      </c>
      <c r="S313" s="80">
        <v>0</v>
      </c>
      <c r="T313" s="80">
        <v>0</v>
      </c>
      <c r="U313" s="80">
        <v>0</v>
      </c>
      <c r="V313" s="80">
        <v>1</v>
      </c>
      <c r="W313" s="80">
        <v>1</v>
      </c>
      <c r="X313" s="80">
        <v>0</v>
      </c>
      <c r="Y313" s="80">
        <v>0</v>
      </c>
      <c r="Z313" s="80">
        <v>1</v>
      </c>
      <c r="AA313" s="80">
        <v>0</v>
      </c>
      <c r="AB313" s="80">
        <v>0</v>
      </c>
      <c r="AC313" s="80">
        <v>0</v>
      </c>
      <c r="AD313" s="80">
        <v>0</v>
      </c>
      <c r="AE313" s="80">
        <v>0</v>
      </c>
      <c r="AF313" s="80">
        <v>0</v>
      </c>
      <c r="AG313" s="80">
        <v>0</v>
      </c>
      <c r="AH313" s="80">
        <v>0</v>
      </c>
      <c r="AI313" s="80">
        <v>0</v>
      </c>
      <c r="AJ313" s="80">
        <v>0</v>
      </c>
      <c r="AK313" s="80">
        <v>0</v>
      </c>
      <c r="AL313" s="80">
        <v>0</v>
      </c>
      <c r="AM313" s="81">
        <v>0</v>
      </c>
      <c r="AN313" s="81">
        <v>0</v>
      </c>
      <c r="AO313" s="81">
        <v>0</v>
      </c>
    </row>
    <row r="314" spans="1:41" ht="15.75" x14ac:dyDescent="0.25">
      <c r="A314" s="84">
        <v>21</v>
      </c>
      <c r="B314" s="84"/>
      <c r="C314" s="84" t="s">
        <v>188</v>
      </c>
      <c r="D314" s="80" t="s">
        <v>245</v>
      </c>
      <c r="E314" s="438">
        <v>0</v>
      </c>
      <c r="F314" s="80">
        <v>0</v>
      </c>
      <c r="G314" s="80">
        <v>0</v>
      </c>
      <c r="H314" s="387">
        <v>1</v>
      </c>
      <c r="I314" s="387">
        <v>2</v>
      </c>
      <c r="J314" s="387">
        <v>1</v>
      </c>
      <c r="K314" s="387">
        <v>1</v>
      </c>
      <c r="L314" s="80">
        <v>0</v>
      </c>
      <c r="M314" s="80">
        <v>0</v>
      </c>
      <c r="N314" s="80">
        <v>0</v>
      </c>
      <c r="O314" s="387">
        <v>1</v>
      </c>
      <c r="P314" s="80">
        <v>0</v>
      </c>
      <c r="Q314" s="387">
        <v>1</v>
      </c>
      <c r="R314" s="80">
        <v>0</v>
      </c>
      <c r="S314" s="80">
        <v>0</v>
      </c>
      <c r="T314" s="80">
        <v>0</v>
      </c>
      <c r="U314" s="387">
        <v>2</v>
      </c>
      <c r="V314" s="80">
        <v>0</v>
      </c>
      <c r="W314" s="387">
        <v>1</v>
      </c>
      <c r="X314" s="80">
        <v>0</v>
      </c>
      <c r="Y314" s="80">
        <v>0</v>
      </c>
      <c r="Z314" s="80">
        <v>0</v>
      </c>
      <c r="AA314" s="387">
        <v>1</v>
      </c>
      <c r="AB314" s="80">
        <v>0</v>
      </c>
      <c r="AC314" s="80">
        <v>0</v>
      </c>
      <c r="AD314" s="80">
        <v>0</v>
      </c>
      <c r="AE314" s="387">
        <v>1</v>
      </c>
      <c r="AF314" s="80">
        <v>0</v>
      </c>
      <c r="AG314" s="81">
        <v>0</v>
      </c>
      <c r="AH314" s="387">
        <v>1</v>
      </c>
      <c r="AI314" s="81">
        <v>0</v>
      </c>
      <c r="AJ314" s="81">
        <v>0</v>
      </c>
      <c r="AK314" s="81">
        <v>0</v>
      </c>
      <c r="AL314" s="81">
        <v>0</v>
      </c>
      <c r="AM314" s="81">
        <v>0</v>
      </c>
      <c r="AN314" s="81">
        <v>0</v>
      </c>
      <c r="AO314" s="81">
        <v>0</v>
      </c>
    </row>
    <row r="315" spans="1:41" ht="15.75" x14ac:dyDescent="0.25">
      <c r="A315" s="84"/>
      <c r="B315" s="84"/>
      <c r="C315" s="84"/>
      <c r="D315" s="80" t="s">
        <v>246</v>
      </c>
      <c r="E315" s="80">
        <v>0</v>
      </c>
      <c r="F315" s="80">
        <v>0</v>
      </c>
      <c r="G315" s="80">
        <v>0</v>
      </c>
      <c r="H315" s="80">
        <v>1</v>
      </c>
      <c r="I315" s="80">
        <v>2</v>
      </c>
      <c r="J315" s="80">
        <v>1</v>
      </c>
      <c r="K315" s="80">
        <v>1</v>
      </c>
      <c r="L315" s="80">
        <v>0</v>
      </c>
      <c r="M315" s="80">
        <v>0</v>
      </c>
      <c r="N315" s="80">
        <v>0</v>
      </c>
      <c r="O315" s="80">
        <v>1</v>
      </c>
      <c r="P315" s="80">
        <v>0</v>
      </c>
      <c r="Q315" s="80">
        <v>1</v>
      </c>
      <c r="R315" s="80">
        <v>0</v>
      </c>
      <c r="S315" s="80">
        <v>0</v>
      </c>
      <c r="T315" s="80">
        <v>0</v>
      </c>
      <c r="U315" s="80">
        <v>2</v>
      </c>
      <c r="V315" s="80">
        <v>0</v>
      </c>
      <c r="W315" s="80">
        <v>1</v>
      </c>
      <c r="X315" s="80">
        <v>0</v>
      </c>
      <c r="Y315" s="80">
        <v>0</v>
      </c>
      <c r="Z315" s="80">
        <v>0</v>
      </c>
      <c r="AA315" s="80">
        <v>1</v>
      </c>
      <c r="AB315" s="80">
        <v>0</v>
      </c>
      <c r="AC315" s="80">
        <v>0</v>
      </c>
      <c r="AD315" s="80">
        <v>0</v>
      </c>
      <c r="AE315" s="80">
        <v>1</v>
      </c>
      <c r="AF315" s="80">
        <v>0</v>
      </c>
      <c r="AG315" s="81">
        <v>0</v>
      </c>
      <c r="AH315" s="80">
        <v>1</v>
      </c>
      <c r="AI315" s="81">
        <v>0</v>
      </c>
      <c r="AJ315" s="81">
        <v>0</v>
      </c>
      <c r="AK315" s="81">
        <v>0</v>
      </c>
      <c r="AL315" s="81">
        <v>0</v>
      </c>
      <c r="AM315" s="81">
        <v>0</v>
      </c>
      <c r="AN315" s="81">
        <v>0</v>
      </c>
      <c r="AO315" s="81">
        <v>0</v>
      </c>
    </row>
    <row r="316" spans="1:41" ht="15.75" x14ac:dyDescent="0.25">
      <c r="A316" s="84"/>
      <c r="B316" s="84"/>
      <c r="C316" s="84"/>
      <c r="D316" s="80" t="s">
        <v>247</v>
      </c>
      <c r="E316" s="80">
        <v>0</v>
      </c>
      <c r="F316" s="80">
        <v>0</v>
      </c>
      <c r="G316" s="80">
        <v>0</v>
      </c>
      <c r="H316" s="80">
        <v>0</v>
      </c>
      <c r="I316" s="80">
        <v>0</v>
      </c>
      <c r="J316" s="80">
        <v>0</v>
      </c>
      <c r="K316" s="80">
        <v>0</v>
      </c>
      <c r="L316" s="80">
        <v>0</v>
      </c>
      <c r="M316" s="80">
        <v>0</v>
      </c>
      <c r="N316" s="80">
        <v>0</v>
      </c>
      <c r="O316" s="80">
        <v>0</v>
      </c>
      <c r="P316" s="80">
        <v>0</v>
      </c>
      <c r="Q316" s="80">
        <v>0</v>
      </c>
      <c r="R316" s="80">
        <v>0</v>
      </c>
      <c r="S316" s="80">
        <v>0</v>
      </c>
      <c r="T316" s="80">
        <v>0</v>
      </c>
      <c r="U316" s="80">
        <v>0</v>
      </c>
      <c r="V316" s="80">
        <v>0</v>
      </c>
      <c r="W316" s="80">
        <v>0</v>
      </c>
      <c r="X316" s="80">
        <v>0</v>
      </c>
      <c r="Y316" s="80">
        <v>0</v>
      </c>
      <c r="Z316" s="80">
        <v>0</v>
      </c>
      <c r="AA316" s="80">
        <v>0</v>
      </c>
      <c r="AB316" s="80">
        <v>0</v>
      </c>
      <c r="AC316" s="80">
        <v>0</v>
      </c>
      <c r="AD316" s="80">
        <v>0</v>
      </c>
      <c r="AE316" s="80">
        <v>0</v>
      </c>
      <c r="AF316" s="80">
        <v>0</v>
      </c>
      <c r="AG316" s="81">
        <v>0</v>
      </c>
      <c r="AH316" s="80">
        <v>0</v>
      </c>
      <c r="AI316" s="81">
        <v>0</v>
      </c>
      <c r="AJ316" s="81">
        <v>0</v>
      </c>
      <c r="AK316" s="81">
        <v>0</v>
      </c>
      <c r="AL316" s="81">
        <v>0</v>
      </c>
      <c r="AM316" s="81">
        <v>0</v>
      </c>
      <c r="AN316" s="81">
        <v>0</v>
      </c>
      <c r="AO316" s="81">
        <v>0</v>
      </c>
    </row>
    <row r="317" spans="1:41" ht="15.75" x14ac:dyDescent="0.25">
      <c r="A317" s="84"/>
      <c r="B317" s="84"/>
      <c r="C317" s="84"/>
      <c r="D317" s="80" t="s">
        <v>248</v>
      </c>
      <c r="E317" s="80">
        <v>0</v>
      </c>
      <c r="F317" s="80">
        <v>0</v>
      </c>
      <c r="G317" s="80">
        <v>0</v>
      </c>
      <c r="H317" s="80">
        <v>1</v>
      </c>
      <c r="I317" s="80">
        <v>2</v>
      </c>
      <c r="J317" s="80">
        <v>1</v>
      </c>
      <c r="K317" s="80">
        <v>1</v>
      </c>
      <c r="L317" s="80">
        <v>0</v>
      </c>
      <c r="M317" s="80">
        <v>0</v>
      </c>
      <c r="N317" s="80">
        <v>0</v>
      </c>
      <c r="O317" s="80">
        <v>1</v>
      </c>
      <c r="P317" s="80">
        <v>0</v>
      </c>
      <c r="Q317" s="80">
        <v>1</v>
      </c>
      <c r="R317" s="80">
        <v>0</v>
      </c>
      <c r="S317" s="80">
        <v>0</v>
      </c>
      <c r="T317" s="80">
        <v>0</v>
      </c>
      <c r="U317" s="80">
        <v>2</v>
      </c>
      <c r="V317" s="80">
        <v>0</v>
      </c>
      <c r="W317" s="80">
        <v>0</v>
      </c>
      <c r="X317" s="80">
        <v>0</v>
      </c>
      <c r="Y317" s="80">
        <v>0</v>
      </c>
      <c r="Z317" s="80">
        <v>0</v>
      </c>
      <c r="AA317" s="80">
        <v>0</v>
      </c>
      <c r="AB317" s="80">
        <v>0</v>
      </c>
      <c r="AC317" s="80">
        <v>0</v>
      </c>
      <c r="AD317" s="80">
        <v>0</v>
      </c>
      <c r="AE317" s="80">
        <v>1</v>
      </c>
      <c r="AF317" s="80">
        <v>0</v>
      </c>
      <c r="AG317" s="81">
        <v>0</v>
      </c>
      <c r="AH317" s="80">
        <v>1</v>
      </c>
      <c r="AI317" s="81">
        <v>0</v>
      </c>
      <c r="AJ317" s="81">
        <v>0</v>
      </c>
      <c r="AK317" s="81">
        <v>0</v>
      </c>
      <c r="AL317" s="81">
        <v>0</v>
      </c>
      <c r="AM317" s="81">
        <v>0</v>
      </c>
      <c r="AN317" s="81">
        <v>0</v>
      </c>
      <c r="AO317" s="81">
        <v>0</v>
      </c>
    </row>
    <row r="318" spans="1:41" ht="15.75" x14ac:dyDescent="0.25">
      <c r="A318" s="84"/>
      <c r="B318" s="84"/>
      <c r="C318" s="84"/>
      <c r="D318" s="80" t="s">
        <v>258</v>
      </c>
      <c r="E318" s="80">
        <v>0</v>
      </c>
      <c r="F318" s="80">
        <v>0</v>
      </c>
      <c r="G318" s="80">
        <v>0</v>
      </c>
      <c r="H318" s="80">
        <v>0</v>
      </c>
      <c r="I318" s="80">
        <v>0</v>
      </c>
      <c r="J318" s="80">
        <v>0</v>
      </c>
      <c r="K318" s="80">
        <v>0</v>
      </c>
      <c r="L318" s="80">
        <v>0</v>
      </c>
      <c r="M318" s="80">
        <v>0</v>
      </c>
      <c r="N318" s="80">
        <v>0</v>
      </c>
      <c r="O318" s="80">
        <v>0</v>
      </c>
      <c r="P318" s="80">
        <v>0</v>
      </c>
      <c r="Q318" s="80">
        <v>0</v>
      </c>
      <c r="R318" s="80">
        <v>0</v>
      </c>
      <c r="S318" s="80">
        <v>0</v>
      </c>
      <c r="T318" s="80">
        <v>0</v>
      </c>
      <c r="U318" s="80">
        <v>0</v>
      </c>
      <c r="V318" s="80">
        <v>0</v>
      </c>
      <c r="W318" s="80">
        <v>1</v>
      </c>
      <c r="X318" s="80">
        <v>0</v>
      </c>
      <c r="Y318" s="80">
        <v>0</v>
      </c>
      <c r="Z318" s="80">
        <v>0</v>
      </c>
      <c r="AA318" s="80">
        <v>1</v>
      </c>
      <c r="AB318" s="80">
        <v>0</v>
      </c>
      <c r="AC318" s="80">
        <v>0</v>
      </c>
      <c r="AD318" s="80">
        <v>0</v>
      </c>
      <c r="AE318" s="80">
        <v>0</v>
      </c>
      <c r="AF318" s="80">
        <v>0</v>
      </c>
      <c r="AG318" s="80">
        <v>0</v>
      </c>
      <c r="AH318" s="80">
        <v>0</v>
      </c>
      <c r="AI318" s="80">
        <v>0</v>
      </c>
      <c r="AJ318" s="80">
        <v>0</v>
      </c>
      <c r="AK318" s="80">
        <v>0</v>
      </c>
      <c r="AL318" s="80">
        <v>0</v>
      </c>
      <c r="AM318" s="81">
        <v>0</v>
      </c>
      <c r="AN318" s="81">
        <v>0</v>
      </c>
      <c r="AO318" s="81">
        <v>0</v>
      </c>
    </row>
    <row r="319" spans="1:41" ht="15.75" x14ac:dyDescent="0.25">
      <c r="A319" s="84">
        <v>22</v>
      </c>
      <c r="B319" s="84"/>
      <c r="C319" s="84" t="s">
        <v>252</v>
      </c>
      <c r="D319" s="80" t="s">
        <v>245</v>
      </c>
      <c r="E319" s="438">
        <v>0</v>
      </c>
      <c r="F319" s="80">
        <v>0</v>
      </c>
      <c r="G319" s="80">
        <v>0</v>
      </c>
      <c r="H319" s="387">
        <v>2</v>
      </c>
      <c r="I319" s="387">
        <v>1</v>
      </c>
      <c r="J319" s="387">
        <v>1</v>
      </c>
      <c r="K319" s="387">
        <v>1</v>
      </c>
      <c r="L319" s="80">
        <v>0</v>
      </c>
      <c r="M319" s="387">
        <v>1</v>
      </c>
      <c r="N319" s="387">
        <v>1</v>
      </c>
      <c r="O319" s="387">
        <v>1</v>
      </c>
      <c r="P319" s="80">
        <v>0</v>
      </c>
      <c r="Q319" s="387">
        <v>1</v>
      </c>
      <c r="R319" s="387">
        <v>1</v>
      </c>
      <c r="S319" s="80">
        <v>0</v>
      </c>
      <c r="T319" s="80">
        <v>0</v>
      </c>
      <c r="U319" s="387">
        <v>2</v>
      </c>
      <c r="V319" s="387">
        <v>1</v>
      </c>
      <c r="W319" s="387">
        <v>1</v>
      </c>
      <c r="X319" s="387">
        <v>1</v>
      </c>
      <c r="Y319" s="80">
        <v>0</v>
      </c>
      <c r="Z319" s="80">
        <v>0</v>
      </c>
      <c r="AA319" s="80">
        <v>0</v>
      </c>
      <c r="AB319" s="80">
        <v>0</v>
      </c>
      <c r="AC319" s="80">
        <v>0</v>
      </c>
      <c r="AD319" s="80">
        <v>0</v>
      </c>
      <c r="AE319" s="80">
        <v>0</v>
      </c>
      <c r="AF319" s="80">
        <v>0</v>
      </c>
      <c r="AG319" s="390">
        <v>1</v>
      </c>
      <c r="AH319" s="80">
        <v>0</v>
      </c>
      <c r="AI319" s="81">
        <v>0</v>
      </c>
      <c r="AJ319" s="81">
        <v>0</v>
      </c>
      <c r="AK319" s="81">
        <v>0</v>
      </c>
      <c r="AL319" s="81">
        <v>0</v>
      </c>
      <c r="AM319" s="81">
        <v>0</v>
      </c>
      <c r="AN319" s="81">
        <v>0</v>
      </c>
      <c r="AO319" s="81">
        <v>0</v>
      </c>
    </row>
    <row r="320" spans="1:41" ht="15.75" x14ac:dyDescent="0.25">
      <c r="A320" s="84"/>
      <c r="B320" s="84"/>
      <c r="C320" s="84"/>
      <c r="D320" s="80" t="s">
        <v>246</v>
      </c>
      <c r="E320" s="80">
        <v>0</v>
      </c>
      <c r="F320" s="80">
        <v>0</v>
      </c>
      <c r="G320" s="80">
        <v>0</v>
      </c>
      <c r="H320" s="80">
        <v>2</v>
      </c>
      <c r="I320" s="80">
        <v>1</v>
      </c>
      <c r="J320" s="80">
        <v>1</v>
      </c>
      <c r="K320" s="80">
        <v>1</v>
      </c>
      <c r="L320" s="80">
        <v>0</v>
      </c>
      <c r="M320" s="80">
        <v>1</v>
      </c>
      <c r="N320" s="80">
        <v>1</v>
      </c>
      <c r="O320" s="80">
        <v>1</v>
      </c>
      <c r="P320" s="80">
        <v>0</v>
      </c>
      <c r="Q320" s="80">
        <v>1</v>
      </c>
      <c r="R320" s="80">
        <v>1</v>
      </c>
      <c r="S320" s="80">
        <v>0</v>
      </c>
      <c r="T320" s="80">
        <v>0</v>
      </c>
      <c r="U320" s="80">
        <v>2</v>
      </c>
      <c r="V320" s="80">
        <v>1</v>
      </c>
      <c r="W320" s="80">
        <v>1</v>
      </c>
      <c r="X320" s="80">
        <v>1</v>
      </c>
      <c r="Y320" s="80">
        <v>0</v>
      </c>
      <c r="Z320" s="80">
        <v>0</v>
      </c>
      <c r="AA320" s="80">
        <v>0</v>
      </c>
      <c r="AB320" s="80">
        <v>0</v>
      </c>
      <c r="AC320" s="80">
        <v>0</v>
      </c>
      <c r="AD320" s="80">
        <v>0</v>
      </c>
      <c r="AE320" s="80">
        <v>0</v>
      </c>
      <c r="AF320" s="80">
        <v>0</v>
      </c>
      <c r="AG320" s="81">
        <v>1</v>
      </c>
      <c r="AH320" s="80">
        <v>0</v>
      </c>
      <c r="AI320" s="81">
        <v>0</v>
      </c>
      <c r="AJ320" s="81">
        <v>0</v>
      </c>
      <c r="AK320" s="81">
        <v>0</v>
      </c>
      <c r="AL320" s="81">
        <v>0</v>
      </c>
      <c r="AM320" s="81">
        <v>0</v>
      </c>
      <c r="AN320" s="81">
        <v>0</v>
      </c>
      <c r="AO320" s="81">
        <v>0</v>
      </c>
    </row>
    <row r="321" spans="1:41" ht="15.75" x14ac:dyDescent="0.25">
      <c r="A321" s="84"/>
      <c r="B321" s="84"/>
      <c r="C321" s="84"/>
      <c r="D321" s="80" t="s">
        <v>247</v>
      </c>
      <c r="E321" s="80">
        <v>0</v>
      </c>
      <c r="F321" s="80">
        <v>0</v>
      </c>
      <c r="G321" s="80">
        <v>0</v>
      </c>
      <c r="H321" s="80">
        <v>0</v>
      </c>
      <c r="I321" s="80">
        <v>0</v>
      </c>
      <c r="J321" s="80">
        <v>0</v>
      </c>
      <c r="K321" s="80">
        <v>0</v>
      </c>
      <c r="L321" s="80">
        <v>1</v>
      </c>
      <c r="M321" s="80">
        <v>0</v>
      </c>
      <c r="N321" s="80">
        <v>0</v>
      </c>
      <c r="O321" s="80">
        <v>0</v>
      </c>
      <c r="P321" s="80">
        <v>0</v>
      </c>
      <c r="Q321" s="80">
        <v>0</v>
      </c>
      <c r="R321" s="80">
        <v>0</v>
      </c>
      <c r="S321" s="80">
        <v>1</v>
      </c>
      <c r="T321" s="80">
        <v>1</v>
      </c>
      <c r="U321" s="80">
        <v>0</v>
      </c>
      <c r="V321" s="80">
        <v>0</v>
      </c>
      <c r="W321" s="80">
        <v>0</v>
      </c>
      <c r="X321" s="80">
        <v>0</v>
      </c>
      <c r="Y321" s="80">
        <v>0</v>
      </c>
      <c r="Z321" s="80">
        <v>0</v>
      </c>
      <c r="AA321" s="80">
        <v>0</v>
      </c>
      <c r="AB321" s="80">
        <v>0</v>
      </c>
      <c r="AC321" s="80">
        <v>0</v>
      </c>
      <c r="AD321" s="80">
        <v>0</v>
      </c>
      <c r="AE321" s="80">
        <v>0</v>
      </c>
      <c r="AF321" s="80">
        <v>0</v>
      </c>
      <c r="AG321" s="81">
        <v>0</v>
      </c>
      <c r="AH321" s="80">
        <v>0</v>
      </c>
      <c r="AI321" s="80">
        <v>0</v>
      </c>
      <c r="AJ321" s="80">
        <v>0</v>
      </c>
      <c r="AK321" s="80">
        <v>0</v>
      </c>
      <c r="AL321" s="81">
        <v>0</v>
      </c>
      <c r="AM321" s="81">
        <v>0</v>
      </c>
      <c r="AN321" s="81">
        <v>0</v>
      </c>
      <c r="AO321" s="81">
        <v>0</v>
      </c>
    </row>
    <row r="322" spans="1:41" ht="15.75" x14ac:dyDescent="0.25">
      <c r="A322" s="84"/>
      <c r="B322" s="84"/>
      <c r="C322" s="84"/>
      <c r="D322" s="80" t="s">
        <v>248</v>
      </c>
      <c r="E322" s="80">
        <v>0</v>
      </c>
      <c r="F322" s="80">
        <v>0</v>
      </c>
      <c r="G322" s="80">
        <v>0</v>
      </c>
      <c r="H322" s="80">
        <v>2</v>
      </c>
      <c r="I322" s="80">
        <v>1</v>
      </c>
      <c r="J322" s="80">
        <v>1</v>
      </c>
      <c r="K322" s="80">
        <v>1</v>
      </c>
      <c r="L322" s="80">
        <v>0</v>
      </c>
      <c r="M322" s="80">
        <v>1</v>
      </c>
      <c r="N322" s="80">
        <v>1</v>
      </c>
      <c r="O322" s="80">
        <v>1</v>
      </c>
      <c r="P322" s="80">
        <v>0</v>
      </c>
      <c r="Q322" s="80">
        <v>0</v>
      </c>
      <c r="R322" s="80">
        <v>1</v>
      </c>
      <c r="S322" s="80">
        <v>0</v>
      </c>
      <c r="T322" s="80">
        <v>0</v>
      </c>
      <c r="U322" s="80">
        <v>2</v>
      </c>
      <c r="V322" s="80">
        <v>1</v>
      </c>
      <c r="W322" s="80">
        <v>1</v>
      </c>
      <c r="X322" s="80">
        <v>1</v>
      </c>
      <c r="Y322" s="80">
        <v>0</v>
      </c>
      <c r="Z322" s="80">
        <v>0</v>
      </c>
      <c r="AA322" s="80">
        <v>0</v>
      </c>
      <c r="AB322" s="80">
        <v>0</v>
      </c>
      <c r="AC322" s="80">
        <v>0</v>
      </c>
      <c r="AD322" s="80">
        <v>0</v>
      </c>
      <c r="AE322" s="80">
        <v>0</v>
      </c>
      <c r="AF322" s="80">
        <v>0</v>
      </c>
      <c r="AG322" s="80">
        <v>1</v>
      </c>
      <c r="AH322" s="80">
        <v>0</v>
      </c>
      <c r="AI322" s="80">
        <v>0</v>
      </c>
      <c r="AJ322" s="80">
        <v>0</v>
      </c>
      <c r="AK322" s="80">
        <v>0</v>
      </c>
      <c r="AL322" s="80">
        <v>0</v>
      </c>
      <c r="AM322" s="81">
        <v>0</v>
      </c>
      <c r="AN322" s="81">
        <v>0</v>
      </c>
      <c r="AO322" s="81">
        <v>0</v>
      </c>
    </row>
    <row r="323" spans="1:41" ht="15.75" x14ac:dyDescent="0.25">
      <c r="A323" s="84"/>
      <c r="B323" s="84"/>
      <c r="C323" s="84"/>
      <c r="D323" s="80" t="s">
        <v>258</v>
      </c>
      <c r="E323" s="80">
        <v>0</v>
      </c>
      <c r="F323" s="80">
        <v>0</v>
      </c>
      <c r="G323" s="80">
        <v>0</v>
      </c>
      <c r="H323" s="80">
        <v>0</v>
      </c>
      <c r="I323" s="80">
        <v>0</v>
      </c>
      <c r="J323" s="80">
        <v>0</v>
      </c>
      <c r="K323" s="80">
        <v>0</v>
      </c>
      <c r="L323" s="80">
        <v>0</v>
      </c>
      <c r="M323" s="80">
        <v>0</v>
      </c>
      <c r="N323" s="80">
        <v>0</v>
      </c>
      <c r="O323" s="80">
        <v>0</v>
      </c>
      <c r="P323" s="80">
        <v>0</v>
      </c>
      <c r="Q323" s="80">
        <v>1</v>
      </c>
      <c r="R323" s="80">
        <v>0</v>
      </c>
      <c r="S323" s="80">
        <v>0</v>
      </c>
      <c r="T323" s="80">
        <v>0</v>
      </c>
      <c r="U323" s="80">
        <v>0</v>
      </c>
      <c r="V323" s="80">
        <v>0</v>
      </c>
      <c r="W323" s="80">
        <v>0</v>
      </c>
      <c r="X323" s="80">
        <v>0</v>
      </c>
      <c r="Y323" s="80">
        <v>0</v>
      </c>
      <c r="Z323" s="80">
        <v>0</v>
      </c>
      <c r="AA323" s="80">
        <v>0</v>
      </c>
      <c r="AB323" s="80">
        <v>0</v>
      </c>
      <c r="AC323" s="80">
        <v>0</v>
      </c>
      <c r="AD323" s="80">
        <v>0</v>
      </c>
      <c r="AE323" s="80">
        <v>0</v>
      </c>
      <c r="AF323" s="80">
        <v>0</v>
      </c>
      <c r="AG323" s="81">
        <v>0</v>
      </c>
      <c r="AH323" s="80">
        <v>0</v>
      </c>
      <c r="AI323" s="81">
        <v>0</v>
      </c>
      <c r="AJ323" s="81">
        <v>0</v>
      </c>
      <c r="AK323" s="81">
        <v>0</v>
      </c>
      <c r="AL323" s="81">
        <v>0</v>
      </c>
      <c r="AM323" s="81">
        <v>0</v>
      </c>
      <c r="AN323" s="81">
        <v>0</v>
      </c>
      <c r="AO323" s="81">
        <v>0</v>
      </c>
    </row>
    <row r="324" spans="1:41" ht="15.75" x14ac:dyDescent="0.25">
      <c r="A324" s="84">
        <v>23</v>
      </c>
      <c r="B324" s="84"/>
      <c r="C324" s="84" t="s">
        <v>187</v>
      </c>
      <c r="D324" s="80" t="s">
        <v>245</v>
      </c>
      <c r="E324" s="438">
        <v>0</v>
      </c>
      <c r="F324" s="80">
        <v>0</v>
      </c>
      <c r="G324" s="80">
        <v>0</v>
      </c>
      <c r="H324" s="80">
        <v>0</v>
      </c>
      <c r="I324" s="387">
        <v>1</v>
      </c>
      <c r="J324" s="80">
        <v>0</v>
      </c>
      <c r="K324" s="80">
        <v>0</v>
      </c>
      <c r="L324" s="80">
        <v>0</v>
      </c>
      <c r="M324" s="80">
        <v>0</v>
      </c>
      <c r="N324" s="80">
        <v>0</v>
      </c>
      <c r="O324" s="80">
        <v>0</v>
      </c>
      <c r="P324" s="80">
        <v>0</v>
      </c>
      <c r="Q324" s="80">
        <v>0</v>
      </c>
      <c r="R324" s="80">
        <v>0</v>
      </c>
      <c r="S324" s="80">
        <v>0</v>
      </c>
      <c r="T324" s="80">
        <v>0</v>
      </c>
      <c r="U324" s="80">
        <v>0</v>
      </c>
      <c r="V324" s="80">
        <v>0</v>
      </c>
      <c r="W324" s="80">
        <v>0</v>
      </c>
      <c r="X324" s="80">
        <v>0</v>
      </c>
      <c r="Y324" s="80">
        <v>0</v>
      </c>
      <c r="Z324" s="80">
        <v>0</v>
      </c>
      <c r="AA324" s="80">
        <v>0</v>
      </c>
      <c r="AB324" s="80">
        <v>0</v>
      </c>
      <c r="AC324" s="80">
        <v>0</v>
      </c>
      <c r="AD324" s="80">
        <v>0</v>
      </c>
      <c r="AE324" s="80">
        <v>0</v>
      </c>
      <c r="AF324" s="80">
        <v>0</v>
      </c>
      <c r="AG324" s="80">
        <v>0</v>
      </c>
      <c r="AH324" s="80">
        <v>0</v>
      </c>
      <c r="AI324" s="80">
        <v>0</v>
      </c>
      <c r="AJ324" s="80">
        <v>0</v>
      </c>
      <c r="AK324" s="80">
        <v>0</v>
      </c>
      <c r="AL324" s="80">
        <v>0</v>
      </c>
      <c r="AM324" s="81">
        <v>0</v>
      </c>
      <c r="AN324" s="81">
        <v>0</v>
      </c>
      <c r="AO324" s="81">
        <v>0</v>
      </c>
    </row>
    <row r="325" spans="1:41" ht="15.75" x14ac:dyDescent="0.25">
      <c r="A325" s="84"/>
      <c r="B325" s="84"/>
      <c r="C325" s="84"/>
      <c r="D325" s="80" t="s">
        <v>246</v>
      </c>
      <c r="E325" s="80">
        <v>0</v>
      </c>
      <c r="F325" s="80">
        <v>0</v>
      </c>
      <c r="G325" s="80">
        <v>0</v>
      </c>
      <c r="H325" s="80">
        <v>0</v>
      </c>
      <c r="I325" s="80">
        <v>1</v>
      </c>
      <c r="J325" s="80">
        <v>0</v>
      </c>
      <c r="K325" s="80">
        <v>0</v>
      </c>
      <c r="L325" s="80">
        <v>0</v>
      </c>
      <c r="M325" s="80">
        <v>0</v>
      </c>
      <c r="N325" s="80">
        <v>0</v>
      </c>
      <c r="O325" s="80">
        <v>0</v>
      </c>
      <c r="P325" s="80">
        <v>0</v>
      </c>
      <c r="Q325" s="80">
        <v>0</v>
      </c>
      <c r="R325" s="80">
        <v>0</v>
      </c>
      <c r="S325" s="80">
        <v>0</v>
      </c>
      <c r="T325" s="80">
        <v>0</v>
      </c>
      <c r="U325" s="80">
        <v>0</v>
      </c>
      <c r="V325" s="80">
        <v>0</v>
      </c>
      <c r="W325" s="80">
        <v>0</v>
      </c>
      <c r="X325" s="80">
        <v>0</v>
      </c>
      <c r="Y325" s="80">
        <v>0</v>
      </c>
      <c r="Z325" s="80">
        <v>0</v>
      </c>
      <c r="AA325" s="80">
        <v>0</v>
      </c>
      <c r="AB325" s="80">
        <v>0</v>
      </c>
      <c r="AC325" s="80">
        <v>0</v>
      </c>
      <c r="AD325" s="80">
        <v>0</v>
      </c>
      <c r="AE325" s="80">
        <v>0</v>
      </c>
      <c r="AF325" s="80">
        <v>0</v>
      </c>
      <c r="AG325" s="80">
        <v>0</v>
      </c>
      <c r="AH325" s="80">
        <v>0</v>
      </c>
      <c r="AI325" s="80">
        <v>0</v>
      </c>
      <c r="AJ325" s="80">
        <v>0</v>
      </c>
      <c r="AK325" s="80">
        <v>0</v>
      </c>
      <c r="AL325" s="80">
        <v>0</v>
      </c>
      <c r="AM325" s="81">
        <v>0</v>
      </c>
      <c r="AN325" s="81">
        <v>0</v>
      </c>
      <c r="AO325" s="81">
        <v>0</v>
      </c>
    </row>
    <row r="326" spans="1:41" ht="15.75" x14ac:dyDescent="0.25">
      <c r="A326" s="84"/>
      <c r="B326" s="84"/>
      <c r="C326" s="84"/>
      <c r="D326" s="80" t="s">
        <v>247</v>
      </c>
      <c r="E326" s="80">
        <v>0</v>
      </c>
      <c r="F326" s="80">
        <v>0</v>
      </c>
      <c r="G326" s="80">
        <v>0</v>
      </c>
      <c r="H326" s="80">
        <v>0</v>
      </c>
      <c r="I326" s="80">
        <v>0</v>
      </c>
      <c r="J326" s="80">
        <v>0</v>
      </c>
      <c r="K326" s="80">
        <v>0</v>
      </c>
      <c r="L326" s="80">
        <v>0</v>
      </c>
      <c r="M326" s="80">
        <v>0</v>
      </c>
      <c r="N326" s="80">
        <v>0</v>
      </c>
      <c r="O326" s="80">
        <v>0</v>
      </c>
      <c r="P326" s="80">
        <v>0</v>
      </c>
      <c r="Q326" s="80">
        <v>0</v>
      </c>
      <c r="R326" s="80">
        <v>0</v>
      </c>
      <c r="S326" s="80">
        <v>0</v>
      </c>
      <c r="T326" s="80">
        <v>0</v>
      </c>
      <c r="U326" s="80">
        <v>0</v>
      </c>
      <c r="V326" s="80">
        <v>0</v>
      </c>
      <c r="W326" s="80">
        <v>0</v>
      </c>
      <c r="X326" s="80">
        <v>0</v>
      </c>
      <c r="Y326" s="80">
        <v>0</v>
      </c>
      <c r="Z326" s="80">
        <v>0</v>
      </c>
      <c r="AA326" s="80">
        <v>0</v>
      </c>
      <c r="AB326" s="80">
        <v>0</v>
      </c>
      <c r="AC326" s="80">
        <v>0</v>
      </c>
      <c r="AD326" s="80">
        <v>0</v>
      </c>
      <c r="AE326" s="80">
        <v>0</v>
      </c>
      <c r="AF326" s="80">
        <v>0</v>
      </c>
      <c r="AG326" s="80">
        <v>0</v>
      </c>
      <c r="AH326" s="80">
        <v>0</v>
      </c>
      <c r="AI326" s="80">
        <v>0</v>
      </c>
      <c r="AJ326" s="80">
        <v>0</v>
      </c>
      <c r="AK326" s="80">
        <v>0</v>
      </c>
      <c r="AL326" s="80">
        <v>0</v>
      </c>
      <c r="AM326" s="81">
        <v>0</v>
      </c>
      <c r="AN326" s="81">
        <v>0</v>
      </c>
      <c r="AO326" s="81">
        <v>0</v>
      </c>
    </row>
    <row r="327" spans="1:41" ht="15.75" x14ac:dyDescent="0.25">
      <c r="A327" s="84"/>
      <c r="B327" s="84"/>
      <c r="C327" s="84"/>
      <c r="D327" s="80" t="s">
        <v>248</v>
      </c>
      <c r="E327" s="80">
        <v>0</v>
      </c>
      <c r="F327" s="80">
        <v>0</v>
      </c>
      <c r="G327" s="80">
        <v>0</v>
      </c>
      <c r="H327" s="80">
        <v>0</v>
      </c>
      <c r="I327" s="80">
        <v>1</v>
      </c>
      <c r="J327" s="80">
        <v>0</v>
      </c>
      <c r="K327" s="80">
        <v>0</v>
      </c>
      <c r="L327" s="80">
        <v>0</v>
      </c>
      <c r="M327" s="80">
        <v>0</v>
      </c>
      <c r="N327" s="80">
        <v>0</v>
      </c>
      <c r="O327" s="80">
        <v>0</v>
      </c>
      <c r="P327" s="80">
        <v>0</v>
      </c>
      <c r="Q327" s="80">
        <v>0</v>
      </c>
      <c r="R327" s="80">
        <v>0</v>
      </c>
      <c r="S327" s="80">
        <v>0</v>
      </c>
      <c r="T327" s="80">
        <v>0</v>
      </c>
      <c r="U327" s="80">
        <v>0</v>
      </c>
      <c r="V327" s="80">
        <v>0</v>
      </c>
      <c r="W327" s="80">
        <v>0</v>
      </c>
      <c r="X327" s="80">
        <v>0</v>
      </c>
      <c r="Y327" s="80">
        <v>0</v>
      </c>
      <c r="Z327" s="80">
        <v>0</v>
      </c>
      <c r="AA327" s="80">
        <v>0</v>
      </c>
      <c r="AB327" s="80">
        <v>0</v>
      </c>
      <c r="AC327" s="80">
        <v>0</v>
      </c>
      <c r="AD327" s="80">
        <v>0</v>
      </c>
      <c r="AE327" s="80">
        <v>0</v>
      </c>
      <c r="AF327" s="80">
        <v>0</v>
      </c>
      <c r="AG327" s="80">
        <v>0</v>
      </c>
      <c r="AH327" s="80">
        <v>0</v>
      </c>
      <c r="AI327" s="80">
        <v>0</v>
      </c>
      <c r="AJ327" s="80">
        <v>0</v>
      </c>
      <c r="AK327" s="80">
        <v>0</v>
      </c>
      <c r="AL327" s="80">
        <v>0</v>
      </c>
      <c r="AM327" s="81">
        <v>0</v>
      </c>
      <c r="AN327" s="81">
        <v>0</v>
      </c>
      <c r="AO327" s="81">
        <v>0</v>
      </c>
    </row>
    <row r="328" spans="1:41" ht="15.75" x14ac:dyDescent="0.25">
      <c r="A328" s="84"/>
      <c r="B328" s="84"/>
      <c r="C328" s="84"/>
      <c r="D328" s="80" t="s">
        <v>258</v>
      </c>
      <c r="E328" s="80">
        <v>0</v>
      </c>
      <c r="F328" s="80">
        <v>0</v>
      </c>
      <c r="G328" s="80">
        <v>0</v>
      </c>
      <c r="H328" s="80">
        <v>0</v>
      </c>
      <c r="I328" s="80">
        <v>0</v>
      </c>
      <c r="J328" s="80">
        <v>0</v>
      </c>
      <c r="K328" s="80">
        <v>0</v>
      </c>
      <c r="L328" s="80">
        <v>0</v>
      </c>
      <c r="M328" s="80">
        <v>0</v>
      </c>
      <c r="N328" s="80">
        <v>0</v>
      </c>
      <c r="O328" s="80">
        <v>0</v>
      </c>
      <c r="P328" s="80">
        <v>0</v>
      </c>
      <c r="Q328" s="80">
        <v>0</v>
      </c>
      <c r="R328" s="80">
        <v>0</v>
      </c>
      <c r="S328" s="80">
        <v>0</v>
      </c>
      <c r="T328" s="80">
        <v>0</v>
      </c>
      <c r="U328" s="80">
        <v>0</v>
      </c>
      <c r="V328" s="80">
        <v>0</v>
      </c>
      <c r="W328" s="80">
        <v>0</v>
      </c>
      <c r="X328" s="80">
        <v>0</v>
      </c>
      <c r="Y328" s="80">
        <v>0</v>
      </c>
      <c r="Z328" s="80">
        <v>0</v>
      </c>
      <c r="AA328" s="80">
        <v>0</v>
      </c>
      <c r="AB328" s="80">
        <v>0</v>
      </c>
      <c r="AC328" s="80">
        <v>0</v>
      </c>
      <c r="AD328" s="80">
        <v>0</v>
      </c>
      <c r="AE328" s="80">
        <v>0</v>
      </c>
      <c r="AF328" s="80">
        <v>0</v>
      </c>
      <c r="AG328" s="80">
        <v>0</v>
      </c>
      <c r="AH328" s="80">
        <v>0</v>
      </c>
      <c r="AI328" s="80">
        <v>0</v>
      </c>
      <c r="AJ328" s="80">
        <v>0</v>
      </c>
      <c r="AK328" s="80">
        <v>0</v>
      </c>
      <c r="AL328" s="80">
        <v>0</v>
      </c>
      <c r="AM328" s="81">
        <v>0</v>
      </c>
      <c r="AN328" s="81">
        <v>0</v>
      </c>
      <c r="AO328" s="81">
        <v>0</v>
      </c>
    </row>
    <row r="329" spans="1:41" ht="15.75" x14ac:dyDescent="0.25">
      <c r="A329" s="84">
        <v>24</v>
      </c>
      <c r="B329" s="84"/>
      <c r="C329" s="84" t="s">
        <v>336</v>
      </c>
      <c r="D329" s="80" t="s">
        <v>245</v>
      </c>
      <c r="E329" s="438">
        <v>0</v>
      </c>
      <c r="F329" s="80">
        <v>0</v>
      </c>
      <c r="G329" s="80">
        <v>0</v>
      </c>
      <c r="H329" s="80">
        <v>0</v>
      </c>
      <c r="I329" s="387">
        <v>1</v>
      </c>
      <c r="J329" s="80">
        <v>0</v>
      </c>
      <c r="K329" s="80">
        <v>0</v>
      </c>
      <c r="L329" s="80">
        <v>0</v>
      </c>
      <c r="M329" s="80">
        <v>0</v>
      </c>
      <c r="N329" s="80">
        <v>0</v>
      </c>
      <c r="O329" s="80">
        <v>0</v>
      </c>
      <c r="P329" s="80">
        <v>0</v>
      </c>
      <c r="Q329" s="80">
        <v>0</v>
      </c>
      <c r="R329" s="80">
        <v>0</v>
      </c>
      <c r="S329" s="80">
        <v>0</v>
      </c>
      <c r="T329" s="80">
        <v>0</v>
      </c>
      <c r="U329" s="80">
        <v>0</v>
      </c>
      <c r="V329" s="80">
        <v>0</v>
      </c>
      <c r="W329" s="80">
        <v>0</v>
      </c>
      <c r="X329" s="80">
        <v>0</v>
      </c>
      <c r="Y329" s="80">
        <v>0</v>
      </c>
      <c r="Z329" s="80">
        <v>0</v>
      </c>
      <c r="AA329" s="80">
        <v>0</v>
      </c>
      <c r="AB329" s="80">
        <v>0</v>
      </c>
      <c r="AC329" s="80">
        <v>0</v>
      </c>
      <c r="AD329" s="80">
        <v>0</v>
      </c>
      <c r="AE329" s="80">
        <v>0</v>
      </c>
      <c r="AF329" s="80">
        <v>0</v>
      </c>
      <c r="AG329" s="80">
        <v>0</v>
      </c>
      <c r="AH329" s="80">
        <v>0</v>
      </c>
      <c r="AI329" s="80">
        <v>0</v>
      </c>
      <c r="AJ329" s="80">
        <v>0</v>
      </c>
      <c r="AK329" s="80">
        <v>0</v>
      </c>
      <c r="AL329" s="80">
        <v>0</v>
      </c>
      <c r="AM329" s="81">
        <v>0</v>
      </c>
      <c r="AN329" s="81">
        <v>0</v>
      </c>
      <c r="AO329" s="81">
        <v>0</v>
      </c>
    </row>
    <row r="330" spans="1:41" ht="15.75" x14ac:dyDescent="0.25">
      <c r="A330" s="84"/>
      <c r="B330" s="84"/>
      <c r="C330" s="84"/>
      <c r="D330" s="80" t="s">
        <v>246</v>
      </c>
      <c r="E330" s="80">
        <v>0</v>
      </c>
      <c r="F330" s="80">
        <v>0</v>
      </c>
      <c r="G330" s="80">
        <v>0</v>
      </c>
      <c r="H330" s="80">
        <v>0</v>
      </c>
      <c r="I330" s="80">
        <v>1</v>
      </c>
      <c r="J330" s="80">
        <v>0</v>
      </c>
      <c r="K330" s="80">
        <v>0</v>
      </c>
      <c r="L330" s="80">
        <v>0</v>
      </c>
      <c r="M330" s="80">
        <v>0</v>
      </c>
      <c r="N330" s="80">
        <v>0</v>
      </c>
      <c r="O330" s="80">
        <v>0</v>
      </c>
      <c r="P330" s="80">
        <v>0</v>
      </c>
      <c r="Q330" s="80">
        <v>0</v>
      </c>
      <c r="R330" s="80">
        <v>0</v>
      </c>
      <c r="S330" s="80">
        <v>0</v>
      </c>
      <c r="T330" s="80">
        <v>0</v>
      </c>
      <c r="U330" s="80">
        <v>0</v>
      </c>
      <c r="V330" s="80">
        <v>0</v>
      </c>
      <c r="W330" s="80">
        <v>0</v>
      </c>
      <c r="X330" s="80">
        <v>0</v>
      </c>
      <c r="Y330" s="80">
        <v>0</v>
      </c>
      <c r="Z330" s="80">
        <v>0</v>
      </c>
      <c r="AA330" s="80">
        <v>0</v>
      </c>
      <c r="AB330" s="80">
        <v>0</v>
      </c>
      <c r="AC330" s="80">
        <v>0</v>
      </c>
      <c r="AD330" s="80">
        <v>0</v>
      </c>
      <c r="AE330" s="80">
        <v>0</v>
      </c>
      <c r="AF330" s="80">
        <v>0</v>
      </c>
      <c r="AG330" s="80">
        <v>0</v>
      </c>
      <c r="AH330" s="80">
        <v>0</v>
      </c>
      <c r="AI330" s="80">
        <v>0</v>
      </c>
      <c r="AJ330" s="80">
        <v>0</v>
      </c>
      <c r="AK330" s="80">
        <v>0</v>
      </c>
      <c r="AL330" s="80">
        <v>0</v>
      </c>
      <c r="AM330" s="81">
        <v>0</v>
      </c>
      <c r="AN330" s="81">
        <v>0</v>
      </c>
      <c r="AO330" s="81">
        <v>0</v>
      </c>
    </row>
    <row r="331" spans="1:41" ht="15.75" x14ac:dyDescent="0.25">
      <c r="A331" s="84"/>
      <c r="B331" s="84"/>
      <c r="C331" s="84"/>
      <c r="D331" s="80" t="s">
        <v>247</v>
      </c>
      <c r="E331" s="80">
        <v>0</v>
      </c>
      <c r="F331" s="80">
        <v>0</v>
      </c>
      <c r="G331" s="80">
        <v>0</v>
      </c>
      <c r="H331" s="80">
        <v>0</v>
      </c>
      <c r="I331" s="80">
        <v>0</v>
      </c>
      <c r="J331" s="80">
        <v>0</v>
      </c>
      <c r="K331" s="80">
        <v>0</v>
      </c>
      <c r="L331" s="80">
        <v>0</v>
      </c>
      <c r="M331" s="80">
        <v>0</v>
      </c>
      <c r="N331" s="80">
        <v>0</v>
      </c>
      <c r="O331" s="80">
        <v>0</v>
      </c>
      <c r="P331" s="80">
        <v>0</v>
      </c>
      <c r="Q331" s="80">
        <v>0</v>
      </c>
      <c r="R331" s="80">
        <v>0</v>
      </c>
      <c r="S331" s="80">
        <v>0</v>
      </c>
      <c r="T331" s="80">
        <v>0</v>
      </c>
      <c r="U331" s="80">
        <v>0</v>
      </c>
      <c r="V331" s="80">
        <v>0</v>
      </c>
      <c r="W331" s="80">
        <v>0</v>
      </c>
      <c r="X331" s="80">
        <v>0</v>
      </c>
      <c r="Y331" s="80">
        <v>0</v>
      </c>
      <c r="Z331" s="80">
        <v>0</v>
      </c>
      <c r="AA331" s="80">
        <v>0</v>
      </c>
      <c r="AB331" s="80">
        <v>0</v>
      </c>
      <c r="AC331" s="80">
        <v>0</v>
      </c>
      <c r="AD331" s="80">
        <v>0</v>
      </c>
      <c r="AE331" s="80">
        <v>0</v>
      </c>
      <c r="AF331" s="80">
        <v>0</v>
      </c>
      <c r="AG331" s="80">
        <v>0</v>
      </c>
      <c r="AH331" s="80">
        <v>0</v>
      </c>
      <c r="AI331" s="80">
        <v>0</v>
      </c>
      <c r="AJ331" s="80">
        <v>0</v>
      </c>
      <c r="AK331" s="80">
        <v>0</v>
      </c>
      <c r="AL331" s="80">
        <v>0</v>
      </c>
      <c r="AM331" s="81">
        <v>0</v>
      </c>
      <c r="AN331" s="81">
        <v>0</v>
      </c>
      <c r="AO331" s="81">
        <v>0</v>
      </c>
    </row>
    <row r="332" spans="1:41" ht="15.75" x14ac:dyDescent="0.25">
      <c r="A332" s="84"/>
      <c r="B332" s="84"/>
      <c r="C332" s="84"/>
      <c r="D332" s="80" t="s">
        <v>248</v>
      </c>
      <c r="E332" s="80">
        <v>0</v>
      </c>
      <c r="F332" s="80">
        <v>0</v>
      </c>
      <c r="G332" s="80">
        <v>0</v>
      </c>
      <c r="H332" s="80">
        <v>0</v>
      </c>
      <c r="I332" s="80">
        <v>1</v>
      </c>
      <c r="J332" s="80">
        <v>0</v>
      </c>
      <c r="K332" s="80">
        <v>0</v>
      </c>
      <c r="L332" s="80">
        <v>0</v>
      </c>
      <c r="M332" s="80">
        <v>0</v>
      </c>
      <c r="N332" s="80">
        <v>0</v>
      </c>
      <c r="O332" s="80">
        <v>0</v>
      </c>
      <c r="P332" s="80">
        <v>0</v>
      </c>
      <c r="Q332" s="80">
        <v>0</v>
      </c>
      <c r="R332" s="80">
        <v>0</v>
      </c>
      <c r="S332" s="80">
        <v>0</v>
      </c>
      <c r="T332" s="80">
        <v>0</v>
      </c>
      <c r="U332" s="80">
        <v>0</v>
      </c>
      <c r="V332" s="80">
        <v>0</v>
      </c>
      <c r="W332" s="80">
        <v>0</v>
      </c>
      <c r="X332" s="80">
        <v>0</v>
      </c>
      <c r="Y332" s="80">
        <v>0</v>
      </c>
      <c r="Z332" s="80">
        <v>0</v>
      </c>
      <c r="AA332" s="80">
        <v>0</v>
      </c>
      <c r="AB332" s="80">
        <v>0</v>
      </c>
      <c r="AC332" s="80">
        <v>0</v>
      </c>
      <c r="AD332" s="80">
        <v>0</v>
      </c>
      <c r="AE332" s="80">
        <v>0</v>
      </c>
      <c r="AF332" s="80">
        <v>0</v>
      </c>
      <c r="AG332" s="80">
        <v>0</v>
      </c>
      <c r="AH332" s="80">
        <v>0</v>
      </c>
      <c r="AI332" s="80">
        <v>0</v>
      </c>
      <c r="AJ332" s="80">
        <v>0</v>
      </c>
      <c r="AK332" s="80">
        <v>0</v>
      </c>
      <c r="AL332" s="80">
        <v>0</v>
      </c>
      <c r="AM332" s="81">
        <v>0</v>
      </c>
      <c r="AN332" s="81">
        <v>0</v>
      </c>
      <c r="AO332" s="81">
        <v>0</v>
      </c>
    </row>
    <row r="333" spans="1:41" ht="15.75" x14ac:dyDescent="0.25">
      <c r="A333" s="84"/>
      <c r="B333" s="84"/>
      <c r="C333" s="84"/>
      <c r="D333" s="80" t="s">
        <v>258</v>
      </c>
      <c r="E333" s="80">
        <v>0</v>
      </c>
      <c r="F333" s="80">
        <v>0</v>
      </c>
      <c r="G333" s="80">
        <v>0</v>
      </c>
      <c r="H333" s="80">
        <v>0</v>
      </c>
      <c r="I333" s="80">
        <v>0</v>
      </c>
      <c r="J333" s="80">
        <v>0</v>
      </c>
      <c r="K333" s="80">
        <v>0</v>
      </c>
      <c r="L333" s="80">
        <v>0</v>
      </c>
      <c r="M333" s="80">
        <v>0</v>
      </c>
      <c r="N333" s="80">
        <v>0</v>
      </c>
      <c r="O333" s="80">
        <v>0</v>
      </c>
      <c r="P333" s="80">
        <v>0</v>
      </c>
      <c r="Q333" s="80">
        <v>0</v>
      </c>
      <c r="R333" s="80">
        <v>0</v>
      </c>
      <c r="S333" s="80">
        <v>0</v>
      </c>
      <c r="T333" s="80">
        <v>0</v>
      </c>
      <c r="U333" s="80">
        <v>0</v>
      </c>
      <c r="V333" s="80">
        <v>0</v>
      </c>
      <c r="W333" s="80">
        <v>0</v>
      </c>
      <c r="X333" s="80">
        <v>0</v>
      </c>
      <c r="Y333" s="80">
        <v>0</v>
      </c>
      <c r="Z333" s="80">
        <v>0</v>
      </c>
      <c r="AA333" s="80">
        <v>0</v>
      </c>
      <c r="AB333" s="80">
        <v>0</v>
      </c>
      <c r="AC333" s="80">
        <v>0</v>
      </c>
      <c r="AD333" s="80">
        <v>0</v>
      </c>
      <c r="AE333" s="80">
        <v>0</v>
      </c>
      <c r="AF333" s="80">
        <v>0</v>
      </c>
      <c r="AG333" s="80">
        <v>0</v>
      </c>
      <c r="AH333" s="80">
        <v>0</v>
      </c>
      <c r="AI333" s="80">
        <v>0</v>
      </c>
      <c r="AJ333" s="80">
        <v>0</v>
      </c>
      <c r="AK333" s="80">
        <v>0</v>
      </c>
      <c r="AL333" s="80">
        <v>0</v>
      </c>
      <c r="AM333" s="81">
        <v>0</v>
      </c>
      <c r="AN333" s="81">
        <v>0</v>
      </c>
      <c r="AO333" s="81">
        <v>0</v>
      </c>
    </row>
    <row r="334" spans="1:41" ht="15.75" x14ac:dyDescent="0.25">
      <c r="A334" s="84">
        <v>25</v>
      </c>
      <c r="B334" s="84" t="s">
        <v>83</v>
      </c>
      <c r="C334" s="84" t="s">
        <v>170</v>
      </c>
      <c r="D334" s="80" t="s">
        <v>245</v>
      </c>
      <c r="E334" s="438">
        <v>0</v>
      </c>
      <c r="F334" s="80">
        <v>0</v>
      </c>
      <c r="G334" s="80">
        <v>0</v>
      </c>
      <c r="H334" s="387">
        <v>2</v>
      </c>
      <c r="I334" s="80">
        <v>0</v>
      </c>
      <c r="J334" s="387">
        <v>2</v>
      </c>
      <c r="K334" s="80">
        <v>0</v>
      </c>
      <c r="L334" s="80">
        <v>0</v>
      </c>
      <c r="M334" s="80">
        <v>0</v>
      </c>
      <c r="N334" s="80">
        <v>0</v>
      </c>
      <c r="O334" s="387">
        <v>1</v>
      </c>
      <c r="P334" s="80">
        <v>0</v>
      </c>
      <c r="Q334" s="387">
        <v>1</v>
      </c>
      <c r="R334" s="387">
        <v>2</v>
      </c>
      <c r="S334" s="80">
        <v>0</v>
      </c>
      <c r="T334" s="80">
        <v>0</v>
      </c>
      <c r="U334" s="387">
        <v>2</v>
      </c>
      <c r="V334" s="387">
        <v>2</v>
      </c>
      <c r="W334" s="387">
        <v>1</v>
      </c>
      <c r="X334" s="80">
        <v>0</v>
      </c>
      <c r="Y334" s="80">
        <v>0</v>
      </c>
      <c r="Z334" s="80">
        <v>0</v>
      </c>
      <c r="AA334" s="80">
        <v>0</v>
      </c>
      <c r="AB334" s="80">
        <v>0</v>
      </c>
      <c r="AC334" s="80">
        <v>0</v>
      </c>
      <c r="AD334" s="80">
        <v>0</v>
      </c>
      <c r="AE334" s="387">
        <v>1</v>
      </c>
      <c r="AF334" s="80">
        <v>0</v>
      </c>
      <c r="AG334" s="390">
        <v>2</v>
      </c>
      <c r="AH334" s="80">
        <v>0</v>
      </c>
      <c r="AI334" s="81">
        <v>0</v>
      </c>
      <c r="AJ334" s="81">
        <v>0</v>
      </c>
      <c r="AK334" s="81">
        <v>0</v>
      </c>
      <c r="AL334" s="81">
        <v>0</v>
      </c>
      <c r="AM334" s="390">
        <v>1</v>
      </c>
      <c r="AN334" s="81">
        <v>0</v>
      </c>
      <c r="AO334" s="81">
        <v>0</v>
      </c>
    </row>
    <row r="335" spans="1:41" ht="15.75" x14ac:dyDescent="0.25">
      <c r="A335" s="84"/>
      <c r="B335" s="84"/>
      <c r="C335" s="84"/>
      <c r="D335" s="80" t="s">
        <v>246</v>
      </c>
      <c r="E335" s="80">
        <v>1</v>
      </c>
      <c r="F335" s="80">
        <v>0</v>
      </c>
      <c r="G335" s="80">
        <v>0</v>
      </c>
      <c r="H335" s="80">
        <v>1</v>
      </c>
      <c r="I335" s="80">
        <v>0</v>
      </c>
      <c r="J335" s="80">
        <v>2</v>
      </c>
      <c r="K335" s="80">
        <v>0</v>
      </c>
      <c r="L335" s="80">
        <v>0</v>
      </c>
      <c r="M335" s="80">
        <v>0</v>
      </c>
      <c r="N335" s="80">
        <v>0</v>
      </c>
      <c r="O335" s="80">
        <v>1</v>
      </c>
      <c r="P335" s="80">
        <v>0</v>
      </c>
      <c r="Q335" s="80">
        <v>1</v>
      </c>
      <c r="R335" s="80">
        <v>2</v>
      </c>
      <c r="S335" s="80">
        <v>0</v>
      </c>
      <c r="T335" s="80">
        <v>0</v>
      </c>
      <c r="U335" s="80">
        <v>2</v>
      </c>
      <c r="V335" s="80">
        <v>2</v>
      </c>
      <c r="W335" s="80">
        <v>1</v>
      </c>
      <c r="X335" s="80">
        <v>0</v>
      </c>
      <c r="Y335" s="80">
        <v>0</v>
      </c>
      <c r="Z335" s="80">
        <v>0</v>
      </c>
      <c r="AA335" s="80">
        <v>0</v>
      </c>
      <c r="AB335" s="80">
        <v>0</v>
      </c>
      <c r="AC335" s="80">
        <v>0</v>
      </c>
      <c r="AD335" s="80">
        <v>0</v>
      </c>
      <c r="AE335" s="80">
        <v>1</v>
      </c>
      <c r="AF335" s="80">
        <v>0</v>
      </c>
      <c r="AG335" s="81">
        <v>2</v>
      </c>
      <c r="AH335" s="80">
        <v>0</v>
      </c>
      <c r="AI335" s="81">
        <v>0</v>
      </c>
      <c r="AJ335" s="81">
        <v>0</v>
      </c>
      <c r="AK335" s="81">
        <v>0</v>
      </c>
      <c r="AL335" s="81">
        <v>0</v>
      </c>
      <c r="AM335" s="81">
        <v>1</v>
      </c>
      <c r="AN335" s="81">
        <v>0</v>
      </c>
      <c r="AO335" s="81">
        <v>0</v>
      </c>
    </row>
    <row r="336" spans="1:41" ht="15.75" x14ac:dyDescent="0.25">
      <c r="A336" s="84"/>
      <c r="B336" s="84"/>
      <c r="C336" s="84"/>
      <c r="D336" s="80" t="s">
        <v>247</v>
      </c>
      <c r="E336" s="80">
        <v>0</v>
      </c>
      <c r="F336" s="80">
        <v>0</v>
      </c>
      <c r="G336" s="80">
        <v>0</v>
      </c>
      <c r="H336" s="80">
        <v>1</v>
      </c>
      <c r="I336" s="80">
        <v>0</v>
      </c>
      <c r="J336" s="80">
        <v>0</v>
      </c>
      <c r="K336" s="80">
        <v>0</v>
      </c>
      <c r="L336" s="80">
        <v>0</v>
      </c>
      <c r="M336" s="80">
        <v>0</v>
      </c>
      <c r="N336" s="80">
        <v>0</v>
      </c>
      <c r="O336" s="80">
        <v>0</v>
      </c>
      <c r="P336" s="80">
        <v>0</v>
      </c>
      <c r="Q336" s="80">
        <v>0</v>
      </c>
      <c r="R336" s="80">
        <v>0</v>
      </c>
      <c r="S336" s="80">
        <v>0</v>
      </c>
      <c r="T336" s="80">
        <v>0</v>
      </c>
      <c r="U336" s="80">
        <v>0</v>
      </c>
      <c r="V336" s="80">
        <v>0</v>
      </c>
      <c r="W336" s="80">
        <v>0</v>
      </c>
      <c r="X336" s="80">
        <v>0</v>
      </c>
      <c r="Y336" s="80">
        <v>0</v>
      </c>
      <c r="Z336" s="80">
        <v>0</v>
      </c>
      <c r="AA336" s="80">
        <v>0</v>
      </c>
      <c r="AB336" s="80">
        <v>0</v>
      </c>
      <c r="AC336" s="80">
        <v>0</v>
      </c>
      <c r="AD336" s="80">
        <v>0</v>
      </c>
      <c r="AE336" s="80">
        <v>0</v>
      </c>
      <c r="AF336" s="80">
        <v>0</v>
      </c>
      <c r="AG336" s="81">
        <v>0</v>
      </c>
      <c r="AH336" s="80">
        <v>0</v>
      </c>
      <c r="AI336" s="81">
        <v>0</v>
      </c>
      <c r="AJ336" s="81">
        <v>0</v>
      </c>
      <c r="AK336" s="81">
        <v>0</v>
      </c>
      <c r="AL336" s="81">
        <v>0</v>
      </c>
      <c r="AM336" s="81">
        <v>0</v>
      </c>
      <c r="AN336" s="81">
        <v>0</v>
      </c>
      <c r="AO336" s="81">
        <v>0</v>
      </c>
    </row>
    <row r="337" spans="1:41" ht="15.75" x14ac:dyDescent="0.25">
      <c r="A337" s="84"/>
      <c r="B337" s="84"/>
      <c r="C337" s="84"/>
      <c r="D337" s="80" t="s">
        <v>248</v>
      </c>
      <c r="E337" s="80">
        <v>1</v>
      </c>
      <c r="F337" s="80">
        <v>0</v>
      </c>
      <c r="G337" s="80">
        <v>0</v>
      </c>
      <c r="H337" s="80">
        <v>1</v>
      </c>
      <c r="I337" s="80">
        <v>0</v>
      </c>
      <c r="J337" s="80">
        <v>2</v>
      </c>
      <c r="K337" s="80">
        <v>0</v>
      </c>
      <c r="L337" s="80">
        <v>0</v>
      </c>
      <c r="M337" s="80">
        <v>0</v>
      </c>
      <c r="N337" s="80">
        <v>0</v>
      </c>
      <c r="O337" s="80">
        <v>1</v>
      </c>
      <c r="P337" s="80">
        <v>0</v>
      </c>
      <c r="Q337" s="80">
        <v>1</v>
      </c>
      <c r="R337" s="80">
        <v>0</v>
      </c>
      <c r="S337" s="80">
        <v>0</v>
      </c>
      <c r="T337" s="80">
        <v>0</v>
      </c>
      <c r="U337" s="80">
        <v>2</v>
      </c>
      <c r="V337" s="80">
        <v>1</v>
      </c>
      <c r="W337" s="80">
        <v>1</v>
      </c>
      <c r="X337" s="80">
        <v>0</v>
      </c>
      <c r="Y337" s="80">
        <v>0</v>
      </c>
      <c r="Z337" s="80">
        <v>0</v>
      </c>
      <c r="AA337" s="80">
        <v>0</v>
      </c>
      <c r="AB337" s="80">
        <v>0</v>
      </c>
      <c r="AC337" s="80">
        <v>0</v>
      </c>
      <c r="AD337" s="80">
        <v>0</v>
      </c>
      <c r="AE337" s="80">
        <v>0</v>
      </c>
      <c r="AF337" s="80">
        <v>0</v>
      </c>
      <c r="AG337" s="81">
        <v>2</v>
      </c>
      <c r="AH337" s="80">
        <v>0</v>
      </c>
      <c r="AI337" s="81">
        <v>0</v>
      </c>
      <c r="AJ337" s="81">
        <v>0</v>
      </c>
      <c r="AK337" s="81">
        <v>0</v>
      </c>
      <c r="AL337" s="81">
        <v>0</v>
      </c>
      <c r="AM337" s="81">
        <v>1</v>
      </c>
      <c r="AN337" s="81">
        <v>0</v>
      </c>
      <c r="AO337" s="81">
        <v>0</v>
      </c>
    </row>
    <row r="338" spans="1:41" ht="15.75" x14ac:dyDescent="0.25">
      <c r="A338" s="84"/>
      <c r="B338" s="84"/>
      <c r="C338" s="84"/>
      <c r="D338" s="80" t="s">
        <v>258</v>
      </c>
      <c r="E338" s="80">
        <v>0</v>
      </c>
      <c r="F338" s="80">
        <v>0</v>
      </c>
      <c r="G338" s="80">
        <v>0</v>
      </c>
      <c r="H338" s="80">
        <v>0</v>
      </c>
      <c r="I338" s="80">
        <v>0</v>
      </c>
      <c r="J338" s="80">
        <v>0</v>
      </c>
      <c r="K338" s="80">
        <v>0</v>
      </c>
      <c r="L338" s="80">
        <v>0</v>
      </c>
      <c r="M338" s="80">
        <v>0</v>
      </c>
      <c r="N338" s="80">
        <v>0</v>
      </c>
      <c r="O338" s="80">
        <v>0</v>
      </c>
      <c r="P338" s="80">
        <v>0</v>
      </c>
      <c r="Q338" s="80">
        <v>0</v>
      </c>
      <c r="R338" s="80">
        <v>2</v>
      </c>
      <c r="S338" s="80">
        <v>0</v>
      </c>
      <c r="T338" s="80">
        <v>0</v>
      </c>
      <c r="U338" s="80">
        <v>0</v>
      </c>
      <c r="V338" s="80">
        <v>1</v>
      </c>
      <c r="W338" s="80">
        <v>0</v>
      </c>
      <c r="X338" s="80">
        <v>0</v>
      </c>
      <c r="Y338" s="80">
        <v>0</v>
      </c>
      <c r="Z338" s="80">
        <v>0</v>
      </c>
      <c r="AA338" s="80">
        <v>0</v>
      </c>
      <c r="AB338" s="80">
        <v>0</v>
      </c>
      <c r="AC338" s="80">
        <v>0</v>
      </c>
      <c r="AD338" s="80">
        <v>0</v>
      </c>
      <c r="AE338" s="80">
        <v>1</v>
      </c>
      <c r="AF338" s="80">
        <v>0</v>
      </c>
      <c r="AG338" s="80">
        <v>0</v>
      </c>
      <c r="AH338" s="80">
        <v>0</v>
      </c>
      <c r="AI338" s="80">
        <v>0</v>
      </c>
      <c r="AJ338" s="80">
        <v>0</v>
      </c>
      <c r="AK338" s="80">
        <v>0</v>
      </c>
      <c r="AL338" s="80">
        <v>0</v>
      </c>
      <c r="AM338" s="81">
        <v>0</v>
      </c>
      <c r="AN338" s="81">
        <v>0</v>
      </c>
      <c r="AO338" s="81">
        <v>0</v>
      </c>
    </row>
    <row r="339" spans="1:41" ht="15.75" x14ac:dyDescent="0.25">
      <c r="A339" s="84">
        <v>26</v>
      </c>
      <c r="B339" s="84"/>
      <c r="C339" s="84" t="s">
        <v>19</v>
      </c>
      <c r="D339" s="80" t="s">
        <v>245</v>
      </c>
      <c r="E339" s="438">
        <v>0</v>
      </c>
      <c r="F339" s="80">
        <v>0</v>
      </c>
      <c r="G339" s="80">
        <v>0</v>
      </c>
      <c r="H339" s="387">
        <v>1</v>
      </c>
      <c r="I339" s="387">
        <v>1</v>
      </c>
      <c r="J339" s="387">
        <v>1</v>
      </c>
      <c r="K339" s="80">
        <v>0</v>
      </c>
      <c r="L339" s="80">
        <v>0</v>
      </c>
      <c r="M339" s="80">
        <v>0</v>
      </c>
      <c r="N339" s="387">
        <v>1</v>
      </c>
      <c r="O339" s="387">
        <v>1</v>
      </c>
      <c r="P339" s="80">
        <v>0</v>
      </c>
      <c r="Q339" s="387">
        <v>1</v>
      </c>
      <c r="R339" s="387">
        <v>1</v>
      </c>
      <c r="S339" s="80">
        <v>0</v>
      </c>
      <c r="T339" s="80">
        <v>0</v>
      </c>
      <c r="U339" s="387">
        <v>2</v>
      </c>
      <c r="V339" s="387">
        <v>2</v>
      </c>
      <c r="W339" s="80">
        <v>0</v>
      </c>
      <c r="X339" s="80">
        <v>0</v>
      </c>
      <c r="Y339" s="80">
        <v>0</v>
      </c>
      <c r="Z339" s="80">
        <v>1</v>
      </c>
      <c r="AA339" s="387">
        <v>1</v>
      </c>
      <c r="AB339" s="80">
        <v>0</v>
      </c>
      <c r="AC339" s="80">
        <v>0</v>
      </c>
      <c r="AD339" s="80">
        <v>0</v>
      </c>
      <c r="AE339" s="387">
        <v>2</v>
      </c>
      <c r="AF339" s="80">
        <v>0</v>
      </c>
      <c r="AG339" s="390">
        <v>1</v>
      </c>
      <c r="AH339" s="80">
        <v>0</v>
      </c>
      <c r="AI339" s="81">
        <v>0</v>
      </c>
      <c r="AJ339" s="81">
        <v>0</v>
      </c>
      <c r="AK339" s="81">
        <v>0</v>
      </c>
      <c r="AL339" s="81">
        <v>0</v>
      </c>
      <c r="AM339" s="390">
        <v>2</v>
      </c>
      <c r="AN339" s="81">
        <v>0</v>
      </c>
      <c r="AO339" s="81">
        <v>0</v>
      </c>
    </row>
    <row r="340" spans="1:41" ht="15.75" x14ac:dyDescent="0.25">
      <c r="A340" s="84"/>
      <c r="B340" s="84"/>
      <c r="C340" s="84"/>
      <c r="D340" s="80" t="s">
        <v>246</v>
      </c>
      <c r="E340" s="80">
        <v>0</v>
      </c>
      <c r="F340" s="80">
        <v>0</v>
      </c>
      <c r="G340" s="80">
        <v>0</v>
      </c>
      <c r="H340" s="80">
        <v>1</v>
      </c>
      <c r="I340" s="80">
        <v>1</v>
      </c>
      <c r="J340" s="80">
        <v>1</v>
      </c>
      <c r="K340" s="80">
        <v>0</v>
      </c>
      <c r="L340" s="80">
        <v>0</v>
      </c>
      <c r="M340" s="80">
        <v>0</v>
      </c>
      <c r="N340" s="80">
        <v>1</v>
      </c>
      <c r="O340" s="80">
        <v>1</v>
      </c>
      <c r="P340" s="80">
        <v>0</v>
      </c>
      <c r="Q340" s="80">
        <v>1</v>
      </c>
      <c r="R340" s="80">
        <v>1</v>
      </c>
      <c r="S340" s="80">
        <v>0</v>
      </c>
      <c r="T340" s="80">
        <v>0</v>
      </c>
      <c r="U340" s="80">
        <v>2</v>
      </c>
      <c r="V340" s="80">
        <v>2</v>
      </c>
      <c r="W340" s="80">
        <v>0</v>
      </c>
      <c r="X340" s="80">
        <v>0</v>
      </c>
      <c r="Y340" s="80">
        <v>0</v>
      </c>
      <c r="Z340" s="80">
        <v>1</v>
      </c>
      <c r="AA340" s="80">
        <v>1</v>
      </c>
      <c r="AB340" s="80">
        <v>0</v>
      </c>
      <c r="AC340" s="80">
        <v>0</v>
      </c>
      <c r="AD340" s="80">
        <v>0</v>
      </c>
      <c r="AE340" s="80">
        <v>2</v>
      </c>
      <c r="AF340" s="80">
        <v>0</v>
      </c>
      <c r="AG340" s="81">
        <v>1</v>
      </c>
      <c r="AH340" s="80">
        <v>0</v>
      </c>
      <c r="AI340" s="81">
        <v>0</v>
      </c>
      <c r="AJ340" s="81">
        <v>0</v>
      </c>
      <c r="AK340" s="81">
        <v>0</v>
      </c>
      <c r="AL340" s="81">
        <v>0</v>
      </c>
      <c r="AM340" s="81">
        <v>2</v>
      </c>
      <c r="AN340" s="81">
        <v>0</v>
      </c>
      <c r="AO340" s="81">
        <v>0</v>
      </c>
    </row>
    <row r="341" spans="1:41" ht="15.75" x14ac:dyDescent="0.25">
      <c r="A341" s="84"/>
      <c r="B341" s="84"/>
      <c r="C341" s="84"/>
      <c r="D341" s="80" t="s">
        <v>247</v>
      </c>
      <c r="E341" s="80">
        <v>0</v>
      </c>
      <c r="F341" s="80">
        <v>0</v>
      </c>
      <c r="G341" s="80">
        <v>0</v>
      </c>
      <c r="H341" s="80">
        <v>0</v>
      </c>
      <c r="I341" s="80">
        <v>0</v>
      </c>
      <c r="J341" s="80">
        <v>0</v>
      </c>
      <c r="K341" s="80">
        <v>0</v>
      </c>
      <c r="L341" s="80">
        <v>0</v>
      </c>
      <c r="M341" s="80">
        <v>0</v>
      </c>
      <c r="N341" s="80">
        <v>0</v>
      </c>
      <c r="O341" s="80">
        <v>0</v>
      </c>
      <c r="P341" s="80">
        <v>0</v>
      </c>
      <c r="Q341" s="80">
        <v>0</v>
      </c>
      <c r="R341" s="80">
        <v>0</v>
      </c>
      <c r="S341" s="80">
        <v>0</v>
      </c>
      <c r="T341" s="80">
        <v>0</v>
      </c>
      <c r="U341" s="80">
        <v>0</v>
      </c>
      <c r="V341" s="80">
        <v>0</v>
      </c>
      <c r="W341" s="80">
        <v>0</v>
      </c>
      <c r="X341" s="80">
        <v>0</v>
      </c>
      <c r="Y341" s="80">
        <v>0</v>
      </c>
      <c r="Z341" s="80">
        <v>0</v>
      </c>
      <c r="AA341" s="80">
        <v>0</v>
      </c>
      <c r="AB341" s="80">
        <v>0</v>
      </c>
      <c r="AC341" s="80">
        <v>0</v>
      </c>
      <c r="AD341" s="80">
        <v>0</v>
      </c>
      <c r="AE341" s="80">
        <v>0</v>
      </c>
      <c r="AF341" s="80">
        <v>0</v>
      </c>
      <c r="AG341" s="81">
        <v>0</v>
      </c>
      <c r="AH341" s="80">
        <v>0</v>
      </c>
      <c r="AI341" s="81">
        <v>0</v>
      </c>
      <c r="AJ341" s="81">
        <v>0</v>
      </c>
      <c r="AK341" s="81">
        <v>0</v>
      </c>
      <c r="AL341" s="81">
        <v>0</v>
      </c>
      <c r="AM341" s="81">
        <v>0</v>
      </c>
      <c r="AN341" s="81">
        <v>0</v>
      </c>
      <c r="AO341" s="81">
        <v>0</v>
      </c>
    </row>
    <row r="342" spans="1:41" ht="15.75" x14ac:dyDescent="0.25">
      <c r="A342" s="84"/>
      <c r="B342" s="84"/>
      <c r="C342" s="84"/>
      <c r="D342" s="80" t="s">
        <v>248</v>
      </c>
      <c r="E342" s="80">
        <v>0</v>
      </c>
      <c r="F342" s="80">
        <v>0</v>
      </c>
      <c r="G342" s="80">
        <v>0</v>
      </c>
      <c r="H342" s="80">
        <v>1</v>
      </c>
      <c r="I342" s="80">
        <v>0</v>
      </c>
      <c r="J342" s="80">
        <v>1</v>
      </c>
      <c r="K342" s="80">
        <v>0</v>
      </c>
      <c r="L342" s="80">
        <v>0</v>
      </c>
      <c r="M342" s="80">
        <v>0</v>
      </c>
      <c r="N342" s="80">
        <v>1</v>
      </c>
      <c r="O342" s="80">
        <v>1</v>
      </c>
      <c r="P342" s="80">
        <v>0</v>
      </c>
      <c r="Q342" s="80">
        <v>1</v>
      </c>
      <c r="R342" s="80">
        <v>1</v>
      </c>
      <c r="S342" s="80">
        <v>0</v>
      </c>
      <c r="T342" s="80">
        <v>0</v>
      </c>
      <c r="U342" s="80">
        <v>2</v>
      </c>
      <c r="V342" s="80">
        <v>1</v>
      </c>
      <c r="W342" s="80">
        <v>0</v>
      </c>
      <c r="X342" s="80">
        <v>0</v>
      </c>
      <c r="Y342" s="80">
        <v>0</v>
      </c>
      <c r="Z342" s="80">
        <v>1</v>
      </c>
      <c r="AA342" s="80">
        <v>1</v>
      </c>
      <c r="AB342" s="80">
        <v>0</v>
      </c>
      <c r="AC342" s="80">
        <v>0</v>
      </c>
      <c r="AD342" s="80">
        <v>0</v>
      </c>
      <c r="AE342" s="80">
        <v>2</v>
      </c>
      <c r="AF342" s="80">
        <v>0</v>
      </c>
      <c r="AG342" s="81">
        <v>1</v>
      </c>
      <c r="AH342" s="80">
        <v>0</v>
      </c>
      <c r="AI342" s="81">
        <v>0</v>
      </c>
      <c r="AJ342" s="81">
        <v>0</v>
      </c>
      <c r="AK342" s="81">
        <v>0</v>
      </c>
      <c r="AL342" s="81">
        <v>0</v>
      </c>
      <c r="AM342" s="81">
        <v>1</v>
      </c>
      <c r="AN342" s="81">
        <v>0</v>
      </c>
      <c r="AO342" s="81">
        <v>0</v>
      </c>
    </row>
    <row r="343" spans="1:41" ht="15.75" x14ac:dyDescent="0.25">
      <c r="A343" s="84"/>
      <c r="B343" s="84"/>
      <c r="C343" s="84"/>
      <c r="D343" s="80" t="s">
        <v>258</v>
      </c>
      <c r="E343" s="80">
        <v>0</v>
      </c>
      <c r="F343" s="80">
        <v>0</v>
      </c>
      <c r="G343" s="80">
        <v>0</v>
      </c>
      <c r="H343" s="80">
        <v>0</v>
      </c>
      <c r="I343" s="80">
        <v>1</v>
      </c>
      <c r="J343" s="80">
        <v>0</v>
      </c>
      <c r="K343" s="80">
        <v>0</v>
      </c>
      <c r="L343" s="80">
        <v>0</v>
      </c>
      <c r="M343" s="80">
        <v>0</v>
      </c>
      <c r="N343" s="80">
        <v>0</v>
      </c>
      <c r="O343" s="80">
        <v>0</v>
      </c>
      <c r="P343" s="80">
        <v>0</v>
      </c>
      <c r="Q343" s="80">
        <v>0</v>
      </c>
      <c r="R343" s="80">
        <v>0</v>
      </c>
      <c r="S343" s="80">
        <v>0</v>
      </c>
      <c r="T343" s="80">
        <v>0</v>
      </c>
      <c r="U343" s="80">
        <v>0</v>
      </c>
      <c r="V343" s="80">
        <v>1</v>
      </c>
      <c r="W343" s="80">
        <v>0</v>
      </c>
      <c r="X343" s="80">
        <v>0</v>
      </c>
      <c r="Y343" s="80">
        <v>0</v>
      </c>
      <c r="Z343" s="80">
        <v>0</v>
      </c>
      <c r="AA343" s="80">
        <v>0</v>
      </c>
      <c r="AB343" s="80">
        <v>0</v>
      </c>
      <c r="AC343" s="80">
        <v>0</v>
      </c>
      <c r="AD343" s="80">
        <v>0</v>
      </c>
      <c r="AE343" s="80">
        <v>0</v>
      </c>
      <c r="AF343" s="80">
        <v>0</v>
      </c>
      <c r="AG343" s="80">
        <v>0</v>
      </c>
      <c r="AH343" s="80">
        <v>0</v>
      </c>
      <c r="AI343" s="80">
        <v>0</v>
      </c>
      <c r="AJ343" s="80">
        <v>0</v>
      </c>
      <c r="AK343" s="80">
        <v>0</v>
      </c>
      <c r="AL343" s="80">
        <v>0</v>
      </c>
      <c r="AM343" s="81">
        <v>1</v>
      </c>
      <c r="AN343" s="81">
        <v>0</v>
      </c>
      <c r="AO343" s="81">
        <v>0</v>
      </c>
    </row>
    <row r="344" spans="1:41" ht="15.75" x14ac:dyDescent="0.25">
      <c r="A344" s="84">
        <v>27</v>
      </c>
      <c r="B344" s="84" t="s">
        <v>90</v>
      </c>
      <c r="C344" s="84" t="s">
        <v>90</v>
      </c>
      <c r="D344" s="80" t="s">
        <v>245</v>
      </c>
      <c r="E344" s="438">
        <v>0</v>
      </c>
      <c r="F344" s="80">
        <v>0</v>
      </c>
      <c r="G344" s="80">
        <v>0</v>
      </c>
      <c r="H344" s="387">
        <v>3</v>
      </c>
      <c r="I344" s="387">
        <v>3</v>
      </c>
      <c r="J344" s="387">
        <v>2</v>
      </c>
      <c r="K344" s="80">
        <v>0</v>
      </c>
      <c r="L344" s="387">
        <v>2</v>
      </c>
      <c r="M344" s="80">
        <v>0</v>
      </c>
      <c r="N344" s="80">
        <v>0</v>
      </c>
      <c r="O344" s="387">
        <v>1</v>
      </c>
      <c r="P344" s="80">
        <v>0</v>
      </c>
      <c r="Q344" s="387">
        <v>2</v>
      </c>
      <c r="R344" s="80">
        <v>0</v>
      </c>
      <c r="S344" s="80">
        <v>0</v>
      </c>
      <c r="T344" s="387">
        <v>1</v>
      </c>
      <c r="U344" s="387">
        <v>3</v>
      </c>
      <c r="V344" s="387">
        <v>2</v>
      </c>
      <c r="W344" s="387">
        <v>1</v>
      </c>
      <c r="X344" s="80">
        <v>0</v>
      </c>
      <c r="Y344" s="80">
        <v>0</v>
      </c>
      <c r="Z344" s="80">
        <v>0</v>
      </c>
      <c r="AA344" s="387">
        <v>1</v>
      </c>
      <c r="AB344" s="387">
        <v>1</v>
      </c>
      <c r="AC344" s="387">
        <v>2</v>
      </c>
      <c r="AD344" s="387">
        <v>1</v>
      </c>
      <c r="AE344" s="387">
        <v>1</v>
      </c>
      <c r="AF344" s="80">
        <v>0</v>
      </c>
      <c r="AG344" s="81">
        <v>0</v>
      </c>
      <c r="AH344" s="387">
        <v>1</v>
      </c>
      <c r="AI344" s="81">
        <v>0</v>
      </c>
      <c r="AJ344" s="81">
        <v>0</v>
      </c>
      <c r="AK344" s="81">
        <v>0</v>
      </c>
      <c r="AL344" s="81">
        <v>0</v>
      </c>
      <c r="AM344" s="81">
        <v>0</v>
      </c>
      <c r="AN344" s="81">
        <v>0</v>
      </c>
      <c r="AO344" s="81">
        <v>0</v>
      </c>
    </row>
    <row r="345" spans="1:41" ht="15.75" x14ac:dyDescent="0.25">
      <c r="A345" s="84">
        <v>28</v>
      </c>
      <c r="B345" s="84"/>
      <c r="C345" s="84" t="s">
        <v>142</v>
      </c>
      <c r="D345" s="80" t="s">
        <v>246</v>
      </c>
      <c r="E345" s="80">
        <v>0</v>
      </c>
      <c r="F345" s="80">
        <v>0</v>
      </c>
      <c r="G345" s="80">
        <v>0</v>
      </c>
      <c r="H345" s="80">
        <v>2</v>
      </c>
      <c r="I345" s="80">
        <v>2</v>
      </c>
      <c r="J345" s="80">
        <v>3</v>
      </c>
      <c r="K345" s="80">
        <v>0</v>
      </c>
      <c r="L345" s="80">
        <v>0</v>
      </c>
      <c r="M345" s="80">
        <v>0</v>
      </c>
      <c r="N345" s="80">
        <v>0</v>
      </c>
      <c r="O345" s="80">
        <v>1</v>
      </c>
      <c r="P345" s="80">
        <v>0</v>
      </c>
      <c r="Q345" s="80">
        <v>2</v>
      </c>
      <c r="R345" s="80">
        <v>0</v>
      </c>
      <c r="S345" s="80">
        <v>0</v>
      </c>
      <c r="T345" s="80">
        <v>1</v>
      </c>
      <c r="U345" s="80">
        <v>3</v>
      </c>
      <c r="V345" s="80">
        <v>2</v>
      </c>
      <c r="W345" s="80">
        <v>1</v>
      </c>
      <c r="X345" s="80">
        <v>0</v>
      </c>
      <c r="Y345" s="80">
        <v>0</v>
      </c>
      <c r="Z345" s="80">
        <v>0</v>
      </c>
      <c r="AA345" s="80">
        <v>1</v>
      </c>
      <c r="AB345" s="80">
        <v>1</v>
      </c>
      <c r="AC345" s="80">
        <v>2</v>
      </c>
      <c r="AD345" s="80">
        <v>1</v>
      </c>
      <c r="AE345" s="80">
        <v>1</v>
      </c>
      <c r="AF345" s="80">
        <v>0</v>
      </c>
      <c r="AG345" s="81">
        <v>0</v>
      </c>
      <c r="AH345" s="80">
        <v>1</v>
      </c>
      <c r="AI345" s="81">
        <v>0</v>
      </c>
      <c r="AJ345" s="81">
        <v>0</v>
      </c>
      <c r="AK345" s="81">
        <v>0</v>
      </c>
      <c r="AL345" s="81">
        <v>0</v>
      </c>
      <c r="AM345" s="81">
        <v>0</v>
      </c>
      <c r="AN345" s="81">
        <v>0</v>
      </c>
      <c r="AO345" s="81">
        <v>0</v>
      </c>
    </row>
    <row r="346" spans="1:41" ht="15.75" x14ac:dyDescent="0.25">
      <c r="A346" s="84">
        <v>29</v>
      </c>
      <c r="B346" s="84"/>
      <c r="C346" s="84" t="s">
        <v>411</v>
      </c>
      <c r="D346" s="80" t="s">
        <v>247</v>
      </c>
      <c r="E346" s="80">
        <v>0</v>
      </c>
      <c r="F346" s="80">
        <v>0</v>
      </c>
      <c r="G346" s="80">
        <v>0</v>
      </c>
      <c r="H346" s="80">
        <v>1</v>
      </c>
      <c r="I346" s="80">
        <v>1</v>
      </c>
      <c r="J346" s="80">
        <v>0</v>
      </c>
      <c r="K346" s="80">
        <v>0</v>
      </c>
      <c r="L346" s="80">
        <v>0</v>
      </c>
      <c r="M346" s="80">
        <v>0</v>
      </c>
      <c r="N346" s="80">
        <v>0</v>
      </c>
      <c r="O346" s="80">
        <v>0</v>
      </c>
      <c r="P346" s="80">
        <v>0</v>
      </c>
      <c r="Q346" s="80">
        <v>0</v>
      </c>
      <c r="R346" s="80">
        <v>0</v>
      </c>
      <c r="S346" s="80">
        <v>0</v>
      </c>
      <c r="T346" s="80">
        <v>0</v>
      </c>
      <c r="U346" s="80">
        <v>0</v>
      </c>
      <c r="V346" s="80">
        <v>0</v>
      </c>
      <c r="W346" s="80">
        <v>0</v>
      </c>
      <c r="X346" s="80">
        <v>0</v>
      </c>
      <c r="Y346" s="80">
        <v>0</v>
      </c>
      <c r="Z346" s="80">
        <v>0</v>
      </c>
      <c r="AA346" s="80">
        <v>0</v>
      </c>
      <c r="AB346" s="80">
        <v>0</v>
      </c>
      <c r="AC346" s="80">
        <v>0</v>
      </c>
      <c r="AD346" s="80">
        <v>0</v>
      </c>
      <c r="AE346" s="80">
        <v>0</v>
      </c>
      <c r="AF346" s="80">
        <v>0</v>
      </c>
      <c r="AG346" s="81">
        <v>0</v>
      </c>
      <c r="AH346" s="80">
        <v>0</v>
      </c>
      <c r="AI346" s="81">
        <v>0</v>
      </c>
      <c r="AJ346" s="81">
        <v>0</v>
      </c>
      <c r="AK346" s="81">
        <v>0</v>
      </c>
      <c r="AL346" s="81">
        <v>0</v>
      </c>
      <c r="AM346" s="81">
        <v>0</v>
      </c>
      <c r="AN346" s="81">
        <v>0</v>
      </c>
      <c r="AO346" s="81">
        <v>0</v>
      </c>
    </row>
    <row r="347" spans="1:41" ht="15.75" x14ac:dyDescent="0.25">
      <c r="A347" s="84"/>
      <c r="B347" s="84"/>
      <c r="C347" s="84"/>
      <c r="D347" s="80" t="s">
        <v>248</v>
      </c>
      <c r="E347" s="80">
        <v>0</v>
      </c>
      <c r="F347" s="80">
        <v>0</v>
      </c>
      <c r="G347" s="80">
        <v>0</v>
      </c>
      <c r="H347" s="80">
        <v>2</v>
      </c>
      <c r="I347" s="80">
        <v>2</v>
      </c>
      <c r="J347" s="80">
        <v>3</v>
      </c>
      <c r="K347" s="80">
        <v>0</v>
      </c>
      <c r="L347" s="80">
        <v>0</v>
      </c>
      <c r="M347" s="80">
        <v>0</v>
      </c>
      <c r="N347" s="80">
        <v>0</v>
      </c>
      <c r="O347" s="80">
        <v>1</v>
      </c>
      <c r="P347" s="80">
        <v>0</v>
      </c>
      <c r="Q347" s="80">
        <v>1</v>
      </c>
      <c r="R347" s="80">
        <v>0</v>
      </c>
      <c r="S347" s="80">
        <v>0</v>
      </c>
      <c r="T347" s="80">
        <v>1</v>
      </c>
      <c r="U347" s="80">
        <v>2</v>
      </c>
      <c r="V347" s="80">
        <v>2</v>
      </c>
      <c r="W347" s="80">
        <v>1</v>
      </c>
      <c r="X347" s="80">
        <v>0</v>
      </c>
      <c r="Y347" s="80">
        <v>0</v>
      </c>
      <c r="Z347" s="80">
        <v>0</v>
      </c>
      <c r="AA347" s="80">
        <v>1</v>
      </c>
      <c r="AB347" s="80">
        <v>1</v>
      </c>
      <c r="AC347" s="80">
        <v>1</v>
      </c>
      <c r="AD347" s="80">
        <v>1</v>
      </c>
      <c r="AE347" s="80">
        <v>1</v>
      </c>
      <c r="AF347" s="80">
        <v>0</v>
      </c>
      <c r="AG347" s="81">
        <v>0</v>
      </c>
      <c r="AH347" s="80">
        <v>1</v>
      </c>
      <c r="AI347" s="81">
        <v>0</v>
      </c>
      <c r="AJ347" s="81">
        <v>0</v>
      </c>
      <c r="AK347" s="81">
        <v>0</v>
      </c>
      <c r="AL347" s="81">
        <v>0</v>
      </c>
      <c r="AM347" s="81">
        <v>0</v>
      </c>
      <c r="AN347" s="81">
        <v>0</v>
      </c>
      <c r="AO347" s="81">
        <v>0</v>
      </c>
    </row>
    <row r="348" spans="1:41" ht="15.75" x14ac:dyDescent="0.25">
      <c r="A348" s="84"/>
      <c r="B348" s="84"/>
      <c r="C348" s="84"/>
      <c r="D348" s="80" t="s">
        <v>258</v>
      </c>
      <c r="E348" s="80">
        <v>0</v>
      </c>
      <c r="F348" s="80">
        <v>0</v>
      </c>
      <c r="G348" s="80">
        <v>0</v>
      </c>
      <c r="H348" s="80">
        <v>0</v>
      </c>
      <c r="I348" s="80">
        <v>0</v>
      </c>
      <c r="J348" s="80">
        <v>0</v>
      </c>
      <c r="K348" s="80">
        <v>0</v>
      </c>
      <c r="L348" s="80">
        <v>0</v>
      </c>
      <c r="M348" s="80">
        <v>0</v>
      </c>
      <c r="N348" s="80">
        <v>0</v>
      </c>
      <c r="O348" s="80">
        <v>0</v>
      </c>
      <c r="P348" s="80">
        <v>0</v>
      </c>
      <c r="Q348" s="80">
        <v>1</v>
      </c>
      <c r="R348" s="80">
        <v>0</v>
      </c>
      <c r="S348" s="80">
        <v>0</v>
      </c>
      <c r="T348" s="80">
        <v>0</v>
      </c>
      <c r="U348" s="80">
        <v>1</v>
      </c>
      <c r="V348" s="80">
        <v>0</v>
      </c>
      <c r="W348" s="80">
        <v>0</v>
      </c>
      <c r="X348" s="80">
        <v>0</v>
      </c>
      <c r="Y348" s="80">
        <v>0</v>
      </c>
      <c r="Z348" s="80">
        <v>0</v>
      </c>
      <c r="AA348" s="80">
        <v>0</v>
      </c>
      <c r="AB348" s="80">
        <v>0</v>
      </c>
      <c r="AC348" s="80">
        <v>1</v>
      </c>
      <c r="AD348" s="80">
        <v>0</v>
      </c>
      <c r="AE348" s="80">
        <v>0</v>
      </c>
      <c r="AF348" s="80">
        <v>0</v>
      </c>
      <c r="AG348" s="80">
        <v>0</v>
      </c>
      <c r="AH348" s="80">
        <v>0</v>
      </c>
      <c r="AI348" s="80">
        <v>0</v>
      </c>
      <c r="AJ348" s="80">
        <v>0</v>
      </c>
      <c r="AK348" s="80">
        <v>0</v>
      </c>
      <c r="AL348" s="80">
        <v>0</v>
      </c>
      <c r="AM348" s="81">
        <v>0</v>
      </c>
      <c r="AN348" s="81">
        <v>0</v>
      </c>
      <c r="AO348" s="81">
        <v>0</v>
      </c>
    </row>
    <row r="349" spans="1:41" ht="15.75" x14ac:dyDescent="0.25">
      <c r="A349" s="84">
        <v>30</v>
      </c>
      <c r="B349" s="84" t="s">
        <v>89</v>
      </c>
      <c r="C349" s="84" t="s">
        <v>176</v>
      </c>
      <c r="D349" s="80" t="s">
        <v>245</v>
      </c>
      <c r="E349" s="438">
        <v>0</v>
      </c>
      <c r="F349" s="80">
        <v>0</v>
      </c>
      <c r="G349" s="80">
        <v>0</v>
      </c>
      <c r="H349" s="387">
        <v>1</v>
      </c>
      <c r="I349" s="80">
        <v>0</v>
      </c>
      <c r="J349" s="387">
        <v>1</v>
      </c>
      <c r="K349" s="80">
        <v>0</v>
      </c>
      <c r="L349" s="80">
        <v>0</v>
      </c>
      <c r="M349" s="387">
        <v>1</v>
      </c>
      <c r="N349" s="80">
        <v>0</v>
      </c>
      <c r="O349" s="387">
        <v>1</v>
      </c>
      <c r="P349" s="80">
        <v>0</v>
      </c>
      <c r="Q349" s="387">
        <v>1</v>
      </c>
      <c r="R349" s="387">
        <v>1</v>
      </c>
      <c r="S349" s="80">
        <v>0</v>
      </c>
      <c r="T349" s="80">
        <v>0</v>
      </c>
      <c r="U349" s="387">
        <v>1</v>
      </c>
      <c r="V349" s="387">
        <v>1</v>
      </c>
      <c r="W349" s="387">
        <v>1</v>
      </c>
      <c r="X349" s="80">
        <v>0</v>
      </c>
      <c r="Y349" s="80">
        <v>0</v>
      </c>
      <c r="Z349" s="387">
        <v>3</v>
      </c>
      <c r="AA349" s="80">
        <v>0</v>
      </c>
      <c r="AB349" s="80">
        <v>0</v>
      </c>
      <c r="AC349" s="80">
        <v>0</v>
      </c>
      <c r="AD349" s="387">
        <v>1</v>
      </c>
      <c r="AE349" s="80">
        <v>0</v>
      </c>
      <c r="AF349" s="80">
        <v>0</v>
      </c>
      <c r="AG349" s="390">
        <v>1</v>
      </c>
      <c r="AH349" s="80">
        <v>0</v>
      </c>
      <c r="AI349" s="81">
        <v>0</v>
      </c>
      <c r="AJ349" s="81">
        <v>0</v>
      </c>
      <c r="AK349" s="81">
        <v>0</v>
      </c>
      <c r="AL349" s="81">
        <v>0</v>
      </c>
      <c r="AM349" s="81">
        <v>0</v>
      </c>
      <c r="AN349" s="81">
        <v>0</v>
      </c>
      <c r="AO349" s="81">
        <v>0</v>
      </c>
    </row>
    <row r="350" spans="1:41" ht="15.75" x14ac:dyDescent="0.25">
      <c r="A350" s="84"/>
      <c r="B350" s="84"/>
      <c r="C350" s="84"/>
      <c r="D350" s="80" t="s">
        <v>246</v>
      </c>
      <c r="E350" s="80">
        <v>0</v>
      </c>
      <c r="F350" s="80">
        <v>0</v>
      </c>
      <c r="G350" s="80">
        <v>0</v>
      </c>
      <c r="H350" s="80">
        <v>1</v>
      </c>
      <c r="I350" s="80">
        <v>0</v>
      </c>
      <c r="J350" s="80">
        <v>1</v>
      </c>
      <c r="K350" s="80">
        <v>0</v>
      </c>
      <c r="L350" s="80">
        <v>0</v>
      </c>
      <c r="M350" s="80">
        <v>1</v>
      </c>
      <c r="N350" s="80">
        <v>0</v>
      </c>
      <c r="O350" s="80">
        <v>1</v>
      </c>
      <c r="P350" s="80">
        <v>0</v>
      </c>
      <c r="Q350" s="80">
        <v>1</v>
      </c>
      <c r="R350" s="80">
        <v>1</v>
      </c>
      <c r="S350" s="80">
        <v>0</v>
      </c>
      <c r="T350" s="80">
        <v>0</v>
      </c>
      <c r="U350" s="80">
        <v>1</v>
      </c>
      <c r="V350" s="80">
        <v>1</v>
      </c>
      <c r="W350" s="80">
        <v>1</v>
      </c>
      <c r="X350" s="80">
        <v>0</v>
      </c>
      <c r="Y350" s="80">
        <v>0</v>
      </c>
      <c r="Z350" s="80">
        <v>3</v>
      </c>
      <c r="AA350" s="80">
        <v>0</v>
      </c>
      <c r="AB350" s="80">
        <v>0</v>
      </c>
      <c r="AC350" s="80">
        <v>0</v>
      </c>
      <c r="AD350" s="80">
        <v>1</v>
      </c>
      <c r="AE350" s="80">
        <v>0</v>
      </c>
      <c r="AF350" s="80">
        <v>0</v>
      </c>
      <c r="AG350" s="81">
        <v>1</v>
      </c>
      <c r="AH350" s="80">
        <v>0</v>
      </c>
      <c r="AI350" s="81">
        <v>0</v>
      </c>
      <c r="AJ350" s="81">
        <v>0</v>
      </c>
      <c r="AK350" s="81">
        <v>0</v>
      </c>
      <c r="AL350" s="81">
        <v>0</v>
      </c>
      <c r="AM350" s="81">
        <v>0</v>
      </c>
      <c r="AN350" s="81">
        <v>0</v>
      </c>
      <c r="AO350" s="81">
        <v>0</v>
      </c>
    </row>
    <row r="351" spans="1:41" ht="15.75" x14ac:dyDescent="0.25">
      <c r="A351" s="84"/>
      <c r="B351" s="84"/>
      <c r="C351" s="84"/>
      <c r="D351" s="80" t="s">
        <v>247</v>
      </c>
      <c r="E351" s="80">
        <v>0</v>
      </c>
      <c r="F351" s="80">
        <v>0</v>
      </c>
      <c r="G351" s="80">
        <v>0</v>
      </c>
      <c r="H351" s="80">
        <v>0</v>
      </c>
      <c r="I351" s="80">
        <v>0</v>
      </c>
      <c r="J351" s="80">
        <v>0</v>
      </c>
      <c r="K351" s="80">
        <v>0</v>
      </c>
      <c r="L351" s="80">
        <v>0</v>
      </c>
      <c r="M351" s="80">
        <v>0</v>
      </c>
      <c r="N351" s="80">
        <v>0</v>
      </c>
      <c r="O351" s="80">
        <v>0</v>
      </c>
      <c r="P351" s="80">
        <v>0</v>
      </c>
      <c r="Q351" s="80">
        <v>0</v>
      </c>
      <c r="R351" s="80">
        <v>0</v>
      </c>
      <c r="S351" s="80">
        <v>0</v>
      </c>
      <c r="T351" s="80">
        <v>0</v>
      </c>
      <c r="U351" s="80">
        <v>0</v>
      </c>
      <c r="V351" s="80">
        <v>0</v>
      </c>
      <c r="W351" s="80">
        <v>0</v>
      </c>
      <c r="X351" s="80">
        <v>0</v>
      </c>
      <c r="Y351" s="80">
        <v>0</v>
      </c>
      <c r="Z351" s="80">
        <v>0</v>
      </c>
      <c r="AA351" s="80">
        <v>0</v>
      </c>
      <c r="AB351" s="80">
        <v>0</v>
      </c>
      <c r="AC351" s="80">
        <v>0</v>
      </c>
      <c r="AD351" s="80">
        <v>0</v>
      </c>
      <c r="AE351" s="80">
        <v>0</v>
      </c>
      <c r="AF351" s="80">
        <v>0</v>
      </c>
      <c r="AG351" s="81">
        <v>0</v>
      </c>
      <c r="AH351" s="80">
        <v>0</v>
      </c>
      <c r="AI351" s="81">
        <v>0</v>
      </c>
      <c r="AJ351" s="81">
        <v>0</v>
      </c>
      <c r="AK351" s="81">
        <v>0</v>
      </c>
      <c r="AL351" s="81">
        <v>0</v>
      </c>
      <c r="AM351" s="81">
        <v>0</v>
      </c>
      <c r="AN351" s="81">
        <v>0</v>
      </c>
      <c r="AO351" s="81">
        <v>0</v>
      </c>
    </row>
    <row r="352" spans="1:41" ht="15.75" x14ac:dyDescent="0.25">
      <c r="A352" s="84"/>
      <c r="B352" s="84"/>
      <c r="C352" s="84"/>
      <c r="D352" s="80" t="s">
        <v>248</v>
      </c>
      <c r="E352" s="80">
        <v>0</v>
      </c>
      <c r="F352" s="80">
        <v>0</v>
      </c>
      <c r="G352" s="80">
        <v>0</v>
      </c>
      <c r="H352" s="80">
        <v>1</v>
      </c>
      <c r="I352" s="80">
        <v>0</v>
      </c>
      <c r="J352" s="80">
        <v>1</v>
      </c>
      <c r="K352" s="80">
        <v>0</v>
      </c>
      <c r="L352" s="80">
        <v>0</v>
      </c>
      <c r="M352" s="80">
        <v>1</v>
      </c>
      <c r="N352" s="80">
        <v>0</v>
      </c>
      <c r="O352" s="80">
        <v>1</v>
      </c>
      <c r="P352" s="80">
        <v>0</v>
      </c>
      <c r="Q352" s="80">
        <v>1</v>
      </c>
      <c r="R352" s="80">
        <v>1</v>
      </c>
      <c r="S352" s="80">
        <v>0</v>
      </c>
      <c r="T352" s="80">
        <v>0</v>
      </c>
      <c r="U352" s="80">
        <v>1</v>
      </c>
      <c r="V352" s="80">
        <v>1</v>
      </c>
      <c r="W352" s="80">
        <v>1</v>
      </c>
      <c r="X352" s="80">
        <v>0</v>
      </c>
      <c r="Y352" s="80">
        <v>0</v>
      </c>
      <c r="Z352" s="80">
        <v>3</v>
      </c>
      <c r="AA352" s="80">
        <v>0</v>
      </c>
      <c r="AB352" s="80">
        <v>0</v>
      </c>
      <c r="AC352" s="80">
        <v>0</v>
      </c>
      <c r="AD352" s="80">
        <v>1</v>
      </c>
      <c r="AE352" s="80">
        <v>0</v>
      </c>
      <c r="AF352" s="80">
        <v>0</v>
      </c>
      <c r="AG352" s="81">
        <v>1</v>
      </c>
      <c r="AH352" s="80">
        <v>0</v>
      </c>
      <c r="AI352" s="81">
        <v>0</v>
      </c>
      <c r="AJ352" s="81">
        <v>0</v>
      </c>
      <c r="AK352" s="81">
        <v>0</v>
      </c>
      <c r="AL352" s="81">
        <v>0</v>
      </c>
      <c r="AM352" s="81">
        <v>0</v>
      </c>
      <c r="AN352" s="81">
        <v>0</v>
      </c>
      <c r="AO352" s="81">
        <v>0</v>
      </c>
    </row>
    <row r="353" spans="1:41" ht="15.75" x14ac:dyDescent="0.25">
      <c r="A353" s="84"/>
      <c r="B353" s="84"/>
      <c r="C353" s="84"/>
      <c r="D353" s="80" t="s">
        <v>258</v>
      </c>
      <c r="E353" s="80">
        <v>0</v>
      </c>
      <c r="F353" s="80">
        <v>0</v>
      </c>
      <c r="G353" s="80">
        <v>0</v>
      </c>
      <c r="H353" s="80">
        <v>0</v>
      </c>
      <c r="I353" s="80">
        <v>0</v>
      </c>
      <c r="J353" s="80">
        <v>0</v>
      </c>
      <c r="K353" s="80">
        <v>0</v>
      </c>
      <c r="L353" s="80">
        <v>0</v>
      </c>
      <c r="M353" s="80">
        <v>0</v>
      </c>
      <c r="N353" s="80">
        <v>0</v>
      </c>
      <c r="O353" s="80">
        <v>0</v>
      </c>
      <c r="P353" s="80">
        <v>0</v>
      </c>
      <c r="Q353" s="80">
        <v>0</v>
      </c>
      <c r="R353" s="80">
        <v>0</v>
      </c>
      <c r="S353" s="80">
        <v>0</v>
      </c>
      <c r="T353" s="80">
        <v>0</v>
      </c>
      <c r="U353" s="80">
        <v>0</v>
      </c>
      <c r="V353" s="80">
        <v>0</v>
      </c>
      <c r="W353" s="80">
        <v>0</v>
      </c>
      <c r="X353" s="80">
        <v>0</v>
      </c>
      <c r="Y353" s="80">
        <v>0</v>
      </c>
      <c r="Z353" s="80">
        <v>0</v>
      </c>
      <c r="AA353" s="80">
        <v>0</v>
      </c>
      <c r="AB353" s="80">
        <v>0</v>
      </c>
      <c r="AC353" s="80">
        <v>0</v>
      </c>
      <c r="AD353" s="80">
        <v>0</v>
      </c>
      <c r="AE353" s="80">
        <v>0</v>
      </c>
      <c r="AF353" s="80">
        <v>0</v>
      </c>
      <c r="AG353" s="80">
        <v>0</v>
      </c>
      <c r="AH353" s="80">
        <v>0</v>
      </c>
      <c r="AI353" s="80">
        <v>0</v>
      </c>
      <c r="AJ353" s="80">
        <v>0</v>
      </c>
      <c r="AK353" s="80">
        <v>0</v>
      </c>
      <c r="AL353" s="80">
        <v>0</v>
      </c>
      <c r="AM353" s="81">
        <v>0</v>
      </c>
      <c r="AN353" s="81">
        <v>0</v>
      </c>
      <c r="AO353" s="81">
        <v>0</v>
      </c>
    </row>
    <row r="354" spans="1:41" ht="15.75" x14ac:dyDescent="0.25">
      <c r="A354" s="84">
        <v>31</v>
      </c>
      <c r="B354" s="84"/>
      <c r="C354" s="84" t="s">
        <v>89</v>
      </c>
      <c r="D354" s="80" t="s">
        <v>245</v>
      </c>
      <c r="E354" s="438">
        <v>0</v>
      </c>
      <c r="F354" s="80">
        <v>0</v>
      </c>
      <c r="G354" s="80">
        <v>0</v>
      </c>
      <c r="H354" s="80">
        <v>1</v>
      </c>
      <c r="I354" s="80">
        <v>0</v>
      </c>
      <c r="J354" s="387">
        <v>1</v>
      </c>
      <c r="K354" s="80">
        <v>0</v>
      </c>
      <c r="L354" s="80">
        <v>0</v>
      </c>
      <c r="M354" s="387">
        <v>1</v>
      </c>
      <c r="N354" s="80">
        <v>0</v>
      </c>
      <c r="O354" s="80">
        <v>0</v>
      </c>
      <c r="P354" s="80">
        <v>0</v>
      </c>
      <c r="Q354" s="80">
        <v>0</v>
      </c>
      <c r="R354" s="80">
        <v>0</v>
      </c>
      <c r="S354" s="80">
        <v>0</v>
      </c>
      <c r="T354" s="80">
        <v>0</v>
      </c>
      <c r="U354" s="80">
        <v>0</v>
      </c>
      <c r="V354" s="80">
        <v>0</v>
      </c>
      <c r="W354" s="80">
        <v>0</v>
      </c>
      <c r="X354" s="80">
        <v>0</v>
      </c>
      <c r="Y354" s="80">
        <v>0</v>
      </c>
      <c r="Z354" s="387">
        <v>2</v>
      </c>
      <c r="AA354" s="80">
        <v>0</v>
      </c>
      <c r="AB354" s="80">
        <v>0</v>
      </c>
      <c r="AC354" s="80">
        <v>0</v>
      </c>
      <c r="AD354" s="80">
        <v>0</v>
      </c>
      <c r="AE354" s="80">
        <v>0</v>
      </c>
      <c r="AF354" s="80">
        <v>0</v>
      </c>
      <c r="AG354" s="80">
        <v>0</v>
      </c>
      <c r="AH354" s="80">
        <v>0</v>
      </c>
      <c r="AI354" s="80">
        <v>0</v>
      </c>
      <c r="AJ354" s="80">
        <v>0</v>
      </c>
      <c r="AK354" s="80">
        <v>0</v>
      </c>
      <c r="AL354" s="80">
        <v>0</v>
      </c>
      <c r="AM354" s="80">
        <v>0</v>
      </c>
      <c r="AN354" s="80">
        <v>0</v>
      </c>
      <c r="AO354" s="80">
        <v>0</v>
      </c>
    </row>
    <row r="355" spans="1:41" ht="15.75" x14ac:dyDescent="0.25">
      <c r="A355" s="84"/>
      <c r="B355" s="84"/>
      <c r="C355" s="84"/>
      <c r="D355" s="80" t="s">
        <v>246</v>
      </c>
      <c r="E355" s="80">
        <v>0</v>
      </c>
      <c r="F355" s="80">
        <v>0</v>
      </c>
      <c r="G355" s="80">
        <v>0</v>
      </c>
      <c r="H355" s="80">
        <v>0</v>
      </c>
      <c r="I355" s="80">
        <v>0</v>
      </c>
      <c r="J355" s="80">
        <v>1</v>
      </c>
      <c r="K355" s="80">
        <v>0</v>
      </c>
      <c r="L355" s="80">
        <v>0</v>
      </c>
      <c r="M355" s="80">
        <v>0</v>
      </c>
      <c r="N355" s="80">
        <v>0</v>
      </c>
      <c r="O355" s="80">
        <v>0</v>
      </c>
      <c r="P355" s="80">
        <v>0</v>
      </c>
      <c r="Q355" s="80">
        <v>0</v>
      </c>
      <c r="R355" s="80">
        <v>0</v>
      </c>
      <c r="S355" s="80">
        <v>0</v>
      </c>
      <c r="T355" s="80">
        <v>0</v>
      </c>
      <c r="U355" s="80">
        <v>0</v>
      </c>
      <c r="V355" s="80">
        <v>0</v>
      </c>
      <c r="W355" s="80">
        <v>0</v>
      </c>
      <c r="X355" s="80">
        <v>0</v>
      </c>
      <c r="Y355" s="80">
        <v>0</v>
      </c>
      <c r="Z355" s="80">
        <v>2</v>
      </c>
      <c r="AA355" s="80">
        <v>0</v>
      </c>
      <c r="AB355" s="80">
        <v>0</v>
      </c>
      <c r="AC355" s="80">
        <v>0</v>
      </c>
      <c r="AD355" s="80">
        <v>0</v>
      </c>
      <c r="AE355" s="80">
        <v>0</v>
      </c>
      <c r="AF355" s="80">
        <v>0</v>
      </c>
      <c r="AG355" s="80">
        <v>0</v>
      </c>
      <c r="AH355" s="80">
        <v>0</v>
      </c>
      <c r="AI355" s="80">
        <v>0</v>
      </c>
      <c r="AJ355" s="80">
        <v>0</v>
      </c>
      <c r="AK355" s="80">
        <v>0</v>
      </c>
      <c r="AL355" s="80">
        <v>0</v>
      </c>
      <c r="AM355" s="80">
        <v>0</v>
      </c>
      <c r="AN355" s="80">
        <v>0</v>
      </c>
      <c r="AO355" s="80">
        <v>0</v>
      </c>
    </row>
    <row r="356" spans="1:41" ht="15.75" x14ac:dyDescent="0.25">
      <c r="A356" s="84"/>
      <c r="B356" s="84"/>
      <c r="C356" s="84"/>
      <c r="D356" s="80" t="s">
        <v>247</v>
      </c>
      <c r="E356" s="80">
        <v>0</v>
      </c>
      <c r="F356" s="80">
        <v>0</v>
      </c>
      <c r="G356" s="80">
        <v>0</v>
      </c>
      <c r="H356" s="80">
        <v>1</v>
      </c>
      <c r="I356" s="80">
        <v>0</v>
      </c>
      <c r="J356" s="80">
        <v>0</v>
      </c>
      <c r="K356" s="80">
        <v>0</v>
      </c>
      <c r="L356" s="80">
        <v>0</v>
      </c>
      <c r="M356" s="80">
        <v>1</v>
      </c>
      <c r="N356" s="80">
        <v>0</v>
      </c>
      <c r="O356" s="80">
        <v>0</v>
      </c>
      <c r="P356" s="80">
        <v>0</v>
      </c>
      <c r="Q356" s="80">
        <v>0</v>
      </c>
      <c r="R356" s="80">
        <v>0</v>
      </c>
      <c r="S356" s="80">
        <v>0</v>
      </c>
      <c r="T356" s="80">
        <v>0</v>
      </c>
      <c r="U356" s="80">
        <v>0</v>
      </c>
      <c r="V356" s="80">
        <v>0</v>
      </c>
      <c r="W356" s="80">
        <v>0</v>
      </c>
      <c r="X356" s="80">
        <v>0</v>
      </c>
      <c r="Y356" s="80">
        <v>0</v>
      </c>
      <c r="Z356" s="80">
        <v>0</v>
      </c>
      <c r="AA356" s="80">
        <v>0</v>
      </c>
      <c r="AB356" s="80">
        <v>0</v>
      </c>
      <c r="AC356" s="80">
        <v>0</v>
      </c>
      <c r="AD356" s="80">
        <v>0</v>
      </c>
      <c r="AE356" s="80">
        <v>0</v>
      </c>
      <c r="AF356" s="80">
        <v>0</v>
      </c>
      <c r="AG356" s="80">
        <v>0</v>
      </c>
      <c r="AH356" s="80">
        <v>0</v>
      </c>
      <c r="AI356" s="80">
        <v>0</v>
      </c>
      <c r="AJ356" s="80">
        <v>0</v>
      </c>
      <c r="AK356" s="80">
        <v>0</v>
      </c>
      <c r="AL356" s="80">
        <v>0</v>
      </c>
      <c r="AM356" s="80">
        <v>0</v>
      </c>
      <c r="AN356" s="80">
        <v>0</v>
      </c>
      <c r="AO356" s="80">
        <v>0</v>
      </c>
    </row>
    <row r="357" spans="1:41" ht="15.75" x14ac:dyDescent="0.25">
      <c r="A357" s="84"/>
      <c r="B357" s="84"/>
      <c r="C357" s="84"/>
      <c r="D357" s="80" t="s">
        <v>248</v>
      </c>
      <c r="E357" s="80">
        <v>0</v>
      </c>
      <c r="F357" s="80">
        <v>0</v>
      </c>
      <c r="G357" s="80">
        <v>0</v>
      </c>
      <c r="H357" s="80">
        <v>0</v>
      </c>
      <c r="I357" s="80">
        <v>0</v>
      </c>
      <c r="J357" s="80">
        <v>1</v>
      </c>
      <c r="K357" s="80">
        <v>0</v>
      </c>
      <c r="L357" s="80">
        <v>0</v>
      </c>
      <c r="M357" s="80">
        <v>0</v>
      </c>
      <c r="N357" s="80">
        <v>0</v>
      </c>
      <c r="O357" s="80">
        <v>0</v>
      </c>
      <c r="P357" s="80">
        <v>0</v>
      </c>
      <c r="Q357" s="80">
        <v>0</v>
      </c>
      <c r="R357" s="80">
        <v>0</v>
      </c>
      <c r="S357" s="80">
        <v>0</v>
      </c>
      <c r="T357" s="80">
        <v>0</v>
      </c>
      <c r="U357" s="80">
        <v>0</v>
      </c>
      <c r="V357" s="80">
        <v>0</v>
      </c>
      <c r="W357" s="80">
        <v>0</v>
      </c>
      <c r="X357" s="80">
        <v>0</v>
      </c>
      <c r="Y357" s="80">
        <v>0</v>
      </c>
      <c r="Z357" s="80">
        <v>2</v>
      </c>
      <c r="AA357" s="80">
        <v>0</v>
      </c>
      <c r="AB357" s="80">
        <v>0</v>
      </c>
      <c r="AC357" s="80">
        <v>0</v>
      </c>
      <c r="AD357" s="80">
        <v>0</v>
      </c>
      <c r="AE357" s="80">
        <v>0</v>
      </c>
      <c r="AF357" s="80">
        <v>0</v>
      </c>
      <c r="AG357" s="80">
        <v>0</v>
      </c>
      <c r="AH357" s="80">
        <v>0</v>
      </c>
      <c r="AI357" s="80">
        <v>0</v>
      </c>
      <c r="AJ357" s="80">
        <v>0</v>
      </c>
      <c r="AK357" s="80">
        <v>0</v>
      </c>
      <c r="AL357" s="80">
        <v>0</v>
      </c>
      <c r="AM357" s="80">
        <v>0</v>
      </c>
      <c r="AN357" s="80">
        <v>0</v>
      </c>
      <c r="AO357" s="80">
        <v>0</v>
      </c>
    </row>
    <row r="358" spans="1:41" ht="15.75" x14ac:dyDescent="0.25">
      <c r="A358" s="84"/>
      <c r="B358" s="84"/>
      <c r="C358" s="84"/>
      <c r="D358" s="80" t="s">
        <v>258</v>
      </c>
      <c r="E358" s="80">
        <v>0</v>
      </c>
      <c r="F358" s="80">
        <v>0</v>
      </c>
      <c r="G358" s="80">
        <v>0</v>
      </c>
      <c r="H358" s="80">
        <v>0</v>
      </c>
      <c r="I358" s="80">
        <v>0</v>
      </c>
      <c r="J358" s="80">
        <v>0</v>
      </c>
      <c r="K358" s="80">
        <v>0</v>
      </c>
      <c r="L358" s="80">
        <v>0</v>
      </c>
      <c r="M358" s="80">
        <v>0</v>
      </c>
      <c r="N358" s="80">
        <v>0</v>
      </c>
      <c r="O358" s="80">
        <v>0</v>
      </c>
      <c r="P358" s="80">
        <v>0</v>
      </c>
      <c r="Q358" s="80">
        <v>0</v>
      </c>
      <c r="R358" s="80">
        <v>0</v>
      </c>
      <c r="S358" s="80">
        <v>0</v>
      </c>
      <c r="T358" s="80">
        <v>0</v>
      </c>
      <c r="U358" s="80">
        <v>0</v>
      </c>
      <c r="V358" s="80">
        <v>0</v>
      </c>
      <c r="W358" s="80">
        <v>0</v>
      </c>
      <c r="X358" s="80">
        <v>0</v>
      </c>
      <c r="Y358" s="80">
        <v>0</v>
      </c>
      <c r="Z358" s="80">
        <v>0</v>
      </c>
      <c r="AA358" s="80">
        <v>0</v>
      </c>
      <c r="AB358" s="80">
        <v>0</v>
      </c>
      <c r="AC358" s="80">
        <v>0</v>
      </c>
      <c r="AD358" s="80">
        <v>0</v>
      </c>
      <c r="AE358" s="80">
        <v>0</v>
      </c>
      <c r="AF358" s="80">
        <v>0</v>
      </c>
      <c r="AG358" s="80">
        <v>0</v>
      </c>
      <c r="AH358" s="80">
        <v>0</v>
      </c>
      <c r="AI358" s="80">
        <v>0</v>
      </c>
      <c r="AJ358" s="80">
        <v>0</v>
      </c>
      <c r="AK358" s="80">
        <v>0</v>
      </c>
      <c r="AL358" s="80">
        <v>0</v>
      </c>
      <c r="AM358" s="80">
        <v>0</v>
      </c>
      <c r="AN358" s="80">
        <v>0</v>
      </c>
      <c r="AO358" s="80">
        <v>0</v>
      </c>
    </row>
    <row r="359" spans="1:41" ht="15.75" x14ac:dyDescent="0.25">
      <c r="A359" s="84">
        <v>32</v>
      </c>
      <c r="B359" s="84"/>
      <c r="C359" s="84" t="s">
        <v>185</v>
      </c>
      <c r="D359" s="80" t="s">
        <v>245</v>
      </c>
      <c r="E359" s="438">
        <v>0</v>
      </c>
      <c r="F359" s="80">
        <v>0</v>
      </c>
      <c r="G359" s="80">
        <v>0</v>
      </c>
      <c r="H359" s="387">
        <v>1</v>
      </c>
      <c r="I359" s="387">
        <v>1</v>
      </c>
      <c r="J359" s="387">
        <v>1</v>
      </c>
      <c r="K359" s="80">
        <v>0</v>
      </c>
      <c r="L359" s="80">
        <v>0</v>
      </c>
      <c r="M359" s="80">
        <v>0</v>
      </c>
      <c r="N359" s="387">
        <v>1</v>
      </c>
      <c r="O359" s="387">
        <v>1</v>
      </c>
      <c r="P359" s="80">
        <v>0</v>
      </c>
      <c r="Q359" s="387">
        <v>1</v>
      </c>
      <c r="R359" s="80">
        <v>0</v>
      </c>
      <c r="S359" s="80">
        <v>0</v>
      </c>
      <c r="T359" s="80">
        <v>0</v>
      </c>
      <c r="U359" s="387">
        <v>2</v>
      </c>
      <c r="V359" s="387">
        <v>1</v>
      </c>
      <c r="W359" s="80">
        <v>0</v>
      </c>
      <c r="X359" s="80">
        <v>0</v>
      </c>
      <c r="Y359" s="80">
        <v>0</v>
      </c>
      <c r="Z359" s="387">
        <v>3</v>
      </c>
      <c r="AA359" s="387">
        <v>1</v>
      </c>
      <c r="AB359" s="80">
        <v>0</v>
      </c>
      <c r="AC359" s="80">
        <v>0</v>
      </c>
      <c r="AD359" s="80">
        <v>0</v>
      </c>
      <c r="AE359" s="80">
        <v>0</v>
      </c>
      <c r="AF359" s="80">
        <v>0</v>
      </c>
      <c r="AG359" s="390">
        <v>1</v>
      </c>
      <c r="AH359" s="80">
        <v>0</v>
      </c>
      <c r="AI359" s="81">
        <v>0</v>
      </c>
      <c r="AJ359" s="81">
        <v>0</v>
      </c>
      <c r="AK359" s="81">
        <v>0</v>
      </c>
      <c r="AL359" s="81">
        <v>0</v>
      </c>
      <c r="AM359" s="80">
        <v>0</v>
      </c>
      <c r="AN359" s="80">
        <v>0</v>
      </c>
      <c r="AO359" s="80">
        <v>0</v>
      </c>
    </row>
    <row r="360" spans="1:41" ht="15.75" x14ac:dyDescent="0.25">
      <c r="A360" s="84"/>
      <c r="B360" s="84"/>
      <c r="C360" s="84"/>
      <c r="D360" s="80" t="s">
        <v>246</v>
      </c>
      <c r="E360" s="80">
        <v>0</v>
      </c>
      <c r="F360" s="80">
        <v>0</v>
      </c>
      <c r="G360" s="80">
        <v>0</v>
      </c>
      <c r="H360" s="80">
        <v>1</v>
      </c>
      <c r="I360" s="80">
        <v>1</v>
      </c>
      <c r="J360" s="80">
        <v>1</v>
      </c>
      <c r="K360" s="80">
        <v>0</v>
      </c>
      <c r="L360" s="80">
        <v>0</v>
      </c>
      <c r="M360" s="80">
        <v>0</v>
      </c>
      <c r="N360" s="80">
        <v>1</v>
      </c>
      <c r="O360" s="80">
        <v>1</v>
      </c>
      <c r="P360" s="80">
        <v>0</v>
      </c>
      <c r="Q360" s="80">
        <v>1</v>
      </c>
      <c r="R360" s="80">
        <v>0</v>
      </c>
      <c r="S360" s="80">
        <v>0</v>
      </c>
      <c r="T360" s="80">
        <v>0</v>
      </c>
      <c r="U360" s="80">
        <v>2</v>
      </c>
      <c r="V360" s="80">
        <v>1</v>
      </c>
      <c r="W360" s="80">
        <v>0</v>
      </c>
      <c r="X360" s="80">
        <v>0</v>
      </c>
      <c r="Y360" s="80">
        <v>0</v>
      </c>
      <c r="Z360" s="80">
        <v>3</v>
      </c>
      <c r="AA360" s="80">
        <v>1</v>
      </c>
      <c r="AB360" s="80">
        <v>0</v>
      </c>
      <c r="AC360" s="80">
        <v>0</v>
      </c>
      <c r="AD360" s="80">
        <v>0</v>
      </c>
      <c r="AE360" s="80">
        <v>0</v>
      </c>
      <c r="AF360" s="80">
        <v>0</v>
      </c>
      <c r="AG360" s="81">
        <v>1</v>
      </c>
      <c r="AH360" s="80">
        <v>0</v>
      </c>
      <c r="AI360" s="81">
        <v>0</v>
      </c>
      <c r="AJ360" s="81">
        <v>0</v>
      </c>
      <c r="AK360" s="81">
        <v>0</v>
      </c>
      <c r="AL360" s="81">
        <v>0</v>
      </c>
      <c r="AM360" s="80">
        <v>0</v>
      </c>
      <c r="AN360" s="80">
        <v>0</v>
      </c>
      <c r="AO360" s="80">
        <v>0</v>
      </c>
    </row>
    <row r="361" spans="1:41" ht="15.75" x14ac:dyDescent="0.25">
      <c r="A361" s="84"/>
      <c r="B361" s="84"/>
      <c r="C361" s="84"/>
      <c r="D361" s="80" t="s">
        <v>247</v>
      </c>
      <c r="E361" s="80">
        <v>0</v>
      </c>
      <c r="F361" s="80">
        <v>0</v>
      </c>
      <c r="G361" s="80">
        <v>0</v>
      </c>
      <c r="H361" s="80">
        <v>0</v>
      </c>
      <c r="I361" s="80">
        <v>0</v>
      </c>
      <c r="J361" s="80">
        <v>0</v>
      </c>
      <c r="K361" s="80">
        <v>0</v>
      </c>
      <c r="L361" s="80">
        <v>0</v>
      </c>
      <c r="M361" s="80">
        <v>0</v>
      </c>
      <c r="N361" s="80">
        <v>0</v>
      </c>
      <c r="O361" s="80">
        <v>0</v>
      </c>
      <c r="P361" s="80">
        <v>0</v>
      </c>
      <c r="Q361" s="80">
        <v>0</v>
      </c>
      <c r="R361" s="80">
        <v>0</v>
      </c>
      <c r="S361" s="80">
        <v>0</v>
      </c>
      <c r="T361" s="80">
        <v>0</v>
      </c>
      <c r="U361" s="80">
        <v>0</v>
      </c>
      <c r="V361" s="80">
        <v>0</v>
      </c>
      <c r="W361" s="80">
        <v>0</v>
      </c>
      <c r="X361" s="80">
        <v>0</v>
      </c>
      <c r="Y361" s="80">
        <v>0</v>
      </c>
      <c r="Z361" s="80">
        <v>0</v>
      </c>
      <c r="AA361" s="80">
        <v>0</v>
      </c>
      <c r="AB361" s="80">
        <v>0</v>
      </c>
      <c r="AC361" s="80">
        <v>0</v>
      </c>
      <c r="AD361" s="80">
        <v>0</v>
      </c>
      <c r="AE361" s="80">
        <v>0</v>
      </c>
      <c r="AF361" s="80">
        <v>0</v>
      </c>
      <c r="AG361" s="81">
        <v>0</v>
      </c>
      <c r="AH361" s="80">
        <v>0</v>
      </c>
      <c r="AI361" s="81">
        <v>0</v>
      </c>
      <c r="AJ361" s="81">
        <v>0</v>
      </c>
      <c r="AK361" s="81">
        <v>0</v>
      </c>
      <c r="AL361" s="81">
        <v>0</v>
      </c>
      <c r="AM361" s="80">
        <v>0</v>
      </c>
      <c r="AN361" s="80">
        <v>0</v>
      </c>
      <c r="AO361" s="80">
        <v>0</v>
      </c>
    </row>
    <row r="362" spans="1:41" ht="15.75" x14ac:dyDescent="0.25">
      <c r="A362" s="84"/>
      <c r="B362" s="84"/>
      <c r="C362" s="84"/>
      <c r="D362" s="80" t="s">
        <v>248</v>
      </c>
      <c r="E362" s="80">
        <v>0</v>
      </c>
      <c r="F362" s="80">
        <v>0</v>
      </c>
      <c r="G362" s="80">
        <v>0</v>
      </c>
      <c r="H362" s="80">
        <v>1</v>
      </c>
      <c r="I362" s="80">
        <v>1</v>
      </c>
      <c r="J362" s="80">
        <v>1</v>
      </c>
      <c r="K362" s="80">
        <v>0</v>
      </c>
      <c r="L362" s="80">
        <v>0</v>
      </c>
      <c r="M362" s="80">
        <v>0</v>
      </c>
      <c r="N362" s="80">
        <v>1</v>
      </c>
      <c r="O362" s="80">
        <v>1</v>
      </c>
      <c r="P362" s="80">
        <v>0</v>
      </c>
      <c r="Q362" s="80">
        <v>1</v>
      </c>
      <c r="R362" s="80">
        <v>0</v>
      </c>
      <c r="S362" s="80">
        <v>0</v>
      </c>
      <c r="T362" s="80">
        <v>0</v>
      </c>
      <c r="U362" s="80">
        <v>2</v>
      </c>
      <c r="V362" s="80">
        <v>1</v>
      </c>
      <c r="W362" s="80">
        <v>0</v>
      </c>
      <c r="X362" s="80">
        <v>0</v>
      </c>
      <c r="Y362" s="80">
        <v>0</v>
      </c>
      <c r="Z362" s="80">
        <v>3</v>
      </c>
      <c r="AA362" s="80">
        <v>1</v>
      </c>
      <c r="AB362" s="80">
        <v>0</v>
      </c>
      <c r="AC362" s="80">
        <v>0</v>
      </c>
      <c r="AD362" s="80">
        <v>0</v>
      </c>
      <c r="AE362" s="80">
        <v>0</v>
      </c>
      <c r="AF362" s="80">
        <v>0</v>
      </c>
      <c r="AG362" s="81">
        <v>1</v>
      </c>
      <c r="AH362" s="80">
        <v>0</v>
      </c>
      <c r="AI362" s="81">
        <v>0</v>
      </c>
      <c r="AJ362" s="81">
        <v>0</v>
      </c>
      <c r="AK362" s="81">
        <v>0</v>
      </c>
      <c r="AL362" s="81">
        <v>0</v>
      </c>
      <c r="AM362" s="80">
        <v>0</v>
      </c>
      <c r="AN362" s="80">
        <v>0</v>
      </c>
      <c r="AO362" s="80">
        <v>0</v>
      </c>
    </row>
    <row r="363" spans="1:41" ht="15.75" x14ac:dyDescent="0.25">
      <c r="A363" s="84"/>
      <c r="B363" s="84"/>
      <c r="C363" s="84"/>
      <c r="D363" s="80" t="s">
        <v>258</v>
      </c>
      <c r="E363" s="80">
        <v>0</v>
      </c>
      <c r="F363" s="80">
        <v>0</v>
      </c>
      <c r="G363" s="80">
        <v>0</v>
      </c>
      <c r="H363" s="80">
        <v>0</v>
      </c>
      <c r="I363" s="80">
        <v>0</v>
      </c>
      <c r="J363" s="80">
        <v>0</v>
      </c>
      <c r="K363" s="80">
        <v>0</v>
      </c>
      <c r="L363" s="80">
        <v>0</v>
      </c>
      <c r="M363" s="80">
        <v>0</v>
      </c>
      <c r="N363" s="80">
        <v>0</v>
      </c>
      <c r="O363" s="80">
        <v>0</v>
      </c>
      <c r="P363" s="80">
        <v>0</v>
      </c>
      <c r="Q363" s="80">
        <v>0</v>
      </c>
      <c r="R363" s="80">
        <v>0</v>
      </c>
      <c r="S363" s="80">
        <v>0</v>
      </c>
      <c r="T363" s="80">
        <v>0</v>
      </c>
      <c r="U363" s="80">
        <v>0</v>
      </c>
      <c r="V363" s="80">
        <v>0</v>
      </c>
      <c r="W363" s="80">
        <v>0</v>
      </c>
      <c r="X363" s="80">
        <v>0</v>
      </c>
      <c r="Y363" s="80">
        <v>0</v>
      </c>
      <c r="Z363" s="80">
        <v>0</v>
      </c>
      <c r="AA363" s="80">
        <v>0</v>
      </c>
      <c r="AB363" s="80">
        <v>0</v>
      </c>
      <c r="AC363" s="80">
        <v>0</v>
      </c>
      <c r="AD363" s="80">
        <v>0</v>
      </c>
      <c r="AE363" s="80">
        <v>0</v>
      </c>
      <c r="AF363" s="80">
        <v>0</v>
      </c>
      <c r="AG363" s="80">
        <v>0</v>
      </c>
      <c r="AH363" s="80">
        <v>0</v>
      </c>
      <c r="AI363" s="80">
        <v>0</v>
      </c>
      <c r="AJ363" s="80">
        <v>0</v>
      </c>
      <c r="AK363" s="80">
        <v>0</v>
      </c>
      <c r="AL363" s="80">
        <v>0</v>
      </c>
      <c r="AM363" s="80">
        <v>0</v>
      </c>
      <c r="AN363" s="80">
        <v>0</v>
      </c>
      <c r="AO363" s="80">
        <v>0</v>
      </c>
    </row>
    <row r="364" spans="1:41" ht="15.75" x14ac:dyDescent="0.25">
      <c r="A364" s="84">
        <v>33</v>
      </c>
      <c r="B364" s="84" t="s">
        <v>28</v>
      </c>
      <c r="C364" s="84" t="s">
        <v>207</v>
      </c>
      <c r="D364" s="80" t="s">
        <v>245</v>
      </c>
      <c r="E364" s="438">
        <v>0</v>
      </c>
      <c r="F364" s="80">
        <v>0</v>
      </c>
      <c r="G364" s="80">
        <v>0</v>
      </c>
      <c r="H364" s="390">
        <v>1</v>
      </c>
      <c r="I364" s="400">
        <v>2</v>
      </c>
      <c r="J364" s="401">
        <v>1</v>
      </c>
      <c r="K364" s="80">
        <v>0</v>
      </c>
      <c r="L364" s="80">
        <v>0</v>
      </c>
      <c r="M364" s="387">
        <v>1</v>
      </c>
      <c r="N364" s="81">
        <v>0</v>
      </c>
      <c r="O364" s="387">
        <v>3</v>
      </c>
      <c r="P364" s="387">
        <v>1</v>
      </c>
      <c r="Q364" s="387">
        <v>2</v>
      </c>
      <c r="R364" s="80">
        <v>0</v>
      </c>
      <c r="S364" s="80">
        <v>0</v>
      </c>
      <c r="T364" s="390">
        <v>1</v>
      </c>
      <c r="U364" s="387">
        <v>4</v>
      </c>
      <c r="V364" s="387">
        <v>2</v>
      </c>
      <c r="W364" s="81">
        <v>0</v>
      </c>
      <c r="X364" s="80">
        <v>0</v>
      </c>
      <c r="Y364" s="80">
        <v>0</v>
      </c>
      <c r="Z364" s="387">
        <v>2</v>
      </c>
      <c r="AA364" s="387">
        <v>1</v>
      </c>
      <c r="AB364" s="387">
        <v>1</v>
      </c>
      <c r="AC364" s="387">
        <v>1</v>
      </c>
      <c r="AD364" s="387">
        <v>1</v>
      </c>
      <c r="AE364" s="387">
        <v>1</v>
      </c>
      <c r="AF364" s="387">
        <v>1</v>
      </c>
      <c r="AG364" s="390">
        <v>1</v>
      </c>
      <c r="AH364" s="387">
        <v>2</v>
      </c>
      <c r="AI364" s="81">
        <v>0</v>
      </c>
      <c r="AJ364" s="81">
        <v>0</v>
      </c>
      <c r="AK364" s="81">
        <v>0</v>
      </c>
      <c r="AL364" s="81">
        <v>0</v>
      </c>
      <c r="AM364" s="80">
        <v>0</v>
      </c>
      <c r="AN364" s="80">
        <v>0</v>
      </c>
      <c r="AO364" s="80">
        <v>0</v>
      </c>
    </row>
    <row r="365" spans="1:41" ht="15.75" x14ac:dyDescent="0.25">
      <c r="A365" s="84"/>
      <c r="B365" s="84"/>
      <c r="C365" s="84"/>
      <c r="D365" s="80" t="s">
        <v>246</v>
      </c>
      <c r="E365" s="80">
        <v>0</v>
      </c>
      <c r="F365" s="80">
        <v>0</v>
      </c>
      <c r="G365" s="80">
        <v>0</v>
      </c>
      <c r="H365" s="81">
        <v>1</v>
      </c>
      <c r="I365" s="133">
        <v>2</v>
      </c>
      <c r="J365" s="134">
        <v>1</v>
      </c>
      <c r="K365" s="80">
        <v>0</v>
      </c>
      <c r="L365" s="80">
        <v>0</v>
      </c>
      <c r="M365" s="80">
        <v>1</v>
      </c>
      <c r="N365" s="81">
        <v>0</v>
      </c>
      <c r="O365" s="80">
        <v>3</v>
      </c>
      <c r="P365" s="80">
        <v>1</v>
      </c>
      <c r="Q365" s="80">
        <v>2</v>
      </c>
      <c r="R365" s="80">
        <v>0</v>
      </c>
      <c r="S365" s="80">
        <v>0</v>
      </c>
      <c r="T365" s="81">
        <v>1</v>
      </c>
      <c r="U365" s="80">
        <v>4</v>
      </c>
      <c r="V365" s="80">
        <v>2</v>
      </c>
      <c r="W365" s="81">
        <v>0</v>
      </c>
      <c r="X365" s="80">
        <v>0</v>
      </c>
      <c r="Y365" s="80">
        <v>0</v>
      </c>
      <c r="Z365" s="80">
        <v>2</v>
      </c>
      <c r="AA365" s="80">
        <v>1</v>
      </c>
      <c r="AB365" s="80">
        <v>1</v>
      </c>
      <c r="AC365" s="80">
        <v>1</v>
      </c>
      <c r="AD365" s="80">
        <v>1</v>
      </c>
      <c r="AE365" s="80">
        <v>1</v>
      </c>
      <c r="AF365" s="80">
        <v>1</v>
      </c>
      <c r="AG365" s="81">
        <v>1</v>
      </c>
      <c r="AH365" s="80">
        <v>2</v>
      </c>
      <c r="AI365" s="81">
        <v>0</v>
      </c>
      <c r="AJ365" s="81">
        <v>0</v>
      </c>
      <c r="AK365" s="81">
        <v>0</v>
      </c>
      <c r="AL365" s="81">
        <v>0</v>
      </c>
      <c r="AM365" s="80">
        <v>0</v>
      </c>
      <c r="AN365" s="80">
        <v>0</v>
      </c>
      <c r="AO365" s="80">
        <v>0</v>
      </c>
    </row>
    <row r="366" spans="1:41" ht="15.75" x14ac:dyDescent="0.25">
      <c r="A366" s="84"/>
      <c r="B366" s="84"/>
      <c r="C366" s="84"/>
      <c r="D366" s="80" t="s">
        <v>247</v>
      </c>
      <c r="E366" s="80">
        <v>0</v>
      </c>
      <c r="F366" s="80">
        <v>0</v>
      </c>
      <c r="G366" s="80">
        <v>0</v>
      </c>
      <c r="H366" s="81">
        <v>0</v>
      </c>
      <c r="I366" s="81">
        <v>0</v>
      </c>
      <c r="J366" s="80">
        <v>0</v>
      </c>
      <c r="K366" s="80">
        <v>0</v>
      </c>
      <c r="L366" s="80">
        <v>0</v>
      </c>
      <c r="M366" s="80">
        <v>0</v>
      </c>
      <c r="N366" s="81">
        <v>0</v>
      </c>
      <c r="O366" s="80">
        <v>0</v>
      </c>
      <c r="P366" s="80">
        <v>0</v>
      </c>
      <c r="Q366" s="80">
        <v>0</v>
      </c>
      <c r="R366" s="80">
        <v>0</v>
      </c>
      <c r="S366" s="80">
        <v>0</v>
      </c>
      <c r="T366" s="81">
        <v>0</v>
      </c>
      <c r="U366" s="80">
        <v>0</v>
      </c>
      <c r="V366" s="80">
        <v>0</v>
      </c>
      <c r="W366" s="81">
        <v>0</v>
      </c>
      <c r="X366" s="80">
        <v>0</v>
      </c>
      <c r="Y366" s="80">
        <v>0</v>
      </c>
      <c r="Z366" s="80">
        <v>0</v>
      </c>
      <c r="AA366" s="80">
        <v>0</v>
      </c>
      <c r="AB366" s="80">
        <v>0</v>
      </c>
      <c r="AC366" s="80">
        <v>0</v>
      </c>
      <c r="AD366" s="80">
        <v>0</v>
      </c>
      <c r="AE366" s="80">
        <v>0</v>
      </c>
      <c r="AF366" s="80">
        <v>0</v>
      </c>
      <c r="AG366" s="81">
        <v>0</v>
      </c>
      <c r="AH366" s="80">
        <v>0</v>
      </c>
      <c r="AI366" s="81">
        <v>0</v>
      </c>
      <c r="AJ366" s="81">
        <v>0</v>
      </c>
      <c r="AK366" s="81">
        <v>0</v>
      </c>
      <c r="AL366" s="81">
        <v>0</v>
      </c>
      <c r="AM366" s="80">
        <v>0</v>
      </c>
      <c r="AN366" s="80">
        <v>0</v>
      </c>
      <c r="AO366" s="80">
        <v>0</v>
      </c>
    </row>
    <row r="367" spans="1:41" ht="15.75" x14ac:dyDescent="0.25">
      <c r="A367" s="84"/>
      <c r="B367" s="84"/>
      <c r="C367" s="84"/>
      <c r="D367" s="80" t="s">
        <v>248</v>
      </c>
      <c r="E367" s="80">
        <v>0</v>
      </c>
      <c r="F367" s="80">
        <v>0</v>
      </c>
      <c r="G367" s="80">
        <v>0</v>
      </c>
      <c r="H367" s="81">
        <v>1</v>
      </c>
      <c r="I367" s="81">
        <v>2</v>
      </c>
      <c r="J367" s="80">
        <v>1</v>
      </c>
      <c r="K367" s="80">
        <v>0</v>
      </c>
      <c r="L367" s="80">
        <v>0</v>
      </c>
      <c r="M367" s="80">
        <v>1</v>
      </c>
      <c r="N367" s="81">
        <v>0</v>
      </c>
      <c r="O367" s="80">
        <v>3</v>
      </c>
      <c r="P367" s="80">
        <v>1</v>
      </c>
      <c r="Q367" s="80">
        <v>2</v>
      </c>
      <c r="R367" s="80">
        <v>0</v>
      </c>
      <c r="S367" s="80">
        <v>0</v>
      </c>
      <c r="T367" s="81">
        <v>1</v>
      </c>
      <c r="U367" s="80">
        <v>3</v>
      </c>
      <c r="V367" s="80">
        <v>2</v>
      </c>
      <c r="W367" s="81">
        <v>0</v>
      </c>
      <c r="X367" s="80">
        <v>0</v>
      </c>
      <c r="Y367" s="80">
        <v>0</v>
      </c>
      <c r="Z367" s="80">
        <v>1</v>
      </c>
      <c r="AA367" s="80">
        <v>1</v>
      </c>
      <c r="AB367" s="80">
        <v>1</v>
      </c>
      <c r="AC367" s="80">
        <v>1</v>
      </c>
      <c r="AD367" s="80">
        <v>1</v>
      </c>
      <c r="AE367" s="80">
        <v>1</v>
      </c>
      <c r="AF367" s="80">
        <v>0</v>
      </c>
      <c r="AG367" s="81">
        <v>1</v>
      </c>
      <c r="AH367" s="80">
        <v>2</v>
      </c>
      <c r="AI367" s="81">
        <v>0</v>
      </c>
      <c r="AJ367" s="81">
        <v>0</v>
      </c>
      <c r="AK367" s="81">
        <v>0</v>
      </c>
      <c r="AL367" s="81">
        <v>0</v>
      </c>
      <c r="AM367" s="80">
        <v>0</v>
      </c>
      <c r="AN367" s="80">
        <v>0</v>
      </c>
      <c r="AO367" s="80">
        <v>0</v>
      </c>
    </row>
    <row r="368" spans="1:41" ht="15.75" x14ac:dyDescent="0.25">
      <c r="A368" s="84"/>
      <c r="B368" s="84"/>
      <c r="C368" s="84"/>
      <c r="D368" s="80" t="s">
        <v>258</v>
      </c>
      <c r="E368" s="80">
        <v>0</v>
      </c>
      <c r="F368" s="80">
        <v>0</v>
      </c>
      <c r="G368" s="80">
        <v>0</v>
      </c>
      <c r="H368" s="81">
        <v>0</v>
      </c>
      <c r="I368" s="81">
        <v>0</v>
      </c>
      <c r="J368" s="81">
        <v>0</v>
      </c>
      <c r="K368" s="81">
        <v>0</v>
      </c>
      <c r="L368" s="80">
        <v>0</v>
      </c>
      <c r="M368" s="81">
        <v>0</v>
      </c>
      <c r="N368" s="81">
        <v>0</v>
      </c>
      <c r="O368" s="81">
        <v>0</v>
      </c>
      <c r="P368" s="80">
        <v>0</v>
      </c>
      <c r="Q368" s="81">
        <v>0</v>
      </c>
      <c r="R368" s="81">
        <v>0</v>
      </c>
      <c r="S368" s="81">
        <v>0</v>
      </c>
      <c r="T368" s="81">
        <v>0</v>
      </c>
      <c r="U368" s="81">
        <v>1</v>
      </c>
      <c r="V368" s="81">
        <v>0</v>
      </c>
      <c r="W368" s="81">
        <v>0</v>
      </c>
      <c r="X368" s="81">
        <v>0</v>
      </c>
      <c r="Y368" s="81">
        <v>0</v>
      </c>
      <c r="Z368" s="81">
        <v>1</v>
      </c>
      <c r="AA368" s="81">
        <v>0</v>
      </c>
      <c r="AB368" s="81">
        <v>0</v>
      </c>
      <c r="AC368" s="80">
        <v>0</v>
      </c>
      <c r="AD368" s="80">
        <v>0</v>
      </c>
      <c r="AE368" s="81">
        <v>0</v>
      </c>
      <c r="AF368" s="81">
        <v>1</v>
      </c>
      <c r="AG368" s="81">
        <v>0</v>
      </c>
      <c r="AH368" s="81">
        <v>0</v>
      </c>
      <c r="AI368" s="81">
        <v>0</v>
      </c>
      <c r="AJ368" s="81">
        <v>0</v>
      </c>
      <c r="AK368" s="81">
        <v>0</v>
      </c>
      <c r="AL368" s="81">
        <v>0</v>
      </c>
      <c r="AM368" s="80">
        <v>0</v>
      </c>
      <c r="AN368" s="80">
        <v>0</v>
      </c>
      <c r="AO368" s="80">
        <v>0</v>
      </c>
    </row>
    <row r="369" spans="1:41" ht="15.75" x14ac:dyDescent="0.25">
      <c r="A369" s="84">
        <v>34</v>
      </c>
      <c r="B369" s="84"/>
      <c r="C369" s="84" t="s">
        <v>253</v>
      </c>
      <c r="D369" s="80" t="s">
        <v>245</v>
      </c>
      <c r="E369" s="438">
        <v>0</v>
      </c>
      <c r="F369" s="80">
        <v>0</v>
      </c>
      <c r="G369" s="80">
        <v>0</v>
      </c>
      <c r="H369" s="390">
        <v>1</v>
      </c>
      <c r="I369" s="390">
        <v>1</v>
      </c>
      <c r="J369" s="387">
        <v>1</v>
      </c>
      <c r="K369" s="80">
        <v>0</v>
      </c>
      <c r="L369" s="80">
        <v>0</v>
      </c>
      <c r="M369" s="80">
        <v>0</v>
      </c>
      <c r="N369" s="80">
        <v>0</v>
      </c>
      <c r="O369" s="387">
        <v>1</v>
      </c>
      <c r="P369" s="387">
        <v>1</v>
      </c>
      <c r="Q369" s="387">
        <v>1</v>
      </c>
      <c r="R369" s="80">
        <v>0</v>
      </c>
      <c r="S369" s="81">
        <v>0</v>
      </c>
      <c r="T369" s="81">
        <v>0</v>
      </c>
      <c r="U369" s="387">
        <v>3</v>
      </c>
      <c r="V369" s="387">
        <v>1</v>
      </c>
      <c r="W369" s="81">
        <v>0</v>
      </c>
      <c r="X369" s="80">
        <v>0</v>
      </c>
      <c r="Y369" s="80">
        <v>0</v>
      </c>
      <c r="Z369" s="80">
        <v>0</v>
      </c>
      <c r="AA369" s="80">
        <v>0</v>
      </c>
      <c r="AB369" s="80">
        <v>0</v>
      </c>
      <c r="AC369" s="80">
        <v>0</v>
      </c>
      <c r="AD369" s="80">
        <v>0</v>
      </c>
      <c r="AE369" s="80">
        <v>0</v>
      </c>
      <c r="AF369" s="80">
        <v>0</v>
      </c>
      <c r="AG369" s="390">
        <v>1</v>
      </c>
      <c r="AH369" s="80">
        <v>0</v>
      </c>
      <c r="AI369" s="81">
        <v>0</v>
      </c>
      <c r="AJ369" s="81">
        <v>0</v>
      </c>
      <c r="AK369" s="81">
        <v>0</v>
      </c>
      <c r="AL369" s="81">
        <v>0</v>
      </c>
      <c r="AM369" s="80">
        <v>0</v>
      </c>
      <c r="AN369" s="80">
        <v>0</v>
      </c>
      <c r="AO369" s="80">
        <v>0</v>
      </c>
    </row>
    <row r="370" spans="1:41" ht="15.75" x14ac:dyDescent="0.25">
      <c r="A370" s="84"/>
      <c r="B370" s="84"/>
      <c r="C370" s="84"/>
      <c r="D370" s="80" t="s">
        <v>246</v>
      </c>
      <c r="E370" s="80">
        <v>0</v>
      </c>
      <c r="F370" s="80">
        <v>0</v>
      </c>
      <c r="G370" s="80">
        <v>0</v>
      </c>
      <c r="H370" s="81">
        <v>1</v>
      </c>
      <c r="I370" s="81">
        <v>1</v>
      </c>
      <c r="J370" s="80">
        <v>1</v>
      </c>
      <c r="K370" s="80">
        <v>0</v>
      </c>
      <c r="L370" s="80">
        <v>0</v>
      </c>
      <c r="M370" s="80">
        <v>0</v>
      </c>
      <c r="N370" s="80">
        <v>0</v>
      </c>
      <c r="O370" s="80">
        <v>1</v>
      </c>
      <c r="P370" s="80">
        <v>1</v>
      </c>
      <c r="Q370" s="80">
        <v>1</v>
      </c>
      <c r="R370" s="80">
        <v>0</v>
      </c>
      <c r="S370" s="81">
        <v>0</v>
      </c>
      <c r="T370" s="81">
        <v>0</v>
      </c>
      <c r="U370" s="80">
        <v>3</v>
      </c>
      <c r="V370" s="80">
        <v>1</v>
      </c>
      <c r="W370" s="81">
        <v>0</v>
      </c>
      <c r="X370" s="80">
        <v>0</v>
      </c>
      <c r="Y370" s="80">
        <v>0</v>
      </c>
      <c r="Z370" s="80">
        <v>0</v>
      </c>
      <c r="AA370" s="80">
        <v>0</v>
      </c>
      <c r="AB370" s="80">
        <v>0</v>
      </c>
      <c r="AC370" s="80">
        <v>0</v>
      </c>
      <c r="AD370" s="80">
        <v>0</v>
      </c>
      <c r="AE370" s="80">
        <v>0</v>
      </c>
      <c r="AF370" s="80">
        <v>0</v>
      </c>
      <c r="AG370" s="81">
        <v>1</v>
      </c>
      <c r="AH370" s="80">
        <v>0</v>
      </c>
      <c r="AI370" s="81">
        <v>0</v>
      </c>
      <c r="AJ370" s="81">
        <v>0</v>
      </c>
      <c r="AK370" s="81">
        <v>0</v>
      </c>
      <c r="AL370" s="81">
        <v>0</v>
      </c>
      <c r="AM370" s="80">
        <v>0</v>
      </c>
      <c r="AN370" s="80">
        <v>0</v>
      </c>
      <c r="AO370" s="80">
        <v>0</v>
      </c>
    </row>
    <row r="371" spans="1:41" ht="15.75" x14ac:dyDescent="0.25">
      <c r="A371" s="84"/>
      <c r="B371" s="84"/>
      <c r="C371" s="84"/>
      <c r="D371" s="80" t="s">
        <v>247</v>
      </c>
      <c r="E371" s="80">
        <v>0</v>
      </c>
      <c r="F371" s="80">
        <v>0</v>
      </c>
      <c r="G371" s="80">
        <v>0</v>
      </c>
      <c r="H371" s="81">
        <v>0</v>
      </c>
      <c r="I371" s="81">
        <v>0</v>
      </c>
      <c r="J371" s="80">
        <v>0</v>
      </c>
      <c r="K371" s="80">
        <v>0</v>
      </c>
      <c r="L371" s="80">
        <v>0</v>
      </c>
      <c r="M371" s="80">
        <v>0</v>
      </c>
      <c r="N371" s="80">
        <v>0</v>
      </c>
      <c r="O371" s="80">
        <v>0</v>
      </c>
      <c r="P371" s="80">
        <v>0</v>
      </c>
      <c r="Q371" s="80">
        <v>0</v>
      </c>
      <c r="R371" s="80">
        <v>0</v>
      </c>
      <c r="S371" s="81">
        <v>0</v>
      </c>
      <c r="T371" s="81">
        <v>0</v>
      </c>
      <c r="U371" s="80">
        <v>0</v>
      </c>
      <c r="V371" s="80">
        <v>0</v>
      </c>
      <c r="W371" s="81">
        <v>0</v>
      </c>
      <c r="X371" s="80">
        <v>0</v>
      </c>
      <c r="Y371" s="80">
        <v>0</v>
      </c>
      <c r="Z371" s="80">
        <v>0</v>
      </c>
      <c r="AA371" s="80">
        <v>0</v>
      </c>
      <c r="AB371" s="80">
        <v>0</v>
      </c>
      <c r="AC371" s="80">
        <v>0</v>
      </c>
      <c r="AD371" s="80">
        <v>0</v>
      </c>
      <c r="AE371" s="80">
        <v>0</v>
      </c>
      <c r="AF371" s="80">
        <v>0</v>
      </c>
      <c r="AG371" s="81">
        <v>0</v>
      </c>
      <c r="AH371" s="80">
        <v>0</v>
      </c>
      <c r="AI371" s="81">
        <v>0</v>
      </c>
      <c r="AJ371" s="81">
        <v>0</v>
      </c>
      <c r="AK371" s="81">
        <v>0</v>
      </c>
      <c r="AL371" s="81">
        <v>0</v>
      </c>
      <c r="AM371" s="80">
        <v>0</v>
      </c>
      <c r="AN371" s="80">
        <v>0</v>
      </c>
      <c r="AO371" s="80">
        <v>0</v>
      </c>
    </row>
    <row r="372" spans="1:41" ht="15.75" x14ac:dyDescent="0.25">
      <c r="A372" s="84"/>
      <c r="B372" s="84"/>
      <c r="C372" s="84"/>
      <c r="D372" s="80" t="s">
        <v>248</v>
      </c>
      <c r="E372" s="80">
        <v>0</v>
      </c>
      <c r="F372" s="80">
        <v>0</v>
      </c>
      <c r="G372" s="80">
        <v>0</v>
      </c>
      <c r="H372" s="81">
        <v>1</v>
      </c>
      <c r="I372" s="81">
        <v>1</v>
      </c>
      <c r="J372" s="80">
        <v>1</v>
      </c>
      <c r="K372" s="80">
        <v>0</v>
      </c>
      <c r="L372" s="80">
        <v>0</v>
      </c>
      <c r="M372" s="80">
        <v>0</v>
      </c>
      <c r="N372" s="80">
        <v>0</v>
      </c>
      <c r="O372" s="80">
        <v>1</v>
      </c>
      <c r="P372" s="80">
        <v>1</v>
      </c>
      <c r="Q372" s="80">
        <v>1</v>
      </c>
      <c r="R372" s="80">
        <v>0</v>
      </c>
      <c r="S372" s="81">
        <v>0</v>
      </c>
      <c r="T372" s="81">
        <v>0</v>
      </c>
      <c r="U372" s="80">
        <v>3</v>
      </c>
      <c r="V372" s="80">
        <v>1</v>
      </c>
      <c r="W372" s="81">
        <v>0</v>
      </c>
      <c r="X372" s="80">
        <v>0</v>
      </c>
      <c r="Y372" s="80">
        <v>0</v>
      </c>
      <c r="Z372" s="80">
        <v>0</v>
      </c>
      <c r="AA372" s="80">
        <v>0</v>
      </c>
      <c r="AB372" s="80">
        <v>0</v>
      </c>
      <c r="AC372" s="80">
        <v>0</v>
      </c>
      <c r="AD372" s="80">
        <v>0</v>
      </c>
      <c r="AE372" s="80">
        <v>0</v>
      </c>
      <c r="AF372" s="80">
        <v>0</v>
      </c>
      <c r="AG372" s="81">
        <v>1</v>
      </c>
      <c r="AH372" s="80">
        <v>0</v>
      </c>
      <c r="AI372" s="81">
        <v>0</v>
      </c>
      <c r="AJ372" s="81">
        <v>0</v>
      </c>
      <c r="AK372" s="81">
        <v>0</v>
      </c>
      <c r="AL372" s="81">
        <v>0</v>
      </c>
      <c r="AM372" s="80">
        <v>0</v>
      </c>
      <c r="AN372" s="80">
        <v>0</v>
      </c>
      <c r="AO372" s="80">
        <v>0</v>
      </c>
    </row>
    <row r="373" spans="1:41" ht="15.75" x14ac:dyDescent="0.25">
      <c r="A373" s="84"/>
      <c r="B373" s="84"/>
      <c r="C373" s="84"/>
      <c r="D373" s="80" t="s">
        <v>258</v>
      </c>
      <c r="E373" s="80">
        <v>0</v>
      </c>
      <c r="F373" s="80">
        <v>0</v>
      </c>
      <c r="G373" s="81">
        <v>0</v>
      </c>
      <c r="H373" s="81">
        <v>0</v>
      </c>
      <c r="I373" s="81">
        <v>0</v>
      </c>
      <c r="J373" s="81">
        <v>0</v>
      </c>
      <c r="K373" s="81">
        <v>0</v>
      </c>
      <c r="L373" s="80">
        <v>0</v>
      </c>
      <c r="M373" s="81">
        <v>0</v>
      </c>
      <c r="N373" s="80">
        <v>0</v>
      </c>
      <c r="O373" s="81">
        <v>0</v>
      </c>
      <c r="P373" s="80">
        <v>0</v>
      </c>
      <c r="Q373" s="81">
        <v>0</v>
      </c>
      <c r="R373" s="81">
        <v>0</v>
      </c>
      <c r="S373" s="81">
        <v>0</v>
      </c>
      <c r="T373" s="81">
        <v>0</v>
      </c>
      <c r="U373" s="81">
        <v>0</v>
      </c>
      <c r="V373" s="81">
        <v>0</v>
      </c>
      <c r="W373" s="81">
        <v>0</v>
      </c>
      <c r="X373" s="81">
        <v>0</v>
      </c>
      <c r="Y373" s="81">
        <v>0</v>
      </c>
      <c r="Z373" s="81">
        <v>0</v>
      </c>
      <c r="AA373" s="81">
        <v>0</v>
      </c>
      <c r="AB373" s="81">
        <v>0</v>
      </c>
      <c r="AC373" s="80">
        <v>0</v>
      </c>
      <c r="AD373" s="80">
        <v>0</v>
      </c>
      <c r="AE373" s="81">
        <v>0</v>
      </c>
      <c r="AF373" s="81">
        <v>0</v>
      </c>
      <c r="AG373" s="81">
        <v>0</v>
      </c>
      <c r="AH373" s="81">
        <v>0</v>
      </c>
      <c r="AI373" s="81">
        <v>0</v>
      </c>
      <c r="AJ373" s="81">
        <v>0</v>
      </c>
      <c r="AK373" s="81">
        <v>0</v>
      </c>
      <c r="AL373" s="81">
        <v>0</v>
      </c>
      <c r="AM373" s="80">
        <v>0</v>
      </c>
      <c r="AN373" s="80">
        <v>0</v>
      </c>
      <c r="AO373" s="80">
        <v>0</v>
      </c>
    </row>
    <row r="374" spans="1:41" ht="15.75" x14ac:dyDescent="0.25">
      <c r="A374" s="84">
        <v>35</v>
      </c>
      <c r="B374" s="84"/>
      <c r="C374" s="84" t="s">
        <v>171</v>
      </c>
      <c r="D374" s="80" t="s">
        <v>245</v>
      </c>
      <c r="E374" s="438">
        <v>0</v>
      </c>
      <c r="F374" s="80">
        <v>0</v>
      </c>
      <c r="G374" s="80">
        <v>0</v>
      </c>
      <c r="H374" s="390">
        <v>1</v>
      </c>
      <c r="I374" s="390">
        <v>2</v>
      </c>
      <c r="J374" s="387">
        <v>1</v>
      </c>
      <c r="K374" s="80">
        <v>0</v>
      </c>
      <c r="L374" s="80">
        <v>0</v>
      </c>
      <c r="M374" s="80">
        <v>0</v>
      </c>
      <c r="N374" s="80">
        <v>0</v>
      </c>
      <c r="O374" s="387">
        <v>1</v>
      </c>
      <c r="P374" s="80">
        <v>0</v>
      </c>
      <c r="Q374" s="387">
        <v>1</v>
      </c>
      <c r="R374" s="80">
        <v>0</v>
      </c>
      <c r="S374" s="80">
        <v>0</v>
      </c>
      <c r="T374" s="390">
        <v>1</v>
      </c>
      <c r="U374" s="387">
        <v>2</v>
      </c>
      <c r="V374" s="387">
        <v>1</v>
      </c>
      <c r="W374" s="81">
        <v>0</v>
      </c>
      <c r="X374" s="80">
        <v>0</v>
      </c>
      <c r="Y374" s="80">
        <v>0</v>
      </c>
      <c r="Z374" s="80">
        <v>0</v>
      </c>
      <c r="AA374" s="80">
        <v>0</v>
      </c>
      <c r="AB374" s="80">
        <v>0</v>
      </c>
      <c r="AC374" s="80">
        <v>0</v>
      </c>
      <c r="AD374" s="80">
        <v>0</v>
      </c>
      <c r="AE374" s="80">
        <v>0</v>
      </c>
      <c r="AF374" s="387">
        <v>1</v>
      </c>
      <c r="AG374" s="390">
        <v>1</v>
      </c>
      <c r="AH374" s="80">
        <v>0</v>
      </c>
      <c r="AI374" s="81">
        <v>0</v>
      </c>
      <c r="AJ374" s="81">
        <v>0</v>
      </c>
      <c r="AK374" s="81">
        <v>0</v>
      </c>
      <c r="AL374" s="81">
        <v>0</v>
      </c>
      <c r="AM374" s="80">
        <v>0</v>
      </c>
      <c r="AN374" s="80">
        <v>0</v>
      </c>
      <c r="AO374" s="80">
        <v>0</v>
      </c>
    </row>
    <row r="375" spans="1:41" ht="15.75" x14ac:dyDescent="0.25">
      <c r="A375" s="84"/>
      <c r="B375" s="84"/>
      <c r="C375" s="84"/>
      <c r="D375" s="80" t="s">
        <v>246</v>
      </c>
      <c r="E375" s="80">
        <v>0</v>
      </c>
      <c r="F375" s="80">
        <v>0</v>
      </c>
      <c r="G375" s="80">
        <v>0</v>
      </c>
      <c r="H375" s="81">
        <v>1</v>
      </c>
      <c r="I375" s="81">
        <v>2</v>
      </c>
      <c r="J375" s="80">
        <v>1</v>
      </c>
      <c r="K375" s="80">
        <v>0</v>
      </c>
      <c r="L375" s="80">
        <v>0</v>
      </c>
      <c r="M375" s="80">
        <v>0</v>
      </c>
      <c r="N375" s="80">
        <v>0</v>
      </c>
      <c r="O375" s="80">
        <v>1</v>
      </c>
      <c r="P375" s="80">
        <v>0</v>
      </c>
      <c r="Q375" s="80">
        <v>1</v>
      </c>
      <c r="R375" s="80">
        <v>0</v>
      </c>
      <c r="S375" s="80">
        <v>0</v>
      </c>
      <c r="T375" s="81">
        <v>1</v>
      </c>
      <c r="U375" s="80">
        <v>2</v>
      </c>
      <c r="V375" s="80">
        <v>1</v>
      </c>
      <c r="W375" s="81">
        <v>0</v>
      </c>
      <c r="X375" s="80">
        <v>0</v>
      </c>
      <c r="Y375" s="80">
        <v>0</v>
      </c>
      <c r="Z375" s="80">
        <v>0</v>
      </c>
      <c r="AA375" s="80">
        <v>0</v>
      </c>
      <c r="AB375" s="80">
        <v>0</v>
      </c>
      <c r="AC375" s="80">
        <v>0</v>
      </c>
      <c r="AD375" s="80">
        <v>0</v>
      </c>
      <c r="AE375" s="80">
        <v>0</v>
      </c>
      <c r="AF375" s="80">
        <v>1</v>
      </c>
      <c r="AG375" s="81">
        <v>1</v>
      </c>
      <c r="AH375" s="80">
        <v>0</v>
      </c>
      <c r="AI375" s="81">
        <v>0</v>
      </c>
      <c r="AJ375" s="81">
        <v>0</v>
      </c>
      <c r="AK375" s="81">
        <v>0</v>
      </c>
      <c r="AL375" s="81">
        <v>0</v>
      </c>
      <c r="AM375" s="80">
        <v>0</v>
      </c>
      <c r="AN375" s="80">
        <v>0</v>
      </c>
      <c r="AO375" s="80">
        <v>0</v>
      </c>
    </row>
    <row r="376" spans="1:41" ht="15.75" x14ac:dyDescent="0.25">
      <c r="A376" s="84"/>
      <c r="B376" s="84"/>
      <c r="C376" s="84"/>
      <c r="D376" s="80" t="s">
        <v>247</v>
      </c>
      <c r="E376" s="80">
        <v>0</v>
      </c>
      <c r="F376" s="80">
        <v>0</v>
      </c>
      <c r="G376" s="80">
        <v>0</v>
      </c>
      <c r="H376" s="81">
        <v>0</v>
      </c>
      <c r="I376" s="81">
        <v>0</v>
      </c>
      <c r="J376" s="80">
        <v>0</v>
      </c>
      <c r="K376" s="80">
        <v>0</v>
      </c>
      <c r="L376" s="80">
        <v>0</v>
      </c>
      <c r="M376" s="80">
        <v>0</v>
      </c>
      <c r="N376" s="80">
        <v>0</v>
      </c>
      <c r="O376" s="80">
        <v>0</v>
      </c>
      <c r="P376" s="80">
        <v>0</v>
      </c>
      <c r="Q376" s="80">
        <v>0</v>
      </c>
      <c r="R376" s="80">
        <v>0</v>
      </c>
      <c r="S376" s="80">
        <v>0</v>
      </c>
      <c r="T376" s="81">
        <v>0</v>
      </c>
      <c r="U376" s="80">
        <v>0</v>
      </c>
      <c r="V376" s="80">
        <v>0</v>
      </c>
      <c r="W376" s="81">
        <v>0</v>
      </c>
      <c r="X376" s="80">
        <v>0</v>
      </c>
      <c r="Y376" s="80">
        <v>0</v>
      </c>
      <c r="Z376" s="80">
        <v>0</v>
      </c>
      <c r="AA376" s="80">
        <v>0</v>
      </c>
      <c r="AB376" s="80">
        <v>0</v>
      </c>
      <c r="AC376" s="80">
        <v>0</v>
      </c>
      <c r="AD376" s="80">
        <v>0</v>
      </c>
      <c r="AE376" s="80">
        <v>0</v>
      </c>
      <c r="AF376" s="80">
        <v>0</v>
      </c>
      <c r="AG376" s="81">
        <v>0</v>
      </c>
      <c r="AH376" s="80">
        <v>0</v>
      </c>
      <c r="AI376" s="81">
        <v>0</v>
      </c>
      <c r="AJ376" s="81">
        <v>0</v>
      </c>
      <c r="AK376" s="81">
        <v>0</v>
      </c>
      <c r="AL376" s="81">
        <v>0</v>
      </c>
      <c r="AM376" s="80">
        <v>0</v>
      </c>
      <c r="AN376" s="80">
        <v>0</v>
      </c>
      <c r="AO376" s="80">
        <v>0</v>
      </c>
    </row>
    <row r="377" spans="1:41" ht="15.75" x14ac:dyDescent="0.25">
      <c r="A377" s="84"/>
      <c r="B377" s="84"/>
      <c r="C377" s="84"/>
      <c r="D377" s="80" t="s">
        <v>248</v>
      </c>
      <c r="E377" s="80">
        <v>0</v>
      </c>
      <c r="F377" s="80">
        <v>0</v>
      </c>
      <c r="G377" s="80">
        <v>0</v>
      </c>
      <c r="H377" s="81">
        <v>1</v>
      </c>
      <c r="I377" s="81">
        <v>2</v>
      </c>
      <c r="J377" s="80">
        <v>1</v>
      </c>
      <c r="K377" s="80">
        <v>0</v>
      </c>
      <c r="L377" s="80">
        <v>0</v>
      </c>
      <c r="M377" s="80">
        <v>0</v>
      </c>
      <c r="N377" s="80">
        <v>0</v>
      </c>
      <c r="O377" s="80">
        <v>1</v>
      </c>
      <c r="P377" s="80">
        <v>0</v>
      </c>
      <c r="Q377" s="80">
        <v>1</v>
      </c>
      <c r="R377" s="80">
        <v>0</v>
      </c>
      <c r="S377" s="80">
        <v>0</v>
      </c>
      <c r="T377" s="81">
        <v>1</v>
      </c>
      <c r="U377" s="80">
        <v>2</v>
      </c>
      <c r="V377" s="80">
        <v>1</v>
      </c>
      <c r="W377" s="81">
        <v>0</v>
      </c>
      <c r="X377" s="80">
        <v>0</v>
      </c>
      <c r="Y377" s="80">
        <v>0</v>
      </c>
      <c r="Z377" s="80">
        <v>0</v>
      </c>
      <c r="AA377" s="80">
        <v>0</v>
      </c>
      <c r="AB377" s="80">
        <v>0</v>
      </c>
      <c r="AC377" s="80">
        <v>0</v>
      </c>
      <c r="AD377" s="80">
        <v>0</v>
      </c>
      <c r="AE377" s="80">
        <v>0</v>
      </c>
      <c r="AF377" s="80">
        <v>1</v>
      </c>
      <c r="AG377" s="81">
        <v>1</v>
      </c>
      <c r="AH377" s="80">
        <v>0</v>
      </c>
      <c r="AI377" s="81">
        <v>0</v>
      </c>
      <c r="AJ377" s="81">
        <v>0</v>
      </c>
      <c r="AK377" s="81">
        <v>0</v>
      </c>
      <c r="AL377" s="81">
        <v>0</v>
      </c>
      <c r="AM377" s="80">
        <v>0</v>
      </c>
      <c r="AN377" s="80">
        <v>0</v>
      </c>
      <c r="AO377" s="80">
        <v>0</v>
      </c>
    </row>
    <row r="378" spans="1:41" ht="15.75" x14ac:dyDescent="0.25">
      <c r="A378" s="84"/>
      <c r="B378" s="84"/>
      <c r="C378" s="84"/>
      <c r="D378" s="80" t="s">
        <v>258</v>
      </c>
      <c r="E378" s="80">
        <v>0</v>
      </c>
      <c r="F378" s="80">
        <v>0</v>
      </c>
      <c r="G378" s="81">
        <v>0</v>
      </c>
      <c r="H378" s="81">
        <v>0</v>
      </c>
      <c r="I378" s="81">
        <v>0</v>
      </c>
      <c r="J378" s="81">
        <v>0</v>
      </c>
      <c r="K378" s="81">
        <v>0</v>
      </c>
      <c r="L378" s="80">
        <v>0</v>
      </c>
      <c r="M378" s="80">
        <v>0</v>
      </c>
      <c r="N378" s="80">
        <v>0</v>
      </c>
      <c r="O378" s="81">
        <v>0</v>
      </c>
      <c r="P378" s="80">
        <v>0</v>
      </c>
      <c r="Q378" s="80">
        <v>0</v>
      </c>
      <c r="R378" s="81">
        <v>0</v>
      </c>
      <c r="S378" s="81">
        <v>0</v>
      </c>
      <c r="T378" s="81">
        <v>0</v>
      </c>
      <c r="U378" s="81">
        <v>0</v>
      </c>
      <c r="V378" s="81">
        <v>0</v>
      </c>
      <c r="W378" s="81">
        <v>0</v>
      </c>
      <c r="X378" s="81">
        <v>0</v>
      </c>
      <c r="Y378" s="81">
        <v>0</v>
      </c>
      <c r="Z378" s="81">
        <v>0</v>
      </c>
      <c r="AA378" s="81">
        <v>0</v>
      </c>
      <c r="AB378" s="81">
        <v>0</v>
      </c>
      <c r="AC378" s="80">
        <v>0</v>
      </c>
      <c r="AD378" s="80">
        <v>0</v>
      </c>
      <c r="AE378" s="81">
        <v>0</v>
      </c>
      <c r="AF378" s="81">
        <v>0</v>
      </c>
      <c r="AG378" s="81">
        <v>0</v>
      </c>
      <c r="AH378" s="81">
        <v>0</v>
      </c>
      <c r="AI378" s="81">
        <v>0</v>
      </c>
      <c r="AJ378" s="81">
        <v>0</v>
      </c>
      <c r="AK378" s="81">
        <v>0</v>
      </c>
      <c r="AL378" s="81">
        <v>0</v>
      </c>
      <c r="AM378" s="80">
        <v>0</v>
      </c>
      <c r="AN378" s="80">
        <v>0</v>
      </c>
      <c r="AO378" s="80">
        <v>0</v>
      </c>
    </row>
    <row r="379" spans="1:41" ht="15.75" x14ac:dyDescent="0.25">
      <c r="A379" s="84">
        <v>36</v>
      </c>
      <c r="B379" s="84"/>
      <c r="C379" s="84" t="s">
        <v>31</v>
      </c>
      <c r="D379" s="80" t="s">
        <v>245</v>
      </c>
      <c r="E379" s="438">
        <v>0</v>
      </c>
      <c r="F379" s="80">
        <v>0</v>
      </c>
      <c r="G379" s="80">
        <v>1</v>
      </c>
      <c r="H379" s="390">
        <v>1</v>
      </c>
      <c r="I379" s="390">
        <v>1</v>
      </c>
      <c r="J379" s="387">
        <v>1</v>
      </c>
      <c r="K379" s="80">
        <v>0</v>
      </c>
      <c r="L379" s="387">
        <v>1</v>
      </c>
      <c r="M379" s="80">
        <v>0</v>
      </c>
      <c r="N379" s="390">
        <v>1</v>
      </c>
      <c r="O379" s="387">
        <v>1</v>
      </c>
      <c r="P379" s="80">
        <v>0</v>
      </c>
      <c r="Q379" s="80">
        <v>1</v>
      </c>
      <c r="R379" s="80">
        <v>0</v>
      </c>
      <c r="S379" s="80">
        <v>0</v>
      </c>
      <c r="T379" s="81">
        <v>0</v>
      </c>
      <c r="U379" s="387">
        <v>2</v>
      </c>
      <c r="V379" s="80">
        <v>0</v>
      </c>
      <c r="W379" s="390">
        <v>1</v>
      </c>
      <c r="X379" s="80">
        <v>0</v>
      </c>
      <c r="Y379" s="387">
        <v>1</v>
      </c>
      <c r="Z379" s="80">
        <v>0</v>
      </c>
      <c r="AA379" s="80">
        <v>0</v>
      </c>
      <c r="AB379" s="387">
        <v>1</v>
      </c>
      <c r="AC379" s="80">
        <v>0</v>
      </c>
      <c r="AD379" s="80">
        <v>0</v>
      </c>
      <c r="AE379" s="80">
        <v>0</v>
      </c>
      <c r="AF379" s="80">
        <v>0</v>
      </c>
      <c r="AG379" s="81">
        <v>0</v>
      </c>
      <c r="AH379" s="80">
        <v>0</v>
      </c>
      <c r="AI379" s="81">
        <v>0</v>
      </c>
      <c r="AJ379" s="81">
        <v>0</v>
      </c>
      <c r="AK379" s="81">
        <v>0</v>
      </c>
      <c r="AL379" s="81">
        <v>0</v>
      </c>
      <c r="AM379" s="80">
        <v>0</v>
      </c>
      <c r="AN379" s="80">
        <v>0</v>
      </c>
      <c r="AO379" s="80">
        <v>0</v>
      </c>
    </row>
    <row r="380" spans="1:41" ht="15.75" x14ac:dyDescent="0.25">
      <c r="A380" s="84"/>
      <c r="B380" s="84"/>
      <c r="C380" s="84"/>
      <c r="D380" s="80" t="s">
        <v>246</v>
      </c>
      <c r="E380" s="80">
        <v>0</v>
      </c>
      <c r="F380" s="80">
        <v>0</v>
      </c>
      <c r="G380" s="80">
        <v>1</v>
      </c>
      <c r="H380" s="81">
        <v>1</v>
      </c>
      <c r="I380" s="81">
        <v>1</v>
      </c>
      <c r="J380" s="80">
        <v>1</v>
      </c>
      <c r="K380" s="80">
        <v>0</v>
      </c>
      <c r="L380" s="80">
        <v>1</v>
      </c>
      <c r="M380" s="80">
        <v>0</v>
      </c>
      <c r="N380" s="81">
        <v>1</v>
      </c>
      <c r="O380" s="80">
        <v>1</v>
      </c>
      <c r="P380" s="80">
        <v>0</v>
      </c>
      <c r="Q380" s="80">
        <v>1</v>
      </c>
      <c r="R380" s="80">
        <v>0</v>
      </c>
      <c r="S380" s="80">
        <v>0</v>
      </c>
      <c r="T380" s="81">
        <v>0</v>
      </c>
      <c r="U380" s="80">
        <v>2</v>
      </c>
      <c r="V380" s="80">
        <v>0</v>
      </c>
      <c r="W380" s="81">
        <v>1</v>
      </c>
      <c r="X380" s="80">
        <v>0</v>
      </c>
      <c r="Y380" s="80">
        <v>1</v>
      </c>
      <c r="Z380" s="80">
        <v>0</v>
      </c>
      <c r="AA380" s="80">
        <v>0</v>
      </c>
      <c r="AB380" s="80">
        <v>1</v>
      </c>
      <c r="AC380" s="80">
        <v>0</v>
      </c>
      <c r="AD380" s="80">
        <v>0</v>
      </c>
      <c r="AE380" s="80">
        <v>0</v>
      </c>
      <c r="AF380" s="80">
        <v>0</v>
      </c>
      <c r="AG380" s="81">
        <v>0</v>
      </c>
      <c r="AH380" s="80">
        <v>0</v>
      </c>
      <c r="AI380" s="81">
        <v>0</v>
      </c>
      <c r="AJ380" s="81">
        <v>0</v>
      </c>
      <c r="AK380" s="81">
        <v>0</v>
      </c>
      <c r="AL380" s="81">
        <v>0</v>
      </c>
      <c r="AM380" s="80">
        <v>0</v>
      </c>
      <c r="AN380" s="80">
        <v>0</v>
      </c>
      <c r="AO380" s="80">
        <v>0</v>
      </c>
    </row>
    <row r="381" spans="1:41" ht="15.75" x14ac:dyDescent="0.25">
      <c r="A381" s="84"/>
      <c r="B381" s="84"/>
      <c r="C381" s="84"/>
      <c r="D381" s="80" t="s">
        <v>247</v>
      </c>
      <c r="E381" s="80">
        <v>0</v>
      </c>
      <c r="F381" s="80">
        <v>0</v>
      </c>
      <c r="G381" s="80">
        <v>0</v>
      </c>
      <c r="H381" s="81">
        <v>0</v>
      </c>
      <c r="I381" s="81">
        <v>0</v>
      </c>
      <c r="J381" s="80">
        <v>0</v>
      </c>
      <c r="K381" s="80">
        <v>0</v>
      </c>
      <c r="L381" s="80">
        <v>0</v>
      </c>
      <c r="M381" s="80">
        <v>0</v>
      </c>
      <c r="N381" s="81">
        <v>0</v>
      </c>
      <c r="O381" s="80">
        <v>0</v>
      </c>
      <c r="P381" s="80">
        <v>0</v>
      </c>
      <c r="Q381" s="80">
        <v>0</v>
      </c>
      <c r="R381" s="80">
        <v>0</v>
      </c>
      <c r="S381" s="80">
        <v>0</v>
      </c>
      <c r="T381" s="81">
        <v>0</v>
      </c>
      <c r="U381" s="80">
        <v>0</v>
      </c>
      <c r="V381" s="80">
        <v>0</v>
      </c>
      <c r="W381" s="81">
        <v>0</v>
      </c>
      <c r="X381" s="80">
        <v>0</v>
      </c>
      <c r="Y381" s="80">
        <v>0</v>
      </c>
      <c r="Z381" s="80">
        <v>0</v>
      </c>
      <c r="AA381" s="80">
        <v>0</v>
      </c>
      <c r="AB381" s="80">
        <v>0</v>
      </c>
      <c r="AC381" s="80">
        <v>0</v>
      </c>
      <c r="AD381" s="80">
        <v>0</v>
      </c>
      <c r="AE381" s="80">
        <v>0</v>
      </c>
      <c r="AF381" s="80">
        <v>0</v>
      </c>
      <c r="AG381" s="81">
        <v>0</v>
      </c>
      <c r="AH381" s="80">
        <v>0</v>
      </c>
      <c r="AI381" s="81">
        <v>0</v>
      </c>
      <c r="AJ381" s="81">
        <v>0</v>
      </c>
      <c r="AK381" s="81">
        <v>0</v>
      </c>
      <c r="AL381" s="81">
        <v>0</v>
      </c>
      <c r="AM381" s="80">
        <v>0</v>
      </c>
      <c r="AN381" s="80">
        <v>0</v>
      </c>
      <c r="AO381" s="80">
        <v>0</v>
      </c>
    </row>
    <row r="382" spans="1:41" ht="15.75" x14ac:dyDescent="0.25">
      <c r="A382" s="84"/>
      <c r="B382" s="84"/>
      <c r="C382" s="84"/>
      <c r="D382" s="80" t="s">
        <v>248</v>
      </c>
      <c r="E382" s="80">
        <v>0</v>
      </c>
      <c r="F382" s="80">
        <v>0</v>
      </c>
      <c r="G382" s="80">
        <v>1</v>
      </c>
      <c r="H382" s="81">
        <v>1</v>
      </c>
      <c r="I382" s="81">
        <v>1</v>
      </c>
      <c r="J382" s="80">
        <v>1</v>
      </c>
      <c r="K382" s="80">
        <v>0</v>
      </c>
      <c r="L382" s="80">
        <v>1</v>
      </c>
      <c r="M382" s="80">
        <v>0</v>
      </c>
      <c r="N382" s="81">
        <v>1</v>
      </c>
      <c r="O382" s="80">
        <v>1</v>
      </c>
      <c r="P382" s="80">
        <v>0</v>
      </c>
      <c r="Q382" s="80">
        <v>0</v>
      </c>
      <c r="R382" s="80">
        <v>0</v>
      </c>
      <c r="S382" s="80">
        <v>0</v>
      </c>
      <c r="T382" s="81">
        <v>0</v>
      </c>
      <c r="U382" s="80">
        <v>2</v>
      </c>
      <c r="V382" s="80">
        <v>0</v>
      </c>
      <c r="W382" s="81">
        <v>1</v>
      </c>
      <c r="X382" s="80">
        <v>0</v>
      </c>
      <c r="Y382" s="80">
        <v>1</v>
      </c>
      <c r="Z382" s="80">
        <v>0</v>
      </c>
      <c r="AA382" s="80">
        <v>0</v>
      </c>
      <c r="AB382" s="80">
        <v>1</v>
      </c>
      <c r="AC382" s="80">
        <v>0</v>
      </c>
      <c r="AD382" s="80">
        <v>0</v>
      </c>
      <c r="AE382" s="80">
        <v>0</v>
      </c>
      <c r="AF382" s="80">
        <v>0</v>
      </c>
      <c r="AG382" s="81">
        <v>0</v>
      </c>
      <c r="AH382" s="80">
        <v>0</v>
      </c>
      <c r="AI382" s="81">
        <v>0</v>
      </c>
      <c r="AJ382" s="81">
        <v>0</v>
      </c>
      <c r="AK382" s="81">
        <v>0</v>
      </c>
      <c r="AL382" s="81">
        <v>0</v>
      </c>
      <c r="AM382" s="80">
        <v>0</v>
      </c>
      <c r="AN382" s="80">
        <v>0</v>
      </c>
      <c r="AO382" s="80">
        <v>0</v>
      </c>
    </row>
    <row r="383" spans="1:41" ht="15.75" x14ac:dyDescent="0.25">
      <c r="A383" s="84"/>
      <c r="B383" s="84"/>
      <c r="C383" s="84"/>
      <c r="D383" s="80" t="s">
        <v>258</v>
      </c>
      <c r="E383" s="80">
        <v>0</v>
      </c>
      <c r="F383" s="80">
        <v>0</v>
      </c>
      <c r="G383" s="80">
        <v>0</v>
      </c>
      <c r="H383" s="80">
        <v>0</v>
      </c>
      <c r="I383" s="80">
        <v>0</v>
      </c>
      <c r="J383" s="80">
        <v>0</v>
      </c>
      <c r="K383" s="80">
        <v>0</v>
      </c>
      <c r="L383" s="80">
        <v>0</v>
      </c>
      <c r="M383" s="80">
        <v>0</v>
      </c>
      <c r="N383" s="80">
        <v>0</v>
      </c>
      <c r="O383" s="80">
        <v>0</v>
      </c>
      <c r="P383" s="80">
        <v>0</v>
      </c>
      <c r="Q383" s="80">
        <v>1</v>
      </c>
      <c r="R383" s="80">
        <v>0</v>
      </c>
      <c r="S383" s="80">
        <v>0</v>
      </c>
      <c r="T383" s="80">
        <v>0</v>
      </c>
      <c r="U383" s="80">
        <v>0</v>
      </c>
      <c r="V383" s="80">
        <v>0</v>
      </c>
      <c r="W383" s="80">
        <v>0</v>
      </c>
      <c r="X383" s="80">
        <v>0</v>
      </c>
      <c r="Y383" s="80">
        <v>0</v>
      </c>
      <c r="Z383" s="80">
        <v>0</v>
      </c>
      <c r="AA383" s="80">
        <v>0</v>
      </c>
      <c r="AB383" s="80">
        <v>0</v>
      </c>
      <c r="AC383" s="80">
        <v>0</v>
      </c>
      <c r="AD383" s="80">
        <v>0</v>
      </c>
      <c r="AE383" s="80">
        <v>0</v>
      </c>
      <c r="AF383" s="80">
        <v>0</v>
      </c>
      <c r="AG383" s="80">
        <v>0</v>
      </c>
      <c r="AH383" s="80">
        <v>0</v>
      </c>
      <c r="AI383" s="80">
        <v>0</v>
      </c>
      <c r="AJ383" s="80">
        <v>0</v>
      </c>
      <c r="AK383" s="80">
        <v>0</v>
      </c>
      <c r="AL383" s="80">
        <v>0</v>
      </c>
      <c r="AM383" s="80">
        <v>0</v>
      </c>
      <c r="AN383" s="80">
        <v>0</v>
      </c>
      <c r="AO383" s="80">
        <v>0</v>
      </c>
    </row>
    <row r="384" spans="1:41" ht="15.75" x14ac:dyDescent="0.25">
      <c r="A384" s="84">
        <v>37</v>
      </c>
      <c r="B384" s="84"/>
      <c r="C384" s="84" t="s">
        <v>201</v>
      </c>
      <c r="D384" s="80" t="s">
        <v>245</v>
      </c>
      <c r="E384" s="438">
        <v>0</v>
      </c>
      <c r="F384" s="80">
        <v>0</v>
      </c>
      <c r="G384" s="81">
        <v>0</v>
      </c>
      <c r="H384" s="390">
        <v>1</v>
      </c>
      <c r="I384" s="390">
        <v>1</v>
      </c>
      <c r="J384" s="390">
        <v>1</v>
      </c>
      <c r="K384" s="81">
        <v>0</v>
      </c>
      <c r="L384" s="81">
        <v>0</v>
      </c>
      <c r="M384" s="81">
        <v>0</v>
      </c>
      <c r="N384" s="81">
        <v>0</v>
      </c>
      <c r="O384" s="390">
        <v>1</v>
      </c>
      <c r="P384" s="80">
        <v>0</v>
      </c>
      <c r="Q384" s="81">
        <v>0</v>
      </c>
      <c r="R384" s="81">
        <v>0</v>
      </c>
      <c r="S384" s="81">
        <v>0</v>
      </c>
      <c r="T384" s="81">
        <v>0</v>
      </c>
      <c r="U384" s="390">
        <v>2</v>
      </c>
      <c r="V384" s="81">
        <v>0</v>
      </c>
      <c r="W384" s="81">
        <v>0</v>
      </c>
      <c r="X384" s="81">
        <v>0</v>
      </c>
      <c r="Y384" s="81">
        <v>0</v>
      </c>
      <c r="Z384" s="81">
        <v>0</v>
      </c>
      <c r="AA384" s="81">
        <v>0</v>
      </c>
      <c r="AB384" s="81">
        <v>0</v>
      </c>
      <c r="AC384" s="80">
        <v>0</v>
      </c>
      <c r="AD384" s="80">
        <v>0</v>
      </c>
      <c r="AE384" s="81">
        <v>0</v>
      </c>
      <c r="AF384" s="81">
        <v>0</v>
      </c>
      <c r="AG384" s="390">
        <v>1</v>
      </c>
      <c r="AH384" s="81">
        <v>0</v>
      </c>
      <c r="AI384" s="81">
        <v>0</v>
      </c>
      <c r="AJ384" s="81">
        <v>0</v>
      </c>
      <c r="AK384" s="81">
        <v>0</v>
      </c>
      <c r="AL384" s="81">
        <v>0</v>
      </c>
      <c r="AM384" s="80">
        <v>0</v>
      </c>
      <c r="AN384" s="80">
        <v>0</v>
      </c>
      <c r="AO384" s="80">
        <v>0</v>
      </c>
    </row>
    <row r="385" spans="1:41" ht="15.75" x14ac:dyDescent="0.25">
      <c r="A385" s="84"/>
      <c r="B385" s="84"/>
      <c r="C385" s="84"/>
      <c r="D385" s="80" t="s">
        <v>246</v>
      </c>
      <c r="E385" s="80">
        <v>0</v>
      </c>
      <c r="F385" s="80">
        <v>0</v>
      </c>
      <c r="G385" s="81">
        <v>0</v>
      </c>
      <c r="H385" s="81">
        <v>1</v>
      </c>
      <c r="I385" s="81">
        <v>1</v>
      </c>
      <c r="J385" s="81">
        <v>1</v>
      </c>
      <c r="K385" s="81">
        <v>0</v>
      </c>
      <c r="L385" s="81">
        <v>0</v>
      </c>
      <c r="M385" s="81">
        <v>0</v>
      </c>
      <c r="N385" s="81">
        <v>0</v>
      </c>
      <c r="O385" s="81">
        <v>1</v>
      </c>
      <c r="P385" s="80">
        <v>0</v>
      </c>
      <c r="Q385" s="81">
        <v>0</v>
      </c>
      <c r="R385" s="81">
        <v>0</v>
      </c>
      <c r="S385" s="81">
        <v>0</v>
      </c>
      <c r="T385" s="81">
        <v>0</v>
      </c>
      <c r="U385" s="81">
        <v>2</v>
      </c>
      <c r="V385" s="81">
        <v>0</v>
      </c>
      <c r="W385" s="81">
        <v>0</v>
      </c>
      <c r="X385" s="81">
        <v>0</v>
      </c>
      <c r="Y385" s="81">
        <v>0</v>
      </c>
      <c r="Z385" s="81">
        <v>0</v>
      </c>
      <c r="AA385" s="81">
        <v>0</v>
      </c>
      <c r="AB385" s="81">
        <v>0</v>
      </c>
      <c r="AC385" s="80">
        <v>0</v>
      </c>
      <c r="AD385" s="80">
        <v>0</v>
      </c>
      <c r="AE385" s="81">
        <v>0</v>
      </c>
      <c r="AF385" s="81">
        <v>0</v>
      </c>
      <c r="AG385" s="81">
        <v>1</v>
      </c>
      <c r="AH385" s="81">
        <v>0</v>
      </c>
      <c r="AI385" s="81">
        <v>0</v>
      </c>
      <c r="AJ385" s="81">
        <v>0</v>
      </c>
      <c r="AK385" s="81">
        <v>0</v>
      </c>
      <c r="AL385" s="81">
        <v>0</v>
      </c>
      <c r="AM385" s="80">
        <v>0</v>
      </c>
      <c r="AN385" s="80">
        <v>0</v>
      </c>
      <c r="AO385" s="80">
        <v>0</v>
      </c>
    </row>
    <row r="386" spans="1:41" ht="15.75" x14ac:dyDescent="0.25">
      <c r="A386" s="84"/>
      <c r="B386" s="84"/>
      <c r="C386" s="84"/>
      <c r="D386" s="80" t="s">
        <v>247</v>
      </c>
      <c r="E386" s="80">
        <v>0</v>
      </c>
      <c r="F386" s="80">
        <v>0</v>
      </c>
      <c r="G386" s="81">
        <v>0</v>
      </c>
      <c r="H386" s="81">
        <v>0</v>
      </c>
      <c r="I386" s="81">
        <v>0</v>
      </c>
      <c r="J386" s="81">
        <v>0</v>
      </c>
      <c r="K386" s="81">
        <v>0</v>
      </c>
      <c r="L386" s="81">
        <v>0</v>
      </c>
      <c r="M386" s="81">
        <v>0</v>
      </c>
      <c r="N386" s="81">
        <v>0</v>
      </c>
      <c r="O386" s="81">
        <v>0</v>
      </c>
      <c r="P386" s="80">
        <v>0</v>
      </c>
      <c r="Q386" s="81">
        <v>0</v>
      </c>
      <c r="R386" s="81">
        <v>0</v>
      </c>
      <c r="S386" s="81">
        <v>0</v>
      </c>
      <c r="T386" s="81">
        <v>0</v>
      </c>
      <c r="U386" s="81">
        <v>0</v>
      </c>
      <c r="V386" s="81">
        <v>0</v>
      </c>
      <c r="W386" s="81">
        <v>0</v>
      </c>
      <c r="X386" s="81">
        <v>0</v>
      </c>
      <c r="Y386" s="81">
        <v>0</v>
      </c>
      <c r="Z386" s="81">
        <v>0</v>
      </c>
      <c r="AA386" s="81">
        <v>0</v>
      </c>
      <c r="AB386" s="81">
        <v>0</v>
      </c>
      <c r="AC386" s="80">
        <v>0</v>
      </c>
      <c r="AD386" s="80">
        <v>0</v>
      </c>
      <c r="AE386" s="81">
        <v>0</v>
      </c>
      <c r="AF386" s="81">
        <v>0</v>
      </c>
      <c r="AG386" s="81">
        <v>0</v>
      </c>
      <c r="AH386" s="81">
        <v>0</v>
      </c>
      <c r="AI386" s="81">
        <v>0</v>
      </c>
      <c r="AJ386" s="81">
        <v>0</v>
      </c>
      <c r="AK386" s="81">
        <v>0</v>
      </c>
      <c r="AL386" s="81">
        <v>0</v>
      </c>
      <c r="AM386" s="80">
        <v>0</v>
      </c>
      <c r="AN386" s="80">
        <v>0</v>
      </c>
      <c r="AO386" s="80">
        <v>0</v>
      </c>
    </row>
    <row r="387" spans="1:41" ht="15.75" x14ac:dyDescent="0.25">
      <c r="A387" s="84"/>
      <c r="B387" s="84"/>
      <c r="C387" s="84"/>
      <c r="D387" s="80" t="s">
        <v>248</v>
      </c>
      <c r="E387" s="80">
        <v>0</v>
      </c>
      <c r="F387" s="80">
        <v>0</v>
      </c>
      <c r="G387" s="81">
        <v>0</v>
      </c>
      <c r="H387" s="81">
        <v>1</v>
      </c>
      <c r="I387" s="81">
        <v>1</v>
      </c>
      <c r="J387" s="81">
        <v>1</v>
      </c>
      <c r="K387" s="81">
        <v>0</v>
      </c>
      <c r="L387" s="81">
        <v>0</v>
      </c>
      <c r="M387" s="81">
        <v>0</v>
      </c>
      <c r="N387" s="81">
        <v>0</v>
      </c>
      <c r="O387" s="81">
        <v>1</v>
      </c>
      <c r="P387" s="80">
        <v>0</v>
      </c>
      <c r="Q387" s="81">
        <v>0</v>
      </c>
      <c r="R387" s="81">
        <v>0</v>
      </c>
      <c r="S387" s="81">
        <v>0</v>
      </c>
      <c r="T387" s="81">
        <v>0</v>
      </c>
      <c r="U387" s="81">
        <v>2</v>
      </c>
      <c r="V387" s="81">
        <v>0</v>
      </c>
      <c r="W387" s="81">
        <v>0</v>
      </c>
      <c r="X387" s="81">
        <v>0</v>
      </c>
      <c r="Y387" s="81">
        <v>0</v>
      </c>
      <c r="Z387" s="81">
        <v>0</v>
      </c>
      <c r="AA387" s="81">
        <v>0</v>
      </c>
      <c r="AB387" s="81">
        <v>0</v>
      </c>
      <c r="AC387" s="80">
        <v>0</v>
      </c>
      <c r="AD387" s="80">
        <v>0</v>
      </c>
      <c r="AE387" s="81">
        <v>0</v>
      </c>
      <c r="AF387" s="81">
        <v>0</v>
      </c>
      <c r="AG387" s="81">
        <v>1</v>
      </c>
      <c r="AH387" s="81">
        <v>0</v>
      </c>
      <c r="AI387" s="81">
        <v>0</v>
      </c>
      <c r="AJ387" s="81">
        <v>0</v>
      </c>
      <c r="AK387" s="81">
        <v>0</v>
      </c>
      <c r="AL387" s="81">
        <v>0</v>
      </c>
      <c r="AM387" s="80">
        <v>0</v>
      </c>
      <c r="AN387" s="80">
        <v>0</v>
      </c>
      <c r="AO387" s="80">
        <v>0</v>
      </c>
    </row>
    <row r="388" spans="1:41" ht="15.75" x14ac:dyDescent="0.25">
      <c r="A388" s="84"/>
      <c r="B388" s="84"/>
      <c r="C388" s="84"/>
      <c r="D388" s="80" t="s">
        <v>258</v>
      </c>
      <c r="E388" s="80">
        <v>0</v>
      </c>
      <c r="F388" s="80">
        <v>0</v>
      </c>
      <c r="G388" s="80">
        <v>0</v>
      </c>
      <c r="H388" s="80">
        <v>0</v>
      </c>
      <c r="I388" s="80">
        <v>0</v>
      </c>
      <c r="J388" s="80">
        <v>0</v>
      </c>
      <c r="K388" s="80">
        <v>0</v>
      </c>
      <c r="L388" s="80">
        <v>0</v>
      </c>
      <c r="M388" s="80">
        <v>0</v>
      </c>
      <c r="N388" s="80">
        <v>0</v>
      </c>
      <c r="O388" s="80">
        <v>0</v>
      </c>
      <c r="P388" s="80">
        <v>0</v>
      </c>
      <c r="Q388" s="80">
        <v>0</v>
      </c>
      <c r="R388" s="80">
        <v>0</v>
      </c>
      <c r="S388" s="80">
        <v>0</v>
      </c>
      <c r="T388" s="80">
        <v>0</v>
      </c>
      <c r="U388" s="80">
        <v>0</v>
      </c>
      <c r="V388" s="80">
        <v>0</v>
      </c>
      <c r="W388" s="80">
        <v>0</v>
      </c>
      <c r="X388" s="80">
        <v>0</v>
      </c>
      <c r="Y388" s="80">
        <v>0</v>
      </c>
      <c r="Z388" s="80">
        <v>0</v>
      </c>
      <c r="AA388" s="80">
        <v>0</v>
      </c>
      <c r="AB388" s="80">
        <v>0</v>
      </c>
      <c r="AC388" s="80">
        <v>0</v>
      </c>
      <c r="AD388" s="80">
        <v>0</v>
      </c>
      <c r="AE388" s="80">
        <v>0</v>
      </c>
      <c r="AF388" s="80">
        <v>0</v>
      </c>
      <c r="AG388" s="80">
        <v>0</v>
      </c>
      <c r="AH388" s="80">
        <v>0</v>
      </c>
      <c r="AI388" s="80">
        <v>0</v>
      </c>
      <c r="AJ388" s="80">
        <v>0</v>
      </c>
      <c r="AK388" s="80">
        <v>0</v>
      </c>
      <c r="AL388" s="80">
        <v>0</v>
      </c>
      <c r="AM388" s="80">
        <v>0</v>
      </c>
      <c r="AN388" s="80">
        <v>0</v>
      </c>
      <c r="AO388" s="80">
        <v>0</v>
      </c>
    </row>
    <row r="389" spans="1:41" ht="15.75" x14ac:dyDescent="0.25">
      <c r="A389" s="84">
        <v>38</v>
      </c>
      <c r="B389" s="84" t="s">
        <v>91</v>
      </c>
      <c r="C389" s="84" t="s">
        <v>184</v>
      </c>
      <c r="D389" s="80" t="s">
        <v>245</v>
      </c>
      <c r="E389" s="438">
        <v>0</v>
      </c>
      <c r="F389" s="80">
        <v>0</v>
      </c>
      <c r="G389" s="80">
        <v>0</v>
      </c>
      <c r="H389" s="81">
        <v>1</v>
      </c>
      <c r="I389" s="390">
        <v>1</v>
      </c>
      <c r="J389" s="387">
        <v>1</v>
      </c>
      <c r="K389" s="387">
        <v>1</v>
      </c>
      <c r="L389" s="80">
        <v>0</v>
      </c>
      <c r="M389" s="80">
        <v>0</v>
      </c>
      <c r="N389" s="81">
        <v>0</v>
      </c>
      <c r="O389" s="81">
        <v>2</v>
      </c>
      <c r="P389" s="81">
        <v>0</v>
      </c>
      <c r="Q389" s="390">
        <v>2</v>
      </c>
      <c r="R389" s="387">
        <v>1</v>
      </c>
      <c r="S389" s="80">
        <v>0</v>
      </c>
      <c r="T389" s="81">
        <v>0</v>
      </c>
      <c r="U389" s="387">
        <v>1</v>
      </c>
      <c r="V389" s="390">
        <v>2</v>
      </c>
      <c r="W389" s="390">
        <v>2</v>
      </c>
      <c r="X389" s="387">
        <v>1</v>
      </c>
      <c r="Y389" s="80">
        <v>0</v>
      </c>
      <c r="Z389" s="80">
        <v>1</v>
      </c>
      <c r="AA389" s="80">
        <v>2</v>
      </c>
      <c r="AB389" s="80">
        <v>0</v>
      </c>
      <c r="AC389" s="80">
        <v>1</v>
      </c>
      <c r="AD389" s="80">
        <v>0</v>
      </c>
      <c r="AE389" s="80">
        <v>2</v>
      </c>
      <c r="AF389" s="80">
        <v>0</v>
      </c>
      <c r="AG389" s="81">
        <v>1</v>
      </c>
      <c r="AH389" s="80">
        <v>2</v>
      </c>
      <c r="AI389" s="81">
        <v>1</v>
      </c>
      <c r="AJ389" s="81">
        <v>0</v>
      </c>
      <c r="AK389" s="81">
        <v>0</v>
      </c>
      <c r="AL389" s="81">
        <v>0</v>
      </c>
      <c r="AM389" s="80">
        <v>0</v>
      </c>
      <c r="AN389" s="80">
        <v>0</v>
      </c>
      <c r="AO389" s="80">
        <v>0</v>
      </c>
    </row>
    <row r="390" spans="1:41" s="132" customFormat="1" ht="15.75" x14ac:dyDescent="0.25">
      <c r="A390" s="411"/>
      <c r="B390" s="411"/>
      <c r="C390" s="411"/>
      <c r="D390" s="407" t="s">
        <v>246</v>
      </c>
      <c r="E390" s="407">
        <v>1</v>
      </c>
      <c r="F390" s="407">
        <v>0</v>
      </c>
      <c r="G390" s="407">
        <v>0</v>
      </c>
      <c r="H390" s="412">
        <v>1</v>
      </c>
      <c r="I390" s="412">
        <v>1</v>
      </c>
      <c r="J390" s="407">
        <v>1</v>
      </c>
      <c r="K390" s="407">
        <v>1</v>
      </c>
      <c r="L390" s="407">
        <v>0</v>
      </c>
      <c r="M390" s="407">
        <v>0</v>
      </c>
      <c r="N390" s="412">
        <v>0</v>
      </c>
      <c r="O390" s="412">
        <v>2</v>
      </c>
      <c r="P390" s="412">
        <v>0</v>
      </c>
      <c r="Q390" s="412">
        <v>2</v>
      </c>
      <c r="R390" s="407">
        <v>1</v>
      </c>
      <c r="S390" s="407">
        <v>0</v>
      </c>
      <c r="T390" s="412">
        <v>0</v>
      </c>
      <c r="U390" s="407">
        <v>1</v>
      </c>
      <c r="V390" s="412">
        <v>2</v>
      </c>
      <c r="W390" s="412">
        <v>2</v>
      </c>
      <c r="X390" s="407">
        <v>1</v>
      </c>
      <c r="Y390" s="407">
        <v>0</v>
      </c>
      <c r="Z390" s="407">
        <v>1</v>
      </c>
      <c r="AA390" s="407">
        <v>2</v>
      </c>
      <c r="AB390" s="407">
        <v>0</v>
      </c>
      <c r="AC390" s="407">
        <v>1</v>
      </c>
      <c r="AD390" s="407">
        <v>0</v>
      </c>
      <c r="AE390" s="407">
        <v>2</v>
      </c>
      <c r="AF390" s="80">
        <v>0</v>
      </c>
      <c r="AG390" s="412">
        <v>1</v>
      </c>
      <c r="AH390" s="407">
        <v>2</v>
      </c>
      <c r="AI390" s="412">
        <v>1</v>
      </c>
      <c r="AJ390" s="412">
        <v>0</v>
      </c>
      <c r="AK390" s="412">
        <v>0</v>
      </c>
      <c r="AL390" s="412">
        <v>0</v>
      </c>
      <c r="AM390" s="407">
        <v>0</v>
      </c>
      <c r="AN390" s="407">
        <v>0</v>
      </c>
      <c r="AO390" s="407">
        <v>0</v>
      </c>
    </row>
    <row r="391" spans="1:41" ht="15.75" x14ac:dyDescent="0.25">
      <c r="A391" s="84"/>
      <c r="B391" s="84"/>
      <c r="C391" s="84"/>
      <c r="D391" s="80" t="s">
        <v>247</v>
      </c>
      <c r="E391" s="80">
        <v>0</v>
      </c>
      <c r="F391" s="80">
        <v>0</v>
      </c>
      <c r="G391" s="80">
        <v>0</v>
      </c>
      <c r="H391" s="81">
        <v>0</v>
      </c>
      <c r="I391" s="81">
        <v>0</v>
      </c>
      <c r="J391" s="80">
        <v>0</v>
      </c>
      <c r="K391" s="80">
        <v>0</v>
      </c>
      <c r="L391" s="80">
        <v>0</v>
      </c>
      <c r="M391" s="80">
        <v>0</v>
      </c>
      <c r="N391" s="81">
        <v>0</v>
      </c>
      <c r="O391" s="81">
        <v>0</v>
      </c>
      <c r="P391" s="81">
        <v>0</v>
      </c>
      <c r="Q391" s="81">
        <v>0</v>
      </c>
      <c r="R391" s="80">
        <v>0</v>
      </c>
      <c r="S391" s="80">
        <v>0</v>
      </c>
      <c r="T391" s="81">
        <v>0</v>
      </c>
      <c r="U391" s="80">
        <v>0</v>
      </c>
      <c r="V391" s="81">
        <v>0</v>
      </c>
      <c r="W391" s="81">
        <v>0</v>
      </c>
      <c r="X391" s="80">
        <v>0</v>
      </c>
      <c r="Y391" s="80">
        <v>0</v>
      </c>
      <c r="Z391" s="80">
        <v>0</v>
      </c>
      <c r="AA391" s="80">
        <v>0</v>
      </c>
      <c r="AB391" s="80">
        <v>0</v>
      </c>
      <c r="AC391" s="80">
        <v>0</v>
      </c>
      <c r="AD391" s="80">
        <v>0</v>
      </c>
      <c r="AE391" s="80">
        <v>0</v>
      </c>
      <c r="AF391" s="80">
        <v>0</v>
      </c>
      <c r="AG391" s="81">
        <v>0</v>
      </c>
      <c r="AH391" s="80">
        <v>0</v>
      </c>
      <c r="AI391" s="81">
        <v>0</v>
      </c>
      <c r="AJ391" s="81">
        <v>0</v>
      </c>
      <c r="AK391" s="81">
        <v>0</v>
      </c>
      <c r="AL391" s="81">
        <v>0</v>
      </c>
      <c r="AM391" s="80">
        <v>0</v>
      </c>
      <c r="AN391" s="80">
        <v>0</v>
      </c>
      <c r="AO391" s="80">
        <v>0</v>
      </c>
    </row>
    <row r="392" spans="1:41" ht="15.75" x14ac:dyDescent="0.25">
      <c r="A392" s="84"/>
      <c r="B392" s="84"/>
      <c r="C392" s="84"/>
      <c r="D392" s="80" t="s">
        <v>248</v>
      </c>
      <c r="E392" s="80">
        <v>1</v>
      </c>
      <c r="F392" s="80">
        <v>0</v>
      </c>
      <c r="G392" s="80">
        <v>0</v>
      </c>
      <c r="H392" s="81">
        <v>1</v>
      </c>
      <c r="I392" s="81">
        <v>1</v>
      </c>
      <c r="J392" s="80">
        <v>1</v>
      </c>
      <c r="K392" s="80">
        <v>1</v>
      </c>
      <c r="L392" s="80">
        <v>0</v>
      </c>
      <c r="M392" s="80">
        <v>0</v>
      </c>
      <c r="N392" s="81">
        <v>0</v>
      </c>
      <c r="O392" s="81">
        <v>2</v>
      </c>
      <c r="P392" s="81">
        <v>0</v>
      </c>
      <c r="Q392" s="81">
        <v>1</v>
      </c>
      <c r="R392" s="80">
        <v>0</v>
      </c>
      <c r="S392" s="80">
        <v>0</v>
      </c>
      <c r="T392" s="81">
        <v>0</v>
      </c>
      <c r="U392" s="80">
        <v>1</v>
      </c>
      <c r="V392" s="81">
        <v>2</v>
      </c>
      <c r="W392" s="81">
        <v>2</v>
      </c>
      <c r="X392" s="80">
        <v>1</v>
      </c>
      <c r="Y392" s="80">
        <v>0</v>
      </c>
      <c r="Z392" s="80">
        <v>1</v>
      </c>
      <c r="AA392" s="80">
        <v>2</v>
      </c>
      <c r="AB392" s="80">
        <v>0</v>
      </c>
      <c r="AC392" s="80">
        <v>1</v>
      </c>
      <c r="AD392" s="80">
        <v>0</v>
      </c>
      <c r="AE392" s="80">
        <v>2</v>
      </c>
      <c r="AF392" s="80">
        <v>0</v>
      </c>
      <c r="AG392" s="81">
        <v>1</v>
      </c>
      <c r="AH392" s="80">
        <v>2</v>
      </c>
      <c r="AI392" s="81">
        <v>0</v>
      </c>
      <c r="AJ392" s="81">
        <v>0</v>
      </c>
      <c r="AK392" s="81">
        <v>0</v>
      </c>
      <c r="AL392" s="81">
        <v>0</v>
      </c>
      <c r="AM392" s="80">
        <v>0</v>
      </c>
      <c r="AN392" s="80">
        <v>0</v>
      </c>
      <c r="AO392" s="80">
        <v>0</v>
      </c>
    </row>
    <row r="393" spans="1:41" ht="15.75" x14ac:dyDescent="0.25">
      <c r="A393" s="84"/>
      <c r="B393" s="84"/>
      <c r="C393" s="84"/>
      <c r="D393" s="80" t="s">
        <v>258</v>
      </c>
      <c r="E393" s="80">
        <v>0</v>
      </c>
      <c r="F393" s="80">
        <v>0</v>
      </c>
      <c r="G393" s="80">
        <v>0</v>
      </c>
      <c r="H393" s="80">
        <v>0</v>
      </c>
      <c r="I393" s="80">
        <v>0</v>
      </c>
      <c r="J393" s="80">
        <v>0</v>
      </c>
      <c r="K393" s="80">
        <v>0</v>
      </c>
      <c r="L393" s="80">
        <v>0</v>
      </c>
      <c r="M393" s="80">
        <v>0</v>
      </c>
      <c r="N393" s="80">
        <v>0</v>
      </c>
      <c r="O393" s="80">
        <v>0</v>
      </c>
      <c r="P393" s="80">
        <v>0</v>
      </c>
      <c r="Q393" s="80">
        <v>1</v>
      </c>
      <c r="R393" s="80">
        <v>1</v>
      </c>
      <c r="S393" s="80">
        <v>0</v>
      </c>
      <c r="T393" s="80">
        <v>0</v>
      </c>
      <c r="U393" s="80">
        <v>0</v>
      </c>
      <c r="V393" s="80">
        <v>0</v>
      </c>
      <c r="W393" s="80">
        <v>0</v>
      </c>
      <c r="X393" s="80">
        <v>0</v>
      </c>
      <c r="Y393" s="80">
        <v>0</v>
      </c>
      <c r="Z393" s="80">
        <v>0</v>
      </c>
      <c r="AA393" s="80">
        <v>0</v>
      </c>
      <c r="AB393" s="80">
        <v>0</v>
      </c>
      <c r="AC393" s="80">
        <v>0</v>
      </c>
      <c r="AD393" s="80">
        <v>0</v>
      </c>
      <c r="AE393" s="80">
        <v>0</v>
      </c>
      <c r="AF393" s="80">
        <v>0</v>
      </c>
      <c r="AG393" s="80">
        <v>0</v>
      </c>
      <c r="AH393" s="80">
        <v>0</v>
      </c>
      <c r="AI393" s="80">
        <v>1</v>
      </c>
      <c r="AJ393" s="80">
        <v>0</v>
      </c>
      <c r="AK393" s="80">
        <v>0</v>
      </c>
      <c r="AL393" s="80">
        <v>0</v>
      </c>
      <c r="AM393" s="80">
        <v>0</v>
      </c>
      <c r="AN393" s="80">
        <v>0</v>
      </c>
      <c r="AO393" s="80">
        <v>0</v>
      </c>
    </row>
    <row r="394" spans="1:41" ht="15.75" x14ac:dyDescent="0.25">
      <c r="A394" s="84">
        <v>39</v>
      </c>
      <c r="B394" s="84"/>
      <c r="C394" s="84" t="s">
        <v>254</v>
      </c>
      <c r="D394" s="80" t="s">
        <v>245</v>
      </c>
      <c r="E394" s="438">
        <v>0</v>
      </c>
      <c r="F394" s="80">
        <v>0</v>
      </c>
      <c r="G394" s="80">
        <v>0</v>
      </c>
      <c r="H394" s="81">
        <v>0</v>
      </c>
      <c r="I394" s="390">
        <v>2</v>
      </c>
      <c r="J394" s="387">
        <v>2</v>
      </c>
      <c r="K394" s="80">
        <v>0</v>
      </c>
      <c r="L394" s="80">
        <v>0</v>
      </c>
      <c r="M394" s="80">
        <v>0</v>
      </c>
      <c r="N394" s="390">
        <v>1</v>
      </c>
      <c r="O394" s="81">
        <v>1</v>
      </c>
      <c r="P394" s="81">
        <v>0</v>
      </c>
      <c r="Q394" s="390">
        <v>2</v>
      </c>
      <c r="R394" s="387">
        <v>1</v>
      </c>
      <c r="S394" s="80">
        <v>0</v>
      </c>
      <c r="T394" s="81">
        <v>0</v>
      </c>
      <c r="U394" s="387">
        <v>1</v>
      </c>
      <c r="V394" s="390">
        <v>2</v>
      </c>
      <c r="W394" s="81">
        <v>0</v>
      </c>
      <c r="X394" s="80">
        <v>0</v>
      </c>
      <c r="Y394" s="80">
        <v>0</v>
      </c>
      <c r="Z394" s="387">
        <v>1</v>
      </c>
      <c r="AA394" s="387">
        <v>1</v>
      </c>
      <c r="AB394" s="387">
        <v>1</v>
      </c>
      <c r="AC394" s="387">
        <v>1</v>
      </c>
      <c r="AD394" s="387">
        <v>1</v>
      </c>
      <c r="AE394" s="387">
        <v>1</v>
      </c>
      <c r="AF394" s="387">
        <v>1</v>
      </c>
      <c r="AG394" s="81">
        <v>0</v>
      </c>
      <c r="AH394" s="387">
        <v>1</v>
      </c>
      <c r="AI394" s="81">
        <v>0</v>
      </c>
      <c r="AJ394" s="81">
        <v>0</v>
      </c>
      <c r="AK394" s="81">
        <v>0</v>
      </c>
      <c r="AL394" s="81">
        <v>0</v>
      </c>
      <c r="AM394" s="80">
        <v>0</v>
      </c>
      <c r="AN394" s="80">
        <v>0</v>
      </c>
      <c r="AO394" s="80">
        <v>0</v>
      </c>
    </row>
    <row r="395" spans="1:41" ht="15.75" x14ac:dyDescent="0.25">
      <c r="A395" s="84"/>
      <c r="B395" s="84"/>
      <c r="C395" s="84"/>
      <c r="D395" s="80" t="s">
        <v>246</v>
      </c>
      <c r="E395" s="80">
        <v>1</v>
      </c>
      <c r="F395" s="80">
        <v>0</v>
      </c>
      <c r="G395" s="80">
        <v>0</v>
      </c>
      <c r="H395" s="81">
        <v>0</v>
      </c>
      <c r="I395" s="81">
        <v>1</v>
      </c>
      <c r="J395" s="80">
        <v>2</v>
      </c>
      <c r="K395" s="80">
        <v>0</v>
      </c>
      <c r="L395" s="80">
        <v>0</v>
      </c>
      <c r="M395" s="80">
        <v>0</v>
      </c>
      <c r="N395" s="81">
        <v>1</v>
      </c>
      <c r="O395" s="81">
        <v>1</v>
      </c>
      <c r="P395" s="81">
        <v>0</v>
      </c>
      <c r="Q395" s="81">
        <v>2</v>
      </c>
      <c r="R395" s="80">
        <v>1</v>
      </c>
      <c r="S395" s="80">
        <v>0</v>
      </c>
      <c r="T395" s="81">
        <v>0</v>
      </c>
      <c r="U395" s="80">
        <v>1</v>
      </c>
      <c r="V395" s="81">
        <v>2</v>
      </c>
      <c r="W395" s="81">
        <v>0</v>
      </c>
      <c r="X395" s="80">
        <v>0</v>
      </c>
      <c r="Y395" s="80">
        <v>0</v>
      </c>
      <c r="Z395" s="80">
        <v>1</v>
      </c>
      <c r="AA395" s="80">
        <v>1</v>
      </c>
      <c r="AB395" s="80">
        <v>1</v>
      </c>
      <c r="AC395" s="80">
        <v>1</v>
      </c>
      <c r="AD395" s="80">
        <v>1</v>
      </c>
      <c r="AE395" s="80">
        <v>1</v>
      </c>
      <c r="AF395" s="80">
        <v>1</v>
      </c>
      <c r="AG395" s="81">
        <v>0</v>
      </c>
      <c r="AH395" s="80">
        <v>1</v>
      </c>
      <c r="AI395" s="81">
        <v>0</v>
      </c>
      <c r="AJ395" s="81">
        <v>0</v>
      </c>
      <c r="AK395" s="81">
        <v>0</v>
      </c>
      <c r="AL395" s="81">
        <v>0</v>
      </c>
      <c r="AM395" s="80">
        <v>0</v>
      </c>
      <c r="AN395" s="80">
        <v>0</v>
      </c>
      <c r="AO395" s="80">
        <v>0</v>
      </c>
    </row>
    <row r="396" spans="1:41" ht="15.75" x14ac:dyDescent="0.25">
      <c r="A396" s="84"/>
      <c r="B396" s="84"/>
      <c r="C396" s="84"/>
      <c r="D396" s="80" t="s">
        <v>247</v>
      </c>
      <c r="E396" s="80">
        <v>0</v>
      </c>
      <c r="F396" s="80">
        <v>0</v>
      </c>
      <c r="G396" s="80">
        <v>0</v>
      </c>
      <c r="H396" s="81">
        <v>0</v>
      </c>
      <c r="I396" s="81">
        <v>1</v>
      </c>
      <c r="J396" s="80">
        <v>0</v>
      </c>
      <c r="K396" s="80">
        <v>0</v>
      </c>
      <c r="L396" s="80">
        <v>0</v>
      </c>
      <c r="M396" s="80">
        <v>0</v>
      </c>
      <c r="N396" s="81">
        <v>0</v>
      </c>
      <c r="O396" s="81">
        <v>0</v>
      </c>
      <c r="P396" s="81">
        <v>0</v>
      </c>
      <c r="Q396" s="81">
        <v>0</v>
      </c>
      <c r="R396" s="80">
        <v>0</v>
      </c>
      <c r="S396" s="80">
        <v>0</v>
      </c>
      <c r="T396" s="81">
        <v>0</v>
      </c>
      <c r="U396" s="80">
        <v>0</v>
      </c>
      <c r="V396" s="81">
        <v>0</v>
      </c>
      <c r="W396" s="81">
        <v>0</v>
      </c>
      <c r="X396" s="80">
        <v>0</v>
      </c>
      <c r="Y396" s="80">
        <v>0</v>
      </c>
      <c r="Z396" s="80">
        <v>0</v>
      </c>
      <c r="AA396" s="80">
        <v>0</v>
      </c>
      <c r="AB396" s="80">
        <v>0</v>
      </c>
      <c r="AC396" s="80">
        <v>0</v>
      </c>
      <c r="AD396" s="80">
        <v>0</v>
      </c>
      <c r="AE396" s="80">
        <v>0</v>
      </c>
      <c r="AF396" s="80">
        <v>0</v>
      </c>
      <c r="AG396" s="81">
        <v>0</v>
      </c>
      <c r="AH396" s="80">
        <v>0</v>
      </c>
      <c r="AI396" s="81">
        <v>0</v>
      </c>
      <c r="AJ396" s="81">
        <v>0</v>
      </c>
      <c r="AK396" s="81">
        <v>0</v>
      </c>
      <c r="AL396" s="81">
        <v>0</v>
      </c>
      <c r="AM396" s="80">
        <v>0</v>
      </c>
      <c r="AN396" s="80">
        <v>0</v>
      </c>
      <c r="AO396" s="80">
        <v>0</v>
      </c>
    </row>
    <row r="397" spans="1:41" ht="15.75" x14ac:dyDescent="0.25">
      <c r="A397" s="84"/>
      <c r="B397" s="84"/>
      <c r="C397" s="84"/>
      <c r="D397" s="80" t="s">
        <v>248</v>
      </c>
      <c r="E397" s="80">
        <v>1</v>
      </c>
      <c r="F397" s="80">
        <v>0</v>
      </c>
      <c r="G397" s="80">
        <v>0</v>
      </c>
      <c r="H397" s="81">
        <v>0</v>
      </c>
      <c r="I397" s="81">
        <v>1</v>
      </c>
      <c r="J397" s="80">
        <v>2</v>
      </c>
      <c r="K397" s="80">
        <v>0</v>
      </c>
      <c r="L397" s="80">
        <v>0</v>
      </c>
      <c r="M397" s="80">
        <v>0</v>
      </c>
      <c r="N397" s="81">
        <v>1</v>
      </c>
      <c r="O397" s="81">
        <v>1</v>
      </c>
      <c r="P397" s="81">
        <v>0</v>
      </c>
      <c r="Q397" s="81">
        <v>2</v>
      </c>
      <c r="R397" s="80">
        <v>1</v>
      </c>
      <c r="S397" s="80">
        <v>0</v>
      </c>
      <c r="T397" s="81">
        <v>0</v>
      </c>
      <c r="U397" s="80">
        <v>1</v>
      </c>
      <c r="V397" s="81">
        <v>2</v>
      </c>
      <c r="W397" s="81">
        <v>0</v>
      </c>
      <c r="X397" s="80">
        <v>0</v>
      </c>
      <c r="Y397" s="80">
        <v>0</v>
      </c>
      <c r="Z397" s="80">
        <v>1</v>
      </c>
      <c r="AA397" s="80">
        <v>1</v>
      </c>
      <c r="AB397" s="80">
        <v>1</v>
      </c>
      <c r="AC397" s="80">
        <v>1</v>
      </c>
      <c r="AD397" s="80">
        <v>1</v>
      </c>
      <c r="AE397" s="80">
        <v>1</v>
      </c>
      <c r="AF397" s="80">
        <v>1</v>
      </c>
      <c r="AG397" s="81">
        <v>0</v>
      </c>
      <c r="AH397" s="80">
        <v>1</v>
      </c>
      <c r="AI397" s="81">
        <v>0</v>
      </c>
      <c r="AJ397" s="81">
        <v>0</v>
      </c>
      <c r="AK397" s="81">
        <v>0</v>
      </c>
      <c r="AL397" s="81">
        <v>0</v>
      </c>
      <c r="AM397" s="80">
        <v>0</v>
      </c>
      <c r="AN397" s="80">
        <v>0</v>
      </c>
      <c r="AO397" s="80">
        <v>0</v>
      </c>
    </row>
    <row r="398" spans="1:41" ht="15.75" x14ac:dyDescent="0.25">
      <c r="A398" s="84"/>
      <c r="B398" s="84"/>
      <c r="C398" s="84"/>
      <c r="D398" s="80" t="s">
        <v>258</v>
      </c>
      <c r="E398" s="80">
        <v>0</v>
      </c>
      <c r="F398" s="80">
        <v>0</v>
      </c>
      <c r="G398" s="80">
        <v>0</v>
      </c>
      <c r="H398" s="80">
        <v>0</v>
      </c>
      <c r="I398" s="80">
        <v>0</v>
      </c>
      <c r="J398" s="80">
        <v>0</v>
      </c>
      <c r="K398" s="80">
        <v>0</v>
      </c>
      <c r="L398" s="80">
        <v>0</v>
      </c>
      <c r="M398" s="80">
        <v>0</v>
      </c>
      <c r="N398" s="81">
        <v>0</v>
      </c>
      <c r="O398" s="80">
        <v>0</v>
      </c>
      <c r="P398" s="80">
        <v>0</v>
      </c>
      <c r="Q398" s="80">
        <v>0</v>
      </c>
      <c r="R398" s="80">
        <v>0</v>
      </c>
      <c r="S398" s="80">
        <v>0</v>
      </c>
      <c r="T398" s="80">
        <v>0</v>
      </c>
      <c r="U398" s="80">
        <v>0</v>
      </c>
      <c r="V398" s="80">
        <v>0</v>
      </c>
      <c r="W398" s="80">
        <v>0</v>
      </c>
      <c r="X398" s="80">
        <v>0</v>
      </c>
      <c r="Y398" s="80">
        <v>0</v>
      </c>
      <c r="Z398" s="80">
        <v>0</v>
      </c>
      <c r="AA398" s="80">
        <v>0</v>
      </c>
      <c r="AB398" s="80">
        <v>0</v>
      </c>
      <c r="AC398" s="80">
        <v>0</v>
      </c>
      <c r="AD398" s="80">
        <v>0</v>
      </c>
      <c r="AE398" s="80">
        <v>0</v>
      </c>
      <c r="AF398" s="80">
        <v>0</v>
      </c>
      <c r="AG398" s="80">
        <v>0</v>
      </c>
      <c r="AH398" s="80">
        <v>0</v>
      </c>
      <c r="AI398" s="80">
        <v>0</v>
      </c>
      <c r="AJ398" s="80">
        <v>0</v>
      </c>
      <c r="AK398" s="80">
        <v>0</v>
      </c>
      <c r="AL398" s="80">
        <v>0</v>
      </c>
      <c r="AM398" s="80">
        <v>0</v>
      </c>
      <c r="AN398" s="80">
        <v>0</v>
      </c>
      <c r="AO398" s="80">
        <v>0</v>
      </c>
    </row>
    <row r="399" spans="1:41" ht="15.75" x14ac:dyDescent="0.25">
      <c r="A399" s="84">
        <v>40</v>
      </c>
      <c r="B399" s="84"/>
      <c r="C399" s="84" t="s">
        <v>175</v>
      </c>
      <c r="D399" s="80" t="s">
        <v>245</v>
      </c>
      <c r="E399" s="438">
        <v>0</v>
      </c>
      <c r="F399" s="80">
        <v>0</v>
      </c>
      <c r="G399" s="80">
        <v>0</v>
      </c>
      <c r="H399" s="390">
        <v>1</v>
      </c>
      <c r="I399" s="81">
        <v>0</v>
      </c>
      <c r="J399" s="387">
        <v>2</v>
      </c>
      <c r="K399" s="80">
        <v>0</v>
      </c>
      <c r="L399" s="80">
        <v>0</v>
      </c>
      <c r="M399" s="80">
        <v>0</v>
      </c>
      <c r="N399" s="81">
        <v>0</v>
      </c>
      <c r="O399" s="390">
        <v>1</v>
      </c>
      <c r="P399" s="81">
        <v>0</v>
      </c>
      <c r="Q399" s="390">
        <v>1</v>
      </c>
      <c r="R399" s="80">
        <v>0</v>
      </c>
      <c r="S399" s="80">
        <v>0</v>
      </c>
      <c r="T399" s="81">
        <v>0</v>
      </c>
      <c r="U399" s="387">
        <v>2</v>
      </c>
      <c r="V399" s="390">
        <v>1</v>
      </c>
      <c r="W399" s="390">
        <v>1</v>
      </c>
      <c r="X399" s="80">
        <v>0</v>
      </c>
      <c r="Y399" s="80">
        <v>0</v>
      </c>
      <c r="Z399" s="80">
        <v>0</v>
      </c>
      <c r="AA399" s="80">
        <v>0</v>
      </c>
      <c r="AB399" s="80">
        <v>0</v>
      </c>
      <c r="AC399" s="407">
        <v>3</v>
      </c>
      <c r="AD399" s="407">
        <v>3</v>
      </c>
      <c r="AE399" s="80">
        <v>0</v>
      </c>
      <c r="AF399" s="80">
        <v>0</v>
      </c>
      <c r="AG399" s="81">
        <v>0</v>
      </c>
      <c r="AH399" s="80">
        <v>0</v>
      </c>
      <c r="AI399" s="81">
        <v>0</v>
      </c>
      <c r="AJ399" s="81">
        <v>0</v>
      </c>
      <c r="AK399" s="81">
        <v>0</v>
      </c>
      <c r="AL399" s="81">
        <v>0</v>
      </c>
      <c r="AM399" s="81">
        <v>3</v>
      </c>
      <c r="AN399" s="81">
        <v>3</v>
      </c>
      <c r="AO399" s="80">
        <v>0</v>
      </c>
    </row>
    <row r="400" spans="1:41" ht="15.75" x14ac:dyDescent="0.25">
      <c r="A400" s="84"/>
      <c r="B400" s="84"/>
      <c r="C400" s="84"/>
      <c r="D400" s="80" t="s">
        <v>246</v>
      </c>
      <c r="E400" s="80">
        <v>0</v>
      </c>
      <c r="F400" s="80">
        <v>0</v>
      </c>
      <c r="G400" s="80">
        <v>0</v>
      </c>
      <c r="H400" s="81">
        <v>1</v>
      </c>
      <c r="I400" s="81">
        <v>0</v>
      </c>
      <c r="J400" s="80">
        <v>2</v>
      </c>
      <c r="K400" s="80">
        <v>0</v>
      </c>
      <c r="L400" s="80">
        <v>0</v>
      </c>
      <c r="M400" s="80">
        <v>0</v>
      </c>
      <c r="N400" s="81">
        <v>0</v>
      </c>
      <c r="O400" s="81">
        <v>1</v>
      </c>
      <c r="P400" s="81">
        <v>0</v>
      </c>
      <c r="Q400" s="81">
        <v>1</v>
      </c>
      <c r="R400" s="80">
        <v>0</v>
      </c>
      <c r="S400" s="80">
        <v>0</v>
      </c>
      <c r="T400" s="81">
        <v>0</v>
      </c>
      <c r="U400" s="80">
        <v>2</v>
      </c>
      <c r="V400" s="81">
        <v>1</v>
      </c>
      <c r="W400" s="81">
        <v>1</v>
      </c>
      <c r="X400" s="80">
        <v>0</v>
      </c>
      <c r="Y400" s="80">
        <v>0</v>
      </c>
      <c r="Z400" s="80">
        <v>0</v>
      </c>
      <c r="AA400" s="80">
        <v>0</v>
      </c>
      <c r="AB400" s="80">
        <v>0</v>
      </c>
      <c r="AC400" s="80">
        <v>3</v>
      </c>
      <c r="AD400" s="80">
        <v>3</v>
      </c>
      <c r="AE400" s="80">
        <v>0</v>
      </c>
      <c r="AF400" s="80">
        <v>0</v>
      </c>
      <c r="AG400" s="81">
        <v>0</v>
      </c>
      <c r="AH400" s="80">
        <v>0</v>
      </c>
      <c r="AI400" s="81">
        <v>0</v>
      </c>
      <c r="AJ400" s="81">
        <v>0</v>
      </c>
      <c r="AK400" s="81">
        <v>0</v>
      </c>
      <c r="AL400" s="81">
        <v>0</v>
      </c>
      <c r="AM400" s="81">
        <v>3</v>
      </c>
      <c r="AN400" s="81">
        <v>3</v>
      </c>
      <c r="AO400" s="80">
        <v>0</v>
      </c>
    </row>
    <row r="401" spans="1:41" ht="15.75" x14ac:dyDescent="0.25">
      <c r="A401" s="84"/>
      <c r="B401" s="84"/>
      <c r="C401" s="84"/>
      <c r="D401" s="80" t="s">
        <v>247</v>
      </c>
      <c r="E401" s="80">
        <v>0</v>
      </c>
      <c r="F401" s="80">
        <v>0</v>
      </c>
      <c r="G401" s="80">
        <v>0</v>
      </c>
      <c r="H401" s="81">
        <v>0</v>
      </c>
      <c r="I401" s="81">
        <v>0</v>
      </c>
      <c r="J401" s="80">
        <v>0</v>
      </c>
      <c r="K401" s="80">
        <v>0</v>
      </c>
      <c r="L401" s="80">
        <v>0</v>
      </c>
      <c r="M401" s="80">
        <v>0</v>
      </c>
      <c r="N401" s="81">
        <v>0</v>
      </c>
      <c r="O401" s="81">
        <v>0</v>
      </c>
      <c r="P401" s="81">
        <v>0</v>
      </c>
      <c r="Q401" s="81">
        <v>0</v>
      </c>
      <c r="R401" s="80">
        <v>0</v>
      </c>
      <c r="S401" s="80">
        <v>0</v>
      </c>
      <c r="T401" s="81">
        <v>0</v>
      </c>
      <c r="U401" s="80">
        <v>0</v>
      </c>
      <c r="V401" s="81">
        <v>0</v>
      </c>
      <c r="W401" s="81">
        <v>0</v>
      </c>
      <c r="X401" s="80">
        <v>0</v>
      </c>
      <c r="Y401" s="80">
        <v>0</v>
      </c>
      <c r="Z401" s="80">
        <v>0</v>
      </c>
      <c r="AA401" s="80">
        <v>0</v>
      </c>
      <c r="AB401" s="80">
        <v>0</v>
      </c>
      <c r="AC401" s="80">
        <v>0</v>
      </c>
      <c r="AD401" s="80">
        <v>0</v>
      </c>
      <c r="AE401" s="80">
        <v>0</v>
      </c>
      <c r="AF401" s="80">
        <v>0</v>
      </c>
      <c r="AG401" s="81">
        <v>0</v>
      </c>
      <c r="AH401" s="80">
        <v>0</v>
      </c>
      <c r="AI401" s="81">
        <v>0</v>
      </c>
      <c r="AJ401" s="81">
        <v>0</v>
      </c>
      <c r="AK401" s="81">
        <v>0</v>
      </c>
      <c r="AL401" s="81">
        <v>0</v>
      </c>
      <c r="AM401" s="81">
        <v>0</v>
      </c>
      <c r="AN401" s="81">
        <v>0</v>
      </c>
      <c r="AO401" s="80">
        <v>0</v>
      </c>
    </row>
    <row r="402" spans="1:41" ht="15.75" x14ac:dyDescent="0.25">
      <c r="A402" s="84"/>
      <c r="B402" s="84"/>
      <c r="C402" s="84"/>
      <c r="D402" s="80" t="s">
        <v>248</v>
      </c>
      <c r="E402" s="80">
        <v>0</v>
      </c>
      <c r="F402" s="80">
        <v>0</v>
      </c>
      <c r="G402" s="80">
        <v>0</v>
      </c>
      <c r="H402" s="81">
        <v>1</v>
      </c>
      <c r="I402" s="81">
        <v>0</v>
      </c>
      <c r="J402" s="80">
        <v>2</v>
      </c>
      <c r="K402" s="80">
        <v>0</v>
      </c>
      <c r="L402" s="80">
        <v>0</v>
      </c>
      <c r="M402" s="80">
        <v>0</v>
      </c>
      <c r="N402" s="81">
        <v>0</v>
      </c>
      <c r="O402" s="81">
        <v>1</v>
      </c>
      <c r="P402" s="81">
        <v>0</v>
      </c>
      <c r="Q402" s="81">
        <v>1</v>
      </c>
      <c r="R402" s="80">
        <v>0</v>
      </c>
      <c r="S402" s="80">
        <v>0</v>
      </c>
      <c r="T402" s="81">
        <v>0</v>
      </c>
      <c r="U402" s="80">
        <v>2</v>
      </c>
      <c r="V402" s="81">
        <v>1</v>
      </c>
      <c r="W402" s="81">
        <v>1</v>
      </c>
      <c r="X402" s="80">
        <v>0</v>
      </c>
      <c r="Y402" s="80">
        <v>0</v>
      </c>
      <c r="Z402" s="80">
        <v>0</v>
      </c>
      <c r="AA402" s="80">
        <v>0</v>
      </c>
      <c r="AB402" s="80">
        <v>0</v>
      </c>
      <c r="AC402" s="80">
        <v>3</v>
      </c>
      <c r="AD402" s="80">
        <v>3</v>
      </c>
      <c r="AE402" s="80">
        <v>0</v>
      </c>
      <c r="AF402" s="80">
        <v>0</v>
      </c>
      <c r="AG402" s="81">
        <v>0</v>
      </c>
      <c r="AH402" s="80">
        <v>0</v>
      </c>
      <c r="AI402" s="81">
        <v>0</v>
      </c>
      <c r="AJ402" s="81">
        <v>0</v>
      </c>
      <c r="AK402" s="81">
        <v>0</v>
      </c>
      <c r="AL402" s="81">
        <v>0</v>
      </c>
      <c r="AM402" s="81">
        <v>3</v>
      </c>
      <c r="AN402" s="81">
        <v>3</v>
      </c>
      <c r="AO402" s="80">
        <v>0</v>
      </c>
    </row>
    <row r="403" spans="1:41" ht="15.75" x14ac:dyDescent="0.25">
      <c r="A403" s="84"/>
      <c r="B403" s="84"/>
      <c r="C403" s="84"/>
      <c r="D403" s="80" t="s">
        <v>258</v>
      </c>
      <c r="E403" s="80">
        <v>0</v>
      </c>
      <c r="F403" s="80">
        <v>0</v>
      </c>
      <c r="G403" s="80">
        <v>0</v>
      </c>
      <c r="H403" s="80">
        <v>0</v>
      </c>
      <c r="I403" s="80">
        <v>0</v>
      </c>
      <c r="J403" s="80">
        <v>0</v>
      </c>
      <c r="K403" s="80">
        <v>0</v>
      </c>
      <c r="L403" s="80">
        <v>0</v>
      </c>
      <c r="M403" s="80">
        <v>0</v>
      </c>
      <c r="N403" s="80">
        <v>0</v>
      </c>
      <c r="O403" s="80">
        <v>0</v>
      </c>
      <c r="P403" s="80">
        <v>0</v>
      </c>
      <c r="Q403" s="80">
        <v>0</v>
      </c>
      <c r="R403" s="80">
        <v>0</v>
      </c>
      <c r="S403" s="80">
        <v>0</v>
      </c>
      <c r="T403" s="80">
        <v>0</v>
      </c>
      <c r="U403" s="80">
        <v>0</v>
      </c>
      <c r="V403" s="80">
        <v>0</v>
      </c>
      <c r="W403" s="80">
        <v>0</v>
      </c>
      <c r="X403" s="80">
        <v>0</v>
      </c>
      <c r="Y403" s="80">
        <v>0</v>
      </c>
      <c r="Z403" s="80">
        <v>0</v>
      </c>
      <c r="AA403" s="80">
        <v>0</v>
      </c>
      <c r="AB403" s="80">
        <v>0</v>
      </c>
      <c r="AC403" s="80">
        <v>0</v>
      </c>
      <c r="AD403" s="80">
        <v>0</v>
      </c>
      <c r="AE403" s="80">
        <v>0</v>
      </c>
      <c r="AF403" s="80">
        <v>0</v>
      </c>
      <c r="AG403" s="80">
        <v>0</v>
      </c>
      <c r="AH403" s="80">
        <v>0</v>
      </c>
      <c r="AI403" s="80">
        <v>0</v>
      </c>
      <c r="AJ403" s="80">
        <v>0</v>
      </c>
      <c r="AK403" s="80">
        <v>0</v>
      </c>
      <c r="AL403" s="80">
        <v>0</v>
      </c>
      <c r="AM403" s="80">
        <v>0</v>
      </c>
      <c r="AN403" s="80">
        <v>0</v>
      </c>
      <c r="AO403" s="80">
        <v>0</v>
      </c>
    </row>
    <row r="404" spans="1:41" ht="15.75" x14ac:dyDescent="0.25">
      <c r="A404" s="84">
        <v>41</v>
      </c>
      <c r="B404" s="84" t="s">
        <v>169</v>
      </c>
      <c r="C404" s="84" t="s">
        <v>255</v>
      </c>
      <c r="D404" s="80" t="s">
        <v>245</v>
      </c>
      <c r="E404" s="438">
        <v>0</v>
      </c>
      <c r="F404" s="80">
        <v>0</v>
      </c>
      <c r="G404" s="80">
        <v>0</v>
      </c>
      <c r="H404" s="81">
        <v>0</v>
      </c>
      <c r="I404" s="390">
        <v>2</v>
      </c>
      <c r="J404" s="387">
        <v>1</v>
      </c>
      <c r="K404" s="80">
        <v>0</v>
      </c>
      <c r="L404" s="80">
        <v>0</v>
      </c>
      <c r="M404" s="80">
        <v>0</v>
      </c>
      <c r="N404" s="81">
        <v>0</v>
      </c>
      <c r="O404" s="390">
        <v>1</v>
      </c>
      <c r="P404" s="81">
        <v>0</v>
      </c>
      <c r="Q404" s="81">
        <v>0</v>
      </c>
      <c r="R404" s="80">
        <v>0</v>
      </c>
      <c r="S404" s="80">
        <v>0</v>
      </c>
      <c r="T404" s="81">
        <v>0</v>
      </c>
      <c r="U404" s="390">
        <v>2</v>
      </c>
      <c r="V404" s="390">
        <v>1</v>
      </c>
      <c r="W404" s="81">
        <v>0</v>
      </c>
      <c r="X404" s="81">
        <v>0</v>
      </c>
      <c r="Y404" s="80">
        <v>0</v>
      </c>
      <c r="Z404" s="387">
        <v>1</v>
      </c>
      <c r="AA404" s="387">
        <v>2</v>
      </c>
      <c r="AB404" s="387">
        <v>1</v>
      </c>
      <c r="AC404" s="387">
        <v>1</v>
      </c>
      <c r="AD404" s="80">
        <v>0</v>
      </c>
      <c r="AE404" s="387">
        <v>1</v>
      </c>
      <c r="AF404" s="387">
        <v>1</v>
      </c>
      <c r="AG404" s="390">
        <v>1</v>
      </c>
      <c r="AH404" s="387">
        <v>2</v>
      </c>
      <c r="AI404" s="81">
        <v>0</v>
      </c>
      <c r="AJ404" s="81">
        <v>0</v>
      </c>
      <c r="AK404" s="81">
        <v>0</v>
      </c>
      <c r="AL404" s="81">
        <v>0</v>
      </c>
      <c r="AM404" s="80">
        <v>0</v>
      </c>
      <c r="AN404" s="80">
        <v>0</v>
      </c>
      <c r="AO404" s="80">
        <v>0</v>
      </c>
    </row>
    <row r="405" spans="1:41" ht="15.75" x14ac:dyDescent="0.25">
      <c r="A405" s="84"/>
      <c r="B405" s="84"/>
      <c r="C405" s="84"/>
      <c r="D405" s="80" t="s">
        <v>246</v>
      </c>
      <c r="E405" s="80">
        <v>1</v>
      </c>
      <c r="F405" s="80">
        <v>0</v>
      </c>
      <c r="G405" s="80">
        <v>0</v>
      </c>
      <c r="H405" s="81">
        <v>1</v>
      </c>
      <c r="I405" s="81">
        <v>1</v>
      </c>
      <c r="J405" s="80">
        <v>1</v>
      </c>
      <c r="K405" s="80">
        <v>0</v>
      </c>
      <c r="L405" s="80">
        <v>0</v>
      </c>
      <c r="M405" s="80">
        <v>0</v>
      </c>
      <c r="N405" s="81">
        <v>0</v>
      </c>
      <c r="O405" s="81">
        <v>1</v>
      </c>
      <c r="P405" s="81">
        <v>0</v>
      </c>
      <c r="Q405" s="81">
        <v>0</v>
      </c>
      <c r="R405" s="80">
        <v>0</v>
      </c>
      <c r="S405" s="80">
        <v>0</v>
      </c>
      <c r="T405" s="81">
        <v>0</v>
      </c>
      <c r="U405" s="81">
        <v>2</v>
      </c>
      <c r="V405" s="81">
        <v>1</v>
      </c>
      <c r="W405" s="81">
        <v>0</v>
      </c>
      <c r="X405" s="81">
        <v>0</v>
      </c>
      <c r="Y405" s="80">
        <v>0</v>
      </c>
      <c r="Z405" s="80">
        <v>1</v>
      </c>
      <c r="AA405" s="80">
        <v>2</v>
      </c>
      <c r="AB405" s="80">
        <v>1</v>
      </c>
      <c r="AC405" s="80">
        <v>1</v>
      </c>
      <c r="AD405" s="80">
        <v>0</v>
      </c>
      <c r="AE405" s="80">
        <v>1</v>
      </c>
      <c r="AF405" s="80">
        <v>1</v>
      </c>
      <c r="AG405" s="81">
        <v>1</v>
      </c>
      <c r="AH405" s="80">
        <v>1</v>
      </c>
      <c r="AI405" s="81">
        <v>0</v>
      </c>
      <c r="AJ405" s="81">
        <v>0</v>
      </c>
      <c r="AK405" s="81">
        <v>0</v>
      </c>
      <c r="AL405" s="81">
        <v>0</v>
      </c>
      <c r="AM405" s="80">
        <v>0</v>
      </c>
      <c r="AN405" s="80">
        <v>0</v>
      </c>
      <c r="AO405" s="80">
        <v>0</v>
      </c>
    </row>
    <row r="406" spans="1:41" ht="15.75" x14ac:dyDescent="0.25">
      <c r="A406" s="84"/>
      <c r="B406" s="84"/>
      <c r="C406" s="84"/>
      <c r="D406" s="80" t="s">
        <v>247</v>
      </c>
      <c r="E406" s="80">
        <v>0</v>
      </c>
      <c r="F406" s="80">
        <v>0</v>
      </c>
      <c r="G406" s="80">
        <v>0</v>
      </c>
      <c r="H406" s="81">
        <v>0</v>
      </c>
      <c r="I406" s="81">
        <v>1</v>
      </c>
      <c r="J406" s="80">
        <v>0</v>
      </c>
      <c r="K406" s="80">
        <v>0</v>
      </c>
      <c r="L406" s="80">
        <v>0</v>
      </c>
      <c r="M406" s="80">
        <v>0</v>
      </c>
      <c r="N406" s="81">
        <v>0</v>
      </c>
      <c r="O406" s="81">
        <v>0</v>
      </c>
      <c r="P406" s="81">
        <v>0</v>
      </c>
      <c r="Q406" s="81">
        <v>0</v>
      </c>
      <c r="R406" s="80">
        <v>0</v>
      </c>
      <c r="S406" s="80">
        <v>0</v>
      </c>
      <c r="T406" s="81">
        <v>0</v>
      </c>
      <c r="U406" s="81">
        <v>0</v>
      </c>
      <c r="V406" s="81">
        <v>0</v>
      </c>
      <c r="W406" s="81">
        <v>0</v>
      </c>
      <c r="X406" s="81">
        <v>0</v>
      </c>
      <c r="Y406" s="80">
        <v>0</v>
      </c>
      <c r="Z406" s="80">
        <v>0</v>
      </c>
      <c r="AA406" s="80">
        <v>0</v>
      </c>
      <c r="AB406" s="80">
        <v>0</v>
      </c>
      <c r="AC406" s="80">
        <v>0</v>
      </c>
      <c r="AD406" s="80">
        <v>0</v>
      </c>
      <c r="AE406" s="80">
        <v>0</v>
      </c>
      <c r="AF406" s="80">
        <v>0</v>
      </c>
      <c r="AG406" s="81">
        <v>0</v>
      </c>
      <c r="AH406" s="80">
        <v>1</v>
      </c>
      <c r="AI406" s="81">
        <v>0</v>
      </c>
      <c r="AJ406" s="81">
        <v>0</v>
      </c>
      <c r="AK406" s="81">
        <v>0</v>
      </c>
      <c r="AL406" s="81">
        <v>0</v>
      </c>
      <c r="AM406" s="80">
        <v>0</v>
      </c>
      <c r="AN406" s="80">
        <v>0</v>
      </c>
      <c r="AO406" s="80">
        <v>0</v>
      </c>
    </row>
    <row r="407" spans="1:41" ht="15.75" x14ac:dyDescent="0.25">
      <c r="A407" s="84"/>
      <c r="B407" s="84"/>
      <c r="C407" s="84"/>
      <c r="D407" s="80" t="s">
        <v>248</v>
      </c>
      <c r="E407" s="80">
        <v>1</v>
      </c>
      <c r="F407" s="80">
        <v>0</v>
      </c>
      <c r="G407" s="80">
        <v>0</v>
      </c>
      <c r="H407" s="81">
        <v>1</v>
      </c>
      <c r="I407" s="81">
        <v>1</v>
      </c>
      <c r="J407" s="80">
        <v>1</v>
      </c>
      <c r="K407" s="80">
        <v>0</v>
      </c>
      <c r="L407" s="80">
        <v>0</v>
      </c>
      <c r="M407" s="80">
        <v>0</v>
      </c>
      <c r="N407" s="81">
        <v>0</v>
      </c>
      <c r="O407" s="81">
        <v>1</v>
      </c>
      <c r="P407" s="81">
        <v>0</v>
      </c>
      <c r="Q407" s="81">
        <v>0</v>
      </c>
      <c r="R407" s="80">
        <v>0</v>
      </c>
      <c r="S407" s="80">
        <v>0</v>
      </c>
      <c r="T407" s="81">
        <v>0</v>
      </c>
      <c r="U407" s="81">
        <v>2</v>
      </c>
      <c r="V407" s="81">
        <v>1</v>
      </c>
      <c r="W407" s="81">
        <v>0</v>
      </c>
      <c r="X407" s="81">
        <v>0</v>
      </c>
      <c r="Y407" s="80">
        <v>0</v>
      </c>
      <c r="Z407" s="80">
        <v>1</v>
      </c>
      <c r="AA407" s="80">
        <v>2</v>
      </c>
      <c r="AB407" s="80">
        <v>1</v>
      </c>
      <c r="AC407" s="80">
        <v>1</v>
      </c>
      <c r="AD407" s="80">
        <v>0</v>
      </c>
      <c r="AE407" s="80">
        <v>1</v>
      </c>
      <c r="AF407" s="80">
        <v>1</v>
      </c>
      <c r="AG407" s="81">
        <v>1</v>
      </c>
      <c r="AH407" s="80">
        <v>1</v>
      </c>
      <c r="AI407" s="81">
        <v>0</v>
      </c>
      <c r="AJ407" s="81">
        <v>0</v>
      </c>
      <c r="AK407" s="81">
        <v>0</v>
      </c>
      <c r="AL407" s="81">
        <v>0</v>
      </c>
      <c r="AM407" s="80">
        <v>0</v>
      </c>
      <c r="AN407" s="80">
        <v>0</v>
      </c>
      <c r="AO407" s="80">
        <v>0</v>
      </c>
    </row>
    <row r="408" spans="1:41" ht="15.75" x14ac:dyDescent="0.25">
      <c r="A408" s="84"/>
      <c r="B408" s="84"/>
      <c r="C408" s="84"/>
      <c r="D408" s="80" t="s">
        <v>258</v>
      </c>
      <c r="E408" s="80">
        <v>0</v>
      </c>
      <c r="F408" s="80">
        <v>0</v>
      </c>
      <c r="G408" s="80">
        <v>0</v>
      </c>
      <c r="H408" s="81">
        <v>0</v>
      </c>
      <c r="I408" s="81">
        <v>0</v>
      </c>
      <c r="J408" s="80">
        <v>0</v>
      </c>
      <c r="K408" s="80">
        <v>0</v>
      </c>
      <c r="L408" s="80">
        <v>0</v>
      </c>
      <c r="M408" s="80">
        <v>0</v>
      </c>
      <c r="N408" s="80">
        <v>0</v>
      </c>
      <c r="O408" s="80">
        <v>0</v>
      </c>
      <c r="P408" s="80">
        <v>0</v>
      </c>
      <c r="Q408" s="80">
        <v>0</v>
      </c>
      <c r="R408" s="80">
        <v>0</v>
      </c>
      <c r="S408" s="80">
        <v>0</v>
      </c>
      <c r="T408" s="80">
        <v>0</v>
      </c>
      <c r="U408" s="80">
        <v>0</v>
      </c>
      <c r="V408" s="80">
        <v>0</v>
      </c>
      <c r="W408" s="80">
        <v>0</v>
      </c>
      <c r="X408" s="80">
        <v>0</v>
      </c>
      <c r="Y408" s="80">
        <v>0</v>
      </c>
      <c r="Z408" s="80">
        <v>0</v>
      </c>
      <c r="AA408" s="80">
        <v>0</v>
      </c>
      <c r="AB408" s="80">
        <v>0</v>
      </c>
      <c r="AC408" s="80">
        <v>0</v>
      </c>
      <c r="AD408" s="80">
        <v>0</v>
      </c>
      <c r="AE408" s="80">
        <v>0</v>
      </c>
      <c r="AF408" s="80">
        <v>0</v>
      </c>
      <c r="AG408" s="80">
        <v>0</v>
      </c>
      <c r="AH408" s="80">
        <v>0</v>
      </c>
      <c r="AI408" s="80">
        <v>0</v>
      </c>
      <c r="AJ408" s="80">
        <v>0</v>
      </c>
      <c r="AK408" s="80">
        <v>0</v>
      </c>
      <c r="AL408" s="80">
        <v>0</v>
      </c>
      <c r="AM408" s="80">
        <v>0</v>
      </c>
      <c r="AN408" s="80">
        <v>0</v>
      </c>
      <c r="AO408" s="80">
        <v>0</v>
      </c>
    </row>
    <row r="409" spans="1:41" ht="15.75" x14ac:dyDescent="0.25">
      <c r="A409" s="84">
        <v>42</v>
      </c>
      <c r="B409" s="84"/>
      <c r="C409" s="84" t="s">
        <v>256</v>
      </c>
      <c r="D409" s="80" t="s">
        <v>245</v>
      </c>
      <c r="E409" s="438">
        <v>0</v>
      </c>
      <c r="F409" s="80">
        <v>0</v>
      </c>
      <c r="G409" s="80">
        <v>0</v>
      </c>
      <c r="H409" s="390">
        <v>1</v>
      </c>
      <c r="I409" s="390">
        <v>1</v>
      </c>
      <c r="J409" s="387">
        <v>1</v>
      </c>
      <c r="K409" s="80">
        <v>0</v>
      </c>
      <c r="L409" s="80">
        <v>0</v>
      </c>
      <c r="M409" s="80">
        <v>0</v>
      </c>
      <c r="N409" s="81">
        <v>0</v>
      </c>
      <c r="O409" s="390">
        <v>1</v>
      </c>
      <c r="P409" s="81">
        <v>0</v>
      </c>
      <c r="Q409" s="390">
        <v>1</v>
      </c>
      <c r="R409" s="80">
        <v>0</v>
      </c>
      <c r="S409" s="80">
        <v>0</v>
      </c>
      <c r="T409" s="81">
        <v>0</v>
      </c>
      <c r="U409" s="390">
        <v>1</v>
      </c>
      <c r="V409" s="390">
        <v>1</v>
      </c>
      <c r="W409" s="81">
        <v>0</v>
      </c>
      <c r="X409" s="81">
        <v>0</v>
      </c>
      <c r="Y409" s="80">
        <v>0</v>
      </c>
      <c r="Z409" s="80">
        <v>0</v>
      </c>
      <c r="AA409" s="80">
        <v>0</v>
      </c>
      <c r="AB409" s="80">
        <v>0</v>
      </c>
      <c r="AC409" s="80">
        <v>0</v>
      </c>
      <c r="AD409" s="80">
        <v>0</v>
      </c>
      <c r="AE409" s="387">
        <v>1</v>
      </c>
      <c r="AF409" s="80">
        <v>0</v>
      </c>
      <c r="AG409" s="390">
        <v>1</v>
      </c>
      <c r="AH409" s="387">
        <v>1</v>
      </c>
      <c r="AI409" s="81">
        <v>0</v>
      </c>
      <c r="AJ409" s="81">
        <v>0</v>
      </c>
      <c r="AK409" s="81">
        <v>0</v>
      </c>
      <c r="AL409" s="81">
        <v>0</v>
      </c>
      <c r="AM409" s="80">
        <v>0</v>
      </c>
      <c r="AN409" s="80">
        <v>0</v>
      </c>
      <c r="AO409" s="80">
        <v>0</v>
      </c>
    </row>
    <row r="410" spans="1:41" ht="15.75" x14ac:dyDescent="0.25">
      <c r="A410" s="84"/>
      <c r="B410" s="84"/>
      <c r="C410" s="84"/>
      <c r="D410" s="80" t="s">
        <v>246</v>
      </c>
      <c r="E410" s="80">
        <v>0</v>
      </c>
      <c r="F410" s="80">
        <v>0</v>
      </c>
      <c r="G410" s="80">
        <v>0</v>
      </c>
      <c r="H410" s="81">
        <v>1</v>
      </c>
      <c r="I410" s="81">
        <v>1</v>
      </c>
      <c r="J410" s="80">
        <v>1</v>
      </c>
      <c r="K410" s="80">
        <v>0</v>
      </c>
      <c r="L410" s="80">
        <v>0</v>
      </c>
      <c r="M410" s="80">
        <v>0</v>
      </c>
      <c r="N410" s="81">
        <v>0</v>
      </c>
      <c r="O410" s="81">
        <v>1</v>
      </c>
      <c r="P410" s="81">
        <v>0</v>
      </c>
      <c r="Q410" s="81">
        <v>1</v>
      </c>
      <c r="R410" s="80">
        <v>0</v>
      </c>
      <c r="S410" s="80">
        <v>0</v>
      </c>
      <c r="T410" s="81">
        <v>0</v>
      </c>
      <c r="U410" s="81">
        <v>1</v>
      </c>
      <c r="V410" s="81">
        <v>1</v>
      </c>
      <c r="W410" s="81">
        <v>0</v>
      </c>
      <c r="X410" s="81">
        <v>0</v>
      </c>
      <c r="Y410" s="80">
        <v>0</v>
      </c>
      <c r="Z410" s="80">
        <v>0</v>
      </c>
      <c r="AA410" s="80">
        <v>0</v>
      </c>
      <c r="AB410" s="80">
        <v>0</v>
      </c>
      <c r="AC410" s="80">
        <v>0</v>
      </c>
      <c r="AD410" s="80">
        <v>0</v>
      </c>
      <c r="AE410" s="80">
        <v>1</v>
      </c>
      <c r="AF410" s="80">
        <v>0</v>
      </c>
      <c r="AG410" s="81">
        <v>1</v>
      </c>
      <c r="AH410" s="80">
        <v>1</v>
      </c>
      <c r="AI410" s="81">
        <v>0</v>
      </c>
      <c r="AJ410" s="81">
        <v>0</v>
      </c>
      <c r="AK410" s="81">
        <v>0</v>
      </c>
      <c r="AL410" s="81">
        <v>0</v>
      </c>
      <c r="AM410" s="80">
        <v>0</v>
      </c>
      <c r="AN410" s="80">
        <v>0</v>
      </c>
      <c r="AO410" s="80">
        <v>0</v>
      </c>
    </row>
    <row r="411" spans="1:41" ht="15.75" x14ac:dyDescent="0.25">
      <c r="A411" s="84"/>
      <c r="B411" s="84"/>
      <c r="C411" s="84"/>
      <c r="D411" s="80" t="s">
        <v>247</v>
      </c>
      <c r="E411" s="80">
        <v>0</v>
      </c>
      <c r="F411" s="80">
        <v>0</v>
      </c>
      <c r="G411" s="80">
        <v>0</v>
      </c>
      <c r="H411" s="81">
        <v>0</v>
      </c>
      <c r="I411" s="81">
        <v>0</v>
      </c>
      <c r="J411" s="80">
        <v>0</v>
      </c>
      <c r="K411" s="80">
        <v>0</v>
      </c>
      <c r="L411" s="80">
        <v>0</v>
      </c>
      <c r="M411" s="80">
        <v>0</v>
      </c>
      <c r="N411" s="81">
        <v>0</v>
      </c>
      <c r="O411" s="81">
        <v>0</v>
      </c>
      <c r="P411" s="81">
        <v>0</v>
      </c>
      <c r="Q411" s="81">
        <v>0</v>
      </c>
      <c r="R411" s="80">
        <v>0</v>
      </c>
      <c r="S411" s="80">
        <v>0</v>
      </c>
      <c r="T411" s="81">
        <v>0</v>
      </c>
      <c r="U411" s="81">
        <v>0</v>
      </c>
      <c r="V411" s="81">
        <v>0</v>
      </c>
      <c r="W411" s="81">
        <v>0</v>
      </c>
      <c r="X411" s="81">
        <v>0</v>
      </c>
      <c r="Y411" s="80">
        <v>0</v>
      </c>
      <c r="Z411" s="80">
        <v>0</v>
      </c>
      <c r="AA411" s="80">
        <v>0</v>
      </c>
      <c r="AB411" s="80">
        <v>0</v>
      </c>
      <c r="AC411" s="80">
        <v>0</v>
      </c>
      <c r="AD411" s="80">
        <v>0</v>
      </c>
      <c r="AE411" s="80">
        <v>0</v>
      </c>
      <c r="AF411" s="80">
        <v>0</v>
      </c>
      <c r="AG411" s="81">
        <v>0</v>
      </c>
      <c r="AH411" s="80">
        <v>0</v>
      </c>
      <c r="AI411" s="81">
        <v>0</v>
      </c>
      <c r="AJ411" s="81">
        <v>0</v>
      </c>
      <c r="AK411" s="81">
        <v>0</v>
      </c>
      <c r="AL411" s="81">
        <v>0</v>
      </c>
      <c r="AM411" s="80">
        <v>0</v>
      </c>
      <c r="AN411" s="80">
        <v>0</v>
      </c>
      <c r="AO411" s="80">
        <v>0</v>
      </c>
    </row>
    <row r="412" spans="1:41" ht="15.75" x14ac:dyDescent="0.25">
      <c r="A412" s="84"/>
      <c r="B412" s="84"/>
      <c r="C412" s="84"/>
      <c r="D412" s="80" t="s">
        <v>248</v>
      </c>
      <c r="E412" s="80">
        <v>0</v>
      </c>
      <c r="F412" s="80">
        <v>0</v>
      </c>
      <c r="G412" s="80">
        <v>0</v>
      </c>
      <c r="H412" s="81">
        <v>1</v>
      </c>
      <c r="I412" s="81">
        <v>1</v>
      </c>
      <c r="J412" s="80">
        <v>1</v>
      </c>
      <c r="K412" s="80">
        <v>0</v>
      </c>
      <c r="L412" s="80">
        <v>0</v>
      </c>
      <c r="M412" s="80">
        <v>0</v>
      </c>
      <c r="N412" s="81">
        <v>0</v>
      </c>
      <c r="O412" s="81">
        <v>1</v>
      </c>
      <c r="P412" s="81">
        <v>0</v>
      </c>
      <c r="Q412" s="81">
        <v>1</v>
      </c>
      <c r="R412" s="80">
        <v>0</v>
      </c>
      <c r="S412" s="80">
        <v>0</v>
      </c>
      <c r="T412" s="81">
        <v>0</v>
      </c>
      <c r="U412" s="81">
        <v>1</v>
      </c>
      <c r="V412" s="81">
        <v>1</v>
      </c>
      <c r="W412" s="81">
        <v>0</v>
      </c>
      <c r="X412" s="81">
        <v>0</v>
      </c>
      <c r="Y412" s="80">
        <v>0</v>
      </c>
      <c r="Z412" s="80">
        <v>0</v>
      </c>
      <c r="AA412" s="80">
        <v>0</v>
      </c>
      <c r="AB412" s="80">
        <v>0</v>
      </c>
      <c r="AC412" s="80">
        <v>0</v>
      </c>
      <c r="AD412" s="80">
        <v>0</v>
      </c>
      <c r="AE412" s="80">
        <v>1</v>
      </c>
      <c r="AF412" s="80">
        <v>0</v>
      </c>
      <c r="AG412" s="81">
        <v>1</v>
      </c>
      <c r="AH412" s="80">
        <v>1</v>
      </c>
      <c r="AI412" s="81">
        <v>0</v>
      </c>
      <c r="AJ412" s="81">
        <v>0</v>
      </c>
      <c r="AK412" s="81">
        <v>0</v>
      </c>
      <c r="AL412" s="81">
        <v>0</v>
      </c>
      <c r="AM412" s="80">
        <v>0</v>
      </c>
      <c r="AN412" s="80">
        <v>0</v>
      </c>
      <c r="AO412" s="80">
        <v>0</v>
      </c>
    </row>
    <row r="413" spans="1:41" ht="15.75" x14ac:dyDescent="0.25">
      <c r="A413" s="84"/>
      <c r="B413" s="84"/>
      <c r="C413" s="84"/>
      <c r="D413" s="80" t="s">
        <v>258</v>
      </c>
      <c r="E413" s="80">
        <v>0</v>
      </c>
      <c r="F413" s="80">
        <v>0</v>
      </c>
      <c r="G413" s="80">
        <v>0</v>
      </c>
      <c r="H413" s="80">
        <v>0</v>
      </c>
      <c r="I413" s="80">
        <v>0</v>
      </c>
      <c r="J413" s="80">
        <v>0</v>
      </c>
      <c r="K413" s="80">
        <v>0</v>
      </c>
      <c r="L413" s="80">
        <v>0</v>
      </c>
      <c r="M413" s="80">
        <v>0</v>
      </c>
      <c r="N413" s="80">
        <v>0</v>
      </c>
      <c r="O413" s="80">
        <v>0</v>
      </c>
      <c r="P413" s="80">
        <v>0</v>
      </c>
      <c r="Q413" s="81">
        <v>0</v>
      </c>
      <c r="R413" s="80">
        <v>0</v>
      </c>
      <c r="S413" s="80">
        <v>0</v>
      </c>
      <c r="T413" s="80">
        <v>0</v>
      </c>
      <c r="U413" s="80">
        <v>0</v>
      </c>
      <c r="V413" s="80">
        <v>0</v>
      </c>
      <c r="W413" s="80">
        <v>0</v>
      </c>
      <c r="X413" s="80">
        <v>0</v>
      </c>
      <c r="Y413" s="80">
        <v>0</v>
      </c>
      <c r="Z413" s="80">
        <v>0</v>
      </c>
      <c r="AA413" s="80">
        <v>0</v>
      </c>
      <c r="AB413" s="80">
        <v>0</v>
      </c>
      <c r="AC413" s="80">
        <v>0</v>
      </c>
      <c r="AD413" s="80">
        <v>0</v>
      </c>
      <c r="AE413" s="80">
        <v>0</v>
      </c>
      <c r="AF413" s="80">
        <v>0</v>
      </c>
      <c r="AG413" s="80">
        <v>0</v>
      </c>
      <c r="AH413" s="80">
        <v>0</v>
      </c>
      <c r="AI413" s="80">
        <v>0</v>
      </c>
      <c r="AJ413" s="80">
        <v>0</v>
      </c>
      <c r="AK413" s="80">
        <v>0</v>
      </c>
      <c r="AL413" s="80">
        <v>0</v>
      </c>
      <c r="AM413" s="80">
        <v>0</v>
      </c>
      <c r="AN413" s="80">
        <v>0</v>
      </c>
      <c r="AO413" s="80">
        <v>0</v>
      </c>
    </row>
    <row r="414" spans="1:41" ht="15.75" x14ac:dyDescent="0.25">
      <c r="A414" s="84">
        <v>43</v>
      </c>
      <c r="B414" s="84"/>
      <c r="C414" s="84" t="s">
        <v>773</v>
      </c>
      <c r="D414" s="80" t="s">
        <v>245</v>
      </c>
      <c r="E414" s="438">
        <v>0</v>
      </c>
      <c r="F414" s="80">
        <v>0</v>
      </c>
      <c r="G414" s="80">
        <v>0</v>
      </c>
      <c r="H414" s="80">
        <v>0</v>
      </c>
      <c r="I414" s="387">
        <v>1</v>
      </c>
      <c r="J414" s="387">
        <v>1</v>
      </c>
      <c r="K414" s="80">
        <v>0</v>
      </c>
      <c r="L414" s="80">
        <v>0</v>
      </c>
      <c r="M414" s="80">
        <v>0</v>
      </c>
      <c r="N414" s="80">
        <v>0</v>
      </c>
      <c r="O414" s="80">
        <v>0</v>
      </c>
      <c r="P414" s="80">
        <v>0</v>
      </c>
      <c r="Q414" s="80">
        <v>0</v>
      </c>
      <c r="R414" s="80">
        <v>0</v>
      </c>
      <c r="S414" s="80">
        <v>0</v>
      </c>
      <c r="T414" s="80">
        <v>0</v>
      </c>
      <c r="U414" s="80">
        <v>0</v>
      </c>
      <c r="V414" s="80">
        <v>0</v>
      </c>
      <c r="W414" s="80">
        <v>0</v>
      </c>
      <c r="X414" s="80">
        <v>0</v>
      </c>
      <c r="Y414" s="80">
        <v>0</v>
      </c>
      <c r="Z414" s="80">
        <v>0</v>
      </c>
      <c r="AA414" s="80">
        <v>0</v>
      </c>
      <c r="AB414" s="80">
        <v>0</v>
      </c>
      <c r="AC414" s="80">
        <v>0</v>
      </c>
      <c r="AD414" s="80">
        <v>0</v>
      </c>
      <c r="AE414" s="80">
        <v>0</v>
      </c>
      <c r="AF414" s="80">
        <v>0</v>
      </c>
      <c r="AG414" s="80">
        <v>0</v>
      </c>
      <c r="AH414" s="80">
        <v>0</v>
      </c>
      <c r="AI414" s="80">
        <v>0</v>
      </c>
      <c r="AJ414" s="80">
        <v>0</v>
      </c>
      <c r="AK414" s="80">
        <v>0</v>
      </c>
      <c r="AL414" s="80">
        <v>0</v>
      </c>
      <c r="AM414" s="80">
        <v>0</v>
      </c>
      <c r="AN414" s="80">
        <v>0</v>
      </c>
      <c r="AO414" s="80">
        <v>0</v>
      </c>
    </row>
    <row r="415" spans="1:41" ht="15.75" x14ac:dyDescent="0.25">
      <c r="A415" s="84"/>
      <c r="B415" s="84"/>
      <c r="C415" s="84"/>
      <c r="D415" s="80" t="s">
        <v>246</v>
      </c>
      <c r="E415" s="80">
        <v>0</v>
      </c>
      <c r="F415" s="80">
        <v>0</v>
      </c>
      <c r="G415" s="80">
        <v>0</v>
      </c>
      <c r="H415" s="80">
        <v>0</v>
      </c>
      <c r="I415" s="80">
        <v>1</v>
      </c>
      <c r="J415" s="80">
        <v>1</v>
      </c>
      <c r="K415" s="80">
        <v>0</v>
      </c>
      <c r="L415" s="80">
        <v>0</v>
      </c>
      <c r="M415" s="80">
        <v>0</v>
      </c>
      <c r="N415" s="80">
        <v>0</v>
      </c>
      <c r="O415" s="80">
        <v>0</v>
      </c>
      <c r="P415" s="80">
        <v>0</v>
      </c>
      <c r="Q415" s="80">
        <v>0</v>
      </c>
      <c r="R415" s="80">
        <v>0</v>
      </c>
      <c r="S415" s="80">
        <v>0</v>
      </c>
      <c r="T415" s="80">
        <v>0</v>
      </c>
      <c r="U415" s="80">
        <v>0</v>
      </c>
      <c r="V415" s="80">
        <v>0</v>
      </c>
      <c r="W415" s="80">
        <v>0</v>
      </c>
      <c r="X415" s="80">
        <v>0</v>
      </c>
      <c r="Y415" s="80">
        <v>0</v>
      </c>
      <c r="Z415" s="80">
        <v>0</v>
      </c>
      <c r="AA415" s="80">
        <v>0</v>
      </c>
      <c r="AB415" s="80">
        <v>0</v>
      </c>
      <c r="AC415" s="80">
        <v>0</v>
      </c>
      <c r="AD415" s="80">
        <v>0</v>
      </c>
      <c r="AE415" s="80">
        <v>0</v>
      </c>
      <c r="AF415" s="80">
        <v>0</v>
      </c>
      <c r="AG415" s="80">
        <v>0</v>
      </c>
      <c r="AH415" s="80">
        <v>0</v>
      </c>
      <c r="AI415" s="80">
        <v>0</v>
      </c>
      <c r="AJ415" s="80">
        <v>0</v>
      </c>
      <c r="AK415" s="80">
        <v>0</v>
      </c>
      <c r="AL415" s="80">
        <v>0</v>
      </c>
      <c r="AM415" s="80">
        <v>0</v>
      </c>
      <c r="AN415" s="80">
        <v>0</v>
      </c>
      <c r="AO415" s="80">
        <v>0</v>
      </c>
    </row>
    <row r="416" spans="1:41" ht="15.75" x14ac:dyDescent="0.25">
      <c r="A416" s="84"/>
      <c r="B416" s="84"/>
      <c r="C416" s="84"/>
      <c r="D416" s="80" t="s">
        <v>247</v>
      </c>
      <c r="E416" s="80">
        <v>0</v>
      </c>
      <c r="F416" s="80">
        <v>0</v>
      </c>
      <c r="G416" s="80">
        <v>0</v>
      </c>
      <c r="H416" s="80">
        <v>0</v>
      </c>
      <c r="I416" s="80">
        <v>0</v>
      </c>
      <c r="J416" s="80">
        <v>0</v>
      </c>
      <c r="K416" s="80">
        <v>0</v>
      </c>
      <c r="L416" s="80">
        <v>0</v>
      </c>
      <c r="M416" s="80">
        <v>0</v>
      </c>
      <c r="N416" s="80">
        <v>0</v>
      </c>
      <c r="O416" s="80">
        <v>0</v>
      </c>
      <c r="P416" s="80">
        <v>0</v>
      </c>
      <c r="Q416" s="80">
        <v>0</v>
      </c>
      <c r="R416" s="80">
        <v>0</v>
      </c>
      <c r="S416" s="80">
        <v>0</v>
      </c>
      <c r="T416" s="80">
        <v>0</v>
      </c>
      <c r="U416" s="80">
        <v>0</v>
      </c>
      <c r="V416" s="80">
        <v>0</v>
      </c>
      <c r="W416" s="80">
        <v>0</v>
      </c>
      <c r="X416" s="80">
        <v>0</v>
      </c>
      <c r="Y416" s="80">
        <v>0</v>
      </c>
      <c r="Z416" s="80">
        <v>0</v>
      </c>
      <c r="AA416" s="80">
        <v>0</v>
      </c>
      <c r="AB416" s="80">
        <v>0</v>
      </c>
      <c r="AC416" s="80">
        <v>0</v>
      </c>
      <c r="AD416" s="80">
        <v>0</v>
      </c>
      <c r="AE416" s="80">
        <v>0</v>
      </c>
      <c r="AF416" s="80">
        <v>0</v>
      </c>
      <c r="AG416" s="80">
        <v>0</v>
      </c>
      <c r="AH416" s="80">
        <v>0</v>
      </c>
      <c r="AI416" s="80">
        <v>0</v>
      </c>
      <c r="AJ416" s="80">
        <v>0</v>
      </c>
      <c r="AK416" s="80">
        <v>0</v>
      </c>
      <c r="AL416" s="80">
        <v>0</v>
      </c>
      <c r="AM416" s="80">
        <v>0</v>
      </c>
      <c r="AN416" s="80">
        <v>0</v>
      </c>
      <c r="AO416" s="80">
        <v>0</v>
      </c>
    </row>
    <row r="417" spans="1:41" ht="15.75" x14ac:dyDescent="0.25">
      <c r="A417" s="84"/>
      <c r="B417" s="84"/>
      <c r="C417" s="84"/>
      <c r="D417" s="80" t="s">
        <v>248</v>
      </c>
      <c r="E417" s="80">
        <v>0</v>
      </c>
      <c r="F417" s="80">
        <v>0</v>
      </c>
      <c r="G417" s="80">
        <v>0</v>
      </c>
      <c r="H417" s="80">
        <v>0</v>
      </c>
      <c r="I417" s="80">
        <v>1</v>
      </c>
      <c r="J417" s="80">
        <v>1</v>
      </c>
      <c r="K417" s="80">
        <v>0</v>
      </c>
      <c r="L417" s="80">
        <v>0</v>
      </c>
      <c r="M417" s="80">
        <v>0</v>
      </c>
      <c r="N417" s="80">
        <v>0</v>
      </c>
      <c r="O417" s="80">
        <v>0</v>
      </c>
      <c r="P417" s="80">
        <v>0</v>
      </c>
      <c r="Q417" s="80">
        <v>0</v>
      </c>
      <c r="R417" s="80">
        <v>0</v>
      </c>
      <c r="S417" s="80">
        <v>0</v>
      </c>
      <c r="T417" s="80">
        <v>0</v>
      </c>
      <c r="U417" s="80">
        <v>0</v>
      </c>
      <c r="V417" s="80">
        <v>0</v>
      </c>
      <c r="W417" s="80">
        <v>0</v>
      </c>
      <c r="X417" s="80">
        <v>0</v>
      </c>
      <c r="Y417" s="80">
        <v>0</v>
      </c>
      <c r="Z417" s="80">
        <v>0</v>
      </c>
      <c r="AA417" s="80">
        <v>0</v>
      </c>
      <c r="AB417" s="80">
        <v>0</v>
      </c>
      <c r="AC417" s="80">
        <v>0</v>
      </c>
      <c r="AD417" s="80">
        <v>0</v>
      </c>
      <c r="AE417" s="80">
        <v>0</v>
      </c>
      <c r="AF417" s="80">
        <v>0</v>
      </c>
      <c r="AG417" s="80">
        <v>0</v>
      </c>
      <c r="AH417" s="80">
        <v>0</v>
      </c>
      <c r="AI417" s="80">
        <v>0</v>
      </c>
      <c r="AJ417" s="80">
        <v>0</v>
      </c>
      <c r="AK417" s="80">
        <v>0</v>
      </c>
      <c r="AL417" s="80">
        <v>0</v>
      </c>
      <c r="AM417" s="80">
        <v>0</v>
      </c>
      <c r="AN417" s="80">
        <v>0</v>
      </c>
      <c r="AO417" s="80">
        <v>0</v>
      </c>
    </row>
    <row r="418" spans="1:41" ht="15.75" x14ac:dyDescent="0.25">
      <c r="A418" s="84"/>
      <c r="B418" s="84"/>
      <c r="C418" s="84"/>
      <c r="D418" s="80" t="s">
        <v>258</v>
      </c>
      <c r="E418" s="80">
        <v>0</v>
      </c>
      <c r="F418" s="80">
        <v>0</v>
      </c>
      <c r="G418" s="80">
        <v>0</v>
      </c>
      <c r="H418" s="80">
        <v>0</v>
      </c>
      <c r="I418" s="80">
        <v>0</v>
      </c>
      <c r="J418" s="80">
        <v>0</v>
      </c>
      <c r="K418" s="80">
        <v>0</v>
      </c>
      <c r="L418" s="80">
        <v>0</v>
      </c>
      <c r="M418" s="80">
        <v>0</v>
      </c>
      <c r="N418" s="80">
        <v>0</v>
      </c>
      <c r="O418" s="80">
        <v>0</v>
      </c>
      <c r="P418" s="80">
        <v>0</v>
      </c>
      <c r="Q418" s="80">
        <v>0</v>
      </c>
      <c r="R418" s="80">
        <v>0</v>
      </c>
      <c r="S418" s="80">
        <v>0</v>
      </c>
      <c r="T418" s="80">
        <v>0</v>
      </c>
      <c r="U418" s="80">
        <v>0</v>
      </c>
      <c r="V418" s="80">
        <v>0</v>
      </c>
      <c r="W418" s="80">
        <v>0</v>
      </c>
      <c r="X418" s="80">
        <v>0</v>
      </c>
      <c r="Y418" s="80">
        <v>0</v>
      </c>
      <c r="Z418" s="80">
        <v>0</v>
      </c>
      <c r="AA418" s="80">
        <v>0</v>
      </c>
      <c r="AB418" s="80">
        <v>0</v>
      </c>
      <c r="AC418" s="80">
        <v>0</v>
      </c>
      <c r="AD418" s="80">
        <v>0</v>
      </c>
      <c r="AE418" s="80">
        <v>0</v>
      </c>
      <c r="AF418" s="80">
        <v>0</v>
      </c>
      <c r="AG418" s="80">
        <v>0</v>
      </c>
      <c r="AH418" s="80">
        <v>0</v>
      </c>
      <c r="AI418" s="80">
        <v>0</v>
      </c>
      <c r="AJ418" s="80">
        <v>0</v>
      </c>
      <c r="AK418" s="80">
        <v>0</v>
      </c>
      <c r="AL418" s="80">
        <v>0</v>
      </c>
      <c r="AM418" s="80">
        <v>0</v>
      </c>
      <c r="AN418" s="80">
        <v>0</v>
      </c>
      <c r="AO418" s="80">
        <v>0</v>
      </c>
    </row>
    <row r="419" spans="1:41" ht="15.75" x14ac:dyDescent="0.25">
      <c r="A419" s="84">
        <v>44</v>
      </c>
      <c r="B419" s="84" t="s">
        <v>257</v>
      </c>
      <c r="C419" s="84" t="s">
        <v>257</v>
      </c>
      <c r="D419" s="80" t="s">
        <v>245</v>
      </c>
      <c r="E419" s="438">
        <v>0</v>
      </c>
      <c r="F419" s="80">
        <v>0</v>
      </c>
      <c r="G419" s="80">
        <v>0</v>
      </c>
      <c r="H419" s="81">
        <v>0</v>
      </c>
      <c r="I419" s="390">
        <v>1</v>
      </c>
      <c r="J419" s="387">
        <v>1</v>
      </c>
      <c r="K419" s="80">
        <v>0</v>
      </c>
      <c r="L419" s="80">
        <v>0</v>
      </c>
      <c r="M419" s="387">
        <v>1</v>
      </c>
      <c r="N419" s="390">
        <v>1</v>
      </c>
      <c r="O419" s="390">
        <v>1</v>
      </c>
      <c r="P419" s="387">
        <v>1</v>
      </c>
      <c r="Q419" s="390">
        <v>1</v>
      </c>
      <c r="R419" s="80">
        <v>0</v>
      </c>
      <c r="S419" s="80">
        <v>0</v>
      </c>
      <c r="T419" s="81">
        <v>0</v>
      </c>
      <c r="U419" s="390">
        <v>2</v>
      </c>
      <c r="V419" s="390">
        <v>1</v>
      </c>
      <c r="W419" s="81">
        <v>0</v>
      </c>
      <c r="X419" s="81">
        <v>0</v>
      </c>
      <c r="Y419" s="81">
        <v>0</v>
      </c>
      <c r="Z419" s="81">
        <v>0</v>
      </c>
      <c r="AA419" s="81">
        <v>0</v>
      </c>
      <c r="AB419" s="81">
        <v>0</v>
      </c>
      <c r="AC419" s="81">
        <v>0</v>
      </c>
      <c r="AD419" s="81">
        <v>0</v>
      </c>
      <c r="AE419" s="81">
        <v>0</v>
      </c>
      <c r="AF419" s="81">
        <v>0</v>
      </c>
      <c r="AG419" s="81">
        <v>0</v>
      </c>
      <c r="AH419" s="81">
        <v>0</v>
      </c>
      <c r="AI419" s="81">
        <v>0</v>
      </c>
      <c r="AJ419" s="81">
        <v>0</v>
      </c>
      <c r="AK419" s="81">
        <v>0</v>
      </c>
      <c r="AL419" s="81">
        <v>0</v>
      </c>
      <c r="AM419" s="80">
        <v>0</v>
      </c>
      <c r="AN419" s="80">
        <v>0</v>
      </c>
      <c r="AO419" s="80">
        <v>0</v>
      </c>
    </row>
    <row r="420" spans="1:41" ht="15.75" x14ac:dyDescent="0.25">
      <c r="A420" s="84"/>
      <c r="B420" s="84"/>
      <c r="C420" s="84"/>
      <c r="D420" s="80" t="s">
        <v>246</v>
      </c>
      <c r="E420" s="80">
        <v>0</v>
      </c>
      <c r="F420" s="80">
        <v>0</v>
      </c>
      <c r="G420" s="80">
        <v>0</v>
      </c>
      <c r="H420" s="80">
        <v>0</v>
      </c>
      <c r="I420" s="81">
        <v>1</v>
      </c>
      <c r="J420" s="80">
        <v>1</v>
      </c>
      <c r="K420" s="80">
        <v>0</v>
      </c>
      <c r="L420" s="80">
        <v>0</v>
      </c>
      <c r="M420" s="80">
        <v>1</v>
      </c>
      <c r="N420" s="81">
        <v>1</v>
      </c>
      <c r="O420" s="81">
        <v>1</v>
      </c>
      <c r="P420" s="80">
        <v>1</v>
      </c>
      <c r="Q420" s="81">
        <v>1</v>
      </c>
      <c r="R420" s="80">
        <v>0</v>
      </c>
      <c r="S420" s="80">
        <v>0</v>
      </c>
      <c r="T420" s="81">
        <v>0</v>
      </c>
      <c r="U420" s="81">
        <v>2</v>
      </c>
      <c r="V420" s="81">
        <v>1</v>
      </c>
      <c r="W420" s="81">
        <v>0</v>
      </c>
      <c r="X420" s="81">
        <v>0</v>
      </c>
      <c r="Y420" s="81">
        <v>0</v>
      </c>
      <c r="Z420" s="81">
        <v>0</v>
      </c>
      <c r="AA420" s="81">
        <v>0</v>
      </c>
      <c r="AB420" s="81">
        <v>0</v>
      </c>
      <c r="AC420" s="81">
        <v>0</v>
      </c>
      <c r="AD420" s="81">
        <v>0</v>
      </c>
      <c r="AE420" s="81">
        <v>0</v>
      </c>
      <c r="AF420" s="81">
        <v>0</v>
      </c>
      <c r="AG420" s="81">
        <v>0</v>
      </c>
      <c r="AH420" s="81">
        <v>0</v>
      </c>
      <c r="AI420" s="81">
        <v>0</v>
      </c>
      <c r="AJ420" s="81">
        <v>0</v>
      </c>
      <c r="AK420" s="81">
        <v>0</v>
      </c>
      <c r="AL420" s="81">
        <v>0</v>
      </c>
      <c r="AM420" s="80">
        <v>0</v>
      </c>
      <c r="AN420" s="80">
        <v>0</v>
      </c>
      <c r="AO420" s="80">
        <v>0</v>
      </c>
    </row>
    <row r="421" spans="1:41" ht="15.75" x14ac:dyDescent="0.25">
      <c r="A421" s="84"/>
      <c r="B421" s="84"/>
      <c r="C421" s="84"/>
      <c r="D421" s="80" t="s">
        <v>247</v>
      </c>
      <c r="E421" s="80">
        <v>0</v>
      </c>
      <c r="F421" s="80">
        <v>0</v>
      </c>
      <c r="G421" s="80">
        <v>0</v>
      </c>
      <c r="H421" s="80">
        <v>0</v>
      </c>
      <c r="I421" s="81">
        <v>0</v>
      </c>
      <c r="J421" s="80">
        <v>0</v>
      </c>
      <c r="K421" s="80">
        <v>0</v>
      </c>
      <c r="L421" s="80">
        <v>0</v>
      </c>
      <c r="M421" s="80">
        <v>0</v>
      </c>
      <c r="N421" s="81">
        <v>0</v>
      </c>
      <c r="O421" s="81">
        <v>0</v>
      </c>
      <c r="P421" s="80">
        <v>0</v>
      </c>
      <c r="Q421" s="81">
        <v>0</v>
      </c>
      <c r="R421" s="80">
        <v>0</v>
      </c>
      <c r="S421" s="80">
        <v>0</v>
      </c>
      <c r="T421" s="81">
        <v>0</v>
      </c>
      <c r="U421" s="81">
        <v>0</v>
      </c>
      <c r="V421" s="81">
        <v>0</v>
      </c>
      <c r="W421" s="81">
        <v>0</v>
      </c>
      <c r="X421" s="81">
        <v>0</v>
      </c>
      <c r="Y421" s="81">
        <v>0</v>
      </c>
      <c r="Z421" s="81">
        <v>0</v>
      </c>
      <c r="AA421" s="81">
        <v>0</v>
      </c>
      <c r="AB421" s="81">
        <v>0</v>
      </c>
      <c r="AC421" s="81">
        <v>0</v>
      </c>
      <c r="AD421" s="81">
        <v>0</v>
      </c>
      <c r="AE421" s="81">
        <v>0</v>
      </c>
      <c r="AF421" s="81">
        <v>0</v>
      </c>
      <c r="AG421" s="81">
        <v>0</v>
      </c>
      <c r="AH421" s="81">
        <v>0</v>
      </c>
      <c r="AI421" s="81">
        <v>0</v>
      </c>
      <c r="AJ421" s="81">
        <v>0</v>
      </c>
      <c r="AK421" s="81">
        <v>0</v>
      </c>
      <c r="AL421" s="81">
        <v>0</v>
      </c>
      <c r="AM421" s="80">
        <v>0</v>
      </c>
      <c r="AN421" s="80">
        <v>0</v>
      </c>
      <c r="AO421" s="80">
        <v>0</v>
      </c>
    </row>
    <row r="422" spans="1:41" ht="15.75" x14ac:dyDescent="0.25">
      <c r="A422" s="84"/>
      <c r="B422" s="84"/>
      <c r="C422" s="84"/>
      <c r="D422" s="80" t="s">
        <v>248</v>
      </c>
      <c r="E422" s="80">
        <v>0</v>
      </c>
      <c r="F422" s="80">
        <v>0</v>
      </c>
      <c r="G422" s="80">
        <v>0</v>
      </c>
      <c r="H422" s="80">
        <v>0</v>
      </c>
      <c r="I422" s="81">
        <v>1</v>
      </c>
      <c r="J422" s="80">
        <v>1</v>
      </c>
      <c r="K422" s="80">
        <v>0</v>
      </c>
      <c r="L422" s="80">
        <v>0</v>
      </c>
      <c r="M422" s="80">
        <v>1</v>
      </c>
      <c r="N422" s="81">
        <v>1</v>
      </c>
      <c r="O422" s="81">
        <v>1</v>
      </c>
      <c r="P422" s="80">
        <v>1</v>
      </c>
      <c r="Q422" s="81">
        <v>1</v>
      </c>
      <c r="R422" s="80">
        <v>0</v>
      </c>
      <c r="S422" s="80">
        <v>0</v>
      </c>
      <c r="T422" s="81">
        <v>0</v>
      </c>
      <c r="U422" s="81">
        <v>0</v>
      </c>
      <c r="V422" s="81">
        <v>1</v>
      </c>
      <c r="W422" s="81">
        <v>0</v>
      </c>
      <c r="X422" s="81">
        <v>0</v>
      </c>
      <c r="Y422" s="81">
        <v>0</v>
      </c>
      <c r="Z422" s="81">
        <v>0</v>
      </c>
      <c r="AA422" s="81">
        <v>0</v>
      </c>
      <c r="AB422" s="81">
        <v>0</v>
      </c>
      <c r="AC422" s="81">
        <v>0</v>
      </c>
      <c r="AD422" s="81">
        <v>0</v>
      </c>
      <c r="AE422" s="81">
        <v>0</v>
      </c>
      <c r="AF422" s="81">
        <v>0</v>
      </c>
      <c r="AG422" s="81">
        <v>0</v>
      </c>
      <c r="AH422" s="81">
        <v>0</v>
      </c>
      <c r="AI422" s="81">
        <v>0</v>
      </c>
      <c r="AJ422" s="81">
        <v>0</v>
      </c>
      <c r="AK422" s="81">
        <v>0</v>
      </c>
      <c r="AL422" s="81">
        <v>0</v>
      </c>
      <c r="AM422" s="80">
        <v>0</v>
      </c>
      <c r="AN422" s="80">
        <v>0</v>
      </c>
      <c r="AO422" s="80">
        <v>0</v>
      </c>
    </row>
    <row r="423" spans="1:41" ht="15.75" x14ac:dyDescent="0.25">
      <c r="A423" s="84"/>
      <c r="B423" s="84"/>
      <c r="C423" s="84"/>
      <c r="D423" s="80" t="s">
        <v>258</v>
      </c>
      <c r="E423" s="80">
        <v>0</v>
      </c>
      <c r="F423" s="80">
        <v>0</v>
      </c>
      <c r="G423" s="80">
        <v>0</v>
      </c>
      <c r="H423" s="80">
        <v>0</v>
      </c>
      <c r="I423" s="80">
        <v>0</v>
      </c>
      <c r="J423" s="80">
        <v>0</v>
      </c>
      <c r="K423" s="80">
        <v>0</v>
      </c>
      <c r="L423" s="80">
        <v>0</v>
      </c>
      <c r="M423" s="80">
        <v>0</v>
      </c>
      <c r="N423" s="80">
        <v>0</v>
      </c>
      <c r="O423" s="80">
        <v>0</v>
      </c>
      <c r="P423" s="80">
        <v>0</v>
      </c>
      <c r="Q423" s="80">
        <v>0</v>
      </c>
      <c r="R423" s="80">
        <v>0</v>
      </c>
      <c r="S423" s="80">
        <v>0</v>
      </c>
      <c r="T423" s="80">
        <v>0</v>
      </c>
      <c r="U423" s="80">
        <v>2</v>
      </c>
      <c r="V423" s="80">
        <v>0</v>
      </c>
      <c r="W423" s="80">
        <v>0</v>
      </c>
      <c r="X423" s="80">
        <v>0</v>
      </c>
      <c r="Y423" s="80">
        <v>0</v>
      </c>
      <c r="Z423" s="80">
        <v>0</v>
      </c>
      <c r="AA423" s="80">
        <v>0</v>
      </c>
      <c r="AB423" s="80">
        <v>0</v>
      </c>
      <c r="AC423" s="80">
        <v>0</v>
      </c>
      <c r="AD423" s="80">
        <v>0</v>
      </c>
      <c r="AE423" s="80">
        <v>0</v>
      </c>
      <c r="AF423" s="80">
        <v>0</v>
      </c>
      <c r="AG423" s="80">
        <v>0</v>
      </c>
      <c r="AH423" s="80">
        <v>0</v>
      </c>
      <c r="AI423" s="80">
        <v>0</v>
      </c>
      <c r="AJ423" s="80">
        <v>0</v>
      </c>
      <c r="AK423" s="80">
        <v>0</v>
      </c>
      <c r="AL423" s="80">
        <v>0</v>
      </c>
      <c r="AM423" s="80">
        <v>0</v>
      </c>
      <c r="AN423" s="80">
        <v>0</v>
      </c>
      <c r="AO423" s="80">
        <v>0</v>
      </c>
    </row>
    <row r="424" spans="1:41" ht="15.75" x14ac:dyDescent="0.25">
      <c r="A424" s="84">
        <v>45</v>
      </c>
      <c r="B424" s="84"/>
      <c r="C424" s="84" t="s">
        <v>264</v>
      </c>
      <c r="D424" s="80" t="s">
        <v>245</v>
      </c>
      <c r="E424" s="438">
        <v>0</v>
      </c>
      <c r="F424" s="80">
        <v>0</v>
      </c>
      <c r="G424" s="80">
        <v>0</v>
      </c>
      <c r="H424" s="387">
        <v>1</v>
      </c>
      <c r="I424" s="387">
        <v>1</v>
      </c>
      <c r="J424" s="387">
        <v>1</v>
      </c>
      <c r="K424" s="80">
        <v>0</v>
      </c>
      <c r="L424" s="387">
        <v>1</v>
      </c>
      <c r="M424" s="80">
        <v>0</v>
      </c>
      <c r="N424" s="80">
        <v>0</v>
      </c>
      <c r="O424" s="80">
        <v>0</v>
      </c>
      <c r="P424" s="80">
        <v>0</v>
      </c>
      <c r="Q424" s="387">
        <v>1</v>
      </c>
      <c r="R424" s="80">
        <v>0</v>
      </c>
      <c r="S424" s="80">
        <v>0</v>
      </c>
      <c r="T424" s="80">
        <v>0</v>
      </c>
      <c r="U424" s="387">
        <v>2</v>
      </c>
      <c r="V424" s="80">
        <v>0</v>
      </c>
      <c r="W424" s="80">
        <v>0</v>
      </c>
      <c r="X424" s="80">
        <v>0</v>
      </c>
      <c r="Y424" s="80">
        <v>0</v>
      </c>
      <c r="Z424" s="80">
        <v>0</v>
      </c>
      <c r="AA424" s="80">
        <v>0</v>
      </c>
      <c r="AB424" s="80">
        <v>0</v>
      </c>
      <c r="AC424" s="80">
        <v>0</v>
      </c>
      <c r="AD424" s="80">
        <v>0</v>
      </c>
      <c r="AE424" s="80">
        <v>0</v>
      </c>
      <c r="AF424" s="80">
        <v>0</v>
      </c>
      <c r="AG424" s="80">
        <v>0</v>
      </c>
      <c r="AH424" s="80">
        <v>0</v>
      </c>
      <c r="AI424" s="80">
        <v>0</v>
      </c>
      <c r="AJ424" s="80">
        <v>0</v>
      </c>
      <c r="AK424" s="80">
        <v>0</v>
      </c>
      <c r="AL424" s="80">
        <v>0</v>
      </c>
      <c r="AM424" s="80">
        <v>0</v>
      </c>
      <c r="AN424" s="80">
        <v>0</v>
      </c>
      <c r="AO424" s="80">
        <v>0</v>
      </c>
    </row>
    <row r="425" spans="1:41" ht="15.75" x14ac:dyDescent="0.25">
      <c r="A425" s="84"/>
      <c r="B425" s="84"/>
      <c r="C425" s="84"/>
      <c r="D425" s="80" t="s">
        <v>246</v>
      </c>
      <c r="E425" s="80">
        <v>0</v>
      </c>
      <c r="F425" s="80">
        <v>0</v>
      </c>
      <c r="G425" s="80">
        <v>0</v>
      </c>
      <c r="H425" s="80">
        <v>1</v>
      </c>
      <c r="I425" s="80">
        <v>1</v>
      </c>
      <c r="J425" s="80">
        <v>1</v>
      </c>
      <c r="K425" s="80">
        <v>0</v>
      </c>
      <c r="L425" s="80">
        <v>1</v>
      </c>
      <c r="M425" s="80">
        <v>0</v>
      </c>
      <c r="N425" s="80">
        <v>0</v>
      </c>
      <c r="O425" s="80">
        <v>0</v>
      </c>
      <c r="P425" s="80">
        <v>0</v>
      </c>
      <c r="Q425" s="80">
        <v>1</v>
      </c>
      <c r="R425" s="80">
        <v>0</v>
      </c>
      <c r="S425" s="80">
        <v>0</v>
      </c>
      <c r="T425" s="80">
        <v>0</v>
      </c>
      <c r="U425" s="80">
        <v>2</v>
      </c>
      <c r="V425" s="80">
        <v>0</v>
      </c>
      <c r="W425" s="80">
        <v>0</v>
      </c>
      <c r="X425" s="80">
        <v>0</v>
      </c>
      <c r="Y425" s="80">
        <v>0</v>
      </c>
      <c r="Z425" s="80">
        <v>0</v>
      </c>
      <c r="AA425" s="80">
        <v>0</v>
      </c>
      <c r="AB425" s="80">
        <v>0</v>
      </c>
      <c r="AC425" s="80">
        <v>0</v>
      </c>
      <c r="AD425" s="80">
        <v>0</v>
      </c>
      <c r="AE425" s="80">
        <v>0</v>
      </c>
      <c r="AF425" s="80">
        <v>0</v>
      </c>
      <c r="AG425" s="80">
        <v>0</v>
      </c>
      <c r="AH425" s="80">
        <v>0</v>
      </c>
      <c r="AI425" s="80">
        <v>0</v>
      </c>
      <c r="AJ425" s="80">
        <v>0</v>
      </c>
      <c r="AK425" s="80">
        <v>0</v>
      </c>
      <c r="AL425" s="80">
        <v>0</v>
      </c>
      <c r="AM425" s="80">
        <v>0</v>
      </c>
      <c r="AN425" s="80">
        <v>0</v>
      </c>
      <c r="AO425" s="80">
        <v>0</v>
      </c>
    </row>
    <row r="426" spans="1:41" ht="15.75" x14ac:dyDescent="0.25">
      <c r="A426" s="84"/>
      <c r="B426" s="84"/>
      <c r="C426" s="84"/>
      <c r="D426" s="80" t="s">
        <v>247</v>
      </c>
      <c r="E426" s="80">
        <v>0</v>
      </c>
      <c r="F426" s="80">
        <v>0</v>
      </c>
      <c r="G426" s="80">
        <v>0</v>
      </c>
      <c r="H426" s="80">
        <v>0</v>
      </c>
      <c r="I426" s="80">
        <v>0</v>
      </c>
      <c r="J426" s="80">
        <v>0</v>
      </c>
      <c r="K426" s="80">
        <v>0</v>
      </c>
      <c r="L426" s="80">
        <v>0</v>
      </c>
      <c r="M426" s="80">
        <v>0</v>
      </c>
      <c r="N426" s="80">
        <v>0</v>
      </c>
      <c r="O426" s="80">
        <v>0</v>
      </c>
      <c r="P426" s="80">
        <v>0</v>
      </c>
      <c r="Q426" s="80">
        <v>0</v>
      </c>
      <c r="R426" s="80">
        <v>0</v>
      </c>
      <c r="S426" s="80">
        <v>0</v>
      </c>
      <c r="T426" s="80">
        <v>0</v>
      </c>
      <c r="U426" s="80">
        <v>0</v>
      </c>
      <c r="V426" s="80">
        <v>0</v>
      </c>
      <c r="W426" s="80">
        <v>0</v>
      </c>
      <c r="X426" s="80">
        <v>0</v>
      </c>
      <c r="Y426" s="80">
        <v>0</v>
      </c>
      <c r="Z426" s="80">
        <v>0</v>
      </c>
      <c r="AA426" s="80">
        <v>0</v>
      </c>
      <c r="AB426" s="80">
        <v>0</v>
      </c>
      <c r="AC426" s="80">
        <v>0</v>
      </c>
      <c r="AD426" s="80">
        <v>0</v>
      </c>
      <c r="AE426" s="80">
        <v>0</v>
      </c>
      <c r="AF426" s="80">
        <v>0</v>
      </c>
      <c r="AG426" s="80">
        <v>0</v>
      </c>
      <c r="AH426" s="80">
        <v>0</v>
      </c>
      <c r="AI426" s="80">
        <v>0</v>
      </c>
      <c r="AJ426" s="80">
        <v>0</v>
      </c>
      <c r="AK426" s="80">
        <v>0</v>
      </c>
      <c r="AL426" s="80">
        <v>0</v>
      </c>
      <c r="AM426" s="80">
        <v>0</v>
      </c>
      <c r="AN426" s="80">
        <v>0</v>
      </c>
      <c r="AO426" s="80">
        <v>0</v>
      </c>
    </row>
    <row r="427" spans="1:41" ht="15.75" x14ac:dyDescent="0.25">
      <c r="A427" s="84"/>
      <c r="B427" s="84"/>
      <c r="C427" s="84"/>
      <c r="D427" s="80" t="s">
        <v>248</v>
      </c>
      <c r="E427" s="80">
        <v>0</v>
      </c>
      <c r="F427" s="80">
        <v>0</v>
      </c>
      <c r="G427" s="80">
        <v>0</v>
      </c>
      <c r="H427" s="80">
        <v>1</v>
      </c>
      <c r="I427" s="80">
        <v>0</v>
      </c>
      <c r="J427" s="80">
        <v>1</v>
      </c>
      <c r="K427" s="80">
        <v>0</v>
      </c>
      <c r="L427" s="80">
        <v>1</v>
      </c>
      <c r="M427" s="80">
        <v>0</v>
      </c>
      <c r="N427" s="80">
        <v>0</v>
      </c>
      <c r="O427" s="80">
        <v>0</v>
      </c>
      <c r="P427" s="80">
        <v>0</v>
      </c>
      <c r="Q427" s="80">
        <v>1</v>
      </c>
      <c r="R427" s="80">
        <v>0</v>
      </c>
      <c r="S427" s="80">
        <v>0</v>
      </c>
      <c r="T427" s="80">
        <v>0</v>
      </c>
      <c r="U427" s="80">
        <v>2</v>
      </c>
      <c r="V427" s="80">
        <v>0</v>
      </c>
      <c r="W427" s="80">
        <v>0</v>
      </c>
      <c r="X427" s="80">
        <v>0</v>
      </c>
      <c r="Y427" s="80">
        <v>0</v>
      </c>
      <c r="Z427" s="80">
        <v>0</v>
      </c>
      <c r="AA427" s="80">
        <v>0</v>
      </c>
      <c r="AB427" s="80">
        <v>0</v>
      </c>
      <c r="AC427" s="80">
        <v>0</v>
      </c>
      <c r="AD427" s="80">
        <v>0</v>
      </c>
      <c r="AE427" s="80">
        <v>0</v>
      </c>
      <c r="AF427" s="80">
        <v>0</v>
      </c>
      <c r="AG427" s="80">
        <v>0</v>
      </c>
      <c r="AH427" s="80">
        <v>0</v>
      </c>
      <c r="AI427" s="80">
        <v>0</v>
      </c>
      <c r="AJ427" s="80">
        <v>0</v>
      </c>
      <c r="AK427" s="80">
        <v>0</v>
      </c>
      <c r="AL427" s="80">
        <v>0</v>
      </c>
      <c r="AM427" s="80">
        <v>0</v>
      </c>
      <c r="AN427" s="80">
        <v>0</v>
      </c>
      <c r="AO427" s="80">
        <v>0</v>
      </c>
    </row>
    <row r="428" spans="1:41" ht="15.75" x14ac:dyDescent="0.25">
      <c r="A428" s="84"/>
      <c r="B428" s="84"/>
      <c r="C428" s="84"/>
      <c r="D428" s="80" t="s">
        <v>258</v>
      </c>
      <c r="E428" s="80">
        <v>0</v>
      </c>
      <c r="F428" s="80">
        <v>0</v>
      </c>
      <c r="G428" s="80">
        <v>0</v>
      </c>
      <c r="H428" s="80">
        <v>0</v>
      </c>
      <c r="I428" s="80">
        <v>1</v>
      </c>
      <c r="J428" s="80">
        <v>0</v>
      </c>
      <c r="K428" s="80">
        <v>0</v>
      </c>
      <c r="L428" s="80">
        <v>0</v>
      </c>
      <c r="M428" s="80">
        <v>0</v>
      </c>
      <c r="N428" s="80">
        <v>0</v>
      </c>
      <c r="O428" s="80">
        <v>0</v>
      </c>
      <c r="P428" s="80">
        <v>0</v>
      </c>
      <c r="Q428" s="80">
        <v>0</v>
      </c>
      <c r="R428" s="80">
        <v>0</v>
      </c>
      <c r="S428" s="80">
        <v>0</v>
      </c>
      <c r="T428" s="80">
        <v>0</v>
      </c>
      <c r="U428" s="80">
        <v>0</v>
      </c>
      <c r="V428" s="80">
        <v>0</v>
      </c>
      <c r="W428" s="80">
        <v>0</v>
      </c>
      <c r="X428" s="80">
        <v>0</v>
      </c>
      <c r="Y428" s="80">
        <v>0</v>
      </c>
      <c r="Z428" s="80">
        <v>0</v>
      </c>
      <c r="AA428" s="80">
        <v>0</v>
      </c>
      <c r="AB428" s="80">
        <v>0</v>
      </c>
      <c r="AC428" s="80">
        <v>0</v>
      </c>
      <c r="AD428" s="80">
        <v>0</v>
      </c>
      <c r="AE428" s="80">
        <v>0</v>
      </c>
      <c r="AF428" s="80">
        <v>0</v>
      </c>
      <c r="AG428" s="80">
        <v>0</v>
      </c>
      <c r="AH428" s="80">
        <v>0</v>
      </c>
      <c r="AI428" s="80">
        <v>0</v>
      </c>
      <c r="AJ428" s="80">
        <v>0</v>
      </c>
      <c r="AK428" s="80">
        <v>0</v>
      </c>
      <c r="AL428" s="80">
        <v>0</v>
      </c>
      <c r="AM428" s="80">
        <v>0</v>
      </c>
      <c r="AN428" s="80">
        <v>0</v>
      </c>
      <c r="AO428" s="80">
        <v>0</v>
      </c>
    </row>
    <row r="429" spans="1:41" ht="15.75" x14ac:dyDescent="0.25">
      <c r="A429" s="84">
        <v>46</v>
      </c>
      <c r="B429" s="84"/>
      <c r="C429" s="84" t="s">
        <v>265</v>
      </c>
      <c r="D429" s="80" t="s">
        <v>245</v>
      </c>
      <c r="E429" s="438">
        <v>0</v>
      </c>
      <c r="F429" s="80">
        <v>0</v>
      </c>
      <c r="G429" s="80">
        <v>0</v>
      </c>
      <c r="H429" s="80">
        <v>0</v>
      </c>
      <c r="I429" s="387">
        <v>1</v>
      </c>
      <c r="J429" s="80">
        <v>0</v>
      </c>
      <c r="K429" s="80">
        <v>0</v>
      </c>
      <c r="L429" s="80">
        <v>0</v>
      </c>
      <c r="M429" s="80">
        <v>0</v>
      </c>
      <c r="N429" s="80">
        <v>0</v>
      </c>
      <c r="O429" s="80">
        <v>0</v>
      </c>
      <c r="P429" s="80">
        <v>0</v>
      </c>
      <c r="Q429" s="387">
        <v>1</v>
      </c>
      <c r="R429" s="80">
        <v>0</v>
      </c>
      <c r="S429" s="80">
        <v>0</v>
      </c>
      <c r="T429" s="80">
        <v>0</v>
      </c>
      <c r="U429" s="387">
        <v>2</v>
      </c>
      <c r="V429" s="387">
        <v>1</v>
      </c>
      <c r="W429" s="80">
        <v>0</v>
      </c>
      <c r="X429" s="80">
        <v>0</v>
      </c>
      <c r="Y429" s="80">
        <v>0</v>
      </c>
      <c r="Z429" s="387">
        <v>1</v>
      </c>
      <c r="AA429" s="80">
        <v>0</v>
      </c>
      <c r="AB429" s="387">
        <v>1</v>
      </c>
      <c r="AC429" s="80">
        <v>0</v>
      </c>
      <c r="AD429" s="387">
        <v>1</v>
      </c>
      <c r="AE429" s="387">
        <v>1</v>
      </c>
      <c r="AF429" s="80">
        <v>0</v>
      </c>
      <c r="AG429" s="80">
        <v>0</v>
      </c>
      <c r="AH429" s="80">
        <v>0</v>
      </c>
      <c r="AI429" s="80">
        <v>0</v>
      </c>
      <c r="AJ429" s="80">
        <v>0</v>
      </c>
      <c r="AK429" s="80">
        <v>0</v>
      </c>
      <c r="AL429" s="80">
        <v>0</v>
      </c>
      <c r="AM429" s="80">
        <v>0</v>
      </c>
      <c r="AN429" s="80">
        <v>0</v>
      </c>
      <c r="AO429" s="80">
        <v>0</v>
      </c>
    </row>
    <row r="430" spans="1:41" ht="15.75" x14ac:dyDescent="0.25">
      <c r="A430" s="84"/>
      <c r="B430" s="84"/>
      <c r="C430" s="84"/>
      <c r="D430" s="80" t="s">
        <v>246</v>
      </c>
      <c r="E430" s="80">
        <v>0</v>
      </c>
      <c r="F430" s="80">
        <v>0</v>
      </c>
      <c r="G430" s="80">
        <v>0</v>
      </c>
      <c r="H430" s="80">
        <v>0</v>
      </c>
      <c r="I430" s="80">
        <v>1</v>
      </c>
      <c r="J430" s="80">
        <v>0</v>
      </c>
      <c r="K430" s="80">
        <v>0</v>
      </c>
      <c r="L430" s="80">
        <v>0</v>
      </c>
      <c r="M430" s="80">
        <v>0</v>
      </c>
      <c r="N430" s="80">
        <v>0</v>
      </c>
      <c r="O430" s="80">
        <v>0</v>
      </c>
      <c r="P430" s="80">
        <v>0</v>
      </c>
      <c r="Q430" s="80">
        <v>1</v>
      </c>
      <c r="R430" s="80">
        <v>0</v>
      </c>
      <c r="S430" s="80">
        <v>0</v>
      </c>
      <c r="T430" s="80">
        <v>0</v>
      </c>
      <c r="U430" s="80">
        <v>2</v>
      </c>
      <c r="V430" s="80">
        <v>1</v>
      </c>
      <c r="W430" s="80">
        <v>0</v>
      </c>
      <c r="X430" s="80">
        <v>0</v>
      </c>
      <c r="Y430" s="80">
        <v>0</v>
      </c>
      <c r="Z430" s="80">
        <v>1</v>
      </c>
      <c r="AA430" s="80">
        <v>0</v>
      </c>
      <c r="AB430" s="80">
        <v>1</v>
      </c>
      <c r="AC430" s="80">
        <v>0</v>
      </c>
      <c r="AD430" s="80">
        <v>1</v>
      </c>
      <c r="AE430" s="80">
        <v>1</v>
      </c>
      <c r="AF430" s="80">
        <v>0</v>
      </c>
      <c r="AG430" s="80">
        <v>0</v>
      </c>
      <c r="AH430" s="80">
        <v>0</v>
      </c>
      <c r="AI430" s="80">
        <v>0</v>
      </c>
      <c r="AJ430" s="80">
        <v>0</v>
      </c>
      <c r="AK430" s="80">
        <v>0</v>
      </c>
      <c r="AL430" s="80">
        <v>0</v>
      </c>
      <c r="AM430" s="80">
        <v>0</v>
      </c>
      <c r="AN430" s="80">
        <v>0</v>
      </c>
      <c r="AO430" s="80">
        <v>0</v>
      </c>
    </row>
    <row r="431" spans="1:41" ht="15.75" x14ac:dyDescent="0.25">
      <c r="A431" s="84"/>
      <c r="B431" s="84"/>
      <c r="C431" s="84"/>
      <c r="D431" s="80" t="s">
        <v>247</v>
      </c>
      <c r="E431" s="80">
        <v>0</v>
      </c>
      <c r="F431" s="80">
        <v>0</v>
      </c>
      <c r="G431" s="80">
        <v>0</v>
      </c>
      <c r="H431" s="80">
        <v>0</v>
      </c>
      <c r="I431" s="80">
        <v>0</v>
      </c>
      <c r="J431" s="80">
        <v>0</v>
      </c>
      <c r="K431" s="80">
        <v>0</v>
      </c>
      <c r="L431" s="80">
        <v>0</v>
      </c>
      <c r="M431" s="80">
        <v>0</v>
      </c>
      <c r="N431" s="80">
        <v>0</v>
      </c>
      <c r="O431" s="80">
        <v>0</v>
      </c>
      <c r="P431" s="80">
        <v>0</v>
      </c>
      <c r="Q431" s="80">
        <v>0</v>
      </c>
      <c r="R431" s="80">
        <v>0</v>
      </c>
      <c r="S431" s="80">
        <v>0</v>
      </c>
      <c r="T431" s="80">
        <v>0</v>
      </c>
      <c r="U431" s="80">
        <v>0</v>
      </c>
      <c r="V431" s="80">
        <v>0</v>
      </c>
      <c r="W431" s="80">
        <v>0</v>
      </c>
      <c r="X431" s="80">
        <v>0</v>
      </c>
      <c r="Y431" s="80">
        <v>0</v>
      </c>
      <c r="Z431" s="80">
        <v>0</v>
      </c>
      <c r="AA431" s="80">
        <v>0</v>
      </c>
      <c r="AB431" s="80">
        <v>0</v>
      </c>
      <c r="AC431" s="80">
        <v>0</v>
      </c>
      <c r="AD431" s="80">
        <v>0</v>
      </c>
      <c r="AE431" s="80">
        <v>0</v>
      </c>
      <c r="AF431" s="80">
        <v>0</v>
      </c>
      <c r="AG431" s="80">
        <v>0</v>
      </c>
      <c r="AH431" s="80">
        <v>0</v>
      </c>
      <c r="AI431" s="80">
        <v>0</v>
      </c>
      <c r="AJ431" s="80">
        <v>0</v>
      </c>
      <c r="AK431" s="80">
        <v>0</v>
      </c>
      <c r="AL431" s="80">
        <v>0</v>
      </c>
      <c r="AM431" s="80">
        <v>0</v>
      </c>
      <c r="AN431" s="80">
        <v>0</v>
      </c>
      <c r="AO431" s="80">
        <v>0</v>
      </c>
    </row>
    <row r="432" spans="1:41" ht="15.75" x14ac:dyDescent="0.25">
      <c r="A432" s="84"/>
      <c r="B432" s="84"/>
      <c r="C432" s="84"/>
      <c r="D432" s="80" t="s">
        <v>248</v>
      </c>
      <c r="E432" s="80">
        <v>0</v>
      </c>
      <c r="F432" s="80">
        <v>0</v>
      </c>
      <c r="G432" s="80">
        <v>0</v>
      </c>
      <c r="H432" s="80">
        <v>0</v>
      </c>
      <c r="I432" s="80">
        <v>1</v>
      </c>
      <c r="J432" s="80">
        <v>0</v>
      </c>
      <c r="K432" s="80">
        <v>0</v>
      </c>
      <c r="L432" s="80">
        <v>0</v>
      </c>
      <c r="M432" s="80">
        <v>0</v>
      </c>
      <c r="N432" s="80">
        <v>0</v>
      </c>
      <c r="O432" s="80">
        <v>0</v>
      </c>
      <c r="P432" s="80">
        <v>0</v>
      </c>
      <c r="Q432" s="80">
        <v>1</v>
      </c>
      <c r="R432" s="80">
        <v>0</v>
      </c>
      <c r="S432" s="80">
        <v>0</v>
      </c>
      <c r="T432" s="80">
        <v>0</v>
      </c>
      <c r="U432" s="80">
        <v>2</v>
      </c>
      <c r="V432" s="80">
        <v>1</v>
      </c>
      <c r="W432" s="80">
        <v>0</v>
      </c>
      <c r="X432" s="80">
        <v>0</v>
      </c>
      <c r="Y432" s="80">
        <v>0</v>
      </c>
      <c r="Z432" s="80">
        <v>1</v>
      </c>
      <c r="AA432" s="80">
        <v>0</v>
      </c>
      <c r="AB432" s="80">
        <v>1</v>
      </c>
      <c r="AC432" s="80">
        <v>0</v>
      </c>
      <c r="AD432" s="80">
        <v>1</v>
      </c>
      <c r="AE432" s="80">
        <v>1</v>
      </c>
      <c r="AF432" s="80">
        <v>0</v>
      </c>
      <c r="AG432" s="80">
        <v>0</v>
      </c>
      <c r="AH432" s="80">
        <v>0</v>
      </c>
      <c r="AI432" s="80">
        <v>0</v>
      </c>
      <c r="AJ432" s="80">
        <v>0</v>
      </c>
      <c r="AK432" s="80">
        <v>0</v>
      </c>
      <c r="AL432" s="80">
        <v>0</v>
      </c>
      <c r="AM432" s="80">
        <v>0</v>
      </c>
      <c r="AN432" s="80">
        <v>0</v>
      </c>
      <c r="AO432" s="80">
        <v>0</v>
      </c>
    </row>
    <row r="433" spans="1:41" ht="15.75" x14ac:dyDescent="0.25">
      <c r="A433" s="84"/>
      <c r="B433" s="84"/>
      <c r="C433" s="84"/>
      <c r="D433" s="80" t="s">
        <v>258</v>
      </c>
      <c r="E433" s="80">
        <v>0</v>
      </c>
      <c r="F433" s="80">
        <v>0</v>
      </c>
      <c r="G433" s="80">
        <v>0</v>
      </c>
      <c r="H433" s="80">
        <v>0</v>
      </c>
      <c r="I433" s="80">
        <v>0</v>
      </c>
      <c r="J433" s="80">
        <v>0</v>
      </c>
      <c r="K433" s="80">
        <v>0</v>
      </c>
      <c r="L433" s="80">
        <v>0</v>
      </c>
      <c r="M433" s="80">
        <v>0</v>
      </c>
      <c r="N433" s="80">
        <v>0</v>
      </c>
      <c r="O433" s="80">
        <v>0</v>
      </c>
      <c r="P433" s="80">
        <v>0</v>
      </c>
      <c r="Q433" s="80">
        <v>0</v>
      </c>
      <c r="R433" s="80">
        <v>0</v>
      </c>
      <c r="S433" s="80">
        <v>0</v>
      </c>
      <c r="T433" s="80">
        <v>0</v>
      </c>
      <c r="U433" s="80">
        <v>0</v>
      </c>
      <c r="V433" s="80">
        <v>0</v>
      </c>
      <c r="W433" s="80">
        <v>0</v>
      </c>
      <c r="X433" s="80">
        <v>0</v>
      </c>
      <c r="Y433" s="80">
        <v>0</v>
      </c>
      <c r="Z433" s="80">
        <v>0</v>
      </c>
      <c r="AA433" s="80">
        <v>0</v>
      </c>
      <c r="AB433" s="80">
        <v>0</v>
      </c>
      <c r="AC433" s="80">
        <v>0</v>
      </c>
      <c r="AD433" s="80">
        <v>0</v>
      </c>
      <c r="AE433" s="80">
        <v>0</v>
      </c>
      <c r="AF433" s="80">
        <v>0</v>
      </c>
      <c r="AG433" s="80">
        <v>0</v>
      </c>
      <c r="AH433" s="80">
        <v>0</v>
      </c>
      <c r="AI433" s="80">
        <v>0</v>
      </c>
      <c r="AJ433" s="80">
        <v>0</v>
      </c>
      <c r="AK433" s="80">
        <v>0</v>
      </c>
      <c r="AL433" s="80">
        <v>0</v>
      </c>
      <c r="AM433" s="80">
        <v>0</v>
      </c>
      <c r="AN433" s="80">
        <v>0</v>
      </c>
      <c r="AO433" s="80">
        <v>0</v>
      </c>
    </row>
    <row r="434" spans="1:41" ht="15.75" x14ac:dyDescent="0.25">
      <c r="A434" s="84"/>
      <c r="B434" s="84"/>
      <c r="C434" s="84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  <c r="AH434" s="80"/>
      <c r="AI434" s="80"/>
      <c r="AJ434" s="80"/>
      <c r="AK434" s="80"/>
      <c r="AL434" s="80"/>
      <c r="AM434" s="147"/>
      <c r="AN434" s="147"/>
      <c r="AO434" s="147"/>
    </row>
    <row r="435" spans="1:41" ht="18.75" x14ac:dyDescent="0.3">
      <c r="A435" s="145"/>
      <c r="B435" s="145"/>
      <c r="C435" s="146" t="s">
        <v>771</v>
      </c>
      <c r="D435" s="135" t="s">
        <v>245</v>
      </c>
      <c r="E435" s="135">
        <f>E224+E229+E234+E239+E244+E249+E254+E259+E264+E269+E274+E279+E284+E289+E294+E299+E304+E309+E314+E319+E324+E329+E334+E339+E344+E349+E354+E359+E364+E369+E374+E379+E384+E389+E394+E399+E404+E409+E414+E419+E424+E429</f>
        <v>0</v>
      </c>
      <c r="F435" s="135">
        <f t="shared" ref="F435:H435" si="5">F224+F229+F234+F239+F244+F249+F254+F259+F264+F269+F274+F279+F284+F289+F294+F299+F304+F309+F314+F319+F324+F329+F334+F339+F344+F349+F354+F359+F364+F369+F374+F379+F384+F389+F394+F399+F404+F409+F414+F419+F424+F429</f>
        <v>1</v>
      </c>
      <c r="G435" s="135">
        <f t="shared" si="5"/>
        <v>3</v>
      </c>
      <c r="H435" s="135">
        <f t="shared" si="5"/>
        <v>39</v>
      </c>
      <c r="I435" s="135">
        <f t="shared" ref="I435:AO435" si="6">I224+I229+I234+I239+I244+I249+I254+I259+I264+I269+I274+I279+I284+I289+I294+I299+I304+I309+I314+I319+I324+I329+I334+I339+I344+I349+I354+I359+I364+I369+I374+I379+I384+I389+I394+I399+I404+I409+I414+I419+I424+I429</f>
        <v>63</v>
      </c>
      <c r="J435" s="135">
        <f t="shared" si="6"/>
        <v>48</v>
      </c>
      <c r="K435" s="135">
        <f t="shared" si="6"/>
        <v>4</v>
      </c>
      <c r="L435" s="135">
        <f t="shared" si="6"/>
        <v>6</v>
      </c>
      <c r="M435" s="135">
        <f t="shared" si="6"/>
        <v>7</v>
      </c>
      <c r="N435" s="135">
        <f t="shared" si="6"/>
        <v>15</v>
      </c>
      <c r="O435" s="135">
        <f t="shared" si="6"/>
        <v>41</v>
      </c>
      <c r="P435" s="135">
        <f t="shared" si="6"/>
        <v>6</v>
      </c>
      <c r="Q435" s="135">
        <f t="shared" si="6"/>
        <v>43</v>
      </c>
      <c r="R435" s="135">
        <f t="shared" si="6"/>
        <v>17</v>
      </c>
      <c r="S435" s="135">
        <f t="shared" si="6"/>
        <v>0</v>
      </c>
      <c r="T435" s="135">
        <f t="shared" si="6"/>
        <v>6</v>
      </c>
      <c r="U435" s="135">
        <f t="shared" si="6"/>
        <v>69</v>
      </c>
      <c r="V435" s="135">
        <f t="shared" si="6"/>
        <v>48</v>
      </c>
      <c r="W435" s="135">
        <f t="shared" si="6"/>
        <v>19</v>
      </c>
      <c r="X435" s="135">
        <f t="shared" si="6"/>
        <v>10</v>
      </c>
      <c r="Y435" s="135">
        <f t="shared" si="6"/>
        <v>3</v>
      </c>
      <c r="Z435" s="135">
        <f t="shared" si="6"/>
        <v>35</v>
      </c>
      <c r="AA435" s="135">
        <f t="shared" si="6"/>
        <v>26</v>
      </c>
      <c r="AB435" s="135">
        <f t="shared" si="6"/>
        <v>22</v>
      </c>
      <c r="AC435" s="135">
        <f t="shared" si="6"/>
        <v>13</v>
      </c>
      <c r="AD435" s="135">
        <f t="shared" si="6"/>
        <v>11</v>
      </c>
      <c r="AE435" s="135">
        <f t="shared" si="6"/>
        <v>21</v>
      </c>
      <c r="AF435" s="135">
        <f t="shared" si="6"/>
        <v>6</v>
      </c>
      <c r="AG435" s="135">
        <f t="shared" si="6"/>
        <v>30</v>
      </c>
      <c r="AH435" s="135">
        <f t="shared" si="6"/>
        <v>21</v>
      </c>
      <c r="AI435" s="135">
        <f t="shared" si="6"/>
        <v>2</v>
      </c>
      <c r="AJ435" s="135">
        <f t="shared" si="6"/>
        <v>0</v>
      </c>
      <c r="AK435" s="135">
        <f t="shared" si="6"/>
        <v>0</v>
      </c>
      <c r="AL435" s="135">
        <f t="shared" si="6"/>
        <v>1</v>
      </c>
      <c r="AM435" s="135">
        <f t="shared" si="6"/>
        <v>15</v>
      </c>
      <c r="AN435" s="135">
        <f t="shared" si="6"/>
        <v>6</v>
      </c>
      <c r="AO435" s="135">
        <f t="shared" si="6"/>
        <v>2</v>
      </c>
    </row>
    <row r="436" spans="1:41" ht="18.75" x14ac:dyDescent="0.3">
      <c r="A436" s="145"/>
      <c r="B436" s="145"/>
      <c r="C436" s="146"/>
      <c r="D436" s="135" t="s">
        <v>246</v>
      </c>
      <c r="E436" s="135">
        <f t="shared" ref="E436:G439" si="7">E225+E230+E235+E240+E245+E250+E255+E260+E265+E270+E275+E280+E285+E290+E295+E300+E305+E310+E315+E320+E325+E330+E335+E340+E345+E350+E355+E360+E365+E370+E375+E380+E385+E390+E395+E400+E405+E410+E415+E420+E425+E430</f>
        <v>8</v>
      </c>
      <c r="F436" s="135">
        <f t="shared" si="7"/>
        <v>1</v>
      </c>
      <c r="G436" s="135">
        <f t="shared" si="7"/>
        <v>3</v>
      </c>
      <c r="H436" s="135">
        <f t="shared" ref="H436:AO436" si="8">H225+H230+H235+H240+H245+H250+H255+H260+H265+H270+H275+H280+H285+H290+H295+H300+H305+H310+H315+H320+H325+H330+H335+H340+H345+H350+H355+H360+H365+H370+H375+H380+H385+H390+H395+H400+H405+H410+H415+H420+H425+H430</f>
        <v>35</v>
      </c>
      <c r="I436" s="135">
        <f t="shared" si="8"/>
        <v>51</v>
      </c>
      <c r="J436" s="135">
        <f t="shared" si="8"/>
        <v>49</v>
      </c>
      <c r="K436" s="135">
        <f t="shared" si="8"/>
        <v>4</v>
      </c>
      <c r="L436" s="135">
        <f t="shared" si="8"/>
        <v>4</v>
      </c>
      <c r="M436" s="135">
        <f t="shared" si="8"/>
        <v>6</v>
      </c>
      <c r="N436" s="135">
        <f t="shared" si="8"/>
        <v>15</v>
      </c>
      <c r="O436" s="135">
        <f t="shared" si="8"/>
        <v>41</v>
      </c>
      <c r="P436" s="135">
        <f t="shared" si="8"/>
        <v>5</v>
      </c>
      <c r="Q436" s="135">
        <f t="shared" si="8"/>
        <v>41</v>
      </c>
      <c r="R436" s="135">
        <f t="shared" si="8"/>
        <v>16</v>
      </c>
      <c r="S436" s="135">
        <f t="shared" si="8"/>
        <v>0</v>
      </c>
      <c r="T436" s="135">
        <f t="shared" si="8"/>
        <v>6</v>
      </c>
      <c r="U436" s="135">
        <f t="shared" si="8"/>
        <v>69</v>
      </c>
      <c r="V436" s="135">
        <f t="shared" si="8"/>
        <v>48</v>
      </c>
      <c r="W436" s="135">
        <f t="shared" si="8"/>
        <v>19</v>
      </c>
      <c r="X436" s="135">
        <f t="shared" si="8"/>
        <v>10</v>
      </c>
      <c r="Y436" s="135">
        <f t="shared" si="8"/>
        <v>3</v>
      </c>
      <c r="Z436" s="135">
        <f t="shared" si="8"/>
        <v>35</v>
      </c>
      <c r="AA436" s="135">
        <f t="shared" si="8"/>
        <v>26</v>
      </c>
      <c r="AB436" s="135">
        <f t="shared" si="8"/>
        <v>22</v>
      </c>
      <c r="AC436" s="135">
        <f t="shared" si="8"/>
        <v>13</v>
      </c>
      <c r="AD436" s="135">
        <f t="shared" si="8"/>
        <v>11</v>
      </c>
      <c r="AE436" s="135">
        <f t="shared" si="8"/>
        <v>21</v>
      </c>
      <c r="AF436" s="135">
        <f t="shared" si="8"/>
        <v>6</v>
      </c>
      <c r="AG436" s="135">
        <f t="shared" si="8"/>
        <v>29</v>
      </c>
      <c r="AH436" s="135">
        <f t="shared" si="8"/>
        <v>20</v>
      </c>
      <c r="AI436" s="135">
        <f t="shared" si="8"/>
        <v>2</v>
      </c>
      <c r="AJ436" s="135">
        <f t="shared" si="8"/>
        <v>0</v>
      </c>
      <c r="AK436" s="135">
        <f t="shared" si="8"/>
        <v>0</v>
      </c>
      <c r="AL436" s="135">
        <f t="shared" si="8"/>
        <v>1</v>
      </c>
      <c r="AM436" s="135">
        <f t="shared" si="8"/>
        <v>15</v>
      </c>
      <c r="AN436" s="135">
        <f t="shared" si="8"/>
        <v>6</v>
      </c>
      <c r="AO436" s="135">
        <f t="shared" si="8"/>
        <v>2</v>
      </c>
    </row>
    <row r="437" spans="1:41" ht="18.75" x14ac:dyDescent="0.3">
      <c r="A437" s="145"/>
      <c r="B437" s="145"/>
      <c r="C437" s="146"/>
      <c r="D437" s="135" t="s">
        <v>247</v>
      </c>
      <c r="E437" s="135">
        <f t="shared" si="7"/>
        <v>0</v>
      </c>
      <c r="F437" s="135">
        <f t="shared" si="7"/>
        <v>0</v>
      </c>
      <c r="G437" s="135">
        <f t="shared" si="7"/>
        <v>0</v>
      </c>
      <c r="H437" s="135">
        <f t="shared" ref="H437:AO437" si="9">H226+H231+H236+H241+H246+H251+H256+H261+H266+H271+H276+H281+H286+H291+H296+H301+H306+H311+H316+H321+H326+H331+H336+H341+H346+H351+H356+H361+H366+H371+H376+H381+H386+H391+H396+H401+H406+H411+H416+H421+H426+H431</f>
        <v>5</v>
      </c>
      <c r="I437" s="135">
        <f t="shared" si="9"/>
        <v>8</v>
      </c>
      <c r="J437" s="135">
        <f t="shared" si="9"/>
        <v>0</v>
      </c>
      <c r="K437" s="135">
        <f t="shared" si="9"/>
        <v>0</v>
      </c>
      <c r="L437" s="135">
        <f t="shared" si="9"/>
        <v>1</v>
      </c>
      <c r="M437" s="135">
        <f t="shared" si="9"/>
        <v>1</v>
      </c>
      <c r="N437" s="135">
        <f t="shared" si="9"/>
        <v>0</v>
      </c>
      <c r="O437" s="135">
        <f t="shared" si="9"/>
        <v>0</v>
      </c>
      <c r="P437" s="135">
        <f t="shared" si="9"/>
        <v>1</v>
      </c>
      <c r="Q437" s="135">
        <f t="shared" si="9"/>
        <v>2</v>
      </c>
      <c r="R437" s="135">
        <f t="shared" si="9"/>
        <v>1</v>
      </c>
      <c r="S437" s="135">
        <f t="shared" si="9"/>
        <v>1</v>
      </c>
      <c r="T437" s="135">
        <f t="shared" si="9"/>
        <v>1</v>
      </c>
      <c r="U437" s="135">
        <f t="shared" si="9"/>
        <v>0</v>
      </c>
      <c r="V437" s="135">
        <f t="shared" si="9"/>
        <v>0</v>
      </c>
      <c r="W437" s="135">
        <f t="shared" si="9"/>
        <v>0</v>
      </c>
      <c r="X437" s="135">
        <f t="shared" si="9"/>
        <v>0</v>
      </c>
      <c r="Y437" s="135">
        <f t="shared" si="9"/>
        <v>0</v>
      </c>
      <c r="Z437" s="135">
        <f t="shared" si="9"/>
        <v>0</v>
      </c>
      <c r="AA437" s="135">
        <f t="shared" si="9"/>
        <v>0</v>
      </c>
      <c r="AB437" s="135">
        <f t="shared" si="9"/>
        <v>0</v>
      </c>
      <c r="AC437" s="135">
        <f t="shared" si="9"/>
        <v>0</v>
      </c>
      <c r="AD437" s="135">
        <f t="shared" si="9"/>
        <v>0</v>
      </c>
      <c r="AE437" s="135">
        <f t="shared" si="9"/>
        <v>0</v>
      </c>
      <c r="AF437" s="135">
        <f t="shared" si="9"/>
        <v>0</v>
      </c>
      <c r="AG437" s="135">
        <f t="shared" si="9"/>
        <v>1</v>
      </c>
      <c r="AH437" s="135">
        <f t="shared" si="9"/>
        <v>1</v>
      </c>
      <c r="AI437" s="135">
        <f t="shared" si="9"/>
        <v>0</v>
      </c>
      <c r="AJ437" s="135">
        <f t="shared" si="9"/>
        <v>0</v>
      </c>
      <c r="AK437" s="135">
        <f t="shared" si="9"/>
        <v>0</v>
      </c>
      <c r="AL437" s="135">
        <f t="shared" si="9"/>
        <v>0</v>
      </c>
      <c r="AM437" s="135">
        <f t="shared" si="9"/>
        <v>0</v>
      </c>
      <c r="AN437" s="135">
        <f t="shared" si="9"/>
        <v>0</v>
      </c>
      <c r="AO437" s="135">
        <f t="shared" si="9"/>
        <v>0</v>
      </c>
    </row>
    <row r="438" spans="1:41" ht="15.75" x14ac:dyDescent="0.25">
      <c r="A438" s="147"/>
      <c r="B438" s="147"/>
      <c r="C438" s="148"/>
      <c r="D438" s="135" t="s">
        <v>248</v>
      </c>
      <c r="E438" s="135">
        <f t="shared" si="7"/>
        <v>8</v>
      </c>
      <c r="F438" s="135">
        <f t="shared" si="7"/>
        <v>1</v>
      </c>
      <c r="G438" s="135">
        <f t="shared" si="7"/>
        <v>3</v>
      </c>
      <c r="H438" s="135">
        <f t="shared" ref="H438:AO438" si="10">H227+H232+H237+H242+H247+H252+H257+H262+H267+H272+H277+H282+H287+H292+H297+H302+H307+H312+H317+H322+H327+H332+H337+H342+H347+H352+H357+H362+H367+H372+H377+H382+H387+H392+H397+H402+H407+H412+H417+H422+H427+H432</f>
        <v>34</v>
      </c>
      <c r="I438" s="135">
        <f t="shared" si="10"/>
        <v>51</v>
      </c>
      <c r="J438" s="135">
        <f t="shared" si="10"/>
        <v>49</v>
      </c>
      <c r="K438" s="135">
        <f t="shared" si="10"/>
        <v>3</v>
      </c>
      <c r="L438" s="135">
        <f t="shared" si="10"/>
        <v>3</v>
      </c>
      <c r="M438" s="135">
        <f t="shared" si="10"/>
        <v>6</v>
      </c>
      <c r="N438" s="135">
        <f t="shared" si="10"/>
        <v>14</v>
      </c>
      <c r="O438" s="135">
        <f t="shared" si="10"/>
        <v>41</v>
      </c>
      <c r="P438" s="135">
        <f t="shared" si="10"/>
        <v>5</v>
      </c>
      <c r="Q438" s="135">
        <f t="shared" si="10"/>
        <v>36</v>
      </c>
      <c r="R438" s="135">
        <f t="shared" si="10"/>
        <v>10</v>
      </c>
      <c r="S438" s="135">
        <f t="shared" si="10"/>
        <v>0</v>
      </c>
      <c r="T438" s="135">
        <f t="shared" si="10"/>
        <v>5</v>
      </c>
      <c r="U438" s="135">
        <f t="shared" si="10"/>
        <v>65</v>
      </c>
      <c r="V438" s="135">
        <f t="shared" si="10"/>
        <v>44</v>
      </c>
      <c r="W438" s="135">
        <f t="shared" si="10"/>
        <v>14</v>
      </c>
      <c r="X438" s="135">
        <f t="shared" si="10"/>
        <v>10</v>
      </c>
      <c r="Y438" s="135">
        <f t="shared" si="10"/>
        <v>3</v>
      </c>
      <c r="Z438" s="135">
        <f t="shared" si="10"/>
        <v>30</v>
      </c>
      <c r="AA438" s="135">
        <f t="shared" si="10"/>
        <v>24</v>
      </c>
      <c r="AB438" s="135">
        <f t="shared" si="10"/>
        <v>21</v>
      </c>
      <c r="AC438" s="135">
        <f t="shared" si="10"/>
        <v>11</v>
      </c>
      <c r="AD438" s="135">
        <f t="shared" si="10"/>
        <v>11</v>
      </c>
      <c r="AE438" s="135">
        <f t="shared" si="10"/>
        <v>18</v>
      </c>
      <c r="AF438" s="135">
        <f t="shared" si="10"/>
        <v>4</v>
      </c>
      <c r="AG438" s="135">
        <f t="shared" si="10"/>
        <v>28</v>
      </c>
      <c r="AH438" s="135">
        <f t="shared" si="10"/>
        <v>19</v>
      </c>
      <c r="AI438" s="135">
        <f t="shared" si="10"/>
        <v>1</v>
      </c>
      <c r="AJ438" s="135">
        <f t="shared" si="10"/>
        <v>0</v>
      </c>
      <c r="AK438" s="135">
        <f t="shared" si="10"/>
        <v>0</v>
      </c>
      <c r="AL438" s="135">
        <f t="shared" si="10"/>
        <v>1</v>
      </c>
      <c r="AM438" s="135">
        <f t="shared" si="10"/>
        <v>12</v>
      </c>
      <c r="AN438" s="135">
        <f t="shared" si="10"/>
        <v>6</v>
      </c>
      <c r="AO438" s="135">
        <f t="shared" si="10"/>
        <v>2</v>
      </c>
    </row>
    <row r="439" spans="1:41" ht="15.75" x14ac:dyDescent="0.25">
      <c r="A439" s="147"/>
      <c r="B439" s="147"/>
      <c r="C439" s="148"/>
      <c r="D439" s="135" t="s">
        <v>258</v>
      </c>
      <c r="E439" s="135">
        <f t="shared" si="7"/>
        <v>0</v>
      </c>
      <c r="F439" s="135">
        <f t="shared" si="7"/>
        <v>0</v>
      </c>
      <c r="G439" s="135">
        <f t="shared" si="7"/>
        <v>0</v>
      </c>
      <c r="H439" s="135">
        <f t="shared" ref="H439:AO439" si="11">H228+H233+H238+H243+H248+H253+H258+H263+H268+H273+H278+H283+H288+H293+H298+H303+H308+H313+H318+H323+H328+H333+H338+H343+H348+H353+H358+H363+H368+H373+H378+H383+H388+H393+H398+H403+H408+H413+H418+H423+H428+H433</f>
        <v>1</v>
      </c>
      <c r="I439" s="135">
        <f t="shared" si="11"/>
        <v>4</v>
      </c>
      <c r="J439" s="135">
        <f t="shared" si="11"/>
        <v>0</v>
      </c>
      <c r="K439" s="135">
        <f t="shared" si="11"/>
        <v>1</v>
      </c>
      <c r="L439" s="135">
        <f t="shared" si="11"/>
        <v>1</v>
      </c>
      <c r="M439" s="135">
        <f t="shared" si="11"/>
        <v>0</v>
      </c>
      <c r="N439" s="135">
        <f t="shared" si="11"/>
        <v>1</v>
      </c>
      <c r="O439" s="135">
        <f t="shared" si="11"/>
        <v>0</v>
      </c>
      <c r="P439" s="135">
        <f t="shared" si="11"/>
        <v>0</v>
      </c>
      <c r="Q439" s="135">
        <f t="shared" si="11"/>
        <v>5</v>
      </c>
      <c r="R439" s="135">
        <f t="shared" si="11"/>
        <v>6</v>
      </c>
      <c r="S439" s="135">
        <f t="shared" si="11"/>
        <v>0</v>
      </c>
      <c r="T439" s="135">
        <f t="shared" si="11"/>
        <v>1</v>
      </c>
      <c r="U439" s="135">
        <f t="shared" si="11"/>
        <v>4</v>
      </c>
      <c r="V439" s="135">
        <f t="shared" si="11"/>
        <v>4</v>
      </c>
      <c r="W439" s="135">
        <f t="shared" si="11"/>
        <v>5</v>
      </c>
      <c r="X439" s="135">
        <f t="shared" si="11"/>
        <v>0</v>
      </c>
      <c r="Y439" s="135">
        <f t="shared" si="11"/>
        <v>0</v>
      </c>
      <c r="Z439" s="135">
        <f t="shared" si="11"/>
        <v>3</v>
      </c>
      <c r="AA439" s="135">
        <f t="shared" si="11"/>
        <v>1</v>
      </c>
      <c r="AB439" s="135">
        <f t="shared" si="11"/>
        <v>1</v>
      </c>
      <c r="AC439" s="135">
        <f t="shared" si="11"/>
        <v>2</v>
      </c>
      <c r="AD439" s="135">
        <f t="shared" si="11"/>
        <v>0</v>
      </c>
      <c r="AE439" s="135">
        <f t="shared" si="11"/>
        <v>3</v>
      </c>
      <c r="AF439" s="135">
        <f t="shared" si="11"/>
        <v>2</v>
      </c>
      <c r="AG439" s="135">
        <f t="shared" si="11"/>
        <v>1</v>
      </c>
      <c r="AH439" s="135">
        <f t="shared" si="11"/>
        <v>1</v>
      </c>
      <c r="AI439" s="135">
        <f t="shared" si="11"/>
        <v>1</v>
      </c>
      <c r="AJ439" s="135">
        <f t="shared" si="11"/>
        <v>0</v>
      </c>
      <c r="AK439" s="135">
        <f t="shared" si="11"/>
        <v>0</v>
      </c>
      <c r="AL439" s="135">
        <f t="shared" si="11"/>
        <v>0</v>
      </c>
      <c r="AM439" s="135">
        <f t="shared" si="11"/>
        <v>3</v>
      </c>
      <c r="AN439" s="135">
        <f t="shared" si="11"/>
        <v>0</v>
      </c>
      <c r="AO439" s="135">
        <f t="shared" si="11"/>
        <v>0</v>
      </c>
    </row>
    <row r="440" spans="1:41" ht="15.75" x14ac:dyDescent="0.25">
      <c r="C440" s="149"/>
      <c r="D440" s="137"/>
      <c r="E440" s="137"/>
      <c r="F440" s="137"/>
      <c r="G440" s="137"/>
      <c r="H440" s="137"/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  <c r="AA440" s="137"/>
      <c r="AB440" s="137"/>
      <c r="AC440" s="137"/>
      <c r="AD440" s="137"/>
      <c r="AE440" s="137"/>
      <c r="AF440" s="137"/>
      <c r="AG440" s="137"/>
      <c r="AH440" s="137"/>
      <c r="AI440" s="137"/>
      <c r="AJ440" s="137"/>
      <c r="AK440" s="137"/>
      <c r="AL440" s="137"/>
      <c r="AM440" s="137"/>
      <c r="AN440" s="137"/>
      <c r="AO440" s="137"/>
    </row>
    <row r="443" spans="1:41" ht="20.25" x14ac:dyDescent="0.3">
      <c r="A443" s="628" t="s">
        <v>1240</v>
      </c>
      <c r="B443" s="628"/>
      <c r="C443" s="628"/>
      <c r="D443" s="628"/>
      <c r="E443" s="628"/>
      <c r="F443" s="628"/>
      <c r="G443" s="628"/>
      <c r="H443" s="628"/>
      <c r="I443" s="628"/>
      <c r="J443" s="628"/>
      <c r="K443" s="628"/>
      <c r="L443" s="628"/>
      <c r="M443" s="628"/>
      <c r="N443" s="628"/>
      <c r="O443" s="628"/>
      <c r="P443" s="628"/>
      <c r="Q443" s="628"/>
      <c r="R443" s="628"/>
      <c r="S443" s="628"/>
      <c r="T443" s="628"/>
      <c r="U443" s="628"/>
      <c r="V443" s="628"/>
      <c r="W443" s="628"/>
      <c r="X443" s="628"/>
      <c r="Y443" s="628"/>
      <c r="Z443" s="628"/>
      <c r="AA443" s="628"/>
      <c r="AB443" s="628"/>
      <c r="AC443" s="628"/>
      <c r="AD443" s="628"/>
      <c r="AE443" s="628"/>
      <c r="AF443" s="628"/>
      <c r="AG443" s="628"/>
      <c r="AH443" s="628"/>
      <c r="AI443" s="628"/>
      <c r="AJ443" s="628"/>
      <c r="AK443" s="628"/>
      <c r="AL443" s="628"/>
      <c r="AM443" s="628"/>
      <c r="AN443" s="628"/>
      <c r="AO443" s="628"/>
    </row>
    <row r="444" spans="1:41" ht="132" x14ac:dyDescent="0.25">
      <c r="A444" s="74" t="s">
        <v>76</v>
      </c>
      <c r="B444" s="74" t="s">
        <v>217</v>
      </c>
      <c r="C444" s="75" t="s">
        <v>218</v>
      </c>
      <c r="D444" s="74" t="s">
        <v>219</v>
      </c>
      <c r="E444" s="76" t="s">
        <v>363</v>
      </c>
      <c r="F444" s="76" t="s">
        <v>266</v>
      </c>
      <c r="G444" s="76" t="s">
        <v>259</v>
      </c>
      <c r="H444" s="76" t="s">
        <v>220</v>
      </c>
      <c r="I444" s="76" t="s">
        <v>221</v>
      </c>
      <c r="J444" s="76" t="s">
        <v>222</v>
      </c>
      <c r="K444" s="76" t="s">
        <v>223</v>
      </c>
      <c r="L444" s="76" t="s">
        <v>261</v>
      </c>
      <c r="M444" s="76" t="s">
        <v>224</v>
      </c>
      <c r="N444" s="77" t="s">
        <v>260</v>
      </c>
      <c r="O444" s="76" t="s">
        <v>225</v>
      </c>
      <c r="P444" s="76" t="s">
        <v>707</v>
      </c>
      <c r="Q444" s="76" t="s">
        <v>226</v>
      </c>
      <c r="R444" s="76" t="s">
        <v>227</v>
      </c>
      <c r="S444" s="76" t="s">
        <v>228</v>
      </c>
      <c r="T444" s="78" t="s">
        <v>229</v>
      </c>
      <c r="U444" s="76" t="s">
        <v>230</v>
      </c>
      <c r="V444" s="78" t="s">
        <v>231</v>
      </c>
      <c r="W444" s="76" t="s">
        <v>232</v>
      </c>
      <c r="X444" s="76" t="s">
        <v>233</v>
      </c>
      <c r="Y444" s="76" t="s">
        <v>234</v>
      </c>
      <c r="Z444" s="76" t="s">
        <v>235</v>
      </c>
      <c r="AA444" s="76" t="s">
        <v>236</v>
      </c>
      <c r="AB444" s="76" t="s">
        <v>237</v>
      </c>
      <c r="AC444" s="76" t="s">
        <v>315</v>
      </c>
      <c r="AD444" s="76" t="s">
        <v>316</v>
      </c>
      <c r="AE444" s="76" t="s">
        <v>238</v>
      </c>
      <c r="AF444" s="76" t="s">
        <v>239</v>
      </c>
      <c r="AG444" s="77" t="s">
        <v>240</v>
      </c>
      <c r="AH444" s="76" t="s">
        <v>241</v>
      </c>
      <c r="AI444" s="78" t="s">
        <v>242</v>
      </c>
      <c r="AJ444" s="76" t="s">
        <v>243</v>
      </c>
      <c r="AK444" s="76" t="s">
        <v>244</v>
      </c>
      <c r="AL444" s="76" t="s">
        <v>262</v>
      </c>
      <c r="AM444" s="76" t="s">
        <v>362</v>
      </c>
      <c r="AN444" s="242" t="s">
        <v>408</v>
      </c>
      <c r="AO444" s="242" t="s">
        <v>409</v>
      </c>
    </row>
    <row r="445" spans="1:41" ht="15.75" x14ac:dyDescent="0.25">
      <c r="A445" s="159">
        <v>1</v>
      </c>
      <c r="B445" s="159" t="s">
        <v>186</v>
      </c>
      <c r="C445" s="74" t="s">
        <v>186</v>
      </c>
      <c r="D445" s="80" t="s">
        <v>245</v>
      </c>
      <c r="E445" s="80">
        <v>0</v>
      </c>
      <c r="F445" s="80">
        <v>0</v>
      </c>
      <c r="G445" s="80">
        <v>0</v>
      </c>
      <c r="H445" s="80">
        <v>1</v>
      </c>
      <c r="I445" s="80">
        <v>1</v>
      </c>
      <c r="J445" s="80">
        <v>1</v>
      </c>
      <c r="K445" s="80">
        <v>0</v>
      </c>
      <c r="L445" s="80">
        <v>0</v>
      </c>
      <c r="M445" s="80">
        <v>0</v>
      </c>
      <c r="N445" s="80">
        <v>0</v>
      </c>
      <c r="O445" s="80">
        <v>1</v>
      </c>
      <c r="P445" s="80">
        <v>0</v>
      </c>
      <c r="Q445" s="80">
        <v>1</v>
      </c>
      <c r="R445" s="80">
        <v>1</v>
      </c>
      <c r="S445" s="80">
        <v>0</v>
      </c>
      <c r="T445" s="80">
        <v>0</v>
      </c>
      <c r="U445" s="80">
        <v>1</v>
      </c>
      <c r="V445" s="80">
        <v>2</v>
      </c>
      <c r="W445" s="80">
        <v>0</v>
      </c>
      <c r="X445" s="80">
        <v>0</v>
      </c>
      <c r="Y445" s="80">
        <v>0</v>
      </c>
      <c r="Z445" s="80">
        <v>0</v>
      </c>
      <c r="AA445" s="80">
        <v>0</v>
      </c>
      <c r="AB445" s="80">
        <v>1</v>
      </c>
      <c r="AC445" s="80">
        <v>0</v>
      </c>
      <c r="AD445" s="80">
        <v>2</v>
      </c>
      <c r="AE445" s="80">
        <v>1</v>
      </c>
      <c r="AF445" s="80">
        <v>0</v>
      </c>
      <c r="AG445" s="80">
        <v>1</v>
      </c>
      <c r="AH445" s="80">
        <v>1</v>
      </c>
      <c r="AI445" s="80">
        <v>0</v>
      </c>
      <c r="AJ445" s="80">
        <v>0</v>
      </c>
      <c r="AK445" s="80">
        <v>0</v>
      </c>
      <c r="AL445" s="80">
        <v>0</v>
      </c>
      <c r="AM445" s="80">
        <v>0</v>
      </c>
      <c r="AN445" s="80">
        <v>0</v>
      </c>
      <c r="AO445" s="80">
        <v>0</v>
      </c>
    </row>
    <row r="446" spans="1:41" ht="15.75" x14ac:dyDescent="0.25">
      <c r="A446" s="159"/>
      <c r="B446" s="159"/>
      <c r="C446" s="74"/>
      <c r="D446" s="80" t="s">
        <v>246</v>
      </c>
      <c r="E446" s="80">
        <v>1</v>
      </c>
      <c r="F446" s="80">
        <v>0</v>
      </c>
      <c r="G446" s="80">
        <v>0</v>
      </c>
      <c r="H446" s="80">
        <v>1</v>
      </c>
      <c r="I446" s="80">
        <v>1</v>
      </c>
      <c r="J446" s="80">
        <v>1</v>
      </c>
      <c r="K446" s="80">
        <v>0</v>
      </c>
      <c r="L446" s="80">
        <v>0</v>
      </c>
      <c r="M446" s="80">
        <v>0</v>
      </c>
      <c r="N446" s="80">
        <v>0</v>
      </c>
      <c r="O446" s="80">
        <v>1</v>
      </c>
      <c r="P446" s="80">
        <v>0</v>
      </c>
      <c r="Q446" s="80">
        <v>1</v>
      </c>
      <c r="R446" s="80">
        <v>1</v>
      </c>
      <c r="S446" s="80">
        <v>0</v>
      </c>
      <c r="T446" s="80">
        <v>0</v>
      </c>
      <c r="U446" s="80">
        <v>1</v>
      </c>
      <c r="V446" s="80">
        <v>2</v>
      </c>
      <c r="W446" s="80">
        <v>0</v>
      </c>
      <c r="X446" s="80">
        <v>0</v>
      </c>
      <c r="Y446" s="80">
        <v>0</v>
      </c>
      <c r="Z446" s="80">
        <v>0</v>
      </c>
      <c r="AA446" s="80">
        <v>0</v>
      </c>
      <c r="AB446" s="80">
        <v>1</v>
      </c>
      <c r="AC446" s="80">
        <v>0</v>
      </c>
      <c r="AD446" s="80">
        <v>2</v>
      </c>
      <c r="AE446" s="80">
        <v>1</v>
      </c>
      <c r="AF446" s="80">
        <v>0</v>
      </c>
      <c r="AG446" s="81">
        <v>1</v>
      </c>
      <c r="AH446" s="80">
        <v>1</v>
      </c>
      <c r="AI446" s="81">
        <v>0</v>
      </c>
      <c r="AJ446" s="81">
        <v>0</v>
      </c>
      <c r="AK446" s="81">
        <v>0</v>
      </c>
      <c r="AL446" s="81">
        <v>0</v>
      </c>
      <c r="AM446" s="80">
        <v>0</v>
      </c>
      <c r="AN446" s="80">
        <v>0</v>
      </c>
      <c r="AO446" s="80">
        <v>0</v>
      </c>
    </row>
    <row r="447" spans="1:41" ht="15.75" x14ac:dyDescent="0.25">
      <c r="A447" s="159"/>
      <c r="B447" s="159"/>
      <c r="C447" s="74"/>
      <c r="D447" s="80" t="s">
        <v>247</v>
      </c>
      <c r="E447" s="80">
        <v>0</v>
      </c>
      <c r="F447" s="80">
        <v>0</v>
      </c>
      <c r="G447" s="80">
        <v>0</v>
      </c>
      <c r="H447" s="80">
        <v>0</v>
      </c>
      <c r="I447" s="80">
        <v>0</v>
      </c>
      <c r="J447" s="80">
        <v>0</v>
      </c>
      <c r="K447" s="80">
        <v>0</v>
      </c>
      <c r="L447" s="80">
        <v>0</v>
      </c>
      <c r="M447" s="80">
        <v>0</v>
      </c>
      <c r="N447" s="80">
        <v>0</v>
      </c>
      <c r="O447" s="80">
        <v>0</v>
      </c>
      <c r="P447" s="80">
        <v>0</v>
      </c>
      <c r="Q447" s="80">
        <v>0</v>
      </c>
      <c r="R447" s="80">
        <v>0</v>
      </c>
      <c r="S447" s="80">
        <v>0</v>
      </c>
      <c r="T447" s="80">
        <v>0</v>
      </c>
      <c r="U447" s="80">
        <v>0</v>
      </c>
      <c r="V447" s="80">
        <v>0</v>
      </c>
      <c r="W447" s="80">
        <v>0</v>
      </c>
      <c r="X447" s="80">
        <v>0</v>
      </c>
      <c r="Y447" s="80">
        <v>0</v>
      </c>
      <c r="Z447" s="80">
        <v>0</v>
      </c>
      <c r="AA447" s="80">
        <v>0</v>
      </c>
      <c r="AB447" s="80">
        <v>0</v>
      </c>
      <c r="AC447" s="80">
        <v>0</v>
      </c>
      <c r="AD447" s="80">
        <v>0</v>
      </c>
      <c r="AE447" s="80">
        <v>0</v>
      </c>
      <c r="AF447" s="80">
        <v>0</v>
      </c>
      <c r="AG447" s="81">
        <v>0</v>
      </c>
      <c r="AH447" s="80">
        <v>0</v>
      </c>
      <c r="AI447" s="81">
        <v>0</v>
      </c>
      <c r="AJ447" s="81">
        <v>0</v>
      </c>
      <c r="AK447" s="81">
        <v>0</v>
      </c>
      <c r="AL447" s="81">
        <v>0</v>
      </c>
      <c r="AM447" s="80">
        <v>0</v>
      </c>
      <c r="AN447" s="80">
        <v>0</v>
      </c>
      <c r="AO447" s="80">
        <v>0</v>
      </c>
    </row>
    <row r="448" spans="1:41" ht="15.75" x14ac:dyDescent="0.25">
      <c r="A448" s="159"/>
      <c r="B448" s="159"/>
      <c r="C448" s="74"/>
      <c r="D448" s="80" t="s">
        <v>248</v>
      </c>
      <c r="E448" s="80">
        <v>1</v>
      </c>
      <c r="F448" s="80">
        <v>0</v>
      </c>
      <c r="G448" s="80">
        <v>0</v>
      </c>
      <c r="H448" s="80">
        <v>1</v>
      </c>
      <c r="I448" s="80">
        <v>1</v>
      </c>
      <c r="J448" s="80">
        <v>1</v>
      </c>
      <c r="K448" s="80">
        <v>0</v>
      </c>
      <c r="L448" s="80">
        <v>0</v>
      </c>
      <c r="M448" s="80">
        <v>0</v>
      </c>
      <c r="N448" s="80">
        <v>0</v>
      </c>
      <c r="O448" s="80">
        <v>1</v>
      </c>
      <c r="P448" s="80">
        <v>0</v>
      </c>
      <c r="Q448" s="80">
        <v>0</v>
      </c>
      <c r="R448" s="80">
        <v>1</v>
      </c>
      <c r="S448" s="80">
        <v>0</v>
      </c>
      <c r="T448" s="80">
        <v>0</v>
      </c>
      <c r="U448" s="80">
        <v>1</v>
      </c>
      <c r="V448" s="80">
        <v>2</v>
      </c>
      <c r="W448" s="80">
        <v>0</v>
      </c>
      <c r="X448" s="80">
        <v>0</v>
      </c>
      <c r="Y448" s="80">
        <v>0</v>
      </c>
      <c r="Z448" s="80">
        <v>0</v>
      </c>
      <c r="AA448" s="80">
        <v>0</v>
      </c>
      <c r="AB448" s="80">
        <v>1</v>
      </c>
      <c r="AC448" s="80">
        <v>0</v>
      </c>
      <c r="AD448" s="80">
        <v>2</v>
      </c>
      <c r="AE448" s="80">
        <v>1</v>
      </c>
      <c r="AF448" s="80">
        <v>0</v>
      </c>
      <c r="AG448" s="80">
        <v>1</v>
      </c>
      <c r="AH448" s="80">
        <v>1</v>
      </c>
      <c r="AI448" s="80">
        <v>0</v>
      </c>
      <c r="AJ448" s="80">
        <v>0</v>
      </c>
      <c r="AK448" s="80">
        <v>0</v>
      </c>
      <c r="AL448" s="80">
        <v>0</v>
      </c>
      <c r="AM448" s="80">
        <v>0</v>
      </c>
      <c r="AN448" s="80">
        <v>0</v>
      </c>
      <c r="AO448" s="80">
        <v>0</v>
      </c>
    </row>
    <row r="449" spans="1:41" ht="15.75" x14ac:dyDescent="0.25">
      <c r="A449" s="159"/>
      <c r="B449" s="159"/>
      <c r="C449" s="74"/>
      <c r="D449" s="80" t="s">
        <v>258</v>
      </c>
      <c r="E449" s="80">
        <v>0</v>
      </c>
      <c r="F449" s="80">
        <v>0</v>
      </c>
      <c r="G449" s="80">
        <v>0</v>
      </c>
      <c r="H449" s="80">
        <v>0</v>
      </c>
      <c r="I449" s="80">
        <v>0</v>
      </c>
      <c r="J449" s="80">
        <v>0</v>
      </c>
      <c r="K449" s="80">
        <v>0</v>
      </c>
      <c r="L449" s="80">
        <v>0</v>
      </c>
      <c r="M449" s="80">
        <v>0</v>
      </c>
      <c r="N449" s="80">
        <v>0</v>
      </c>
      <c r="O449" s="80">
        <v>0</v>
      </c>
      <c r="P449" s="80">
        <v>0</v>
      </c>
      <c r="Q449" s="80">
        <v>1</v>
      </c>
      <c r="R449" s="80">
        <v>0</v>
      </c>
      <c r="S449" s="80">
        <v>0</v>
      </c>
      <c r="T449" s="80">
        <v>0</v>
      </c>
      <c r="U449" s="80">
        <v>0</v>
      </c>
      <c r="V449" s="80">
        <v>0</v>
      </c>
      <c r="W449" s="80">
        <v>0</v>
      </c>
      <c r="X449" s="80">
        <v>0</v>
      </c>
      <c r="Y449" s="80">
        <v>0</v>
      </c>
      <c r="Z449" s="80">
        <v>0</v>
      </c>
      <c r="AA449" s="80">
        <v>0</v>
      </c>
      <c r="AB449" s="80">
        <v>0</v>
      </c>
      <c r="AC449" s="80">
        <v>0</v>
      </c>
      <c r="AD449" s="80">
        <v>0</v>
      </c>
      <c r="AE449" s="80">
        <v>0</v>
      </c>
      <c r="AF449" s="80">
        <v>0</v>
      </c>
      <c r="AG449" s="80">
        <v>0</v>
      </c>
      <c r="AH449" s="80">
        <v>0</v>
      </c>
      <c r="AI449" s="80">
        <v>0</v>
      </c>
      <c r="AJ449" s="80">
        <v>0</v>
      </c>
      <c r="AK449" s="80">
        <v>0</v>
      </c>
      <c r="AL449" s="80">
        <v>0</v>
      </c>
      <c r="AM449" s="80">
        <v>0</v>
      </c>
      <c r="AN449" s="80">
        <v>0</v>
      </c>
      <c r="AO449" s="80">
        <v>0</v>
      </c>
    </row>
    <row r="450" spans="1:41" ht="15.75" x14ac:dyDescent="0.25">
      <c r="A450" s="159">
        <v>2</v>
      </c>
      <c r="B450" s="159"/>
      <c r="C450" s="74" t="s">
        <v>39</v>
      </c>
      <c r="D450" s="80" t="s">
        <v>245</v>
      </c>
      <c r="E450" s="80">
        <v>0</v>
      </c>
      <c r="F450" s="80">
        <v>0</v>
      </c>
      <c r="G450" s="80">
        <v>0</v>
      </c>
      <c r="H450" s="80">
        <v>0</v>
      </c>
      <c r="I450" s="80">
        <v>1</v>
      </c>
      <c r="J450" s="80">
        <v>1</v>
      </c>
      <c r="K450" s="80">
        <v>0</v>
      </c>
      <c r="L450" s="80">
        <v>0</v>
      </c>
      <c r="M450" s="80">
        <v>0</v>
      </c>
      <c r="N450" s="80">
        <v>1</v>
      </c>
      <c r="O450" s="80">
        <v>1</v>
      </c>
      <c r="P450" s="80">
        <v>0</v>
      </c>
      <c r="Q450" s="80">
        <v>1</v>
      </c>
      <c r="R450" s="80">
        <v>1</v>
      </c>
      <c r="S450" s="80">
        <v>0</v>
      </c>
      <c r="T450" s="80">
        <v>0</v>
      </c>
      <c r="U450" s="80">
        <v>1</v>
      </c>
      <c r="V450" s="80">
        <v>2</v>
      </c>
      <c r="W450" s="80">
        <v>0</v>
      </c>
      <c r="X450" s="80">
        <v>0</v>
      </c>
      <c r="Y450" s="80">
        <v>0</v>
      </c>
      <c r="Z450" s="80">
        <v>0</v>
      </c>
      <c r="AA450" s="80">
        <v>0</v>
      </c>
      <c r="AB450" s="80">
        <v>0</v>
      </c>
      <c r="AC450" s="80">
        <v>0</v>
      </c>
      <c r="AD450" s="80">
        <v>0</v>
      </c>
      <c r="AE450" s="80">
        <v>0</v>
      </c>
      <c r="AF450" s="80">
        <v>0</v>
      </c>
      <c r="AG450" s="81">
        <v>1</v>
      </c>
      <c r="AH450" s="80">
        <v>0</v>
      </c>
      <c r="AI450" s="81">
        <v>0</v>
      </c>
      <c r="AJ450" s="81">
        <v>0</v>
      </c>
      <c r="AK450" s="81">
        <v>0</v>
      </c>
      <c r="AL450" s="81">
        <v>0</v>
      </c>
      <c r="AM450" s="81">
        <v>2</v>
      </c>
      <c r="AN450" s="81">
        <v>1</v>
      </c>
      <c r="AO450" s="80">
        <v>0</v>
      </c>
    </row>
    <row r="451" spans="1:41" ht="15.75" x14ac:dyDescent="0.25">
      <c r="A451" s="159"/>
      <c r="B451" s="159"/>
      <c r="C451" s="74"/>
      <c r="D451" s="80" t="s">
        <v>246</v>
      </c>
      <c r="E451" s="80">
        <v>0</v>
      </c>
      <c r="F451" s="80">
        <v>0</v>
      </c>
      <c r="G451" s="80">
        <v>0</v>
      </c>
      <c r="H451" s="80">
        <v>0</v>
      </c>
      <c r="I451" s="80">
        <v>1</v>
      </c>
      <c r="J451" s="80">
        <v>1</v>
      </c>
      <c r="K451" s="80">
        <v>0</v>
      </c>
      <c r="L451" s="80">
        <v>0</v>
      </c>
      <c r="M451" s="80">
        <v>0</v>
      </c>
      <c r="N451" s="80">
        <v>1</v>
      </c>
      <c r="O451" s="80">
        <v>1</v>
      </c>
      <c r="P451" s="80">
        <v>0</v>
      </c>
      <c r="Q451" s="80">
        <v>1</v>
      </c>
      <c r="R451" s="80">
        <v>1</v>
      </c>
      <c r="S451" s="80">
        <v>0</v>
      </c>
      <c r="T451" s="80">
        <v>0</v>
      </c>
      <c r="U451" s="80">
        <v>1</v>
      </c>
      <c r="V451" s="80">
        <v>2</v>
      </c>
      <c r="W451" s="80">
        <v>0</v>
      </c>
      <c r="X451" s="80">
        <v>0</v>
      </c>
      <c r="Y451" s="80">
        <v>0</v>
      </c>
      <c r="Z451" s="80">
        <v>0</v>
      </c>
      <c r="AA451" s="80">
        <v>0</v>
      </c>
      <c r="AB451" s="80">
        <v>0</v>
      </c>
      <c r="AC451" s="80">
        <v>0</v>
      </c>
      <c r="AD451" s="80">
        <v>0</v>
      </c>
      <c r="AE451" s="80">
        <v>0</v>
      </c>
      <c r="AF451" s="80">
        <v>0</v>
      </c>
      <c r="AG451" s="81">
        <v>1</v>
      </c>
      <c r="AH451" s="80">
        <v>0</v>
      </c>
      <c r="AI451" s="81">
        <v>0</v>
      </c>
      <c r="AJ451" s="81">
        <v>0</v>
      </c>
      <c r="AK451" s="81">
        <v>0</v>
      </c>
      <c r="AL451" s="81">
        <v>0</v>
      </c>
      <c r="AM451" s="81">
        <v>2</v>
      </c>
      <c r="AN451" s="81">
        <v>1</v>
      </c>
      <c r="AO451" s="80">
        <v>0</v>
      </c>
    </row>
    <row r="452" spans="1:41" ht="15.75" x14ac:dyDescent="0.25">
      <c r="A452" s="159"/>
      <c r="B452" s="159"/>
      <c r="C452" s="74"/>
      <c r="D452" s="80" t="s">
        <v>247</v>
      </c>
      <c r="E452" s="80">
        <v>0</v>
      </c>
      <c r="F452" s="80">
        <v>0</v>
      </c>
      <c r="G452" s="80">
        <v>0</v>
      </c>
      <c r="H452" s="80">
        <v>0</v>
      </c>
      <c r="I452" s="80">
        <v>0</v>
      </c>
      <c r="J452" s="80">
        <v>0</v>
      </c>
      <c r="K452" s="80">
        <v>0</v>
      </c>
      <c r="L452" s="80">
        <v>0</v>
      </c>
      <c r="M452" s="80">
        <v>0</v>
      </c>
      <c r="N452" s="80">
        <v>0</v>
      </c>
      <c r="O452" s="80">
        <v>0</v>
      </c>
      <c r="P452" s="80">
        <v>0</v>
      </c>
      <c r="Q452" s="80">
        <v>0</v>
      </c>
      <c r="R452" s="80">
        <v>0</v>
      </c>
      <c r="S452" s="80">
        <v>0</v>
      </c>
      <c r="T452" s="80">
        <v>0</v>
      </c>
      <c r="U452" s="80">
        <v>0</v>
      </c>
      <c r="V452" s="80">
        <v>0</v>
      </c>
      <c r="W452" s="80">
        <v>0</v>
      </c>
      <c r="X452" s="80">
        <v>0</v>
      </c>
      <c r="Y452" s="80">
        <v>0</v>
      </c>
      <c r="Z452" s="80">
        <v>0</v>
      </c>
      <c r="AA452" s="80">
        <v>0</v>
      </c>
      <c r="AB452" s="80">
        <v>0</v>
      </c>
      <c r="AC452" s="80">
        <v>0</v>
      </c>
      <c r="AD452" s="80">
        <v>0</v>
      </c>
      <c r="AE452" s="80">
        <v>0</v>
      </c>
      <c r="AF452" s="80">
        <v>0</v>
      </c>
      <c r="AG452" s="81">
        <v>0</v>
      </c>
      <c r="AH452" s="80">
        <v>0</v>
      </c>
      <c r="AI452" s="81">
        <v>0</v>
      </c>
      <c r="AJ452" s="81">
        <v>0</v>
      </c>
      <c r="AK452" s="81">
        <v>0</v>
      </c>
      <c r="AL452" s="81">
        <v>0</v>
      </c>
      <c r="AM452" s="81">
        <v>0</v>
      </c>
      <c r="AN452" s="81">
        <v>0</v>
      </c>
      <c r="AO452" s="80">
        <v>0</v>
      </c>
    </row>
    <row r="453" spans="1:41" ht="15.75" x14ac:dyDescent="0.25">
      <c r="A453" s="159"/>
      <c r="B453" s="159"/>
      <c r="C453" s="74"/>
      <c r="D453" s="80" t="s">
        <v>248</v>
      </c>
      <c r="E453" s="80">
        <v>0</v>
      </c>
      <c r="F453" s="80">
        <v>0</v>
      </c>
      <c r="G453" s="80">
        <v>0</v>
      </c>
      <c r="H453" s="80">
        <v>0</v>
      </c>
      <c r="I453" s="80">
        <v>1</v>
      </c>
      <c r="J453" s="80">
        <v>1</v>
      </c>
      <c r="K453" s="80">
        <v>0</v>
      </c>
      <c r="L453" s="80">
        <v>0</v>
      </c>
      <c r="M453" s="80">
        <v>0</v>
      </c>
      <c r="N453" s="80">
        <v>1</v>
      </c>
      <c r="O453" s="80">
        <v>1</v>
      </c>
      <c r="P453" s="80">
        <v>0</v>
      </c>
      <c r="Q453" s="80">
        <v>0</v>
      </c>
      <c r="R453" s="80">
        <v>0</v>
      </c>
      <c r="S453" s="80">
        <v>0</v>
      </c>
      <c r="T453" s="80">
        <v>0</v>
      </c>
      <c r="U453" s="80">
        <v>1</v>
      </c>
      <c r="V453" s="80">
        <v>2</v>
      </c>
      <c r="W453" s="80">
        <v>0</v>
      </c>
      <c r="X453" s="80">
        <v>0</v>
      </c>
      <c r="Y453" s="80">
        <v>0</v>
      </c>
      <c r="Z453" s="80">
        <v>0</v>
      </c>
      <c r="AA453" s="80">
        <v>0</v>
      </c>
      <c r="AB453" s="80">
        <v>0</v>
      </c>
      <c r="AC453" s="80">
        <v>0</v>
      </c>
      <c r="AD453" s="80">
        <v>0</v>
      </c>
      <c r="AE453" s="80">
        <v>0</v>
      </c>
      <c r="AF453" s="80">
        <v>0</v>
      </c>
      <c r="AG453" s="81">
        <v>1</v>
      </c>
      <c r="AH453" s="80">
        <v>0</v>
      </c>
      <c r="AI453" s="81">
        <v>0</v>
      </c>
      <c r="AJ453" s="81">
        <v>0</v>
      </c>
      <c r="AK453" s="81">
        <v>0</v>
      </c>
      <c r="AL453" s="81">
        <v>0</v>
      </c>
      <c r="AM453" s="81">
        <v>1</v>
      </c>
      <c r="AN453" s="81">
        <v>1</v>
      </c>
      <c r="AO453" s="80">
        <v>0</v>
      </c>
    </row>
    <row r="454" spans="1:41" ht="15.75" x14ac:dyDescent="0.25">
      <c r="A454" s="159"/>
      <c r="B454" s="159"/>
      <c r="C454" s="74"/>
      <c r="D454" s="80" t="s">
        <v>258</v>
      </c>
      <c r="E454" s="80">
        <v>0</v>
      </c>
      <c r="F454" s="80">
        <v>0</v>
      </c>
      <c r="G454" s="80">
        <v>0</v>
      </c>
      <c r="H454" s="80">
        <v>0</v>
      </c>
      <c r="I454" s="80">
        <v>0</v>
      </c>
      <c r="J454" s="80">
        <v>0</v>
      </c>
      <c r="K454" s="80">
        <v>0</v>
      </c>
      <c r="L454" s="80">
        <v>0</v>
      </c>
      <c r="M454" s="80">
        <v>0</v>
      </c>
      <c r="N454" s="80">
        <v>0</v>
      </c>
      <c r="O454" s="80">
        <v>0</v>
      </c>
      <c r="P454" s="80">
        <v>0</v>
      </c>
      <c r="Q454" s="80">
        <v>1</v>
      </c>
      <c r="R454" s="80">
        <v>1</v>
      </c>
      <c r="S454" s="80">
        <v>0</v>
      </c>
      <c r="T454" s="80">
        <v>0</v>
      </c>
      <c r="U454" s="80">
        <v>0</v>
      </c>
      <c r="V454" s="80">
        <v>0</v>
      </c>
      <c r="W454" s="80">
        <v>0</v>
      </c>
      <c r="X454" s="80">
        <v>0</v>
      </c>
      <c r="Y454" s="80">
        <v>0</v>
      </c>
      <c r="Z454" s="80">
        <v>0</v>
      </c>
      <c r="AA454" s="80">
        <v>0</v>
      </c>
      <c r="AB454" s="80">
        <v>0</v>
      </c>
      <c r="AC454" s="80">
        <v>0</v>
      </c>
      <c r="AD454" s="80">
        <v>0</v>
      </c>
      <c r="AE454" s="80">
        <v>0</v>
      </c>
      <c r="AF454" s="80">
        <v>0</v>
      </c>
      <c r="AG454" s="80">
        <v>0</v>
      </c>
      <c r="AH454" s="80">
        <v>0</v>
      </c>
      <c r="AI454" s="80">
        <v>0</v>
      </c>
      <c r="AJ454" s="80">
        <v>0</v>
      </c>
      <c r="AK454" s="80">
        <v>0</v>
      </c>
      <c r="AL454" s="80">
        <v>0</v>
      </c>
      <c r="AM454" s="81">
        <v>1</v>
      </c>
      <c r="AN454" s="81">
        <v>0</v>
      </c>
      <c r="AO454" s="80">
        <v>0</v>
      </c>
    </row>
    <row r="455" spans="1:41" ht="15.75" x14ac:dyDescent="0.25">
      <c r="A455" s="74">
        <v>3</v>
      </c>
      <c r="B455" s="74" t="s">
        <v>167</v>
      </c>
      <c r="C455" s="629" t="s">
        <v>167</v>
      </c>
      <c r="D455" s="80" t="s">
        <v>245</v>
      </c>
      <c r="E455" s="80">
        <v>0</v>
      </c>
      <c r="F455" s="80">
        <v>0</v>
      </c>
      <c r="G455" s="80">
        <v>0</v>
      </c>
      <c r="H455" s="80">
        <v>3</v>
      </c>
      <c r="I455" s="80">
        <v>2</v>
      </c>
      <c r="J455" s="80">
        <v>1</v>
      </c>
      <c r="K455" s="80">
        <v>1</v>
      </c>
      <c r="L455" s="80">
        <v>0</v>
      </c>
      <c r="M455" s="80">
        <v>1</v>
      </c>
      <c r="N455" s="80">
        <v>1</v>
      </c>
      <c r="O455" s="80">
        <v>1</v>
      </c>
      <c r="P455" s="80">
        <v>0</v>
      </c>
      <c r="Q455" s="80">
        <v>2</v>
      </c>
      <c r="R455" s="80">
        <v>1</v>
      </c>
      <c r="S455" s="80">
        <v>0</v>
      </c>
      <c r="T455" s="80">
        <v>0</v>
      </c>
      <c r="U455" s="80">
        <v>2</v>
      </c>
      <c r="V455" s="80">
        <v>2</v>
      </c>
      <c r="W455" s="80">
        <v>2</v>
      </c>
      <c r="X455" s="80">
        <v>1</v>
      </c>
      <c r="Y455" s="80">
        <v>0</v>
      </c>
      <c r="Z455" s="80">
        <v>2</v>
      </c>
      <c r="AA455" s="80">
        <v>2</v>
      </c>
      <c r="AB455" s="80">
        <v>1</v>
      </c>
      <c r="AC455" s="80">
        <v>1</v>
      </c>
      <c r="AD455" s="80">
        <v>0</v>
      </c>
      <c r="AE455" s="80">
        <v>0</v>
      </c>
      <c r="AF455" s="80">
        <v>1</v>
      </c>
      <c r="AG455" s="81">
        <v>1</v>
      </c>
      <c r="AH455" s="81">
        <v>1</v>
      </c>
      <c r="AI455" s="81">
        <v>0</v>
      </c>
      <c r="AJ455" s="81">
        <v>0</v>
      </c>
      <c r="AK455" s="81">
        <v>0</v>
      </c>
      <c r="AL455" s="81">
        <v>0</v>
      </c>
      <c r="AM455" s="81">
        <v>0</v>
      </c>
      <c r="AN455" s="81">
        <v>0</v>
      </c>
      <c r="AO455" s="80">
        <v>0</v>
      </c>
    </row>
    <row r="456" spans="1:41" ht="15.75" x14ac:dyDescent="0.25">
      <c r="A456" s="74"/>
      <c r="B456" s="74"/>
      <c r="C456" s="630"/>
      <c r="D456" s="80" t="s">
        <v>246</v>
      </c>
      <c r="E456" s="80">
        <v>1</v>
      </c>
      <c r="F456" s="80">
        <v>0</v>
      </c>
      <c r="G456" s="80">
        <v>0</v>
      </c>
      <c r="H456" s="80">
        <v>3</v>
      </c>
      <c r="I456" s="80">
        <v>1</v>
      </c>
      <c r="J456" s="80">
        <v>1</v>
      </c>
      <c r="K456" s="80">
        <v>0</v>
      </c>
      <c r="L456" s="80">
        <v>0</v>
      </c>
      <c r="M456" s="80">
        <v>1</v>
      </c>
      <c r="N456" s="80">
        <v>2</v>
      </c>
      <c r="O456" s="80">
        <v>1</v>
      </c>
      <c r="P456" s="80">
        <v>0</v>
      </c>
      <c r="Q456" s="80">
        <v>2</v>
      </c>
      <c r="R456" s="80">
        <v>1</v>
      </c>
      <c r="S456" s="80">
        <v>0</v>
      </c>
      <c r="T456" s="80">
        <v>0</v>
      </c>
      <c r="U456" s="80">
        <v>2</v>
      </c>
      <c r="V456" s="80">
        <v>2</v>
      </c>
      <c r="W456" s="80">
        <v>2</v>
      </c>
      <c r="X456" s="80">
        <v>1</v>
      </c>
      <c r="Y456" s="80">
        <v>0</v>
      </c>
      <c r="Z456" s="80">
        <v>2</v>
      </c>
      <c r="AA456" s="80">
        <v>1</v>
      </c>
      <c r="AB456" s="80">
        <v>1</v>
      </c>
      <c r="AC456" s="80">
        <v>0</v>
      </c>
      <c r="AD456" s="80">
        <v>0</v>
      </c>
      <c r="AE456" s="80">
        <v>0</v>
      </c>
      <c r="AF456" s="80">
        <v>0</v>
      </c>
      <c r="AG456" s="81">
        <v>1</v>
      </c>
      <c r="AH456" s="81">
        <v>0</v>
      </c>
      <c r="AI456" s="81">
        <v>0</v>
      </c>
      <c r="AJ456" s="81">
        <v>0</v>
      </c>
      <c r="AK456" s="81">
        <v>0</v>
      </c>
      <c r="AL456" s="81">
        <v>0</v>
      </c>
      <c r="AM456" s="81">
        <v>0</v>
      </c>
      <c r="AN456" s="81">
        <v>0</v>
      </c>
      <c r="AO456" s="80">
        <v>0</v>
      </c>
    </row>
    <row r="457" spans="1:41" ht="15.75" x14ac:dyDescent="0.25">
      <c r="A457" s="74"/>
      <c r="B457" s="74"/>
      <c r="C457" s="630"/>
      <c r="D457" s="80" t="s">
        <v>247</v>
      </c>
      <c r="E457" s="80">
        <v>0</v>
      </c>
      <c r="F457" s="80">
        <v>0</v>
      </c>
      <c r="G457" s="80">
        <v>0</v>
      </c>
      <c r="H457" s="80">
        <v>0</v>
      </c>
      <c r="I457" s="80">
        <v>1</v>
      </c>
      <c r="J457" s="80">
        <v>0</v>
      </c>
      <c r="K457" s="80">
        <v>1</v>
      </c>
      <c r="L457" s="80">
        <v>0</v>
      </c>
      <c r="M457" s="80">
        <v>0</v>
      </c>
      <c r="N457" s="80">
        <v>0</v>
      </c>
      <c r="O457" s="80">
        <v>0</v>
      </c>
      <c r="P457" s="80">
        <v>0</v>
      </c>
      <c r="Q457" s="80">
        <v>0</v>
      </c>
      <c r="R457" s="80">
        <v>0</v>
      </c>
      <c r="S457" s="80">
        <v>0</v>
      </c>
      <c r="T457" s="80">
        <v>0</v>
      </c>
      <c r="U457" s="80">
        <v>0</v>
      </c>
      <c r="V457" s="80">
        <v>0</v>
      </c>
      <c r="W457" s="80">
        <v>0</v>
      </c>
      <c r="X457" s="80">
        <v>0</v>
      </c>
      <c r="Y457" s="80">
        <v>0</v>
      </c>
      <c r="Z457" s="80">
        <v>0</v>
      </c>
      <c r="AA457" s="80">
        <v>1</v>
      </c>
      <c r="AB457" s="80">
        <v>0</v>
      </c>
      <c r="AC457" s="80">
        <v>1</v>
      </c>
      <c r="AD457" s="80">
        <v>0</v>
      </c>
      <c r="AE457" s="80">
        <v>0</v>
      </c>
      <c r="AF457" s="80">
        <v>1</v>
      </c>
      <c r="AG457" s="81">
        <v>0</v>
      </c>
      <c r="AH457" s="81">
        <v>1</v>
      </c>
      <c r="AI457" s="81">
        <v>0</v>
      </c>
      <c r="AJ457" s="81">
        <v>0</v>
      </c>
      <c r="AK457" s="81">
        <v>0</v>
      </c>
      <c r="AL457" s="81">
        <v>0</v>
      </c>
      <c r="AM457" s="81">
        <v>0</v>
      </c>
      <c r="AN457" s="81">
        <v>0</v>
      </c>
      <c r="AO457" s="80">
        <v>0</v>
      </c>
    </row>
    <row r="458" spans="1:41" ht="15.75" x14ac:dyDescent="0.25">
      <c r="A458" s="74"/>
      <c r="B458" s="74"/>
      <c r="C458" s="630"/>
      <c r="D458" s="80" t="s">
        <v>248</v>
      </c>
      <c r="E458" s="80">
        <v>1</v>
      </c>
      <c r="F458" s="80">
        <v>0</v>
      </c>
      <c r="G458" s="80">
        <v>0</v>
      </c>
      <c r="H458" s="80">
        <v>3</v>
      </c>
      <c r="I458" s="80">
        <v>1</v>
      </c>
      <c r="J458" s="80">
        <v>1</v>
      </c>
      <c r="K458" s="80">
        <v>0</v>
      </c>
      <c r="L458" s="80">
        <v>0</v>
      </c>
      <c r="M458" s="80">
        <v>1</v>
      </c>
      <c r="N458" s="80">
        <v>2</v>
      </c>
      <c r="O458" s="80">
        <v>1</v>
      </c>
      <c r="P458" s="80">
        <v>0</v>
      </c>
      <c r="Q458" s="80">
        <v>2</v>
      </c>
      <c r="R458" s="80">
        <v>1</v>
      </c>
      <c r="S458" s="80">
        <v>0</v>
      </c>
      <c r="T458" s="80">
        <v>0</v>
      </c>
      <c r="U458" s="80">
        <v>2</v>
      </c>
      <c r="V458" s="80">
        <v>2</v>
      </c>
      <c r="W458" s="80">
        <v>0</v>
      </c>
      <c r="X458" s="80">
        <v>1</v>
      </c>
      <c r="Y458" s="80">
        <v>0</v>
      </c>
      <c r="Z458" s="80">
        <v>2</v>
      </c>
      <c r="AA458" s="80">
        <v>1</v>
      </c>
      <c r="AB458" s="80">
        <v>1</v>
      </c>
      <c r="AC458" s="80">
        <v>0</v>
      </c>
      <c r="AD458" s="80">
        <v>0</v>
      </c>
      <c r="AE458" s="80">
        <v>0</v>
      </c>
      <c r="AF458" s="80">
        <v>0</v>
      </c>
      <c r="AG458" s="81">
        <v>1</v>
      </c>
      <c r="AH458" s="81">
        <v>0</v>
      </c>
      <c r="AI458" s="81">
        <v>0</v>
      </c>
      <c r="AJ458" s="81">
        <v>0</v>
      </c>
      <c r="AK458" s="81">
        <v>0</v>
      </c>
      <c r="AL458" s="81">
        <v>0</v>
      </c>
      <c r="AM458" s="81">
        <v>0</v>
      </c>
      <c r="AN458" s="81">
        <v>0</v>
      </c>
      <c r="AO458" s="80">
        <v>0</v>
      </c>
    </row>
    <row r="459" spans="1:41" ht="15.75" x14ac:dyDescent="0.25">
      <c r="A459" s="74"/>
      <c r="B459" s="74"/>
      <c r="C459" s="631"/>
      <c r="D459" s="80" t="s">
        <v>258</v>
      </c>
      <c r="E459" s="80">
        <v>0</v>
      </c>
      <c r="F459" s="80">
        <v>0</v>
      </c>
      <c r="G459" s="80">
        <v>0</v>
      </c>
      <c r="H459" s="80">
        <v>0</v>
      </c>
      <c r="I459" s="80">
        <v>0</v>
      </c>
      <c r="J459" s="80">
        <v>0</v>
      </c>
      <c r="K459" s="80">
        <v>0</v>
      </c>
      <c r="L459" s="80">
        <v>0</v>
      </c>
      <c r="M459" s="80">
        <v>0</v>
      </c>
      <c r="N459" s="80">
        <v>0</v>
      </c>
      <c r="O459" s="80">
        <v>0</v>
      </c>
      <c r="P459" s="80">
        <v>0</v>
      </c>
      <c r="Q459" s="80">
        <v>0</v>
      </c>
      <c r="R459" s="80">
        <v>0</v>
      </c>
      <c r="S459" s="80">
        <v>0</v>
      </c>
      <c r="T459" s="80">
        <v>0</v>
      </c>
      <c r="U459" s="80">
        <v>0</v>
      </c>
      <c r="V459" s="80">
        <v>0</v>
      </c>
      <c r="W459" s="80">
        <v>2</v>
      </c>
      <c r="X459" s="80">
        <v>0</v>
      </c>
      <c r="Y459" s="80">
        <v>0</v>
      </c>
      <c r="Z459" s="80">
        <v>0</v>
      </c>
      <c r="AA459" s="80">
        <v>0</v>
      </c>
      <c r="AB459" s="80">
        <v>0</v>
      </c>
      <c r="AC459" s="80">
        <v>0</v>
      </c>
      <c r="AD459" s="80">
        <v>0</v>
      </c>
      <c r="AE459" s="80">
        <v>0</v>
      </c>
      <c r="AF459" s="80">
        <v>0</v>
      </c>
      <c r="AG459" s="80">
        <v>0</v>
      </c>
      <c r="AH459" s="80">
        <v>0</v>
      </c>
      <c r="AI459" s="80">
        <v>0</v>
      </c>
      <c r="AJ459" s="80">
        <v>0</v>
      </c>
      <c r="AK459" s="80">
        <v>0</v>
      </c>
      <c r="AL459" s="80">
        <v>0</v>
      </c>
      <c r="AM459" s="81">
        <v>0</v>
      </c>
      <c r="AN459" s="81">
        <v>0</v>
      </c>
      <c r="AO459" s="80">
        <v>0</v>
      </c>
    </row>
    <row r="460" spans="1:41" ht="15.75" x14ac:dyDescent="0.25">
      <c r="A460" s="74">
        <v>4</v>
      </c>
      <c r="B460" s="74"/>
      <c r="C460" s="627" t="s">
        <v>249</v>
      </c>
      <c r="D460" s="80" t="s">
        <v>245</v>
      </c>
      <c r="E460" s="80">
        <v>0</v>
      </c>
      <c r="F460" s="80">
        <v>0</v>
      </c>
      <c r="G460" s="80">
        <v>0</v>
      </c>
      <c r="H460" s="80">
        <v>0</v>
      </c>
      <c r="I460" s="80">
        <v>3</v>
      </c>
      <c r="J460" s="80">
        <v>2</v>
      </c>
      <c r="K460" s="80">
        <v>0</v>
      </c>
      <c r="L460" s="80">
        <v>0</v>
      </c>
      <c r="M460" s="80">
        <v>0</v>
      </c>
      <c r="N460" s="80">
        <v>1</v>
      </c>
      <c r="O460" s="80">
        <v>1</v>
      </c>
      <c r="P460" s="80">
        <v>0</v>
      </c>
      <c r="Q460" s="80">
        <v>2</v>
      </c>
      <c r="R460" s="80">
        <v>2</v>
      </c>
      <c r="S460" s="80">
        <v>0</v>
      </c>
      <c r="T460" s="80">
        <v>0</v>
      </c>
      <c r="U460" s="80">
        <v>2</v>
      </c>
      <c r="V460" s="80">
        <v>0</v>
      </c>
      <c r="W460" s="80">
        <v>0</v>
      </c>
      <c r="X460" s="80">
        <v>2</v>
      </c>
      <c r="Y460" s="80">
        <v>0</v>
      </c>
      <c r="Z460" s="80">
        <v>4</v>
      </c>
      <c r="AA460" s="80">
        <v>1</v>
      </c>
      <c r="AB460" s="80">
        <v>1</v>
      </c>
      <c r="AC460" s="80">
        <v>0</v>
      </c>
      <c r="AD460" s="80">
        <v>0</v>
      </c>
      <c r="AE460" s="80">
        <v>0</v>
      </c>
      <c r="AF460" s="80">
        <v>0</v>
      </c>
      <c r="AG460" s="80">
        <v>2</v>
      </c>
      <c r="AH460" s="80">
        <v>0</v>
      </c>
      <c r="AI460" s="80">
        <v>0</v>
      </c>
      <c r="AJ460" s="80">
        <v>0</v>
      </c>
      <c r="AK460" s="80">
        <v>0</v>
      </c>
      <c r="AL460" s="80">
        <v>0</v>
      </c>
      <c r="AM460" s="81">
        <v>0</v>
      </c>
      <c r="AN460" s="81">
        <v>0</v>
      </c>
      <c r="AO460" s="80">
        <v>0</v>
      </c>
    </row>
    <row r="461" spans="1:41" ht="15.75" x14ac:dyDescent="0.25">
      <c r="A461" s="74"/>
      <c r="B461" s="74"/>
      <c r="C461" s="627"/>
      <c r="D461" s="80" t="s">
        <v>246</v>
      </c>
      <c r="E461" s="80">
        <v>0</v>
      </c>
      <c r="F461" s="80">
        <v>0</v>
      </c>
      <c r="G461" s="80">
        <v>0</v>
      </c>
      <c r="H461" s="80">
        <v>0</v>
      </c>
      <c r="I461" s="80">
        <v>3</v>
      </c>
      <c r="J461" s="80">
        <v>2</v>
      </c>
      <c r="K461" s="80">
        <v>0</v>
      </c>
      <c r="L461" s="80">
        <v>0</v>
      </c>
      <c r="M461" s="80">
        <v>0</v>
      </c>
      <c r="N461" s="80">
        <v>0</v>
      </c>
      <c r="O461" s="80">
        <v>1</v>
      </c>
      <c r="P461" s="80">
        <v>0</v>
      </c>
      <c r="Q461" s="80">
        <v>2</v>
      </c>
      <c r="R461" s="80">
        <v>2</v>
      </c>
      <c r="S461" s="80">
        <v>0</v>
      </c>
      <c r="T461" s="80">
        <v>0</v>
      </c>
      <c r="U461" s="80">
        <v>2</v>
      </c>
      <c r="V461" s="80">
        <v>0</v>
      </c>
      <c r="W461" s="80">
        <v>0</v>
      </c>
      <c r="X461" s="80">
        <v>2</v>
      </c>
      <c r="Y461" s="80">
        <v>0</v>
      </c>
      <c r="Z461" s="80">
        <v>4</v>
      </c>
      <c r="AA461" s="80">
        <v>1</v>
      </c>
      <c r="AB461" s="80">
        <v>1</v>
      </c>
      <c r="AC461" s="80">
        <v>0</v>
      </c>
      <c r="AD461" s="80">
        <v>0</v>
      </c>
      <c r="AE461" s="80">
        <v>0</v>
      </c>
      <c r="AF461" s="80">
        <v>0</v>
      </c>
      <c r="AG461" s="81">
        <v>2</v>
      </c>
      <c r="AH461" s="80">
        <v>0</v>
      </c>
      <c r="AI461" s="81">
        <v>0</v>
      </c>
      <c r="AJ461" s="81">
        <v>0</v>
      </c>
      <c r="AK461" s="81">
        <v>0</v>
      </c>
      <c r="AL461" s="81">
        <v>0</v>
      </c>
      <c r="AM461" s="81">
        <v>0</v>
      </c>
      <c r="AN461" s="81">
        <v>0</v>
      </c>
      <c r="AO461" s="80">
        <v>0</v>
      </c>
    </row>
    <row r="462" spans="1:41" ht="15.75" x14ac:dyDescent="0.25">
      <c r="A462" s="74"/>
      <c r="B462" s="74"/>
      <c r="C462" s="627"/>
      <c r="D462" s="80" t="s">
        <v>247</v>
      </c>
      <c r="E462" s="80">
        <v>0</v>
      </c>
      <c r="F462" s="80">
        <v>0</v>
      </c>
      <c r="G462" s="80">
        <v>0</v>
      </c>
      <c r="H462" s="80">
        <v>0</v>
      </c>
      <c r="I462" s="80">
        <v>0</v>
      </c>
      <c r="J462" s="80">
        <v>0</v>
      </c>
      <c r="K462" s="80">
        <v>0</v>
      </c>
      <c r="L462" s="80">
        <v>0</v>
      </c>
      <c r="M462" s="80">
        <v>0</v>
      </c>
      <c r="N462" s="80">
        <v>0</v>
      </c>
      <c r="O462" s="80">
        <v>0</v>
      </c>
      <c r="P462" s="80">
        <v>0</v>
      </c>
      <c r="Q462" s="80">
        <v>0</v>
      </c>
      <c r="R462" s="80">
        <v>0</v>
      </c>
      <c r="S462" s="80">
        <v>0</v>
      </c>
      <c r="T462" s="80">
        <v>0</v>
      </c>
      <c r="U462" s="80">
        <v>0</v>
      </c>
      <c r="V462" s="80">
        <v>0</v>
      </c>
      <c r="W462" s="80">
        <v>0</v>
      </c>
      <c r="X462" s="80">
        <v>0</v>
      </c>
      <c r="Y462" s="80">
        <v>0</v>
      </c>
      <c r="Z462" s="80">
        <v>0</v>
      </c>
      <c r="AA462" s="80">
        <v>0</v>
      </c>
      <c r="AB462" s="80">
        <v>0</v>
      </c>
      <c r="AC462" s="80">
        <v>0</v>
      </c>
      <c r="AD462" s="80">
        <v>0</v>
      </c>
      <c r="AE462" s="80">
        <v>0</v>
      </c>
      <c r="AF462" s="80">
        <v>0</v>
      </c>
      <c r="AG462" s="81">
        <v>0</v>
      </c>
      <c r="AH462" s="80">
        <v>0</v>
      </c>
      <c r="AI462" s="81">
        <v>0</v>
      </c>
      <c r="AJ462" s="81">
        <v>0</v>
      </c>
      <c r="AK462" s="81">
        <v>0</v>
      </c>
      <c r="AL462" s="81">
        <v>0</v>
      </c>
      <c r="AM462" s="81">
        <v>0</v>
      </c>
      <c r="AN462" s="81">
        <v>0</v>
      </c>
      <c r="AO462" s="80">
        <v>0</v>
      </c>
    </row>
    <row r="463" spans="1:41" ht="18.75" x14ac:dyDescent="0.3">
      <c r="A463" s="74"/>
      <c r="B463" s="74"/>
      <c r="C463" s="627"/>
      <c r="D463" s="80" t="s">
        <v>248</v>
      </c>
      <c r="E463" s="80">
        <v>0</v>
      </c>
      <c r="F463" s="80">
        <v>0</v>
      </c>
      <c r="G463" s="80">
        <v>0</v>
      </c>
      <c r="H463" s="80">
        <v>0</v>
      </c>
      <c r="I463" s="80">
        <v>3</v>
      </c>
      <c r="J463" s="160">
        <v>2</v>
      </c>
      <c r="K463" s="80">
        <v>0</v>
      </c>
      <c r="L463" s="80">
        <v>0</v>
      </c>
      <c r="M463" s="80">
        <v>0</v>
      </c>
      <c r="N463" s="80">
        <v>0</v>
      </c>
      <c r="O463" s="80">
        <v>1</v>
      </c>
      <c r="P463" s="80">
        <v>0</v>
      </c>
      <c r="Q463" s="80">
        <v>2</v>
      </c>
      <c r="R463" s="80">
        <v>2</v>
      </c>
      <c r="S463" s="80">
        <v>0</v>
      </c>
      <c r="T463" s="80">
        <v>0</v>
      </c>
      <c r="U463" s="80">
        <v>2</v>
      </c>
      <c r="V463" s="80">
        <v>0</v>
      </c>
      <c r="W463" s="80">
        <v>0</v>
      </c>
      <c r="X463" s="80">
        <v>2</v>
      </c>
      <c r="Y463" s="80">
        <v>0</v>
      </c>
      <c r="Z463" s="80">
        <v>4</v>
      </c>
      <c r="AA463" s="80">
        <v>0</v>
      </c>
      <c r="AB463" s="80">
        <v>1</v>
      </c>
      <c r="AC463" s="80">
        <v>0</v>
      </c>
      <c r="AD463" s="80">
        <v>0</v>
      </c>
      <c r="AE463" s="80">
        <v>0</v>
      </c>
      <c r="AF463" s="80">
        <v>0</v>
      </c>
      <c r="AG463" s="81">
        <v>2</v>
      </c>
      <c r="AH463" s="80">
        <v>0</v>
      </c>
      <c r="AI463" s="81">
        <v>0</v>
      </c>
      <c r="AJ463" s="81">
        <v>0</v>
      </c>
      <c r="AK463" s="81">
        <v>0</v>
      </c>
      <c r="AL463" s="81">
        <v>0</v>
      </c>
      <c r="AM463" s="81">
        <v>0</v>
      </c>
      <c r="AN463" s="81">
        <v>0</v>
      </c>
      <c r="AO463" s="80">
        <v>0</v>
      </c>
    </row>
    <row r="464" spans="1:41" ht="15.75" x14ac:dyDescent="0.25">
      <c r="A464" s="74"/>
      <c r="B464" s="74"/>
      <c r="C464" s="627"/>
      <c r="D464" s="80" t="s">
        <v>258</v>
      </c>
      <c r="E464" s="80">
        <v>0</v>
      </c>
      <c r="F464" s="80">
        <v>0</v>
      </c>
      <c r="G464" s="80">
        <v>0</v>
      </c>
      <c r="H464" s="80">
        <v>0</v>
      </c>
      <c r="I464" s="80">
        <v>0</v>
      </c>
      <c r="J464" s="80">
        <v>0</v>
      </c>
      <c r="K464" s="80">
        <v>0</v>
      </c>
      <c r="L464" s="80">
        <v>0</v>
      </c>
      <c r="M464" s="80">
        <v>0</v>
      </c>
      <c r="N464" s="80">
        <v>0</v>
      </c>
      <c r="O464" s="80">
        <v>0</v>
      </c>
      <c r="P464" s="80">
        <v>0</v>
      </c>
      <c r="Q464" s="80">
        <v>0</v>
      </c>
      <c r="R464" s="80">
        <v>0</v>
      </c>
      <c r="S464" s="80">
        <v>0</v>
      </c>
      <c r="T464" s="80">
        <v>0</v>
      </c>
      <c r="U464" s="80">
        <v>0</v>
      </c>
      <c r="V464" s="80">
        <v>0</v>
      </c>
      <c r="W464" s="80">
        <v>0</v>
      </c>
      <c r="X464" s="80">
        <v>0</v>
      </c>
      <c r="Y464" s="80">
        <v>0</v>
      </c>
      <c r="Z464" s="80">
        <v>0</v>
      </c>
      <c r="AA464" s="80">
        <v>0</v>
      </c>
      <c r="AB464" s="80">
        <v>0</v>
      </c>
      <c r="AC464" s="80">
        <v>0</v>
      </c>
      <c r="AD464" s="80">
        <v>0</v>
      </c>
      <c r="AE464" s="80">
        <v>0</v>
      </c>
      <c r="AF464" s="80">
        <v>0</v>
      </c>
      <c r="AG464" s="80">
        <v>0</v>
      </c>
      <c r="AH464" s="80">
        <v>0</v>
      </c>
      <c r="AI464" s="80">
        <v>0</v>
      </c>
      <c r="AJ464" s="80">
        <v>0</v>
      </c>
      <c r="AK464" s="80">
        <v>0</v>
      </c>
      <c r="AL464" s="80">
        <v>0</v>
      </c>
      <c r="AM464" s="81">
        <v>0</v>
      </c>
      <c r="AN464" s="81">
        <v>0</v>
      </c>
      <c r="AO464" s="80">
        <v>0</v>
      </c>
    </row>
    <row r="465" spans="1:41" ht="15.75" x14ac:dyDescent="0.25">
      <c r="A465" s="159">
        <v>5</v>
      </c>
      <c r="B465" s="159" t="s">
        <v>20</v>
      </c>
      <c r="C465" s="159" t="s">
        <v>20</v>
      </c>
      <c r="D465" s="80" t="s">
        <v>245</v>
      </c>
      <c r="E465" s="80">
        <v>0</v>
      </c>
      <c r="F465" s="80">
        <v>0</v>
      </c>
      <c r="G465" s="80">
        <v>0</v>
      </c>
      <c r="H465" s="80">
        <v>2</v>
      </c>
      <c r="I465" s="80">
        <v>1</v>
      </c>
      <c r="J465" s="80">
        <v>1</v>
      </c>
      <c r="K465" s="80">
        <v>0</v>
      </c>
      <c r="L465" s="80">
        <v>0</v>
      </c>
      <c r="M465" s="80">
        <v>1</v>
      </c>
      <c r="N465" s="80">
        <v>1</v>
      </c>
      <c r="O465" s="80">
        <v>1</v>
      </c>
      <c r="P465" s="80">
        <v>0</v>
      </c>
      <c r="Q465" s="80">
        <v>1</v>
      </c>
      <c r="R465" s="80">
        <v>0</v>
      </c>
      <c r="S465" s="80">
        <v>0</v>
      </c>
      <c r="T465" s="80">
        <v>0</v>
      </c>
      <c r="U465" s="80">
        <v>2</v>
      </c>
      <c r="V465" s="80">
        <v>1</v>
      </c>
      <c r="W465" s="80">
        <v>1</v>
      </c>
      <c r="X465" s="80">
        <v>0</v>
      </c>
      <c r="Y465" s="80">
        <v>0</v>
      </c>
      <c r="Z465" s="80">
        <v>1</v>
      </c>
      <c r="AA465" s="80">
        <v>1</v>
      </c>
      <c r="AB465" s="80">
        <v>1</v>
      </c>
      <c r="AC465" s="80">
        <v>0</v>
      </c>
      <c r="AD465" s="80">
        <v>1</v>
      </c>
      <c r="AE465" s="80">
        <v>1</v>
      </c>
      <c r="AF465" s="80">
        <v>0</v>
      </c>
      <c r="AG465" s="81">
        <v>1</v>
      </c>
      <c r="AH465" s="80">
        <v>0</v>
      </c>
      <c r="AI465" s="81">
        <v>0</v>
      </c>
      <c r="AJ465" s="81">
        <v>0</v>
      </c>
      <c r="AK465" s="81">
        <v>0</v>
      </c>
      <c r="AL465" s="81">
        <v>0</v>
      </c>
      <c r="AM465" s="81">
        <v>0</v>
      </c>
      <c r="AN465" s="81">
        <v>0</v>
      </c>
      <c r="AO465" s="80">
        <v>0</v>
      </c>
    </row>
    <row r="466" spans="1:41" ht="15.75" x14ac:dyDescent="0.25">
      <c r="A466" s="159"/>
      <c r="B466" s="159"/>
      <c r="C466" s="159"/>
      <c r="D466" s="80" t="s">
        <v>246</v>
      </c>
      <c r="E466" s="80">
        <v>0</v>
      </c>
      <c r="F466" s="80">
        <v>0</v>
      </c>
      <c r="G466" s="80">
        <v>0</v>
      </c>
      <c r="H466" s="80">
        <v>2</v>
      </c>
      <c r="I466" s="80">
        <v>1</v>
      </c>
      <c r="J466" s="80">
        <v>1</v>
      </c>
      <c r="K466" s="80">
        <v>0</v>
      </c>
      <c r="L466" s="80">
        <v>0</v>
      </c>
      <c r="M466" s="80">
        <v>1</v>
      </c>
      <c r="N466" s="80">
        <v>1</v>
      </c>
      <c r="O466" s="80">
        <v>1</v>
      </c>
      <c r="P466" s="80">
        <v>0</v>
      </c>
      <c r="Q466" s="80">
        <v>1</v>
      </c>
      <c r="R466" s="80">
        <v>0</v>
      </c>
      <c r="S466" s="80">
        <v>0</v>
      </c>
      <c r="T466" s="80">
        <v>0</v>
      </c>
      <c r="U466" s="80">
        <v>2</v>
      </c>
      <c r="V466" s="80">
        <v>1</v>
      </c>
      <c r="W466" s="80">
        <v>1</v>
      </c>
      <c r="X466" s="80">
        <v>0</v>
      </c>
      <c r="Y466" s="80">
        <v>0</v>
      </c>
      <c r="Z466" s="80">
        <v>1</v>
      </c>
      <c r="AA466" s="80">
        <v>1</v>
      </c>
      <c r="AB466" s="80">
        <v>1</v>
      </c>
      <c r="AC466" s="80">
        <v>0</v>
      </c>
      <c r="AD466" s="80">
        <v>1</v>
      </c>
      <c r="AE466" s="80">
        <v>1</v>
      </c>
      <c r="AF466" s="80">
        <v>0</v>
      </c>
      <c r="AG466" s="81">
        <v>1</v>
      </c>
      <c r="AH466" s="80">
        <v>0</v>
      </c>
      <c r="AI466" s="81">
        <v>0</v>
      </c>
      <c r="AJ466" s="81">
        <v>0</v>
      </c>
      <c r="AK466" s="81">
        <v>0</v>
      </c>
      <c r="AL466" s="81">
        <v>0</v>
      </c>
      <c r="AM466" s="81">
        <v>0</v>
      </c>
      <c r="AN466" s="81">
        <v>0</v>
      </c>
      <c r="AO466" s="80">
        <v>0</v>
      </c>
    </row>
    <row r="467" spans="1:41" ht="15.75" x14ac:dyDescent="0.25">
      <c r="A467" s="159"/>
      <c r="B467" s="159"/>
      <c r="C467" s="159"/>
      <c r="D467" s="80" t="s">
        <v>247</v>
      </c>
      <c r="E467" s="80">
        <v>0</v>
      </c>
      <c r="F467" s="80">
        <v>0</v>
      </c>
      <c r="G467" s="80">
        <v>0</v>
      </c>
      <c r="H467" s="80">
        <v>0</v>
      </c>
      <c r="I467" s="80">
        <v>0</v>
      </c>
      <c r="J467" s="80">
        <v>0</v>
      </c>
      <c r="K467" s="80">
        <v>0</v>
      </c>
      <c r="L467" s="80">
        <v>0</v>
      </c>
      <c r="M467" s="80">
        <v>0</v>
      </c>
      <c r="N467" s="80">
        <v>0</v>
      </c>
      <c r="O467" s="80">
        <v>0</v>
      </c>
      <c r="P467" s="80">
        <v>0</v>
      </c>
      <c r="Q467" s="80">
        <v>0</v>
      </c>
      <c r="R467" s="80">
        <v>0</v>
      </c>
      <c r="S467" s="80">
        <v>0</v>
      </c>
      <c r="T467" s="80">
        <v>0</v>
      </c>
      <c r="U467" s="80">
        <v>0</v>
      </c>
      <c r="V467" s="80">
        <v>0</v>
      </c>
      <c r="W467" s="80">
        <v>0</v>
      </c>
      <c r="X467" s="80">
        <v>0</v>
      </c>
      <c r="Y467" s="80">
        <v>0</v>
      </c>
      <c r="Z467" s="80">
        <v>0</v>
      </c>
      <c r="AA467" s="80">
        <v>0</v>
      </c>
      <c r="AB467" s="80">
        <v>0</v>
      </c>
      <c r="AC467" s="80">
        <v>0</v>
      </c>
      <c r="AD467" s="80">
        <v>0</v>
      </c>
      <c r="AE467" s="80">
        <v>0</v>
      </c>
      <c r="AF467" s="80">
        <v>0</v>
      </c>
      <c r="AG467" s="81">
        <v>0</v>
      </c>
      <c r="AH467" s="80">
        <v>0</v>
      </c>
      <c r="AI467" s="81">
        <v>0</v>
      </c>
      <c r="AJ467" s="81">
        <v>0</v>
      </c>
      <c r="AK467" s="81">
        <v>0</v>
      </c>
      <c r="AL467" s="81">
        <v>0</v>
      </c>
      <c r="AM467" s="81">
        <v>0</v>
      </c>
      <c r="AN467" s="81">
        <v>0</v>
      </c>
      <c r="AO467" s="80">
        <v>0</v>
      </c>
    </row>
    <row r="468" spans="1:41" ht="15.75" x14ac:dyDescent="0.25">
      <c r="A468" s="159"/>
      <c r="B468" s="159"/>
      <c r="C468" s="159"/>
      <c r="D468" s="80" t="s">
        <v>248</v>
      </c>
      <c r="E468" s="80">
        <v>0</v>
      </c>
      <c r="F468" s="80">
        <v>0</v>
      </c>
      <c r="G468" s="80">
        <v>0</v>
      </c>
      <c r="H468" s="80">
        <v>2</v>
      </c>
      <c r="I468" s="80">
        <v>1</v>
      </c>
      <c r="J468" s="80">
        <v>1</v>
      </c>
      <c r="K468" s="80">
        <v>0</v>
      </c>
      <c r="L468" s="80">
        <v>0</v>
      </c>
      <c r="M468" s="80">
        <v>1</v>
      </c>
      <c r="N468" s="80">
        <v>1</v>
      </c>
      <c r="O468" s="80">
        <v>1</v>
      </c>
      <c r="P468" s="80">
        <v>0</v>
      </c>
      <c r="Q468" s="80">
        <v>1</v>
      </c>
      <c r="R468" s="80">
        <v>0</v>
      </c>
      <c r="S468" s="80">
        <v>0</v>
      </c>
      <c r="T468" s="80">
        <v>0</v>
      </c>
      <c r="U468" s="80">
        <v>2</v>
      </c>
      <c r="V468" s="80">
        <v>1</v>
      </c>
      <c r="W468" s="80">
        <v>1</v>
      </c>
      <c r="X468" s="80">
        <v>0</v>
      </c>
      <c r="Y468" s="80">
        <v>0</v>
      </c>
      <c r="Z468" s="80">
        <v>1</v>
      </c>
      <c r="AA468" s="80">
        <v>1</v>
      </c>
      <c r="AB468" s="80">
        <v>1</v>
      </c>
      <c r="AC468" s="80">
        <v>0</v>
      </c>
      <c r="AD468" s="80">
        <v>1</v>
      </c>
      <c r="AE468" s="80">
        <v>1</v>
      </c>
      <c r="AF468" s="80">
        <v>0</v>
      </c>
      <c r="AG468" s="81">
        <v>1</v>
      </c>
      <c r="AH468" s="80">
        <v>0</v>
      </c>
      <c r="AI468" s="81">
        <v>0</v>
      </c>
      <c r="AJ468" s="81">
        <v>0</v>
      </c>
      <c r="AK468" s="81">
        <v>0</v>
      </c>
      <c r="AL468" s="81">
        <v>0</v>
      </c>
      <c r="AM468" s="81">
        <v>0</v>
      </c>
      <c r="AN468" s="81">
        <v>0</v>
      </c>
      <c r="AO468" s="80">
        <v>0</v>
      </c>
    </row>
    <row r="469" spans="1:41" ht="15.75" x14ac:dyDescent="0.25">
      <c r="A469" s="159"/>
      <c r="B469" s="159"/>
      <c r="C469" s="159"/>
      <c r="D469" s="80" t="s">
        <v>258</v>
      </c>
      <c r="E469" s="80">
        <v>0</v>
      </c>
      <c r="F469" s="80">
        <v>0</v>
      </c>
      <c r="G469" s="80">
        <v>0</v>
      </c>
      <c r="H469" s="80">
        <v>0</v>
      </c>
      <c r="I469" s="80">
        <v>0</v>
      </c>
      <c r="J469" s="80">
        <v>0</v>
      </c>
      <c r="K469" s="80">
        <v>0</v>
      </c>
      <c r="L469" s="80">
        <v>0</v>
      </c>
      <c r="M469" s="80">
        <v>0</v>
      </c>
      <c r="N469" s="80">
        <v>0</v>
      </c>
      <c r="O469" s="80">
        <v>0</v>
      </c>
      <c r="P469" s="80">
        <v>0</v>
      </c>
      <c r="Q469" s="80">
        <v>0</v>
      </c>
      <c r="R469" s="80">
        <v>0</v>
      </c>
      <c r="S469" s="80">
        <v>0</v>
      </c>
      <c r="T469" s="80">
        <v>0</v>
      </c>
      <c r="U469" s="80">
        <v>0</v>
      </c>
      <c r="V469" s="80">
        <v>0</v>
      </c>
      <c r="W469" s="80">
        <v>0</v>
      </c>
      <c r="X469" s="80">
        <v>0</v>
      </c>
      <c r="Y469" s="80">
        <v>0</v>
      </c>
      <c r="Z469" s="80">
        <v>0</v>
      </c>
      <c r="AA469" s="80">
        <v>0</v>
      </c>
      <c r="AB469" s="80">
        <v>0</v>
      </c>
      <c r="AC469" s="80">
        <v>0</v>
      </c>
      <c r="AD469" s="80">
        <v>0</v>
      </c>
      <c r="AE469" s="80">
        <v>0</v>
      </c>
      <c r="AF469" s="80">
        <v>0</v>
      </c>
      <c r="AG469" s="80">
        <v>0</v>
      </c>
      <c r="AH469" s="80">
        <v>0</v>
      </c>
      <c r="AI469" s="80">
        <v>0</v>
      </c>
      <c r="AJ469" s="80">
        <v>0</v>
      </c>
      <c r="AK469" s="80">
        <v>0</v>
      </c>
      <c r="AL469" s="80">
        <v>0</v>
      </c>
      <c r="AM469" s="81">
        <v>0</v>
      </c>
      <c r="AN469" s="81">
        <v>0</v>
      </c>
      <c r="AO469" s="80">
        <v>0</v>
      </c>
    </row>
    <row r="470" spans="1:41" ht="15.75" x14ac:dyDescent="0.25">
      <c r="A470" s="84">
        <v>6</v>
      </c>
      <c r="B470" s="84" t="s">
        <v>127</v>
      </c>
      <c r="C470" s="84" t="s">
        <v>127</v>
      </c>
      <c r="D470" s="80" t="s">
        <v>245</v>
      </c>
      <c r="E470" s="80">
        <v>0</v>
      </c>
      <c r="F470" s="80">
        <v>1</v>
      </c>
      <c r="G470" s="80">
        <v>1</v>
      </c>
      <c r="H470" s="80">
        <v>1</v>
      </c>
      <c r="I470" s="80">
        <v>7</v>
      </c>
      <c r="J470" s="80">
        <v>2</v>
      </c>
      <c r="K470" s="80">
        <v>0</v>
      </c>
      <c r="L470" s="80">
        <v>0</v>
      </c>
      <c r="M470" s="80">
        <v>1</v>
      </c>
      <c r="N470" s="80">
        <v>1</v>
      </c>
      <c r="O470" s="80">
        <v>4</v>
      </c>
      <c r="P470" s="80">
        <v>0</v>
      </c>
      <c r="Q470" s="80">
        <v>1</v>
      </c>
      <c r="R470" s="80">
        <v>1</v>
      </c>
      <c r="S470" s="80">
        <v>0</v>
      </c>
      <c r="T470" s="80">
        <v>1</v>
      </c>
      <c r="U470" s="80">
        <v>2</v>
      </c>
      <c r="V470" s="80">
        <v>3</v>
      </c>
      <c r="W470" s="80">
        <v>1</v>
      </c>
      <c r="X470" s="80">
        <v>1</v>
      </c>
      <c r="Y470" s="80">
        <v>1</v>
      </c>
      <c r="Z470" s="80">
        <v>1</v>
      </c>
      <c r="AA470" s="80">
        <v>2</v>
      </c>
      <c r="AB470" s="80">
        <v>1</v>
      </c>
      <c r="AC470" s="80">
        <v>0</v>
      </c>
      <c r="AD470" s="80">
        <v>0</v>
      </c>
      <c r="AE470" s="80">
        <v>1</v>
      </c>
      <c r="AF470" s="80">
        <v>1</v>
      </c>
      <c r="AG470" s="80">
        <v>0</v>
      </c>
      <c r="AH470" s="80">
        <v>5</v>
      </c>
      <c r="AI470" s="81">
        <v>0</v>
      </c>
      <c r="AJ470" s="81">
        <v>0</v>
      </c>
      <c r="AK470" s="81">
        <v>0</v>
      </c>
      <c r="AL470" s="81">
        <v>1</v>
      </c>
      <c r="AM470" s="81">
        <v>0</v>
      </c>
      <c r="AN470" s="81">
        <v>1</v>
      </c>
      <c r="AO470" s="80">
        <v>0</v>
      </c>
    </row>
    <row r="471" spans="1:41" ht="15.75" x14ac:dyDescent="0.25">
      <c r="A471" s="84"/>
      <c r="B471" s="84"/>
      <c r="C471" s="84"/>
      <c r="D471" s="80" t="s">
        <v>246</v>
      </c>
      <c r="E471" s="80">
        <v>1</v>
      </c>
      <c r="F471" s="80">
        <v>1</v>
      </c>
      <c r="G471" s="80">
        <v>1</v>
      </c>
      <c r="H471" s="80">
        <v>1</v>
      </c>
      <c r="I471" s="80">
        <v>7</v>
      </c>
      <c r="J471" s="80">
        <v>2</v>
      </c>
      <c r="K471" s="80">
        <v>0</v>
      </c>
      <c r="L471" s="80">
        <v>0</v>
      </c>
      <c r="M471" s="80">
        <v>1</v>
      </c>
      <c r="N471" s="80">
        <v>1</v>
      </c>
      <c r="O471" s="80">
        <v>4</v>
      </c>
      <c r="P471" s="80">
        <v>0</v>
      </c>
      <c r="Q471" s="80">
        <v>1</v>
      </c>
      <c r="R471" s="80">
        <v>1</v>
      </c>
      <c r="S471" s="80">
        <v>0</v>
      </c>
      <c r="T471" s="80">
        <v>1</v>
      </c>
      <c r="U471" s="80">
        <v>2</v>
      </c>
      <c r="V471" s="80">
        <v>3</v>
      </c>
      <c r="W471" s="80">
        <v>1</v>
      </c>
      <c r="X471" s="80">
        <v>1</v>
      </c>
      <c r="Y471" s="80">
        <v>1</v>
      </c>
      <c r="Z471" s="80">
        <v>1</v>
      </c>
      <c r="AA471" s="80">
        <v>2</v>
      </c>
      <c r="AB471" s="80">
        <v>1</v>
      </c>
      <c r="AC471" s="80">
        <v>0</v>
      </c>
      <c r="AD471" s="80">
        <v>0</v>
      </c>
      <c r="AE471" s="80">
        <v>1</v>
      </c>
      <c r="AF471" s="80">
        <v>1</v>
      </c>
      <c r="AG471" s="80">
        <v>0</v>
      </c>
      <c r="AH471" s="80">
        <v>5</v>
      </c>
      <c r="AI471" s="81">
        <v>0</v>
      </c>
      <c r="AJ471" s="81">
        <v>0</v>
      </c>
      <c r="AK471" s="81">
        <v>0</v>
      </c>
      <c r="AL471" s="81">
        <v>1</v>
      </c>
      <c r="AM471" s="81">
        <v>0</v>
      </c>
      <c r="AN471" s="81">
        <v>1</v>
      </c>
      <c r="AO471" s="80">
        <v>0</v>
      </c>
    </row>
    <row r="472" spans="1:41" ht="15.75" x14ac:dyDescent="0.25">
      <c r="A472" s="84"/>
      <c r="B472" s="84"/>
      <c r="C472" s="84"/>
      <c r="D472" s="80" t="s">
        <v>247</v>
      </c>
      <c r="E472" s="80">
        <v>0</v>
      </c>
      <c r="F472" s="80">
        <v>0</v>
      </c>
      <c r="G472" s="80">
        <v>0</v>
      </c>
      <c r="H472" s="80">
        <v>0</v>
      </c>
      <c r="I472" s="80">
        <v>0</v>
      </c>
      <c r="J472" s="80">
        <v>0</v>
      </c>
      <c r="K472" s="80">
        <v>0</v>
      </c>
      <c r="L472" s="80">
        <v>0</v>
      </c>
      <c r="M472" s="80">
        <v>0</v>
      </c>
      <c r="N472" s="80">
        <v>0</v>
      </c>
      <c r="O472" s="80">
        <v>0</v>
      </c>
      <c r="P472" s="80">
        <v>0</v>
      </c>
      <c r="Q472" s="80">
        <v>0</v>
      </c>
      <c r="R472" s="80">
        <v>0</v>
      </c>
      <c r="S472" s="80">
        <v>0</v>
      </c>
      <c r="T472" s="80">
        <v>0</v>
      </c>
      <c r="U472" s="80">
        <v>0</v>
      </c>
      <c r="V472" s="80">
        <v>0</v>
      </c>
      <c r="W472" s="80">
        <v>0</v>
      </c>
      <c r="X472" s="80">
        <v>0</v>
      </c>
      <c r="Y472" s="80">
        <v>0</v>
      </c>
      <c r="Z472" s="80">
        <v>0</v>
      </c>
      <c r="AA472" s="80">
        <v>0</v>
      </c>
      <c r="AB472" s="80">
        <v>0</v>
      </c>
      <c r="AC472" s="80">
        <v>0</v>
      </c>
      <c r="AD472" s="80">
        <v>0</v>
      </c>
      <c r="AE472" s="80">
        <v>0</v>
      </c>
      <c r="AF472" s="80">
        <v>0</v>
      </c>
      <c r="AG472" s="80">
        <v>0</v>
      </c>
      <c r="AH472" s="80">
        <v>0</v>
      </c>
      <c r="AI472" s="81">
        <v>0</v>
      </c>
      <c r="AJ472" s="81">
        <v>0</v>
      </c>
      <c r="AK472" s="81">
        <v>0</v>
      </c>
      <c r="AL472" s="81">
        <v>0</v>
      </c>
      <c r="AM472" s="81">
        <v>0</v>
      </c>
      <c r="AN472" s="81">
        <v>0</v>
      </c>
      <c r="AO472" s="80">
        <v>0</v>
      </c>
    </row>
    <row r="473" spans="1:41" ht="15.75" x14ac:dyDescent="0.25">
      <c r="A473" s="84"/>
      <c r="B473" s="84"/>
      <c r="C473" s="84"/>
      <c r="D473" s="80" t="s">
        <v>248</v>
      </c>
      <c r="E473" s="80">
        <v>1</v>
      </c>
      <c r="F473" s="80">
        <v>1</v>
      </c>
      <c r="G473" s="80">
        <v>1</v>
      </c>
      <c r="H473" s="80">
        <v>1</v>
      </c>
      <c r="I473" s="80">
        <v>7</v>
      </c>
      <c r="J473" s="80">
        <v>2</v>
      </c>
      <c r="K473" s="80">
        <v>0</v>
      </c>
      <c r="L473" s="80">
        <v>0</v>
      </c>
      <c r="M473" s="80">
        <v>1</v>
      </c>
      <c r="N473" s="80">
        <v>1</v>
      </c>
      <c r="O473" s="80">
        <v>4</v>
      </c>
      <c r="P473" s="80">
        <v>0</v>
      </c>
      <c r="Q473" s="80">
        <v>1</v>
      </c>
      <c r="R473" s="80">
        <v>0</v>
      </c>
      <c r="S473" s="80">
        <v>0</v>
      </c>
      <c r="T473" s="80">
        <v>0</v>
      </c>
      <c r="U473" s="80">
        <v>2</v>
      </c>
      <c r="V473" s="80">
        <v>3</v>
      </c>
      <c r="W473" s="80">
        <v>1</v>
      </c>
      <c r="X473" s="80">
        <v>1</v>
      </c>
      <c r="Y473" s="80">
        <v>1</v>
      </c>
      <c r="Z473" s="80">
        <v>0</v>
      </c>
      <c r="AA473" s="80">
        <v>2</v>
      </c>
      <c r="AB473" s="80">
        <v>1</v>
      </c>
      <c r="AC473" s="80">
        <v>0</v>
      </c>
      <c r="AD473" s="80">
        <v>0</v>
      </c>
      <c r="AE473" s="80">
        <v>1</v>
      </c>
      <c r="AF473" s="80">
        <v>1</v>
      </c>
      <c r="AG473" s="80">
        <v>0</v>
      </c>
      <c r="AH473" s="80">
        <v>5</v>
      </c>
      <c r="AI473" s="81">
        <v>0</v>
      </c>
      <c r="AJ473" s="81">
        <v>0</v>
      </c>
      <c r="AK473" s="81">
        <v>0</v>
      </c>
      <c r="AL473" s="81">
        <v>1</v>
      </c>
      <c r="AM473" s="81">
        <v>0</v>
      </c>
      <c r="AN473" s="81">
        <v>1</v>
      </c>
      <c r="AO473" s="80">
        <v>0</v>
      </c>
    </row>
    <row r="474" spans="1:41" ht="15.75" x14ac:dyDescent="0.25">
      <c r="A474" s="84"/>
      <c r="B474" s="84"/>
      <c r="C474" s="84"/>
      <c r="D474" s="80" t="s">
        <v>258</v>
      </c>
      <c r="E474" s="80">
        <v>0</v>
      </c>
      <c r="F474" s="80">
        <v>0</v>
      </c>
      <c r="G474" s="80">
        <v>0</v>
      </c>
      <c r="H474" s="80">
        <v>0</v>
      </c>
      <c r="I474" s="80">
        <v>0</v>
      </c>
      <c r="J474" s="80">
        <v>0</v>
      </c>
      <c r="K474" s="80">
        <v>0</v>
      </c>
      <c r="L474" s="80">
        <v>0</v>
      </c>
      <c r="M474" s="80">
        <v>0</v>
      </c>
      <c r="N474" s="80">
        <v>0</v>
      </c>
      <c r="O474" s="80">
        <v>0</v>
      </c>
      <c r="P474" s="80">
        <v>0</v>
      </c>
      <c r="Q474" s="80">
        <v>0</v>
      </c>
      <c r="R474" s="80">
        <v>1</v>
      </c>
      <c r="S474" s="80">
        <v>0</v>
      </c>
      <c r="T474" s="80">
        <v>1</v>
      </c>
      <c r="U474" s="80">
        <v>0</v>
      </c>
      <c r="V474" s="80">
        <v>0</v>
      </c>
      <c r="W474" s="80">
        <v>0</v>
      </c>
      <c r="X474" s="80">
        <v>0</v>
      </c>
      <c r="Y474" s="80">
        <v>0</v>
      </c>
      <c r="Z474" s="80">
        <v>1</v>
      </c>
      <c r="AA474" s="80">
        <v>0</v>
      </c>
      <c r="AB474" s="80">
        <v>0</v>
      </c>
      <c r="AC474" s="80">
        <v>0</v>
      </c>
      <c r="AD474" s="80">
        <v>0</v>
      </c>
      <c r="AE474" s="80">
        <v>0</v>
      </c>
      <c r="AF474" s="80">
        <v>0</v>
      </c>
      <c r="AG474" s="81">
        <v>0</v>
      </c>
      <c r="AH474" s="80">
        <v>0</v>
      </c>
      <c r="AI474" s="80">
        <v>0</v>
      </c>
      <c r="AJ474" s="80">
        <v>0</v>
      </c>
      <c r="AK474" s="80">
        <v>0</v>
      </c>
      <c r="AL474" s="80">
        <v>0</v>
      </c>
      <c r="AM474" s="81">
        <v>0</v>
      </c>
      <c r="AN474" s="81">
        <v>0</v>
      </c>
      <c r="AO474" s="80">
        <v>0</v>
      </c>
    </row>
    <row r="475" spans="1:41" ht="15.75" x14ac:dyDescent="0.25">
      <c r="A475" s="84">
        <v>7</v>
      </c>
      <c r="B475" s="84"/>
      <c r="C475" s="84" t="s">
        <v>172</v>
      </c>
      <c r="D475" s="80" t="s">
        <v>245</v>
      </c>
      <c r="E475" s="80">
        <v>0</v>
      </c>
      <c r="F475" s="80">
        <v>0</v>
      </c>
      <c r="G475" s="80">
        <v>0</v>
      </c>
      <c r="H475" s="80">
        <v>1</v>
      </c>
      <c r="I475" s="80">
        <v>2</v>
      </c>
      <c r="J475" s="80">
        <v>1</v>
      </c>
      <c r="K475" s="80">
        <v>0</v>
      </c>
      <c r="L475" s="80">
        <v>1</v>
      </c>
      <c r="M475" s="80">
        <v>0</v>
      </c>
      <c r="N475" s="80">
        <v>0</v>
      </c>
      <c r="O475" s="80">
        <v>1</v>
      </c>
      <c r="P475" s="80">
        <v>0</v>
      </c>
      <c r="Q475" s="80">
        <v>1</v>
      </c>
      <c r="R475" s="80">
        <v>1</v>
      </c>
      <c r="S475" s="80">
        <v>0</v>
      </c>
      <c r="T475" s="80">
        <v>1</v>
      </c>
      <c r="U475" s="80">
        <v>2</v>
      </c>
      <c r="V475" s="80">
        <v>1</v>
      </c>
      <c r="W475" s="80">
        <v>1</v>
      </c>
      <c r="X475" s="80">
        <v>0</v>
      </c>
      <c r="Y475" s="80">
        <v>0</v>
      </c>
      <c r="Z475" s="80">
        <v>1</v>
      </c>
      <c r="AA475" s="80">
        <v>2</v>
      </c>
      <c r="AB475" s="80">
        <v>1</v>
      </c>
      <c r="AC475" s="80">
        <v>1</v>
      </c>
      <c r="AD475" s="80">
        <v>0</v>
      </c>
      <c r="AE475" s="80">
        <v>1</v>
      </c>
      <c r="AF475" s="80">
        <v>1</v>
      </c>
      <c r="AG475" s="81">
        <v>1</v>
      </c>
      <c r="AH475" s="80">
        <v>1</v>
      </c>
      <c r="AI475" s="81">
        <v>0</v>
      </c>
      <c r="AJ475" s="81">
        <v>0</v>
      </c>
      <c r="AK475" s="81">
        <v>0</v>
      </c>
      <c r="AL475" s="81">
        <v>0</v>
      </c>
      <c r="AM475" s="81">
        <v>2</v>
      </c>
      <c r="AN475" s="81">
        <v>1</v>
      </c>
      <c r="AO475" s="81">
        <v>1</v>
      </c>
    </row>
    <row r="476" spans="1:41" ht="15.75" x14ac:dyDescent="0.25">
      <c r="A476" s="84"/>
      <c r="B476" s="84"/>
      <c r="C476" s="84"/>
      <c r="D476" s="80" t="s">
        <v>246</v>
      </c>
      <c r="E476" s="80">
        <v>0</v>
      </c>
      <c r="F476" s="80">
        <v>0</v>
      </c>
      <c r="G476" s="80">
        <v>0</v>
      </c>
      <c r="H476" s="80">
        <v>1</v>
      </c>
      <c r="I476" s="80">
        <v>2</v>
      </c>
      <c r="J476" s="80">
        <v>1</v>
      </c>
      <c r="K476" s="80">
        <v>0</v>
      </c>
      <c r="L476" s="80">
        <v>1</v>
      </c>
      <c r="M476" s="80">
        <v>0</v>
      </c>
      <c r="N476" s="80">
        <v>0</v>
      </c>
      <c r="O476" s="80">
        <v>1</v>
      </c>
      <c r="P476" s="80">
        <v>0</v>
      </c>
      <c r="Q476" s="80">
        <v>1</v>
      </c>
      <c r="R476" s="80">
        <v>1</v>
      </c>
      <c r="S476" s="80">
        <v>0</v>
      </c>
      <c r="T476" s="80">
        <v>1</v>
      </c>
      <c r="U476" s="80">
        <v>2</v>
      </c>
      <c r="V476" s="80">
        <v>1</v>
      </c>
      <c r="W476" s="80">
        <v>1</v>
      </c>
      <c r="X476" s="80">
        <v>0</v>
      </c>
      <c r="Y476" s="80">
        <v>0</v>
      </c>
      <c r="Z476" s="80">
        <v>1</v>
      </c>
      <c r="AA476" s="80">
        <v>2</v>
      </c>
      <c r="AB476" s="80">
        <v>1</v>
      </c>
      <c r="AC476" s="80">
        <v>1</v>
      </c>
      <c r="AD476" s="80">
        <v>0</v>
      </c>
      <c r="AE476" s="80">
        <v>1</v>
      </c>
      <c r="AF476" s="80">
        <v>1</v>
      </c>
      <c r="AG476" s="81">
        <v>1</v>
      </c>
      <c r="AH476" s="80">
        <v>1</v>
      </c>
      <c r="AI476" s="81">
        <v>0</v>
      </c>
      <c r="AJ476" s="81">
        <v>0</v>
      </c>
      <c r="AK476" s="81">
        <v>0</v>
      </c>
      <c r="AL476" s="81">
        <v>0</v>
      </c>
      <c r="AM476" s="81">
        <v>2</v>
      </c>
      <c r="AN476" s="81">
        <v>1</v>
      </c>
      <c r="AO476" s="81">
        <v>1</v>
      </c>
    </row>
    <row r="477" spans="1:41" ht="15.75" x14ac:dyDescent="0.25">
      <c r="A477" s="84"/>
      <c r="B477" s="84"/>
      <c r="C477" s="84"/>
      <c r="D477" s="80" t="s">
        <v>247</v>
      </c>
      <c r="E477" s="80">
        <v>0</v>
      </c>
      <c r="F477" s="80">
        <v>0</v>
      </c>
      <c r="G477" s="80">
        <v>0</v>
      </c>
      <c r="H477" s="80">
        <v>0</v>
      </c>
      <c r="I477" s="80">
        <v>0</v>
      </c>
      <c r="J477" s="80">
        <v>0</v>
      </c>
      <c r="K477" s="80">
        <v>0</v>
      </c>
      <c r="L477" s="80">
        <v>0</v>
      </c>
      <c r="M477" s="80">
        <v>0</v>
      </c>
      <c r="N477" s="80">
        <v>0</v>
      </c>
      <c r="O477" s="80">
        <v>0</v>
      </c>
      <c r="P477" s="80">
        <v>0</v>
      </c>
      <c r="Q477" s="80">
        <v>0</v>
      </c>
      <c r="R477" s="80">
        <v>0</v>
      </c>
      <c r="S477" s="80">
        <v>0</v>
      </c>
      <c r="T477" s="80">
        <v>0</v>
      </c>
      <c r="U477" s="80">
        <v>0</v>
      </c>
      <c r="V477" s="80">
        <v>0</v>
      </c>
      <c r="W477" s="80">
        <v>0</v>
      </c>
      <c r="X477" s="80">
        <v>0</v>
      </c>
      <c r="Y477" s="80">
        <v>0</v>
      </c>
      <c r="Z477" s="80">
        <v>0</v>
      </c>
      <c r="AA477" s="80">
        <v>0</v>
      </c>
      <c r="AB477" s="80">
        <v>0</v>
      </c>
      <c r="AC477" s="80">
        <v>0</v>
      </c>
      <c r="AD477" s="80">
        <v>0</v>
      </c>
      <c r="AE477" s="80">
        <v>0</v>
      </c>
      <c r="AF477" s="80">
        <v>0</v>
      </c>
      <c r="AG477" s="81">
        <v>0</v>
      </c>
      <c r="AH477" s="80">
        <v>0</v>
      </c>
      <c r="AI477" s="81">
        <v>0</v>
      </c>
      <c r="AJ477" s="81">
        <v>0</v>
      </c>
      <c r="AK477" s="81">
        <v>0</v>
      </c>
      <c r="AL477" s="81">
        <v>0</v>
      </c>
      <c r="AM477" s="81">
        <v>0</v>
      </c>
      <c r="AN477" s="81">
        <v>0</v>
      </c>
      <c r="AO477" s="81">
        <v>0</v>
      </c>
    </row>
    <row r="478" spans="1:41" ht="15.75" x14ac:dyDescent="0.25">
      <c r="A478" s="84"/>
      <c r="B478" s="84"/>
      <c r="C478" s="84"/>
      <c r="D478" s="80" t="s">
        <v>248</v>
      </c>
      <c r="E478" s="80">
        <v>0</v>
      </c>
      <c r="F478" s="80">
        <v>0</v>
      </c>
      <c r="G478" s="80">
        <v>0</v>
      </c>
      <c r="H478" s="80">
        <v>1</v>
      </c>
      <c r="I478" s="80">
        <v>1</v>
      </c>
      <c r="J478" s="80">
        <v>1</v>
      </c>
      <c r="K478" s="80">
        <v>0</v>
      </c>
      <c r="L478" s="80">
        <v>1</v>
      </c>
      <c r="M478" s="80">
        <v>0</v>
      </c>
      <c r="N478" s="80">
        <v>0</v>
      </c>
      <c r="O478" s="80">
        <v>1</v>
      </c>
      <c r="P478" s="80">
        <v>0</v>
      </c>
      <c r="Q478" s="80">
        <v>0</v>
      </c>
      <c r="R478" s="80">
        <v>1</v>
      </c>
      <c r="S478" s="80">
        <v>0</v>
      </c>
      <c r="T478" s="80">
        <v>1</v>
      </c>
      <c r="U478" s="80">
        <v>2</v>
      </c>
      <c r="V478" s="80">
        <v>1</v>
      </c>
      <c r="W478" s="80">
        <v>1</v>
      </c>
      <c r="X478" s="80">
        <v>0</v>
      </c>
      <c r="Y478" s="80">
        <v>0</v>
      </c>
      <c r="Z478" s="80">
        <v>1</v>
      </c>
      <c r="AA478" s="80">
        <v>2</v>
      </c>
      <c r="AB478" s="80">
        <v>0</v>
      </c>
      <c r="AC478" s="80">
        <v>0</v>
      </c>
      <c r="AD478" s="80">
        <v>0</v>
      </c>
      <c r="AE478" s="80">
        <v>0</v>
      </c>
      <c r="AF478" s="80">
        <v>0</v>
      </c>
      <c r="AG478" s="81">
        <v>1</v>
      </c>
      <c r="AH478" s="80">
        <v>0</v>
      </c>
      <c r="AI478" s="81">
        <v>0</v>
      </c>
      <c r="AJ478" s="81">
        <v>0</v>
      </c>
      <c r="AK478" s="81">
        <v>0</v>
      </c>
      <c r="AL478" s="81">
        <v>0</v>
      </c>
      <c r="AM478" s="81">
        <v>2</v>
      </c>
      <c r="AN478" s="81">
        <v>1</v>
      </c>
      <c r="AO478" s="81">
        <v>1</v>
      </c>
    </row>
    <row r="479" spans="1:41" ht="15.75" x14ac:dyDescent="0.25">
      <c r="A479" s="84"/>
      <c r="B479" s="84"/>
      <c r="C479" s="84"/>
      <c r="D479" s="80" t="s">
        <v>258</v>
      </c>
      <c r="E479" s="80">
        <v>0</v>
      </c>
      <c r="F479" s="80">
        <v>0</v>
      </c>
      <c r="G479" s="80">
        <v>0</v>
      </c>
      <c r="H479" s="80">
        <v>0</v>
      </c>
      <c r="I479" s="80">
        <v>1</v>
      </c>
      <c r="J479" s="80">
        <v>0</v>
      </c>
      <c r="K479" s="80">
        <v>0</v>
      </c>
      <c r="L479" s="80">
        <v>0</v>
      </c>
      <c r="M479" s="80">
        <v>0</v>
      </c>
      <c r="N479" s="80">
        <v>0</v>
      </c>
      <c r="O479" s="80">
        <v>0</v>
      </c>
      <c r="P479" s="80">
        <v>0</v>
      </c>
      <c r="Q479" s="80">
        <v>1</v>
      </c>
      <c r="R479" s="80">
        <v>0</v>
      </c>
      <c r="S479" s="80">
        <v>0</v>
      </c>
      <c r="T479" s="80">
        <v>0</v>
      </c>
      <c r="U479" s="80">
        <v>0</v>
      </c>
      <c r="V479" s="80">
        <v>0</v>
      </c>
      <c r="W479" s="80">
        <v>0</v>
      </c>
      <c r="X479" s="80">
        <v>0</v>
      </c>
      <c r="Y479" s="80">
        <v>0</v>
      </c>
      <c r="Z479" s="80">
        <v>0</v>
      </c>
      <c r="AA479" s="80">
        <v>0</v>
      </c>
      <c r="AB479" s="80">
        <v>1</v>
      </c>
      <c r="AC479" s="80">
        <v>1</v>
      </c>
      <c r="AD479" s="80">
        <v>0</v>
      </c>
      <c r="AE479" s="80">
        <v>1</v>
      </c>
      <c r="AF479" s="80">
        <v>1</v>
      </c>
      <c r="AG479" s="80">
        <v>0</v>
      </c>
      <c r="AH479" s="80">
        <v>1</v>
      </c>
      <c r="AI479" s="80">
        <v>0</v>
      </c>
      <c r="AJ479" s="80">
        <v>0</v>
      </c>
      <c r="AK479" s="80">
        <v>0</v>
      </c>
      <c r="AL479" s="80">
        <v>0</v>
      </c>
      <c r="AM479" s="81">
        <v>0</v>
      </c>
      <c r="AN479" s="81">
        <v>0</v>
      </c>
      <c r="AO479" s="81">
        <v>0</v>
      </c>
    </row>
    <row r="480" spans="1:41" ht="15.75" x14ac:dyDescent="0.25">
      <c r="A480" s="84">
        <v>8</v>
      </c>
      <c r="B480" s="84"/>
      <c r="C480" s="84" t="s">
        <v>250</v>
      </c>
      <c r="D480" s="80" t="s">
        <v>245</v>
      </c>
      <c r="E480" s="80">
        <v>0</v>
      </c>
      <c r="F480" s="80">
        <v>0</v>
      </c>
      <c r="G480" s="80">
        <v>0</v>
      </c>
      <c r="H480" s="80">
        <v>1</v>
      </c>
      <c r="I480" s="80">
        <v>0</v>
      </c>
      <c r="J480" s="80">
        <v>1</v>
      </c>
      <c r="K480" s="80">
        <v>0</v>
      </c>
      <c r="L480" s="80">
        <v>0</v>
      </c>
      <c r="M480" s="80">
        <v>0</v>
      </c>
      <c r="N480" s="80">
        <v>0</v>
      </c>
      <c r="O480" s="80">
        <v>1</v>
      </c>
      <c r="P480" s="80">
        <v>0</v>
      </c>
      <c r="Q480" s="80">
        <v>1</v>
      </c>
      <c r="R480" s="80">
        <v>0</v>
      </c>
      <c r="S480" s="80">
        <v>0</v>
      </c>
      <c r="T480" s="80">
        <v>0</v>
      </c>
      <c r="U480" s="80">
        <v>1</v>
      </c>
      <c r="V480" s="80">
        <v>1</v>
      </c>
      <c r="W480" s="80">
        <v>1</v>
      </c>
      <c r="X480" s="80">
        <v>0</v>
      </c>
      <c r="Y480" s="80">
        <v>0</v>
      </c>
      <c r="Z480" s="80">
        <v>0</v>
      </c>
      <c r="AA480" s="80">
        <v>2</v>
      </c>
      <c r="AB480" s="80">
        <v>2</v>
      </c>
      <c r="AC480" s="80">
        <v>0</v>
      </c>
      <c r="AD480" s="80">
        <v>0</v>
      </c>
      <c r="AE480" s="80">
        <v>0</v>
      </c>
      <c r="AF480" s="80">
        <v>0</v>
      </c>
      <c r="AG480" s="81">
        <v>1</v>
      </c>
      <c r="AH480" s="80">
        <v>0</v>
      </c>
      <c r="AI480" s="81">
        <v>0</v>
      </c>
      <c r="AJ480" s="81">
        <v>0</v>
      </c>
      <c r="AK480" s="81">
        <v>0</v>
      </c>
      <c r="AL480" s="81">
        <v>0</v>
      </c>
      <c r="AM480" s="81">
        <v>3</v>
      </c>
      <c r="AN480" s="81">
        <v>0</v>
      </c>
      <c r="AO480" s="81">
        <v>0</v>
      </c>
    </row>
    <row r="481" spans="1:41" ht="15.75" x14ac:dyDescent="0.25">
      <c r="A481" s="84"/>
      <c r="B481" s="84"/>
      <c r="C481" s="84"/>
      <c r="D481" s="80" t="s">
        <v>246</v>
      </c>
      <c r="E481" s="80">
        <v>0</v>
      </c>
      <c r="F481" s="80">
        <v>0</v>
      </c>
      <c r="G481" s="80">
        <v>0</v>
      </c>
      <c r="H481" s="80">
        <v>1</v>
      </c>
      <c r="I481" s="80">
        <v>0</v>
      </c>
      <c r="J481" s="80">
        <v>1</v>
      </c>
      <c r="K481" s="80">
        <v>0</v>
      </c>
      <c r="L481" s="80">
        <v>0</v>
      </c>
      <c r="M481" s="80">
        <v>0</v>
      </c>
      <c r="N481" s="80">
        <v>0</v>
      </c>
      <c r="O481" s="80">
        <v>1</v>
      </c>
      <c r="P481" s="80">
        <v>0</v>
      </c>
      <c r="Q481" s="80">
        <v>1</v>
      </c>
      <c r="R481" s="80">
        <v>0</v>
      </c>
      <c r="S481" s="80">
        <v>0</v>
      </c>
      <c r="T481" s="80">
        <v>0</v>
      </c>
      <c r="U481" s="80">
        <v>1</v>
      </c>
      <c r="V481" s="80">
        <v>1</v>
      </c>
      <c r="W481" s="80">
        <v>1</v>
      </c>
      <c r="X481" s="80">
        <v>0</v>
      </c>
      <c r="Y481" s="80">
        <v>0</v>
      </c>
      <c r="Z481" s="80">
        <v>0</v>
      </c>
      <c r="AA481" s="80">
        <v>2</v>
      </c>
      <c r="AB481" s="80">
        <v>2</v>
      </c>
      <c r="AC481" s="80">
        <v>0</v>
      </c>
      <c r="AD481" s="80">
        <v>0</v>
      </c>
      <c r="AE481" s="80">
        <v>0</v>
      </c>
      <c r="AF481" s="80">
        <v>0</v>
      </c>
      <c r="AG481" s="81">
        <v>1</v>
      </c>
      <c r="AH481" s="80">
        <v>0</v>
      </c>
      <c r="AI481" s="81">
        <v>0</v>
      </c>
      <c r="AJ481" s="81">
        <v>0</v>
      </c>
      <c r="AK481" s="81">
        <v>0</v>
      </c>
      <c r="AL481" s="81">
        <v>0</v>
      </c>
      <c r="AM481" s="81">
        <v>3</v>
      </c>
      <c r="AN481" s="81">
        <v>0</v>
      </c>
      <c r="AO481" s="81">
        <v>0</v>
      </c>
    </row>
    <row r="482" spans="1:41" ht="15.75" x14ac:dyDescent="0.25">
      <c r="A482" s="84"/>
      <c r="B482" s="84"/>
      <c r="C482" s="84"/>
      <c r="D482" s="80" t="s">
        <v>247</v>
      </c>
      <c r="E482" s="80">
        <v>0</v>
      </c>
      <c r="F482" s="80">
        <v>0</v>
      </c>
      <c r="G482" s="80">
        <v>0</v>
      </c>
      <c r="H482" s="80">
        <v>0</v>
      </c>
      <c r="I482" s="80">
        <v>0</v>
      </c>
      <c r="J482" s="80">
        <v>0</v>
      </c>
      <c r="K482" s="80">
        <v>0</v>
      </c>
      <c r="L482" s="80">
        <v>0</v>
      </c>
      <c r="M482" s="80">
        <v>0</v>
      </c>
      <c r="N482" s="80">
        <v>0</v>
      </c>
      <c r="O482" s="80">
        <v>0</v>
      </c>
      <c r="P482" s="80">
        <v>0</v>
      </c>
      <c r="Q482" s="80">
        <v>0</v>
      </c>
      <c r="R482" s="80">
        <v>0</v>
      </c>
      <c r="S482" s="80">
        <v>0</v>
      </c>
      <c r="T482" s="80">
        <v>0</v>
      </c>
      <c r="U482" s="80">
        <v>0</v>
      </c>
      <c r="V482" s="80">
        <v>0</v>
      </c>
      <c r="W482" s="80">
        <v>0</v>
      </c>
      <c r="X482" s="80">
        <v>0</v>
      </c>
      <c r="Y482" s="80">
        <v>0</v>
      </c>
      <c r="Z482" s="80">
        <v>0</v>
      </c>
      <c r="AA482" s="80">
        <v>0</v>
      </c>
      <c r="AB482" s="80">
        <v>0</v>
      </c>
      <c r="AC482" s="80">
        <v>0</v>
      </c>
      <c r="AD482" s="80">
        <v>0</v>
      </c>
      <c r="AE482" s="80">
        <v>0</v>
      </c>
      <c r="AF482" s="80">
        <v>0</v>
      </c>
      <c r="AG482" s="81">
        <v>0</v>
      </c>
      <c r="AH482" s="80">
        <v>0</v>
      </c>
      <c r="AI482" s="81">
        <v>0</v>
      </c>
      <c r="AJ482" s="81">
        <v>0</v>
      </c>
      <c r="AK482" s="81">
        <v>0</v>
      </c>
      <c r="AL482" s="81">
        <v>0</v>
      </c>
      <c r="AM482" s="81">
        <v>0</v>
      </c>
      <c r="AN482" s="81">
        <v>0</v>
      </c>
      <c r="AO482" s="81">
        <v>0</v>
      </c>
    </row>
    <row r="483" spans="1:41" ht="15.75" x14ac:dyDescent="0.25">
      <c r="A483" s="84"/>
      <c r="B483" s="84"/>
      <c r="C483" s="84"/>
      <c r="D483" s="80" t="s">
        <v>248</v>
      </c>
      <c r="E483" s="80">
        <v>0</v>
      </c>
      <c r="F483" s="80">
        <v>0</v>
      </c>
      <c r="G483" s="80">
        <v>0</v>
      </c>
      <c r="H483" s="80">
        <v>1</v>
      </c>
      <c r="I483" s="80">
        <v>0</v>
      </c>
      <c r="J483" s="80">
        <v>1</v>
      </c>
      <c r="K483" s="80">
        <v>0</v>
      </c>
      <c r="L483" s="80">
        <v>0</v>
      </c>
      <c r="M483" s="80">
        <v>0</v>
      </c>
      <c r="N483" s="80">
        <v>0</v>
      </c>
      <c r="O483" s="80">
        <v>1</v>
      </c>
      <c r="P483" s="80">
        <v>0</v>
      </c>
      <c r="Q483" s="80">
        <v>1</v>
      </c>
      <c r="R483" s="80">
        <v>0</v>
      </c>
      <c r="S483" s="80">
        <v>0</v>
      </c>
      <c r="T483" s="80">
        <v>0</v>
      </c>
      <c r="U483" s="80">
        <v>1</v>
      </c>
      <c r="V483" s="80">
        <v>1</v>
      </c>
      <c r="W483" s="80">
        <v>1</v>
      </c>
      <c r="X483" s="80">
        <v>0</v>
      </c>
      <c r="Y483" s="80">
        <v>0</v>
      </c>
      <c r="Z483" s="80">
        <v>0</v>
      </c>
      <c r="AA483" s="80">
        <v>2</v>
      </c>
      <c r="AB483" s="80">
        <v>2</v>
      </c>
      <c r="AC483" s="80">
        <v>0</v>
      </c>
      <c r="AD483" s="80">
        <v>0</v>
      </c>
      <c r="AE483" s="80">
        <v>0</v>
      </c>
      <c r="AF483" s="80">
        <v>0</v>
      </c>
      <c r="AG483" s="81">
        <v>1</v>
      </c>
      <c r="AH483" s="80">
        <v>0</v>
      </c>
      <c r="AI483" s="81">
        <v>0</v>
      </c>
      <c r="AJ483" s="81">
        <v>0</v>
      </c>
      <c r="AK483" s="81">
        <v>0</v>
      </c>
      <c r="AL483" s="81">
        <v>0</v>
      </c>
      <c r="AM483" s="81">
        <v>2</v>
      </c>
      <c r="AN483" s="81">
        <v>0</v>
      </c>
      <c r="AO483" s="81">
        <v>0</v>
      </c>
    </row>
    <row r="484" spans="1:41" ht="15.75" x14ac:dyDescent="0.25">
      <c r="A484" s="84"/>
      <c r="B484" s="84"/>
      <c r="C484" s="84"/>
      <c r="D484" s="80" t="s">
        <v>258</v>
      </c>
      <c r="E484" s="80">
        <v>0</v>
      </c>
      <c r="F484" s="80">
        <v>0</v>
      </c>
      <c r="G484" s="80">
        <v>0</v>
      </c>
      <c r="H484" s="80">
        <v>0</v>
      </c>
      <c r="I484" s="80">
        <v>0</v>
      </c>
      <c r="J484" s="80">
        <v>0</v>
      </c>
      <c r="K484" s="80">
        <v>0</v>
      </c>
      <c r="L484" s="80">
        <v>0</v>
      </c>
      <c r="M484" s="80">
        <v>0</v>
      </c>
      <c r="N484" s="80">
        <v>0</v>
      </c>
      <c r="O484" s="80">
        <v>0</v>
      </c>
      <c r="P484" s="80">
        <v>0</v>
      </c>
      <c r="Q484" s="80">
        <v>0</v>
      </c>
      <c r="R484" s="80">
        <v>0</v>
      </c>
      <c r="S484" s="80">
        <v>0</v>
      </c>
      <c r="T484" s="80">
        <v>0</v>
      </c>
      <c r="U484" s="80">
        <v>0</v>
      </c>
      <c r="V484" s="80">
        <v>0</v>
      </c>
      <c r="W484" s="80">
        <v>0</v>
      </c>
      <c r="X484" s="80">
        <v>0</v>
      </c>
      <c r="Y484" s="80">
        <v>0</v>
      </c>
      <c r="Z484" s="80">
        <v>0</v>
      </c>
      <c r="AA484" s="80">
        <v>0</v>
      </c>
      <c r="AB484" s="80">
        <v>0</v>
      </c>
      <c r="AC484" s="80">
        <v>0</v>
      </c>
      <c r="AD484" s="80">
        <v>0</v>
      </c>
      <c r="AE484" s="80">
        <v>0</v>
      </c>
      <c r="AF484" s="80">
        <v>0</v>
      </c>
      <c r="AG484" s="80">
        <v>0</v>
      </c>
      <c r="AH484" s="80">
        <v>0</v>
      </c>
      <c r="AI484" s="80">
        <v>0</v>
      </c>
      <c r="AJ484" s="80">
        <v>0</v>
      </c>
      <c r="AK484" s="80">
        <v>0</v>
      </c>
      <c r="AL484" s="80">
        <v>0</v>
      </c>
      <c r="AM484" s="81">
        <v>1</v>
      </c>
      <c r="AN484" s="81">
        <v>0</v>
      </c>
      <c r="AO484" s="81">
        <v>0</v>
      </c>
    </row>
    <row r="485" spans="1:41" ht="15.75" x14ac:dyDescent="0.25">
      <c r="A485" s="84">
        <v>9</v>
      </c>
      <c r="B485" s="84"/>
      <c r="C485" s="84" t="s">
        <v>173</v>
      </c>
      <c r="D485" s="80" t="s">
        <v>245</v>
      </c>
      <c r="E485" s="80">
        <v>0</v>
      </c>
      <c r="F485" s="80">
        <v>0</v>
      </c>
      <c r="G485" s="80">
        <v>0</v>
      </c>
      <c r="H485" s="80">
        <v>0</v>
      </c>
      <c r="I485" s="80">
        <v>2</v>
      </c>
      <c r="J485" s="80">
        <v>1</v>
      </c>
      <c r="K485" s="80">
        <v>0</v>
      </c>
      <c r="L485" s="80">
        <v>0</v>
      </c>
      <c r="M485" s="80">
        <v>0</v>
      </c>
      <c r="N485" s="80">
        <v>1</v>
      </c>
      <c r="O485" s="80">
        <v>1</v>
      </c>
      <c r="P485" s="80">
        <v>0</v>
      </c>
      <c r="Q485" s="80">
        <v>1</v>
      </c>
      <c r="R485" s="80">
        <v>0</v>
      </c>
      <c r="S485" s="80">
        <v>0</v>
      </c>
      <c r="T485" s="80">
        <v>0</v>
      </c>
      <c r="U485" s="80">
        <v>1</v>
      </c>
      <c r="V485" s="80">
        <v>1</v>
      </c>
      <c r="W485" s="80">
        <v>0</v>
      </c>
      <c r="X485" s="80">
        <v>1</v>
      </c>
      <c r="Y485" s="80">
        <v>0</v>
      </c>
      <c r="Z485" s="80">
        <v>3</v>
      </c>
      <c r="AA485" s="80">
        <v>1</v>
      </c>
      <c r="AB485" s="80">
        <v>0</v>
      </c>
      <c r="AC485" s="80">
        <v>0</v>
      </c>
      <c r="AD485" s="80">
        <v>1</v>
      </c>
      <c r="AE485" s="80">
        <v>0</v>
      </c>
      <c r="AF485" s="80">
        <v>0</v>
      </c>
      <c r="AG485" s="80">
        <v>0</v>
      </c>
      <c r="AH485" s="80">
        <v>0</v>
      </c>
      <c r="AI485" s="80">
        <v>1</v>
      </c>
      <c r="AJ485" s="80">
        <v>0</v>
      </c>
      <c r="AK485" s="80">
        <v>0</v>
      </c>
      <c r="AL485" s="80">
        <v>0</v>
      </c>
      <c r="AM485" s="80">
        <v>0</v>
      </c>
      <c r="AN485" s="80">
        <v>0</v>
      </c>
      <c r="AO485" s="80">
        <v>0</v>
      </c>
    </row>
    <row r="486" spans="1:41" ht="15.75" x14ac:dyDescent="0.25">
      <c r="A486" s="84"/>
      <c r="B486" s="84"/>
      <c r="C486" s="84"/>
      <c r="D486" s="80" t="s">
        <v>246</v>
      </c>
      <c r="E486" s="80">
        <v>0</v>
      </c>
      <c r="F486" s="80">
        <v>0</v>
      </c>
      <c r="G486" s="80">
        <v>0</v>
      </c>
      <c r="H486" s="80">
        <v>0</v>
      </c>
      <c r="I486" s="80">
        <v>2</v>
      </c>
      <c r="J486" s="80">
        <v>1</v>
      </c>
      <c r="K486" s="80">
        <v>0</v>
      </c>
      <c r="L486" s="80">
        <v>0</v>
      </c>
      <c r="M486" s="80">
        <v>0</v>
      </c>
      <c r="N486" s="80">
        <v>1</v>
      </c>
      <c r="O486" s="80">
        <v>1</v>
      </c>
      <c r="P486" s="80">
        <v>0</v>
      </c>
      <c r="Q486" s="80">
        <v>1</v>
      </c>
      <c r="R486" s="80">
        <v>0</v>
      </c>
      <c r="S486" s="80">
        <v>0</v>
      </c>
      <c r="T486" s="80">
        <v>0</v>
      </c>
      <c r="U486" s="80">
        <v>1</v>
      </c>
      <c r="V486" s="80">
        <v>1</v>
      </c>
      <c r="W486" s="80">
        <v>0</v>
      </c>
      <c r="X486" s="80">
        <v>1</v>
      </c>
      <c r="Y486" s="80">
        <v>0</v>
      </c>
      <c r="Z486" s="80">
        <v>3</v>
      </c>
      <c r="AA486" s="80">
        <v>1</v>
      </c>
      <c r="AB486" s="80">
        <v>0</v>
      </c>
      <c r="AC486" s="80">
        <v>0</v>
      </c>
      <c r="AD486" s="80">
        <v>1</v>
      </c>
      <c r="AE486" s="80">
        <v>0</v>
      </c>
      <c r="AF486" s="80">
        <v>0</v>
      </c>
      <c r="AG486" s="81">
        <v>0</v>
      </c>
      <c r="AH486" s="80">
        <v>0</v>
      </c>
      <c r="AI486" s="81">
        <v>1</v>
      </c>
      <c r="AJ486" s="81">
        <v>0</v>
      </c>
      <c r="AK486" s="81">
        <v>0</v>
      </c>
      <c r="AL486" s="81">
        <v>0</v>
      </c>
      <c r="AM486" s="81">
        <v>0</v>
      </c>
      <c r="AN486" s="81">
        <v>0</v>
      </c>
      <c r="AO486" s="81">
        <v>0</v>
      </c>
    </row>
    <row r="487" spans="1:41" ht="15.75" x14ac:dyDescent="0.25">
      <c r="A487" s="84"/>
      <c r="B487" s="84"/>
      <c r="C487" s="84"/>
      <c r="D487" s="80" t="s">
        <v>247</v>
      </c>
      <c r="E487" s="80">
        <v>0</v>
      </c>
      <c r="F487" s="80">
        <v>0</v>
      </c>
      <c r="G487" s="80">
        <v>0</v>
      </c>
      <c r="H487" s="80">
        <v>0</v>
      </c>
      <c r="I487" s="80">
        <v>0</v>
      </c>
      <c r="J487" s="80">
        <v>0</v>
      </c>
      <c r="K487" s="80">
        <v>0</v>
      </c>
      <c r="L487" s="80">
        <v>0</v>
      </c>
      <c r="M487" s="80">
        <v>0</v>
      </c>
      <c r="N487" s="80">
        <v>0</v>
      </c>
      <c r="O487" s="80">
        <v>0</v>
      </c>
      <c r="P487" s="80">
        <v>0</v>
      </c>
      <c r="Q487" s="80">
        <v>0</v>
      </c>
      <c r="R487" s="80">
        <v>0</v>
      </c>
      <c r="S487" s="80">
        <v>0</v>
      </c>
      <c r="T487" s="80">
        <v>0</v>
      </c>
      <c r="U487" s="80">
        <v>0</v>
      </c>
      <c r="V487" s="80">
        <v>0</v>
      </c>
      <c r="W487" s="80">
        <v>0</v>
      </c>
      <c r="X487" s="80">
        <v>0</v>
      </c>
      <c r="Y487" s="80">
        <v>0</v>
      </c>
      <c r="Z487" s="80">
        <v>0</v>
      </c>
      <c r="AA487" s="80">
        <v>0</v>
      </c>
      <c r="AB487" s="80">
        <v>0</v>
      </c>
      <c r="AC487" s="80">
        <v>0</v>
      </c>
      <c r="AD487" s="80">
        <v>0</v>
      </c>
      <c r="AE487" s="80">
        <v>0</v>
      </c>
      <c r="AF487" s="80">
        <v>0</v>
      </c>
      <c r="AG487" s="81">
        <v>0</v>
      </c>
      <c r="AH487" s="80">
        <v>0</v>
      </c>
      <c r="AI487" s="81">
        <v>0</v>
      </c>
      <c r="AJ487" s="81">
        <v>0</v>
      </c>
      <c r="AK487" s="81">
        <v>0</v>
      </c>
      <c r="AL487" s="81">
        <v>0</v>
      </c>
      <c r="AM487" s="81">
        <v>0</v>
      </c>
      <c r="AN487" s="81">
        <v>0</v>
      </c>
      <c r="AO487" s="81">
        <v>0</v>
      </c>
    </row>
    <row r="488" spans="1:41" ht="15.75" x14ac:dyDescent="0.25">
      <c r="A488" s="84"/>
      <c r="B488" s="84"/>
      <c r="C488" s="84"/>
      <c r="D488" s="80" t="s">
        <v>248</v>
      </c>
      <c r="E488" s="80">
        <v>0</v>
      </c>
      <c r="F488" s="80">
        <v>0</v>
      </c>
      <c r="G488" s="80">
        <v>0</v>
      </c>
      <c r="H488" s="80">
        <v>0</v>
      </c>
      <c r="I488" s="80">
        <v>2</v>
      </c>
      <c r="J488" s="80">
        <v>1</v>
      </c>
      <c r="K488" s="80">
        <v>0</v>
      </c>
      <c r="L488" s="80">
        <v>0</v>
      </c>
      <c r="M488" s="80">
        <v>0</v>
      </c>
      <c r="N488" s="80">
        <v>0</v>
      </c>
      <c r="O488" s="80">
        <v>1</v>
      </c>
      <c r="P488" s="80">
        <v>0</v>
      </c>
      <c r="Q488" s="80">
        <v>1</v>
      </c>
      <c r="R488" s="80">
        <v>0</v>
      </c>
      <c r="S488" s="80">
        <v>0</v>
      </c>
      <c r="T488" s="80">
        <v>0</v>
      </c>
      <c r="U488" s="80">
        <v>1</v>
      </c>
      <c r="V488" s="80">
        <v>1</v>
      </c>
      <c r="W488" s="80">
        <v>0</v>
      </c>
      <c r="X488" s="80">
        <v>1</v>
      </c>
      <c r="Y488" s="80">
        <v>0</v>
      </c>
      <c r="Z488" s="80">
        <v>3</v>
      </c>
      <c r="AA488" s="80">
        <v>1</v>
      </c>
      <c r="AB488" s="80">
        <v>0</v>
      </c>
      <c r="AC488" s="80">
        <v>0</v>
      </c>
      <c r="AD488" s="80">
        <v>1</v>
      </c>
      <c r="AE488" s="80">
        <v>0</v>
      </c>
      <c r="AF488" s="80">
        <v>0</v>
      </c>
      <c r="AG488" s="81">
        <v>0</v>
      </c>
      <c r="AH488" s="80">
        <v>0</v>
      </c>
      <c r="AI488" s="81">
        <v>1</v>
      </c>
      <c r="AJ488" s="81">
        <v>0</v>
      </c>
      <c r="AK488" s="81">
        <v>0</v>
      </c>
      <c r="AL488" s="81">
        <v>0</v>
      </c>
      <c r="AM488" s="81">
        <v>0</v>
      </c>
      <c r="AN488" s="81">
        <v>0</v>
      </c>
      <c r="AO488" s="81">
        <v>0</v>
      </c>
    </row>
    <row r="489" spans="1:41" ht="15.75" x14ac:dyDescent="0.25">
      <c r="A489" s="84"/>
      <c r="B489" s="84"/>
      <c r="C489" s="84"/>
      <c r="D489" s="80" t="s">
        <v>258</v>
      </c>
      <c r="E489" s="80">
        <v>0</v>
      </c>
      <c r="F489" s="80">
        <v>0</v>
      </c>
      <c r="G489" s="80">
        <v>0</v>
      </c>
      <c r="H489" s="80">
        <v>0</v>
      </c>
      <c r="I489" s="80">
        <v>0</v>
      </c>
      <c r="J489" s="80">
        <v>0</v>
      </c>
      <c r="K489" s="80">
        <v>0</v>
      </c>
      <c r="L489" s="80">
        <v>0</v>
      </c>
      <c r="M489" s="80">
        <v>0</v>
      </c>
      <c r="N489" s="80">
        <v>1</v>
      </c>
      <c r="O489" s="80">
        <v>0</v>
      </c>
      <c r="P489" s="80">
        <v>0</v>
      </c>
      <c r="Q489" s="80">
        <v>0</v>
      </c>
      <c r="R489" s="80">
        <v>0</v>
      </c>
      <c r="S489" s="80">
        <v>0</v>
      </c>
      <c r="T489" s="80">
        <v>0</v>
      </c>
      <c r="U489" s="80">
        <v>0</v>
      </c>
      <c r="V489" s="80">
        <v>0</v>
      </c>
      <c r="W489" s="80">
        <v>0</v>
      </c>
      <c r="X489" s="80">
        <v>0</v>
      </c>
      <c r="Y489" s="80">
        <v>0</v>
      </c>
      <c r="Z489" s="80">
        <v>0</v>
      </c>
      <c r="AA489" s="80">
        <v>0</v>
      </c>
      <c r="AB489" s="80">
        <v>0</v>
      </c>
      <c r="AC489" s="80">
        <v>0</v>
      </c>
      <c r="AD489" s="80">
        <v>0</v>
      </c>
      <c r="AE489" s="80">
        <v>0</v>
      </c>
      <c r="AF489" s="80">
        <v>0</v>
      </c>
      <c r="AG489" s="80">
        <v>0</v>
      </c>
      <c r="AH489" s="80">
        <v>0</v>
      </c>
      <c r="AI489" s="80">
        <v>0</v>
      </c>
      <c r="AJ489" s="80">
        <v>0</v>
      </c>
      <c r="AK489" s="80">
        <v>0</v>
      </c>
      <c r="AL489" s="80">
        <v>0</v>
      </c>
      <c r="AM489" s="81">
        <v>0</v>
      </c>
      <c r="AN489" s="81">
        <v>0</v>
      </c>
      <c r="AO489" s="81">
        <v>0</v>
      </c>
    </row>
    <row r="490" spans="1:41" ht="15.75" x14ac:dyDescent="0.25">
      <c r="A490" s="84">
        <v>10</v>
      </c>
      <c r="B490" s="84"/>
      <c r="C490" s="84" t="s">
        <v>174</v>
      </c>
      <c r="D490" s="80" t="s">
        <v>245</v>
      </c>
      <c r="E490" s="80">
        <v>0</v>
      </c>
      <c r="F490" s="80">
        <v>0</v>
      </c>
      <c r="G490" s="80">
        <v>0</v>
      </c>
      <c r="H490" s="80">
        <v>2</v>
      </c>
      <c r="I490" s="80">
        <v>2</v>
      </c>
      <c r="J490" s="80">
        <v>1</v>
      </c>
      <c r="K490" s="80">
        <v>1</v>
      </c>
      <c r="L490" s="80">
        <v>1</v>
      </c>
      <c r="M490" s="80">
        <v>0</v>
      </c>
      <c r="N490" s="80">
        <v>1</v>
      </c>
      <c r="O490" s="80">
        <v>1</v>
      </c>
      <c r="P490" s="80">
        <v>0</v>
      </c>
      <c r="Q490" s="80">
        <v>1</v>
      </c>
      <c r="R490" s="80">
        <v>0</v>
      </c>
      <c r="S490" s="80">
        <v>0</v>
      </c>
      <c r="T490" s="80">
        <v>0</v>
      </c>
      <c r="U490" s="80">
        <v>1</v>
      </c>
      <c r="V490" s="80">
        <v>1</v>
      </c>
      <c r="W490" s="80">
        <v>1</v>
      </c>
      <c r="X490" s="80">
        <v>1</v>
      </c>
      <c r="Y490" s="80">
        <v>0</v>
      </c>
      <c r="Z490" s="80">
        <v>2</v>
      </c>
      <c r="AA490" s="80">
        <v>2</v>
      </c>
      <c r="AB490" s="80">
        <v>0</v>
      </c>
      <c r="AC490" s="80">
        <v>0</v>
      </c>
      <c r="AD490" s="80">
        <v>0</v>
      </c>
      <c r="AE490" s="80">
        <v>1</v>
      </c>
      <c r="AF490" s="80">
        <v>0</v>
      </c>
      <c r="AG490" s="81">
        <v>1</v>
      </c>
      <c r="AH490" s="80">
        <v>0</v>
      </c>
      <c r="AI490" s="81">
        <v>0</v>
      </c>
      <c r="AJ490" s="81">
        <v>0</v>
      </c>
      <c r="AK490" s="81">
        <v>0</v>
      </c>
      <c r="AL490" s="81">
        <v>0</v>
      </c>
      <c r="AM490" s="81">
        <v>0</v>
      </c>
      <c r="AN490" s="81">
        <v>0</v>
      </c>
      <c r="AO490" s="81">
        <v>0</v>
      </c>
    </row>
    <row r="491" spans="1:41" ht="15.75" x14ac:dyDescent="0.25">
      <c r="A491" s="84"/>
      <c r="B491" s="84"/>
      <c r="C491" s="84"/>
      <c r="D491" s="80" t="s">
        <v>246</v>
      </c>
      <c r="E491" s="80">
        <v>0</v>
      </c>
      <c r="F491" s="80">
        <v>0</v>
      </c>
      <c r="G491" s="80">
        <v>0</v>
      </c>
      <c r="H491" s="80">
        <v>1</v>
      </c>
      <c r="I491" s="80">
        <v>2</v>
      </c>
      <c r="J491" s="80">
        <v>1</v>
      </c>
      <c r="K491" s="80">
        <v>1</v>
      </c>
      <c r="L491" s="80">
        <v>1</v>
      </c>
      <c r="M491" s="80">
        <v>0</v>
      </c>
      <c r="N491" s="80">
        <v>1</v>
      </c>
      <c r="O491" s="80">
        <v>1</v>
      </c>
      <c r="P491" s="80">
        <v>0</v>
      </c>
      <c r="Q491" s="80">
        <v>1</v>
      </c>
      <c r="R491" s="80">
        <v>0</v>
      </c>
      <c r="S491" s="80">
        <v>0</v>
      </c>
      <c r="T491" s="80">
        <v>0</v>
      </c>
      <c r="U491" s="80">
        <v>1</v>
      </c>
      <c r="V491" s="80">
        <v>1</v>
      </c>
      <c r="W491" s="80">
        <v>1</v>
      </c>
      <c r="X491" s="80">
        <v>1</v>
      </c>
      <c r="Y491" s="80">
        <v>0</v>
      </c>
      <c r="Z491" s="80">
        <v>2</v>
      </c>
      <c r="AA491" s="80">
        <v>2</v>
      </c>
      <c r="AB491" s="80">
        <v>0</v>
      </c>
      <c r="AC491" s="80">
        <v>0</v>
      </c>
      <c r="AD491" s="80">
        <v>0</v>
      </c>
      <c r="AE491" s="80">
        <v>1</v>
      </c>
      <c r="AF491" s="80">
        <v>0</v>
      </c>
      <c r="AG491" s="81">
        <v>1</v>
      </c>
      <c r="AH491" s="80">
        <v>0</v>
      </c>
      <c r="AI491" s="81">
        <v>0</v>
      </c>
      <c r="AJ491" s="81">
        <v>0</v>
      </c>
      <c r="AK491" s="81">
        <v>0</v>
      </c>
      <c r="AL491" s="81">
        <v>0</v>
      </c>
      <c r="AM491" s="81">
        <v>0</v>
      </c>
      <c r="AN491" s="81">
        <v>0</v>
      </c>
      <c r="AO491" s="81">
        <v>0</v>
      </c>
    </row>
    <row r="492" spans="1:41" ht="15.75" x14ac:dyDescent="0.25">
      <c r="A492" s="84"/>
      <c r="B492" s="84"/>
      <c r="C492" s="84"/>
      <c r="D492" s="80" t="s">
        <v>247</v>
      </c>
      <c r="E492" s="80">
        <v>0</v>
      </c>
      <c r="F492" s="80">
        <v>0</v>
      </c>
      <c r="G492" s="80">
        <v>0</v>
      </c>
      <c r="H492" s="80">
        <v>1</v>
      </c>
      <c r="I492" s="80">
        <v>0</v>
      </c>
      <c r="J492" s="80">
        <v>0</v>
      </c>
      <c r="K492" s="80">
        <v>0</v>
      </c>
      <c r="L492" s="80">
        <v>0</v>
      </c>
      <c r="M492" s="80">
        <v>0</v>
      </c>
      <c r="N492" s="80">
        <v>0</v>
      </c>
      <c r="O492" s="80">
        <v>0</v>
      </c>
      <c r="P492" s="80">
        <v>0</v>
      </c>
      <c r="Q492" s="80">
        <v>0</v>
      </c>
      <c r="R492" s="80">
        <v>0</v>
      </c>
      <c r="S492" s="80">
        <v>0</v>
      </c>
      <c r="T492" s="80">
        <v>0</v>
      </c>
      <c r="U492" s="80">
        <v>0</v>
      </c>
      <c r="V492" s="80">
        <v>0</v>
      </c>
      <c r="W492" s="80">
        <v>0</v>
      </c>
      <c r="X492" s="80">
        <v>0</v>
      </c>
      <c r="Y492" s="80">
        <v>0</v>
      </c>
      <c r="Z492" s="80">
        <v>0</v>
      </c>
      <c r="AA492" s="80">
        <v>0</v>
      </c>
      <c r="AB492" s="80">
        <v>0</v>
      </c>
      <c r="AC492" s="80">
        <v>0</v>
      </c>
      <c r="AD492" s="80">
        <v>0</v>
      </c>
      <c r="AE492" s="80">
        <v>0</v>
      </c>
      <c r="AF492" s="80">
        <v>0</v>
      </c>
      <c r="AG492" s="81">
        <v>0</v>
      </c>
      <c r="AH492" s="80">
        <v>0</v>
      </c>
      <c r="AI492" s="81">
        <v>0</v>
      </c>
      <c r="AJ492" s="81">
        <v>0</v>
      </c>
      <c r="AK492" s="81">
        <v>0</v>
      </c>
      <c r="AL492" s="81">
        <v>0</v>
      </c>
      <c r="AM492" s="81">
        <v>0</v>
      </c>
      <c r="AN492" s="81">
        <v>0</v>
      </c>
      <c r="AO492" s="81">
        <v>0</v>
      </c>
    </row>
    <row r="493" spans="1:41" ht="15.75" x14ac:dyDescent="0.25">
      <c r="A493" s="84"/>
      <c r="B493" s="84"/>
      <c r="C493" s="84"/>
      <c r="D493" s="80" t="s">
        <v>248</v>
      </c>
      <c r="E493" s="80">
        <v>0</v>
      </c>
      <c r="F493" s="80">
        <v>0</v>
      </c>
      <c r="G493" s="80">
        <v>0</v>
      </c>
      <c r="H493" s="80">
        <v>1</v>
      </c>
      <c r="I493" s="80">
        <v>1</v>
      </c>
      <c r="J493" s="80">
        <v>1</v>
      </c>
      <c r="K493" s="80">
        <v>0</v>
      </c>
      <c r="L493" s="80">
        <v>0</v>
      </c>
      <c r="M493" s="80">
        <v>0</v>
      </c>
      <c r="N493" s="80">
        <v>1</v>
      </c>
      <c r="O493" s="80">
        <v>1</v>
      </c>
      <c r="P493" s="80">
        <v>0</v>
      </c>
      <c r="Q493" s="80">
        <v>1</v>
      </c>
      <c r="R493" s="80">
        <v>0</v>
      </c>
      <c r="S493" s="80">
        <v>0</v>
      </c>
      <c r="T493" s="80">
        <v>0</v>
      </c>
      <c r="U493" s="80">
        <v>1</v>
      </c>
      <c r="V493" s="80">
        <v>1</v>
      </c>
      <c r="W493" s="80">
        <v>1</v>
      </c>
      <c r="X493" s="80">
        <v>1</v>
      </c>
      <c r="Y493" s="80">
        <v>0</v>
      </c>
      <c r="Z493" s="80">
        <v>2</v>
      </c>
      <c r="AA493" s="80">
        <v>2</v>
      </c>
      <c r="AB493" s="80">
        <v>0</v>
      </c>
      <c r="AC493" s="80">
        <v>0</v>
      </c>
      <c r="AD493" s="80">
        <v>0</v>
      </c>
      <c r="AE493" s="80">
        <v>1</v>
      </c>
      <c r="AF493" s="80">
        <v>0</v>
      </c>
      <c r="AG493" s="81">
        <v>1</v>
      </c>
      <c r="AH493" s="80">
        <v>0</v>
      </c>
      <c r="AI493" s="81">
        <v>0</v>
      </c>
      <c r="AJ493" s="81">
        <v>0</v>
      </c>
      <c r="AK493" s="81">
        <v>0</v>
      </c>
      <c r="AL493" s="81">
        <v>0</v>
      </c>
      <c r="AM493" s="81">
        <v>0</v>
      </c>
      <c r="AN493" s="81">
        <v>0</v>
      </c>
      <c r="AO493" s="81">
        <v>0</v>
      </c>
    </row>
    <row r="494" spans="1:41" ht="15.75" x14ac:dyDescent="0.25">
      <c r="A494" s="84"/>
      <c r="B494" s="84"/>
      <c r="C494" s="84"/>
      <c r="D494" s="80" t="s">
        <v>258</v>
      </c>
      <c r="E494" s="80">
        <v>0</v>
      </c>
      <c r="F494" s="80">
        <v>0</v>
      </c>
      <c r="G494" s="80">
        <v>0</v>
      </c>
      <c r="H494" s="80">
        <v>0</v>
      </c>
      <c r="I494" s="80">
        <v>1</v>
      </c>
      <c r="J494" s="80">
        <v>0</v>
      </c>
      <c r="K494" s="80">
        <v>1</v>
      </c>
      <c r="L494" s="80">
        <v>1</v>
      </c>
      <c r="M494" s="80">
        <v>0</v>
      </c>
      <c r="N494" s="80">
        <v>0</v>
      </c>
      <c r="O494" s="80">
        <v>0</v>
      </c>
      <c r="P494" s="80">
        <v>0</v>
      </c>
      <c r="Q494" s="80">
        <v>0</v>
      </c>
      <c r="R494" s="80">
        <v>0</v>
      </c>
      <c r="S494" s="80">
        <v>0</v>
      </c>
      <c r="T494" s="80">
        <v>0</v>
      </c>
      <c r="U494" s="80">
        <v>0</v>
      </c>
      <c r="V494" s="80">
        <v>0</v>
      </c>
      <c r="W494" s="80">
        <v>0</v>
      </c>
      <c r="X494" s="80">
        <v>0</v>
      </c>
      <c r="Y494" s="80">
        <v>0</v>
      </c>
      <c r="Z494" s="80">
        <v>0</v>
      </c>
      <c r="AA494" s="80">
        <v>0</v>
      </c>
      <c r="AB494" s="80">
        <v>0</v>
      </c>
      <c r="AC494" s="80">
        <v>0</v>
      </c>
      <c r="AD494" s="80">
        <v>0</v>
      </c>
      <c r="AE494" s="80">
        <v>0</v>
      </c>
      <c r="AF494" s="80">
        <v>0</v>
      </c>
      <c r="AG494" s="80">
        <v>0</v>
      </c>
      <c r="AH494" s="80">
        <v>0</v>
      </c>
      <c r="AI494" s="80">
        <v>0</v>
      </c>
      <c r="AJ494" s="80">
        <v>0</v>
      </c>
      <c r="AK494" s="80">
        <v>0</v>
      </c>
      <c r="AL494" s="80">
        <v>0</v>
      </c>
      <c r="AM494" s="81">
        <v>0</v>
      </c>
      <c r="AN494" s="81">
        <v>0</v>
      </c>
      <c r="AO494" s="81">
        <v>0</v>
      </c>
    </row>
    <row r="495" spans="1:41" ht="15.75" x14ac:dyDescent="0.25">
      <c r="A495" s="84">
        <v>11</v>
      </c>
      <c r="B495" s="147"/>
      <c r="C495" s="84" t="s">
        <v>141</v>
      </c>
      <c r="D495" s="80" t="s">
        <v>245</v>
      </c>
      <c r="E495" s="80">
        <v>0</v>
      </c>
      <c r="F495" s="80">
        <v>0</v>
      </c>
      <c r="G495" s="80">
        <v>0</v>
      </c>
      <c r="H495" s="80">
        <v>2</v>
      </c>
      <c r="I495" s="80">
        <v>1</v>
      </c>
      <c r="J495" s="80">
        <v>0</v>
      </c>
      <c r="K495" s="80">
        <v>0</v>
      </c>
      <c r="L495" s="80">
        <v>0</v>
      </c>
      <c r="M495" s="80">
        <v>0</v>
      </c>
      <c r="N495" s="80">
        <v>0</v>
      </c>
      <c r="O495" s="80">
        <v>1</v>
      </c>
      <c r="P495" s="80">
        <v>1</v>
      </c>
      <c r="Q495" s="80">
        <v>1</v>
      </c>
      <c r="R495" s="80">
        <v>0</v>
      </c>
      <c r="S495" s="80">
        <v>0</v>
      </c>
      <c r="T495" s="80">
        <v>0</v>
      </c>
      <c r="U495" s="80">
        <v>1</v>
      </c>
      <c r="V495" s="80">
        <v>1</v>
      </c>
      <c r="W495" s="80">
        <v>0</v>
      </c>
      <c r="X495" s="80">
        <v>0</v>
      </c>
      <c r="Y495" s="80">
        <v>0</v>
      </c>
      <c r="Z495" s="80">
        <v>0</v>
      </c>
      <c r="AA495" s="80">
        <v>1</v>
      </c>
      <c r="AB495" s="80">
        <v>0</v>
      </c>
      <c r="AC495" s="80">
        <v>0</v>
      </c>
      <c r="AD495" s="80">
        <v>0</v>
      </c>
      <c r="AE495" s="80">
        <v>0</v>
      </c>
      <c r="AF495" s="80">
        <v>0</v>
      </c>
      <c r="AG495" s="80">
        <v>0</v>
      </c>
      <c r="AH495" s="80">
        <v>0</v>
      </c>
      <c r="AI495" s="80">
        <v>0</v>
      </c>
      <c r="AJ495" s="80">
        <v>0</v>
      </c>
      <c r="AK495" s="80">
        <v>0</v>
      </c>
      <c r="AL495" s="80">
        <v>0</v>
      </c>
      <c r="AM495" s="80">
        <v>1</v>
      </c>
      <c r="AN495" s="80">
        <v>0</v>
      </c>
      <c r="AO495" s="80">
        <v>0</v>
      </c>
    </row>
    <row r="496" spans="1:41" ht="15.75" x14ac:dyDescent="0.25">
      <c r="A496" s="84"/>
      <c r="B496" s="147"/>
      <c r="C496" s="84"/>
      <c r="D496" s="80" t="s">
        <v>246</v>
      </c>
      <c r="E496" s="80">
        <v>0</v>
      </c>
      <c r="F496" s="80">
        <v>0</v>
      </c>
      <c r="G496" s="80">
        <v>0</v>
      </c>
      <c r="H496" s="80">
        <v>2</v>
      </c>
      <c r="I496" s="80">
        <v>1</v>
      </c>
      <c r="J496" s="80">
        <v>0</v>
      </c>
      <c r="K496" s="80">
        <v>0</v>
      </c>
      <c r="L496" s="80">
        <v>0</v>
      </c>
      <c r="M496" s="80">
        <v>0</v>
      </c>
      <c r="N496" s="80">
        <v>0</v>
      </c>
      <c r="O496" s="80">
        <v>1</v>
      </c>
      <c r="P496" s="80">
        <v>1</v>
      </c>
      <c r="Q496" s="80">
        <v>1</v>
      </c>
      <c r="R496" s="80">
        <v>0</v>
      </c>
      <c r="S496" s="80">
        <v>0</v>
      </c>
      <c r="T496" s="80">
        <v>0</v>
      </c>
      <c r="U496" s="80">
        <v>1</v>
      </c>
      <c r="V496" s="80">
        <v>1</v>
      </c>
      <c r="W496" s="80">
        <v>0</v>
      </c>
      <c r="X496" s="80">
        <v>0</v>
      </c>
      <c r="Y496" s="80">
        <v>0</v>
      </c>
      <c r="Z496" s="80">
        <v>0</v>
      </c>
      <c r="AA496" s="80">
        <v>1</v>
      </c>
      <c r="AB496" s="80">
        <v>0</v>
      </c>
      <c r="AC496" s="80">
        <v>0</v>
      </c>
      <c r="AD496" s="80">
        <v>0</v>
      </c>
      <c r="AE496" s="80">
        <v>0</v>
      </c>
      <c r="AF496" s="80">
        <v>0</v>
      </c>
      <c r="AG496" s="80">
        <v>0</v>
      </c>
      <c r="AH496" s="80">
        <v>0</v>
      </c>
      <c r="AI496" s="80">
        <v>0</v>
      </c>
      <c r="AJ496" s="80">
        <v>0</v>
      </c>
      <c r="AK496" s="80">
        <v>0</v>
      </c>
      <c r="AL496" s="80">
        <v>0</v>
      </c>
      <c r="AM496" s="80">
        <v>1</v>
      </c>
      <c r="AN496" s="80">
        <v>0</v>
      </c>
      <c r="AO496" s="80">
        <v>0</v>
      </c>
    </row>
    <row r="497" spans="1:41" ht="15.75" x14ac:dyDescent="0.25">
      <c r="A497" s="84"/>
      <c r="B497" s="147"/>
      <c r="C497" s="84"/>
      <c r="D497" s="80" t="s">
        <v>247</v>
      </c>
      <c r="E497" s="80">
        <v>0</v>
      </c>
      <c r="F497" s="80">
        <v>0</v>
      </c>
      <c r="G497" s="80">
        <v>0</v>
      </c>
      <c r="H497" s="80">
        <v>0</v>
      </c>
      <c r="I497" s="80">
        <v>0</v>
      </c>
      <c r="J497" s="80">
        <v>0</v>
      </c>
      <c r="K497" s="80">
        <v>0</v>
      </c>
      <c r="L497" s="80">
        <v>0</v>
      </c>
      <c r="M497" s="80">
        <v>0</v>
      </c>
      <c r="N497" s="80">
        <v>0</v>
      </c>
      <c r="O497" s="80">
        <v>0</v>
      </c>
      <c r="P497" s="80">
        <v>0</v>
      </c>
      <c r="Q497" s="80">
        <v>0</v>
      </c>
      <c r="R497" s="80">
        <v>0</v>
      </c>
      <c r="S497" s="80">
        <v>0</v>
      </c>
      <c r="T497" s="80">
        <v>0</v>
      </c>
      <c r="U497" s="80">
        <v>0</v>
      </c>
      <c r="V497" s="80">
        <v>0</v>
      </c>
      <c r="W497" s="80">
        <v>0</v>
      </c>
      <c r="X497" s="80">
        <v>0</v>
      </c>
      <c r="Y497" s="80">
        <v>0</v>
      </c>
      <c r="Z497" s="80">
        <v>0</v>
      </c>
      <c r="AA497" s="80">
        <v>0</v>
      </c>
      <c r="AB497" s="80">
        <v>0</v>
      </c>
      <c r="AC497" s="80">
        <v>0</v>
      </c>
      <c r="AD497" s="80">
        <v>0</v>
      </c>
      <c r="AE497" s="80">
        <v>0</v>
      </c>
      <c r="AF497" s="80">
        <v>0</v>
      </c>
      <c r="AG497" s="80">
        <v>0</v>
      </c>
      <c r="AH497" s="80">
        <v>0</v>
      </c>
      <c r="AI497" s="80">
        <v>0</v>
      </c>
      <c r="AJ497" s="80">
        <v>0</v>
      </c>
      <c r="AK497" s="80">
        <v>0</v>
      </c>
      <c r="AL497" s="80">
        <v>0</v>
      </c>
      <c r="AM497" s="80">
        <v>0</v>
      </c>
      <c r="AN497" s="80">
        <v>0</v>
      </c>
      <c r="AO497" s="80">
        <v>0</v>
      </c>
    </row>
    <row r="498" spans="1:41" ht="15.75" x14ac:dyDescent="0.25">
      <c r="A498" s="84"/>
      <c r="B498" s="147"/>
      <c r="C498" s="84"/>
      <c r="D498" s="80" t="s">
        <v>248</v>
      </c>
      <c r="E498" s="80">
        <v>0</v>
      </c>
      <c r="F498" s="80">
        <v>0</v>
      </c>
      <c r="G498" s="80">
        <v>0</v>
      </c>
      <c r="H498" s="80">
        <v>2</v>
      </c>
      <c r="I498" s="80">
        <v>1</v>
      </c>
      <c r="J498" s="80">
        <v>0</v>
      </c>
      <c r="K498" s="80">
        <v>0</v>
      </c>
      <c r="L498" s="80">
        <v>0</v>
      </c>
      <c r="M498" s="80">
        <v>0</v>
      </c>
      <c r="N498" s="80">
        <v>0</v>
      </c>
      <c r="O498" s="80">
        <v>1</v>
      </c>
      <c r="P498" s="80">
        <v>1</v>
      </c>
      <c r="Q498" s="80">
        <v>1</v>
      </c>
      <c r="R498" s="80">
        <v>0</v>
      </c>
      <c r="S498" s="80">
        <v>0</v>
      </c>
      <c r="T498" s="80">
        <v>0</v>
      </c>
      <c r="U498" s="80">
        <v>1</v>
      </c>
      <c r="V498" s="80">
        <v>1</v>
      </c>
      <c r="W498" s="80">
        <v>0</v>
      </c>
      <c r="X498" s="80">
        <v>0</v>
      </c>
      <c r="Y498" s="80">
        <v>0</v>
      </c>
      <c r="Z498" s="80">
        <v>0</v>
      </c>
      <c r="AA498" s="80">
        <v>1</v>
      </c>
      <c r="AB498" s="80">
        <v>0</v>
      </c>
      <c r="AC498" s="80">
        <v>0</v>
      </c>
      <c r="AD498" s="80">
        <v>0</v>
      </c>
      <c r="AE498" s="80">
        <v>0</v>
      </c>
      <c r="AF498" s="80">
        <v>0</v>
      </c>
      <c r="AG498" s="80">
        <v>0</v>
      </c>
      <c r="AH498" s="80">
        <v>0</v>
      </c>
      <c r="AI498" s="80">
        <v>0</v>
      </c>
      <c r="AJ498" s="80">
        <v>0</v>
      </c>
      <c r="AK498" s="80">
        <v>0</v>
      </c>
      <c r="AL498" s="80">
        <v>0</v>
      </c>
      <c r="AM498" s="80">
        <v>1</v>
      </c>
      <c r="AN498" s="80">
        <v>0</v>
      </c>
      <c r="AO498" s="80">
        <v>0</v>
      </c>
    </row>
    <row r="499" spans="1:41" ht="15.75" x14ac:dyDescent="0.25">
      <c r="A499" s="84"/>
      <c r="B499" s="147"/>
      <c r="C499" s="84"/>
      <c r="D499" s="80" t="s">
        <v>258</v>
      </c>
      <c r="E499" s="80">
        <v>0</v>
      </c>
      <c r="F499" s="80">
        <v>0</v>
      </c>
      <c r="G499" s="80">
        <v>0</v>
      </c>
      <c r="H499" s="80">
        <v>0</v>
      </c>
      <c r="I499" s="80">
        <v>0</v>
      </c>
      <c r="J499" s="80">
        <v>0</v>
      </c>
      <c r="K499" s="80">
        <v>0</v>
      </c>
      <c r="L499" s="80">
        <v>0</v>
      </c>
      <c r="M499" s="80">
        <v>0</v>
      </c>
      <c r="N499" s="80">
        <v>0</v>
      </c>
      <c r="O499" s="80">
        <v>0</v>
      </c>
      <c r="P499" s="80">
        <v>0</v>
      </c>
      <c r="Q499" s="80">
        <v>0</v>
      </c>
      <c r="R499" s="80">
        <v>0</v>
      </c>
      <c r="S499" s="80">
        <v>0</v>
      </c>
      <c r="T499" s="80">
        <v>0</v>
      </c>
      <c r="U499" s="80">
        <v>0</v>
      </c>
      <c r="V499" s="80">
        <v>0</v>
      </c>
      <c r="W499" s="80">
        <v>0</v>
      </c>
      <c r="X499" s="80">
        <v>0</v>
      </c>
      <c r="Y499" s="80">
        <v>0</v>
      </c>
      <c r="Z499" s="80">
        <v>0</v>
      </c>
      <c r="AA499" s="80">
        <v>0</v>
      </c>
      <c r="AB499" s="80">
        <v>0</v>
      </c>
      <c r="AC499" s="80">
        <v>0</v>
      </c>
      <c r="AD499" s="80">
        <v>0</v>
      </c>
      <c r="AE499" s="80">
        <v>0</v>
      </c>
      <c r="AF499" s="80">
        <v>0</v>
      </c>
      <c r="AG499" s="80">
        <v>0</v>
      </c>
      <c r="AH499" s="80">
        <v>0</v>
      </c>
      <c r="AI499" s="80">
        <v>0</v>
      </c>
      <c r="AJ499" s="80">
        <v>0</v>
      </c>
      <c r="AK499" s="80">
        <v>0</v>
      </c>
      <c r="AL499" s="80">
        <v>0</v>
      </c>
      <c r="AM499" s="80">
        <v>0</v>
      </c>
      <c r="AN499" s="80">
        <v>0</v>
      </c>
      <c r="AO499" s="80">
        <v>0</v>
      </c>
    </row>
    <row r="500" spans="1:41" ht="15.75" x14ac:dyDescent="0.25">
      <c r="A500" s="84">
        <v>12</v>
      </c>
      <c r="B500" s="84" t="s">
        <v>191</v>
      </c>
      <c r="C500" s="84" t="s">
        <v>251</v>
      </c>
      <c r="D500" s="80" t="s">
        <v>245</v>
      </c>
      <c r="E500" s="80">
        <v>0</v>
      </c>
      <c r="F500" s="80">
        <v>0</v>
      </c>
      <c r="G500" s="80">
        <v>0</v>
      </c>
      <c r="H500" s="80">
        <v>2</v>
      </c>
      <c r="I500" s="80">
        <v>3</v>
      </c>
      <c r="J500" s="80">
        <v>3</v>
      </c>
      <c r="K500" s="80">
        <v>0</v>
      </c>
      <c r="L500" s="80">
        <v>0</v>
      </c>
      <c r="M500" s="80">
        <v>0</v>
      </c>
      <c r="N500" s="80">
        <v>0</v>
      </c>
      <c r="O500" s="80">
        <v>1</v>
      </c>
      <c r="P500" s="80">
        <v>1</v>
      </c>
      <c r="Q500" s="80">
        <v>0</v>
      </c>
      <c r="R500" s="80">
        <v>0</v>
      </c>
      <c r="S500" s="80">
        <v>0</v>
      </c>
      <c r="T500" s="80">
        <v>0</v>
      </c>
      <c r="U500" s="80">
        <v>4</v>
      </c>
      <c r="V500" s="80">
        <v>5</v>
      </c>
      <c r="W500" s="80">
        <v>1</v>
      </c>
      <c r="X500" s="80">
        <v>1</v>
      </c>
      <c r="Y500" s="80">
        <v>0</v>
      </c>
      <c r="Z500" s="80">
        <v>0</v>
      </c>
      <c r="AA500" s="80">
        <v>1</v>
      </c>
      <c r="AB500" s="80">
        <v>3</v>
      </c>
      <c r="AC500" s="80">
        <v>0</v>
      </c>
      <c r="AD500" s="80">
        <v>0</v>
      </c>
      <c r="AE500" s="80">
        <v>0</v>
      </c>
      <c r="AF500" s="80">
        <v>0</v>
      </c>
      <c r="AG500" s="81">
        <v>2</v>
      </c>
      <c r="AH500" s="80">
        <v>1</v>
      </c>
      <c r="AI500" s="81">
        <v>0</v>
      </c>
      <c r="AJ500" s="81">
        <v>0</v>
      </c>
      <c r="AK500" s="81">
        <v>0</v>
      </c>
      <c r="AL500" s="81">
        <v>0</v>
      </c>
      <c r="AM500" s="81">
        <v>0</v>
      </c>
      <c r="AN500" s="81">
        <v>0</v>
      </c>
      <c r="AO500" s="81">
        <v>0</v>
      </c>
    </row>
    <row r="501" spans="1:41" ht="15.75" x14ac:dyDescent="0.25">
      <c r="A501" s="84">
        <v>13</v>
      </c>
      <c r="B501" s="84"/>
      <c r="C501" s="84" t="s">
        <v>376</v>
      </c>
      <c r="D501" s="80" t="s">
        <v>246</v>
      </c>
      <c r="E501" s="80">
        <v>1</v>
      </c>
      <c r="F501" s="80">
        <v>0</v>
      </c>
      <c r="G501" s="80">
        <v>0</v>
      </c>
      <c r="H501" s="80">
        <v>1</v>
      </c>
      <c r="I501" s="80">
        <v>3</v>
      </c>
      <c r="J501" s="80">
        <v>1</v>
      </c>
      <c r="K501" s="80">
        <v>0</v>
      </c>
      <c r="L501" s="80">
        <v>0</v>
      </c>
      <c r="M501" s="80">
        <v>0</v>
      </c>
      <c r="N501" s="80">
        <v>0</v>
      </c>
      <c r="O501" s="80">
        <v>1</v>
      </c>
      <c r="P501" s="80">
        <v>1</v>
      </c>
      <c r="Q501" s="80">
        <v>0</v>
      </c>
      <c r="R501" s="80">
        <v>0</v>
      </c>
      <c r="S501" s="80">
        <v>0</v>
      </c>
      <c r="T501" s="80">
        <v>0</v>
      </c>
      <c r="U501" s="80">
        <v>4</v>
      </c>
      <c r="V501" s="80">
        <v>5</v>
      </c>
      <c r="W501" s="80">
        <v>1</v>
      </c>
      <c r="X501" s="80">
        <v>1</v>
      </c>
      <c r="Y501" s="80">
        <v>0</v>
      </c>
      <c r="Z501" s="80">
        <v>0</v>
      </c>
      <c r="AA501" s="80">
        <v>1</v>
      </c>
      <c r="AB501" s="80">
        <v>3</v>
      </c>
      <c r="AC501" s="80">
        <v>0</v>
      </c>
      <c r="AD501" s="80">
        <v>0</v>
      </c>
      <c r="AE501" s="80">
        <v>0</v>
      </c>
      <c r="AF501" s="80">
        <v>0</v>
      </c>
      <c r="AG501" s="81">
        <v>1</v>
      </c>
      <c r="AH501" s="80">
        <v>1</v>
      </c>
      <c r="AI501" s="81">
        <v>0</v>
      </c>
      <c r="AJ501" s="81">
        <v>0</v>
      </c>
      <c r="AK501" s="81">
        <v>0</v>
      </c>
      <c r="AL501" s="81">
        <v>0</v>
      </c>
      <c r="AM501" s="81">
        <v>0</v>
      </c>
      <c r="AN501" s="81">
        <v>0</v>
      </c>
      <c r="AO501" s="81">
        <v>0</v>
      </c>
    </row>
    <row r="502" spans="1:41" ht="15.75" x14ac:dyDescent="0.25">
      <c r="A502" s="84">
        <v>14</v>
      </c>
      <c r="B502" s="84"/>
      <c r="C502" s="84" t="s">
        <v>163</v>
      </c>
      <c r="D502" s="80" t="s">
        <v>247</v>
      </c>
      <c r="E502" s="80">
        <v>0</v>
      </c>
      <c r="F502" s="80">
        <v>0</v>
      </c>
      <c r="G502" s="80">
        <v>0</v>
      </c>
      <c r="H502" s="80">
        <v>1</v>
      </c>
      <c r="I502" s="80">
        <v>0</v>
      </c>
      <c r="J502" s="80">
        <v>2</v>
      </c>
      <c r="K502" s="80">
        <v>0</v>
      </c>
      <c r="L502" s="80">
        <v>0</v>
      </c>
      <c r="M502" s="80">
        <v>0</v>
      </c>
      <c r="N502" s="80">
        <v>0</v>
      </c>
      <c r="O502" s="80">
        <v>0</v>
      </c>
      <c r="P502" s="80">
        <v>0</v>
      </c>
      <c r="Q502" s="80">
        <v>0</v>
      </c>
      <c r="R502" s="80">
        <v>0</v>
      </c>
      <c r="S502" s="80">
        <v>0</v>
      </c>
      <c r="T502" s="80">
        <v>0</v>
      </c>
      <c r="U502" s="80">
        <v>0</v>
      </c>
      <c r="V502" s="80">
        <v>0</v>
      </c>
      <c r="W502" s="80">
        <v>0</v>
      </c>
      <c r="X502" s="80">
        <v>0</v>
      </c>
      <c r="Y502" s="80">
        <v>0</v>
      </c>
      <c r="Z502" s="80">
        <v>0</v>
      </c>
      <c r="AA502" s="80">
        <v>0</v>
      </c>
      <c r="AB502" s="80">
        <v>0</v>
      </c>
      <c r="AC502" s="80">
        <v>0</v>
      </c>
      <c r="AD502" s="80">
        <v>0</v>
      </c>
      <c r="AE502" s="80">
        <v>0</v>
      </c>
      <c r="AF502" s="80">
        <v>0</v>
      </c>
      <c r="AG502" s="81">
        <v>1</v>
      </c>
      <c r="AH502" s="80">
        <v>0</v>
      </c>
      <c r="AI502" s="81">
        <v>0</v>
      </c>
      <c r="AJ502" s="81">
        <v>0</v>
      </c>
      <c r="AK502" s="81">
        <v>0</v>
      </c>
      <c r="AL502" s="81">
        <v>0</v>
      </c>
      <c r="AM502" s="81">
        <v>0</v>
      </c>
      <c r="AN502" s="81">
        <v>0</v>
      </c>
      <c r="AO502" s="81">
        <v>0</v>
      </c>
    </row>
    <row r="503" spans="1:41" ht="15.75" x14ac:dyDescent="0.25">
      <c r="A503" s="84"/>
      <c r="B503" s="84"/>
      <c r="C503" s="84"/>
      <c r="D503" s="80" t="s">
        <v>248</v>
      </c>
      <c r="E503" s="80">
        <v>1</v>
      </c>
      <c r="F503" s="80">
        <v>0</v>
      </c>
      <c r="G503" s="80">
        <v>0</v>
      </c>
      <c r="H503" s="80">
        <v>1</v>
      </c>
      <c r="I503" s="80">
        <v>3</v>
      </c>
      <c r="J503" s="80">
        <v>1</v>
      </c>
      <c r="K503" s="80">
        <v>0</v>
      </c>
      <c r="L503" s="80">
        <v>0</v>
      </c>
      <c r="M503" s="80">
        <v>0</v>
      </c>
      <c r="N503" s="80">
        <v>0</v>
      </c>
      <c r="O503" s="80">
        <v>1</v>
      </c>
      <c r="P503" s="80">
        <v>1</v>
      </c>
      <c r="Q503" s="80">
        <v>0</v>
      </c>
      <c r="R503" s="80">
        <v>0</v>
      </c>
      <c r="S503" s="80">
        <v>0</v>
      </c>
      <c r="T503" s="80">
        <v>0</v>
      </c>
      <c r="U503" s="80">
        <v>4</v>
      </c>
      <c r="V503" s="80">
        <v>5</v>
      </c>
      <c r="W503" s="80">
        <v>1</v>
      </c>
      <c r="X503" s="80">
        <v>1</v>
      </c>
      <c r="Y503" s="80">
        <v>0</v>
      </c>
      <c r="Z503" s="80">
        <v>0</v>
      </c>
      <c r="AA503" s="80">
        <v>1</v>
      </c>
      <c r="AB503" s="80">
        <v>3</v>
      </c>
      <c r="AC503" s="80">
        <v>0</v>
      </c>
      <c r="AD503" s="80">
        <v>0</v>
      </c>
      <c r="AE503" s="80">
        <v>0</v>
      </c>
      <c r="AF503" s="80">
        <v>0</v>
      </c>
      <c r="AG503" s="81">
        <v>1</v>
      </c>
      <c r="AH503" s="80">
        <v>1</v>
      </c>
      <c r="AI503" s="81">
        <v>0</v>
      </c>
      <c r="AJ503" s="81">
        <v>0</v>
      </c>
      <c r="AK503" s="81">
        <v>0</v>
      </c>
      <c r="AL503" s="81">
        <v>0</v>
      </c>
      <c r="AM503" s="81">
        <v>0</v>
      </c>
      <c r="AN503" s="81">
        <v>0</v>
      </c>
      <c r="AO503" s="81">
        <v>0</v>
      </c>
    </row>
    <row r="504" spans="1:41" ht="15.75" x14ac:dyDescent="0.25">
      <c r="A504" s="84"/>
      <c r="B504" s="84"/>
      <c r="C504" s="84"/>
      <c r="D504" s="80" t="s">
        <v>258</v>
      </c>
      <c r="E504" s="80">
        <v>0</v>
      </c>
      <c r="F504" s="80">
        <v>0</v>
      </c>
      <c r="G504" s="80">
        <v>0</v>
      </c>
      <c r="H504" s="80">
        <v>0</v>
      </c>
      <c r="I504" s="80">
        <v>0</v>
      </c>
      <c r="J504" s="80">
        <v>0</v>
      </c>
      <c r="K504" s="80">
        <v>0</v>
      </c>
      <c r="L504" s="80">
        <v>0</v>
      </c>
      <c r="M504" s="80">
        <v>0</v>
      </c>
      <c r="N504" s="80">
        <v>0</v>
      </c>
      <c r="O504" s="80">
        <v>0</v>
      </c>
      <c r="P504" s="80">
        <v>0</v>
      </c>
      <c r="Q504" s="80">
        <v>0</v>
      </c>
      <c r="R504" s="80">
        <v>0</v>
      </c>
      <c r="S504" s="80">
        <v>0</v>
      </c>
      <c r="T504" s="80">
        <v>0</v>
      </c>
      <c r="U504" s="80">
        <v>0</v>
      </c>
      <c r="V504" s="80">
        <v>0</v>
      </c>
      <c r="W504" s="80">
        <v>0</v>
      </c>
      <c r="X504" s="80">
        <v>0</v>
      </c>
      <c r="Y504" s="80">
        <v>0</v>
      </c>
      <c r="Z504" s="80">
        <v>0</v>
      </c>
      <c r="AA504" s="80">
        <v>0</v>
      </c>
      <c r="AB504" s="80">
        <v>0</v>
      </c>
      <c r="AC504" s="80">
        <v>0</v>
      </c>
      <c r="AD504" s="80">
        <v>0</v>
      </c>
      <c r="AE504" s="80">
        <v>0</v>
      </c>
      <c r="AF504" s="80">
        <v>0</v>
      </c>
      <c r="AG504" s="80">
        <v>0</v>
      </c>
      <c r="AH504" s="80">
        <v>0</v>
      </c>
      <c r="AI504" s="80">
        <v>0</v>
      </c>
      <c r="AJ504" s="80">
        <v>0</v>
      </c>
      <c r="AK504" s="80">
        <v>0</v>
      </c>
      <c r="AL504" s="80">
        <v>0</v>
      </c>
      <c r="AM504" s="81">
        <v>0</v>
      </c>
      <c r="AN504" s="81">
        <v>0</v>
      </c>
      <c r="AO504" s="81">
        <v>0</v>
      </c>
    </row>
    <row r="505" spans="1:41" ht="15.75" x14ac:dyDescent="0.25">
      <c r="A505" s="84">
        <v>15</v>
      </c>
      <c r="B505" s="84"/>
      <c r="C505" s="84" t="s">
        <v>164</v>
      </c>
      <c r="D505" s="80" t="s">
        <v>245</v>
      </c>
      <c r="E505" s="80">
        <v>0</v>
      </c>
      <c r="F505" s="80">
        <v>0</v>
      </c>
      <c r="G505" s="80">
        <v>0</v>
      </c>
      <c r="H505" s="80">
        <v>1</v>
      </c>
      <c r="I505" s="80">
        <v>3</v>
      </c>
      <c r="J505" s="80">
        <v>2</v>
      </c>
      <c r="K505" s="80">
        <v>0</v>
      </c>
      <c r="L505" s="80">
        <v>0</v>
      </c>
      <c r="M505" s="80">
        <v>0</v>
      </c>
      <c r="N505" s="80">
        <v>0</v>
      </c>
      <c r="O505" s="80">
        <v>2</v>
      </c>
      <c r="P505" s="80">
        <v>1</v>
      </c>
      <c r="Q505" s="80">
        <v>1</v>
      </c>
      <c r="R505" s="80">
        <v>1</v>
      </c>
      <c r="S505" s="80">
        <v>0</v>
      </c>
      <c r="T505" s="80">
        <v>0</v>
      </c>
      <c r="U505" s="80">
        <v>1</v>
      </c>
      <c r="V505" s="80">
        <v>1</v>
      </c>
      <c r="W505" s="80">
        <v>0</v>
      </c>
      <c r="X505" s="80">
        <v>0</v>
      </c>
      <c r="Y505" s="80">
        <v>0</v>
      </c>
      <c r="Z505" s="80">
        <v>0</v>
      </c>
      <c r="AA505" s="80">
        <v>0</v>
      </c>
      <c r="AB505" s="80">
        <v>0</v>
      </c>
      <c r="AC505" s="80">
        <v>0</v>
      </c>
      <c r="AD505" s="80">
        <v>0</v>
      </c>
      <c r="AE505" s="80">
        <v>1</v>
      </c>
      <c r="AF505" s="80">
        <v>0</v>
      </c>
      <c r="AG505" s="81">
        <v>2</v>
      </c>
      <c r="AH505" s="80">
        <v>1</v>
      </c>
      <c r="AI505" s="81">
        <v>0</v>
      </c>
      <c r="AJ505" s="81">
        <v>0</v>
      </c>
      <c r="AK505" s="81">
        <v>0</v>
      </c>
      <c r="AL505" s="81">
        <v>0</v>
      </c>
      <c r="AM505" s="81">
        <v>1</v>
      </c>
      <c r="AN505" s="81">
        <v>0</v>
      </c>
      <c r="AO505" s="81">
        <v>1</v>
      </c>
    </row>
    <row r="506" spans="1:41" ht="15.75" x14ac:dyDescent="0.25">
      <c r="A506" s="84"/>
      <c r="B506" s="84"/>
      <c r="C506" s="84" t="s">
        <v>410</v>
      </c>
      <c r="D506" s="80" t="s">
        <v>246</v>
      </c>
      <c r="E506" s="80">
        <v>0</v>
      </c>
      <c r="F506" s="80">
        <v>0</v>
      </c>
      <c r="G506" s="80">
        <v>0</v>
      </c>
      <c r="H506" s="80">
        <v>1</v>
      </c>
      <c r="I506" s="80">
        <v>2</v>
      </c>
      <c r="J506" s="80">
        <v>2</v>
      </c>
      <c r="K506" s="80">
        <v>0</v>
      </c>
      <c r="L506" s="80">
        <v>0</v>
      </c>
      <c r="M506" s="80">
        <v>0</v>
      </c>
      <c r="N506" s="80">
        <v>0</v>
      </c>
      <c r="O506" s="80">
        <v>2</v>
      </c>
      <c r="P506" s="80">
        <v>0</v>
      </c>
      <c r="Q506" s="80">
        <v>0</v>
      </c>
      <c r="R506" s="80">
        <v>0</v>
      </c>
      <c r="S506" s="80">
        <v>0</v>
      </c>
      <c r="T506" s="80">
        <v>0</v>
      </c>
      <c r="U506" s="80">
        <v>1</v>
      </c>
      <c r="V506" s="80">
        <v>1</v>
      </c>
      <c r="W506" s="80">
        <v>0</v>
      </c>
      <c r="X506" s="80">
        <v>0</v>
      </c>
      <c r="Y506" s="80">
        <v>0</v>
      </c>
      <c r="Z506" s="80">
        <v>0</v>
      </c>
      <c r="AA506" s="80">
        <v>0</v>
      </c>
      <c r="AB506" s="80">
        <v>0</v>
      </c>
      <c r="AC506" s="80">
        <v>0</v>
      </c>
      <c r="AD506" s="80">
        <v>0</v>
      </c>
      <c r="AE506" s="80">
        <v>1</v>
      </c>
      <c r="AF506" s="80">
        <v>0</v>
      </c>
      <c r="AG506" s="81">
        <v>2</v>
      </c>
      <c r="AH506" s="80">
        <v>1</v>
      </c>
      <c r="AI506" s="81">
        <v>0</v>
      </c>
      <c r="AJ506" s="81">
        <v>0</v>
      </c>
      <c r="AK506" s="81">
        <v>0</v>
      </c>
      <c r="AL506" s="81">
        <v>0</v>
      </c>
      <c r="AM506" s="81">
        <v>1</v>
      </c>
      <c r="AN506" s="81">
        <v>0</v>
      </c>
      <c r="AO506" s="81">
        <v>1</v>
      </c>
    </row>
    <row r="507" spans="1:41" ht="15.75" x14ac:dyDescent="0.25">
      <c r="A507" s="84"/>
      <c r="B507" s="84"/>
      <c r="C507" s="84"/>
      <c r="D507" s="80" t="s">
        <v>247</v>
      </c>
      <c r="E507" s="80">
        <v>0</v>
      </c>
      <c r="F507" s="80">
        <v>0</v>
      </c>
      <c r="G507" s="80">
        <v>0</v>
      </c>
      <c r="H507" s="80">
        <v>0</v>
      </c>
      <c r="I507" s="80">
        <v>1</v>
      </c>
      <c r="J507" s="80">
        <v>0</v>
      </c>
      <c r="K507" s="80">
        <v>0</v>
      </c>
      <c r="L507" s="80">
        <v>0</v>
      </c>
      <c r="M507" s="80">
        <v>0</v>
      </c>
      <c r="N507" s="80">
        <v>0</v>
      </c>
      <c r="O507" s="80">
        <v>0</v>
      </c>
      <c r="P507" s="80">
        <v>1</v>
      </c>
      <c r="Q507" s="80">
        <v>1</v>
      </c>
      <c r="R507" s="80">
        <v>1</v>
      </c>
      <c r="S507" s="80">
        <v>0</v>
      </c>
      <c r="T507" s="80">
        <v>0</v>
      </c>
      <c r="U507" s="80">
        <v>0</v>
      </c>
      <c r="V507" s="80">
        <v>0</v>
      </c>
      <c r="W507" s="80">
        <v>0</v>
      </c>
      <c r="X507" s="80">
        <v>0</v>
      </c>
      <c r="Y507" s="80">
        <v>0</v>
      </c>
      <c r="Z507" s="80">
        <v>0</v>
      </c>
      <c r="AA507" s="80">
        <v>0</v>
      </c>
      <c r="AB507" s="80">
        <v>0</v>
      </c>
      <c r="AC507" s="80">
        <v>0</v>
      </c>
      <c r="AD507" s="80">
        <v>0</v>
      </c>
      <c r="AE507" s="80">
        <v>0</v>
      </c>
      <c r="AF507" s="80">
        <v>0</v>
      </c>
      <c r="AG507" s="81">
        <v>0</v>
      </c>
      <c r="AH507" s="80">
        <v>0</v>
      </c>
      <c r="AI507" s="81">
        <v>0</v>
      </c>
      <c r="AJ507" s="81">
        <v>0</v>
      </c>
      <c r="AK507" s="81">
        <v>0</v>
      </c>
      <c r="AL507" s="81">
        <v>0</v>
      </c>
      <c r="AM507" s="81">
        <v>0</v>
      </c>
      <c r="AN507" s="81">
        <v>0</v>
      </c>
      <c r="AO507" s="81">
        <v>0</v>
      </c>
    </row>
    <row r="508" spans="1:41" ht="15.75" x14ac:dyDescent="0.25">
      <c r="A508" s="84"/>
      <c r="B508" s="84"/>
      <c r="C508" s="84"/>
      <c r="D508" s="80" t="s">
        <v>248</v>
      </c>
      <c r="E508" s="80">
        <v>0</v>
      </c>
      <c r="F508" s="80">
        <v>0</v>
      </c>
      <c r="G508" s="80">
        <v>0</v>
      </c>
      <c r="H508" s="80">
        <v>1</v>
      </c>
      <c r="I508" s="80">
        <v>2</v>
      </c>
      <c r="J508" s="80">
        <v>2</v>
      </c>
      <c r="K508" s="80">
        <v>0</v>
      </c>
      <c r="L508" s="80">
        <v>0</v>
      </c>
      <c r="M508" s="80">
        <v>0</v>
      </c>
      <c r="N508" s="80">
        <v>0</v>
      </c>
      <c r="O508" s="80">
        <v>2</v>
      </c>
      <c r="P508" s="80">
        <v>0</v>
      </c>
      <c r="Q508" s="80">
        <v>0</v>
      </c>
      <c r="R508" s="80">
        <v>0</v>
      </c>
      <c r="S508" s="80">
        <v>0</v>
      </c>
      <c r="T508" s="80">
        <v>0</v>
      </c>
      <c r="U508" s="80">
        <v>1</v>
      </c>
      <c r="V508" s="80">
        <v>1</v>
      </c>
      <c r="W508" s="80">
        <v>0</v>
      </c>
      <c r="X508" s="80">
        <v>0</v>
      </c>
      <c r="Y508" s="80">
        <v>0</v>
      </c>
      <c r="Z508" s="80">
        <v>0</v>
      </c>
      <c r="AA508" s="80">
        <v>0</v>
      </c>
      <c r="AB508" s="80">
        <v>0</v>
      </c>
      <c r="AC508" s="80">
        <v>0</v>
      </c>
      <c r="AD508" s="80">
        <v>0</v>
      </c>
      <c r="AE508" s="80">
        <v>1</v>
      </c>
      <c r="AF508" s="80">
        <v>0</v>
      </c>
      <c r="AG508" s="81">
        <v>2</v>
      </c>
      <c r="AH508" s="80">
        <v>1</v>
      </c>
      <c r="AI508" s="81">
        <v>0</v>
      </c>
      <c r="AJ508" s="81">
        <v>0</v>
      </c>
      <c r="AK508" s="81">
        <v>0</v>
      </c>
      <c r="AL508" s="81">
        <v>0</v>
      </c>
      <c r="AM508" s="81">
        <v>1</v>
      </c>
      <c r="AN508" s="81">
        <v>0</v>
      </c>
      <c r="AO508" s="81">
        <v>1</v>
      </c>
    </row>
    <row r="509" spans="1:41" ht="15.75" x14ac:dyDescent="0.25">
      <c r="A509" s="84"/>
      <c r="B509" s="84"/>
      <c r="C509" s="84"/>
      <c r="D509" s="80" t="s">
        <v>258</v>
      </c>
      <c r="E509" s="80">
        <v>0</v>
      </c>
      <c r="F509" s="80">
        <v>0</v>
      </c>
      <c r="G509" s="80">
        <v>0</v>
      </c>
      <c r="H509" s="80">
        <v>0</v>
      </c>
      <c r="I509" s="80">
        <v>0</v>
      </c>
      <c r="J509" s="80">
        <v>0</v>
      </c>
      <c r="K509" s="80">
        <v>0</v>
      </c>
      <c r="L509" s="80">
        <v>0</v>
      </c>
      <c r="M509" s="80">
        <v>0</v>
      </c>
      <c r="N509" s="80">
        <v>0</v>
      </c>
      <c r="O509" s="80">
        <v>0</v>
      </c>
      <c r="P509" s="80">
        <v>0</v>
      </c>
      <c r="Q509" s="80">
        <v>0</v>
      </c>
      <c r="R509" s="80">
        <v>0</v>
      </c>
      <c r="S509" s="80">
        <v>0</v>
      </c>
      <c r="T509" s="80">
        <v>0</v>
      </c>
      <c r="U509" s="80">
        <v>0</v>
      </c>
      <c r="V509" s="80">
        <v>0</v>
      </c>
      <c r="W509" s="80">
        <v>0</v>
      </c>
      <c r="X509" s="80">
        <v>0</v>
      </c>
      <c r="Y509" s="80">
        <v>0</v>
      </c>
      <c r="Z509" s="80">
        <v>0</v>
      </c>
      <c r="AA509" s="80">
        <v>0</v>
      </c>
      <c r="AB509" s="80">
        <v>0</v>
      </c>
      <c r="AC509" s="80">
        <v>0</v>
      </c>
      <c r="AD509" s="80">
        <v>0</v>
      </c>
      <c r="AE509" s="80">
        <v>0</v>
      </c>
      <c r="AF509" s="80">
        <v>0</v>
      </c>
      <c r="AG509" s="80">
        <v>0</v>
      </c>
      <c r="AH509" s="80">
        <v>0</v>
      </c>
      <c r="AI509" s="80">
        <v>0</v>
      </c>
      <c r="AJ509" s="80">
        <v>0</v>
      </c>
      <c r="AK509" s="80">
        <v>0</v>
      </c>
      <c r="AL509" s="80">
        <v>0</v>
      </c>
      <c r="AM509" s="81">
        <v>0</v>
      </c>
      <c r="AN509" s="81">
        <v>0</v>
      </c>
      <c r="AO509" s="81">
        <v>0</v>
      </c>
    </row>
    <row r="510" spans="1:41" ht="15.75" x14ac:dyDescent="0.25">
      <c r="A510" s="84">
        <v>16</v>
      </c>
      <c r="B510" s="84" t="s">
        <v>267</v>
      </c>
      <c r="C510" s="84" t="s">
        <v>177</v>
      </c>
      <c r="D510" s="80" t="s">
        <v>245</v>
      </c>
      <c r="E510" s="80">
        <v>0</v>
      </c>
      <c r="F510" s="80">
        <v>0</v>
      </c>
      <c r="G510" s="80">
        <v>1</v>
      </c>
      <c r="H510" s="80">
        <v>1</v>
      </c>
      <c r="I510" s="80">
        <v>3</v>
      </c>
      <c r="J510" s="80">
        <v>3</v>
      </c>
      <c r="K510" s="80">
        <v>0</v>
      </c>
      <c r="L510" s="80">
        <v>1</v>
      </c>
      <c r="M510" s="80">
        <v>0</v>
      </c>
      <c r="N510" s="80">
        <v>0</v>
      </c>
      <c r="O510" s="80">
        <v>1</v>
      </c>
      <c r="P510" s="80">
        <v>0</v>
      </c>
      <c r="Q510" s="80">
        <v>0</v>
      </c>
      <c r="R510" s="80">
        <v>0</v>
      </c>
      <c r="S510" s="80">
        <v>0</v>
      </c>
      <c r="T510" s="80">
        <v>1</v>
      </c>
      <c r="U510" s="80">
        <v>2</v>
      </c>
      <c r="V510" s="80">
        <v>1</v>
      </c>
      <c r="W510" s="80">
        <v>0</v>
      </c>
      <c r="X510" s="80">
        <v>0</v>
      </c>
      <c r="Y510" s="80">
        <v>1</v>
      </c>
      <c r="Z510" s="80">
        <v>1</v>
      </c>
      <c r="AA510" s="80">
        <v>0</v>
      </c>
      <c r="AB510" s="80">
        <v>1</v>
      </c>
      <c r="AC510" s="80">
        <v>1</v>
      </c>
      <c r="AD510" s="80">
        <v>0</v>
      </c>
      <c r="AE510" s="80">
        <v>1</v>
      </c>
      <c r="AF510" s="80">
        <v>0</v>
      </c>
      <c r="AG510" s="81">
        <v>0</v>
      </c>
      <c r="AH510" s="80">
        <v>2</v>
      </c>
      <c r="AI510" s="81">
        <v>0</v>
      </c>
      <c r="AJ510" s="81">
        <v>0</v>
      </c>
      <c r="AK510" s="81">
        <v>0</v>
      </c>
      <c r="AL510" s="81">
        <v>0</v>
      </c>
      <c r="AM510" s="81">
        <v>0</v>
      </c>
      <c r="AN510" s="81">
        <v>0</v>
      </c>
      <c r="AO510" s="81">
        <v>0</v>
      </c>
    </row>
    <row r="511" spans="1:41" ht="15.75" x14ac:dyDescent="0.25">
      <c r="A511" s="84"/>
      <c r="B511" s="84"/>
      <c r="C511" s="84"/>
      <c r="D511" s="80" t="s">
        <v>246</v>
      </c>
      <c r="E511" s="80">
        <v>0</v>
      </c>
      <c r="F511" s="80">
        <v>0</v>
      </c>
      <c r="G511" s="80">
        <v>1</v>
      </c>
      <c r="H511" s="80">
        <v>1</v>
      </c>
      <c r="I511" s="80">
        <v>2</v>
      </c>
      <c r="J511" s="80">
        <v>2</v>
      </c>
      <c r="K511" s="80">
        <v>0</v>
      </c>
      <c r="L511" s="80">
        <v>1</v>
      </c>
      <c r="M511" s="80">
        <v>0</v>
      </c>
      <c r="N511" s="80">
        <v>0</v>
      </c>
      <c r="O511" s="80">
        <v>1</v>
      </c>
      <c r="P511" s="80">
        <v>0</v>
      </c>
      <c r="Q511" s="80">
        <v>0</v>
      </c>
      <c r="R511" s="80">
        <v>0</v>
      </c>
      <c r="S511" s="80">
        <v>0</v>
      </c>
      <c r="T511" s="80">
        <v>1</v>
      </c>
      <c r="U511" s="80">
        <v>2</v>
      </c>
      <c r="V511" s="80">
        <v>1</v>
      </c>
      <c r="W511" s="80">
        <v>0</v>
      </c>
      <c r="X511" s="80">
        <v>0</v>
      </c>
      <c r="Y511" s="80">
        <v>1</v>
      </c>
      <c r="Z511" s="80">
        <v>1</v>
      </c>
      <c r="AA511" s="80">
        <v>0</v>
      </c>
      <c r="AB511" s="80">
        <v>1</v>
      </c>
      <c r="AC511" s="80">
        <v>1</v>
      </c>
      <c r="AD511" s="80">
        <v>0</v>
      </c>
      <c r="AE511" s="80">
        <v>1</v>
      </c>
      <c r="AF511" s="80">
        <v>0</v>
      </c>
      <c r="AG511" s="81">
        <v>0</v>
      </c>
      <c r="AH511" s="80">
        <v>2</v>
      </c>
      <c r="AI511" s="81">
        <v>0</v>
      </c>
      <c r="AJ511" s="81">
        <v>0</v>
      </c>
      <c r="AK511" s="81">
        <v>0</v>
      </c>
      <c r="AL511" s="81">
        <v>0</v>
      </c>
      <c r="AM511" s="81">
        <v>0</v>
      </c>
      <c r="AN511" s="81">
        <v>0</v>
      </c>
      <c r="AO511" s="81">
        <v>0</v>
      </c>
    </row>
    <row r="512" spans="1:41" ht="15.75" x14ac:dyDescent="0.25">
      <c r="A512" s="84"/>
      <c r="B512" s="84"/>
      <c r="C512" s="84"/>
      <c r="D512" s="80" t="s">
        <v>247</v>
      </c>
      <c r="E512" s="80">
        <v>0</v>
      </c>
      <c r="F512" s="80">
        <v>0</v>
      </c>
      <c r="G512" s="80">
        <v>0</v>
      </c>
      <c r="H512" s="80">
        <v>0</v>
      </c>
      <c r="I512" s="80">
        <v>1</v>
      </c>
      <c r="J512" s="80">
        <v>1</v>
      </c>
      <c r="K512" s="80">
        <v>0</v>
      </c>
      <c r="L512" s="80">
        <v>0</v>
      </c>
      <c r="M512" s="80">
        <v>0</v>
      </c>
      <c r="N512" s="80">
        <v>0</v>
      </c>
      <c r="O512" s="80">
        <v>0</v>
      </c>
      <c r="P512" s="80">
        <v>0</v>
      </c>
      <c r="Q512" s="80">
        <v>0</v>
      </c>
      <c r="R512" s="80">
        <v>0</v>
      </c>
      <c r="S512" s="80">
        <v>0</v>
      </c>
      <c r="T512" s="80">
        <v>0</v>
      </c>
      <c r="U512" s="80">
        <v>0</v>
      </c>
      <c r="V512" s="80">
        <v>0</v>
      </c>
      <c r="W512" s="80">
        <v>0</v>
      </c>
      <c r="X512" s="80">
        <v>0</v>
      </c>
      <c r="Y512" s="80">
        <v>0</v>
      </c>
      <c r="Z512" s="80">
        <v>0</v>
      </c>
      <c r="AA512" s="80">
        <v>0</v>
      </c>
      <c r="AB512" s="80">
        <v>0</v>
      </c>
      <c r="AC512" s="80">
        <v>0</v>
      </c>
      <c r="AD512" s="80">
        <v>0</v>
      </c>
      <c r="AE512" s="80">
        <v>0</v>
      </c>
      <c r="AF512" s="80">
        <v>0</v>
      </c>
      <c r="AG512" s="81">
        <v>0</v>
      </c>
      <c r="AH512" s="80">
        <v>0</v>
      </c>
      <c r="AI512" s="81">
        <v>0</v>
      </c>
      <c r="AJ512" s="81">
        <v>0</v>
      </c>
      <c r="AK512" s="81">
        <v>0</v>
      </c>
      <c r="AL512" s="81">
        <v>0</v>
      </c>
      <c r="AM512" s="81">
        <v>0</v>
      </c>
      <c r="AN512" s="81">
        <v>0</v>
      </c>
      <c r="AO512" s="81">
        <v>0</v>
      </c>
    </row>
    <row r="513" spans="1:41" ht="15.75" x14ac:dyDescent="0.25">
      <c r="A513" s="84"/>
      <c r="B513" s="84"/>
      <c r="C513" s="84"/>
      <c r="D513" s="80" t="s">
        <v>248</v>
      </c>
      <c r="E513" s="80">
        <v>0</v>
      </c>
      <c r="F513" s="80">
        <v>0</v>
      </c>
      <c r="G513" s="80">
        <v>1</v>
      </c>
      <c r="H513" s="80">
        <v>1</v>
      </c>
      <c r="I513" s="80">
        <v>2</v>
      </c>
      <c r="J513" s="80">
        <v>2</v>
      </c>
      <c r="K513" s="80">
        <v>0</v>
      </c>
      <c r="L513" s="80">
        <v>0</v>
      </c>
      <c r="M513" s="80">
        <v>0</v>
      </c>
      <c r="N513" s="80">
        <v>0</v>
      </c>
      <c r="O513" s="80">
        <v>1</v>
      </c>
      <c r="P513" s="80">
        <v>0</v>
      </c>
      <c r="Q513" s="80">
        <v>0</v>
      </c>
      <c r="R513" s="80">
        <v>0</v>
      </c>
      <c r="S513" s="80">
        <v>0</v>
      </c>
      <c r="T513" s="80">
        <v>1</v>
      </c>
      <c r="U513" s="80">
        <v>2</v>
      </c>
      <c r="V513" s="80">
        <v>1</v>
      </c>
      <c r="W513" s="80">
        <v>0</v>
      </c>
      <c r="X513" s="80">
        <v>0</v>
      </c>
      <c r="Y513" s="80">
        <v>1</v>
      </c>
      <c r="Z513" s="80">
        <v>1</v>
      </c>
      <c r="AA513" s="80">
        <v>0</v>
      </c>
      <c r="AB513" s="80">
        <v>1</v>
      </c>
      <c r="AC513" s="80">
        <v>1</v>
      </c>
      <c r="AD513" s="80">
        <v>0</v>
      </c>
      <c r="AE513" s="80">
        <v>1</v>
      </c>
      <c r="AF513" s="80">
        <v>0</v>
      </c>
      <c r="AG513" s="81">
        <v>0</v>
      </c>
      <c r="AH513" s="80">
        <v>2</v>
      </c>
      <c r="AI513" s="81">
        <v>0</v>
      </c>
      <c r="AJ513" s="81">
        <v>0</v>
      </c>
      <c r="AK513" s="81">
        <v>0</v>
      </c>
      <c r="AL513" s="81">
        <v>0</v>
      </c>
      <c r="AM513" s="81">
        <v>0</v>
      </c>
      <c r="AN513" s="81">
        <v>0</v>
      </c>
      <c r="AO513" s="81">
        <v>0</v>
      </c>
    </row>
    <row r="514" spans="1:41" ht="15.75" x14ac:dyDescent="0.25">
      <c r="A514" s="84"/>
      <c r="B514" s="84"/>
      <c r="C514" s="84"/>
      <c r="D514" s="80" t="s">
        <v>258</v>
      </c>
      <c r="E514" s="80">
        <v>0</v>
      </c>
      <c r="F514" s="80">
        <v>0</v>
      </c>
      <c r="G514" s="80">
        <v>0</v>
      </c>
      <c r="H514" s="80">
        <v>0</v>
      </c>
      <c r="I514" s="80">
        <v>0</v>
      </c>
      <c r="J514" s="80">
        <v>0</v>
      </c>
      <c r="K514" s="80">
        <v>0</v>
      </c>
      <c r="L514" s="80">
        <v>1</v>
      </c>
      <c r="M514" s="80">
        <v>0</v>
      </c>
      <c r="N514" s="80">
        <v>0</v>
      </c>
      <c r="O514" s="80">
        <v>0</v>
      </c>
      <c r="P514" s="80">
        <v>0</v>
      </c>
      <c r="Q514" s="80">
        <v>0</v>
      </c>
      <c r="R514" s="80">
        <v>0</v>
      </c>
      <c r="S514" s="80">
        <v>0</v>
      </c>
      <c r="T514" s="80">
        <v>0</v>
      </c>
      <c r="U514" s="80">
        <v>0</v>
      </c>
      <c r="V514" s="80">
        <v>0</v>
      </c>
      <c r="W514" s="80">
        <v>0</v>
      </c>
      <c r="X514" s="80">
        <v>0</v>
      </c>
      <c r="Y514" s="80">
        <v>0</v>
      </c>
      <c r="Z514" s="80">
        <v>0</v>
      </c>
      <c r="AA514" s="80">
        <v>0</v>
      </c>
      <c r="AB514" s="80">
        <v>0</v>
      </c>
      <c r="AC514" s="80">
        <v>0</v>
      </c>
      <c r="AD514" s="80">
        <v>0</v>
      </c>
      <c r="AE514" s="80">
        <v>0</v>
      </c>
      <c r="AF514" s="80">
        <v>0</v>
      </c>
      <c r="AG514" s="80">
        <v>0</v>
      </c>
      <c r="AH514" s="80">
        <v>0</v>
      </c>
      <c r="AI514" s="80">
        <v>0</v>
      </c>
      <c r="AJ514" s="80">
        <v>0</v>
      </c>
      <c r="AK514" s="80">
        <v>0</v>
      </c>
      <c r="AL514" s="80">
        <v>0</v>
      </c>
      <c r="AM514" s="81">
        <v>0</v>
      </c>
      <c r="AN514" s="81">
        <v>0</v>
      </c>
      <c r="AO514" s="81">
        <v>0</v>
      </c>
    </row>
    <row r="515" spans="1:41" ht="15.75" x14ac:dyDescent="0.25">
      <c r="A515" s="84">
        <v>17</v>
      </c>
      <c r="B515" s="84"/>
      <c r="C515" s="84" t="s">
        <v>179</v>
      </c>
      <c r="D515" s="80" t="s">
        <v>245</v>
      </c>
      <c r="E515" s="80">
        <v>0</v>
      </c>
      <c r="F515" s="80">
        <v>0</v>
      </c>
      <c r="G515" s="80">
        <v>0</v>
      </c>
      <c r="H515" s="80">
        <v>2</v>
      </c>
      <c r="I515" s="80">
        <v>2</v>
      </c>
      <c r="J515" s="80">
        <v>1</v>
      </c>
      <c r="K515" s="80">
        <v>0</v>
      </c>
      <c r="L515" s="80">
        <v>0</v>
      </c>
      <c r="M515" s="80">
        <v>0</v>
      </c>
      <c r="N515" s="80">
        <v>0</v>
      </c>
      <c r="O515" s="80">
        <v>1</v>
      </c>
      <c r="P515" s="80">
        <v>0</v>
      </c>
      <c r="Q515" s="80">
        <v>1</v>
      </c>
      <c r="R515" s="80">
        <v>2</v>
      </c>
      <c r="S515" s="80">
        <v>0</v>
      </c>
      <c r="T515" s="80">
        <v>0</v>
      </c>
      <c r="U515" s="80">
        <v>2</v>
      </c>
      <c r="V515" s="80">
        <v>1</v>
      </c>
      <c r="W515" s="80">
        <v>1</v>
      </c>
      <c r="X515" s="80">
        <v>1</v>
      </c>
      <c r="Y515" s="80">
        <v>0</v>
      </c>
      <c r="Z515" s="80">
        <v>1</v>
      </c>
      <c r="AA515" s="80">
        <v>1</v>
      </c>
      <c r="AB515" s="80">
        <v>2</v>
      </c>
      <c r="AC515" s="80">
        <v>0</v>
      </c>
      <c r="AD515" s="80">
        <v>0</v>
      </c>
      <c r="AE515" s="80">
        <v>0</v>
      </c>
      <c r="AF515" s="80">
        <v>0</v>
      </c>
      <c r="AG515" s="81">
        <v>1</v>
      </c>
      <c r="AH515" s="80">
        <v>0</v>
      </c>
      <c r="AI515" s="81">
        <v>0</v>
      </c>
      <c r="AJ515" s="81">
        <v>0</v>
      </c>
      <c r="AK515" s="81">
        <v>0</v>
      </c>
      <c r="AL515" s="81">
        <v>0</v>
      </c>
      <c r="AM515" s="81">
        <v>0</v>
      </c>
      <c r="AN515" s="81">
        <v>0</v>
      </c>
      <c r="AO515" s="81">
        <v>0</v>
      </c>
    </row>
    <row r="516" spans="1:41" ht="15.75" x14ac:dyDescent="0.25">
      <c r="A516" s="84"/>
      <c r="B516" s="84"/>
      <c r="C516" s="84"/>
      <c r="D516" s="80" t="s">
        <v>246</v>
      </c>
      <c r="E516" s="80">
        <v>0</v>
      </c>
      <c r="F516" s="80">
        <v>0</v>
      </c>
      <c r="G516" s="80">
        <v>0</v>
      </c>
      <c r="H516" s="80">
        <v>2</v>
      </c>
      <c r="I516" s="80">
        <v>0</v>
      </c>
      <c r="J516" s="80">
        <v>1</v>
      </c>
      <c r="K516" s="80">
        <v>0</v>
      </c>
      <c r="L516" s="80">
        <v>0</v>
      </c>
      <c r="M516" s="80">
        <v>0</v>
      </c>
      <c r="N516" s="80">
        <v>0</v>
      </c>
      <c r="O516" s="80">
        <v>1</v>
      </c>
      <c r="P516" s="80">
        <v>0</v>
      </c>
      <c r="Q516" s="80">
        <v>1</v>
      </c>
      <c r="R516" s="80">
        <v>2</v>
      </c>
      <c r="S516" s="80">
        <v>0</v>
      </c>
      <c r="T516" s="80">
        <v>0</v>
      </c>
      <c r="U516" s="80">
        <v>2</v>
      </c>
      <c r="V516" s="80">
        <v>1</v>
      </c>
      <c r="W516" s="80">
        <v>1</v>
      </c>
      <c r="X516" s="80">
        <v>1</v>
      </c>
      <c r="Y516" s="80">
        <v>0</v>
      </c>
      <c r="Z516" s="80">
        <v>1</v>
      </c>
      <c r="AA516" s="80">
        <v>1</v>
      </c>
      <c r="AB516" s="80">
        <v>2</v>
      </c>
      <c r="AC516" s="80">
        <v>0</v>
      </c>
      <c r="AD516" s="80">
        <v>0</v>
      </c>
      <c r="AE516" s="80">
        <v>0</v>
      </c>
      <c r="AF516" s="80">
        <v>0</v>
      </c>
      <c r="AG516" s="81">
        <v>1</v>
      </c>
      <c r="AH516" s="80">
        <v>0</v>
      </c>
      <c r="AI516" s="81">
        <v>0</v>
      </c>
      <c r="AJ516" s="81">
        <v>0</v>
      </c>
      <c r="AK516" s="81">
        <v>0</v>
      </c>
      <c r="AL516" s="81">
        <v>0</v>
      </c>
      <c r="AM516" s="81">
        <v>0</v>
      </c>
      <c r="AN516" s="81">
        <v>0</v>
      </c>
      <c r="AO516" s="81">
        <v>0</v>
      </c>
    </row>
    <row r="517" spans="1:41" ht="15.75" x14ac:dyDescent="0.25">
      <c r="A517" s="84"/>
      <c r="B517" s="84"/>
      <c r="C517" s="84"/>
      <c r="D517" s="80" t="s">
        <v>247</v>
      </c>
      <c r="E517" s="80">
        <v>0</v>
      </c>
      <c r="F517" s="80">
        <v>0</v>
      </c>
      <c r="G517" s="80">
        <v>0</v>
      </c>
      <c r="H517" s="80">
        <v>0</v>
      </c>
      <c r="I517" s="80">
        <v>2</v>
      </c>
      <c r="J517" s="80">
        <v>0</v>
      </c>
      <c r="K517" s="80">
        <v>0</v>
      </c>
      <c r="L517" s="80">
        <v>0</v>
      </c>
      <c r="M517" s="80">
        <v>0</v>
      </c>
      <c r="N517" s="80">
        <v>0</v>
      </c>
      <c r="O517" s="80">
        <v>0</v>
      </c>
      <c r="P517" s="80">
        <v>0</v>
      </c>
      <c r="Q517" s="80">
        <v>0</v>
      </c>
      <c r="R517" s="80">
        <v>0</v>
      </c>
      <c r="S517" s="80">
        <v>0</v>
      </c>
      <c r="T517" s="80">
        <v>0</v>
      </c>
      <c r="U517" s="80">
        <v>0</v>
      </c>
      <c r="V517" s="80">
        <v>0</v>
      </c>
      <c r="W517" s="80">
        <v>0</v>
      </c>
      <c r="X517" s="80">
        <v>0</v>
      </c>
      <c r="Y517" s="80">
        <v>0</v>
      </c>
      <c r="Z517" s="80">
        <v>0</v>
      </c>
      <c r="AA517" s="80">
        <v>0</v>
      </c>
      <c r="AB517" s="80">
        <v>0</v>
      </c>
      <c r="AC517" s="80">
        <v>0</v>
      </c>
      <c r="AD517" s="80">
        <v>0</v>
      </c>
      <c r="AE517" s="80">
        <v>0</v>
      </c>
      <c r="AF517" s="80">
        <v>0</v>
      </c>
      <c r="AG517" s="81">
        <v>0</v>
      </c>
      <c r="AH517" s="80">
        <v>0</v>
      </c>
      <c r="AI517" s="81">
        <v>0</v>
      </c>
      <c r="AJ517" s="81">
        <v>0</v>
      </c>
      <c r="AK517" s="81">
        <v>0</v>
      </c>
      <c r="AL517" s="81">
        <v>0</v>
      </c>
      <c r="AM517" s="81">
        <v>0</v>
      </c>
      <c r="AN517" s="81">
        <v>0</v>
      </c>
      <c r="AO517" s="81">
        <v>0</v>
      </c>
    </row>
    <row r="518" spans="1:41" ht="15.75" x14ac:dyDescent="0.25">
      <c r="A518" s="84"/>
      <c r="B518" s="84"/>
      <c r="C518" s="84"/>
      <c r="D518" s="80" t="s">
        <v>248</v>
      </c>
      <c r="E518" s="80">
        <v>0</v>
      </c>
      <c r="F518" s="80">
        <v>0</v>
      </c>
      <c r="G518" s="80">
        <v>0</v>
      </c>
      <c r="H518" s="80">
        <v>2</v>
      </c>
      <c r="I518" s="80">
        <v>0</v>
      </c>
      <c r="J518" s="80">
        <v>1</v>
      </c>
      <c r="K518" s="80">
        <v>0</v>
      </c>
      <c r="L518" s="80">
        <v>0</v>
      </c>
      <c r="M518" s="80">
        <v>0</v>
      </c>
      <c r="N518" s="80">
        <v>0</v>
      </c>
      <c r="O518" s="80">
        <v>1</v>
      </c>
      <c r="P518" s="80">
        <v>0</v>
      </c>
      <c r="Q518" s="80">
        <v>1</v>
      </c>
      <c r="R518" s="80">
        <v>1</v>
      </c>
      <c r="S518" s="80">
        <v>0</v>
      </c>
      <c r="T518" s="80">
        <v>0</v>
      </c>
      <c r="U518" s="80">
        <v>2</v>
      </c>
      <c r="V518" s="80">
        <v>1</v>
      </c>
      <c r="W518" s="80">
        <v>0</v>
      </c>
      <c r="X518" s="80">
        <v>1</v>
      </c>
      <c r="Y518" s="80">
        <v>0</v>
      </c>
      <c r="Z518" s="80">
        <v>1</v>
      </c>
      <c r="AA518" s="80">
        <v>1</v>
      </c>
      <c r="AB518" s="80">
        <v>2</v>
      </c>
      <c r="AC518" s="80">
        <v>0</v>
      </c>
      <c r="AD518" s="80">
        <v>0</v>
      </c>
      <c r="AE518" s="80">
        <v>0</v>
      </c>
      <c r="AF518" s="80">
        <v>0</v>
      </c>
      <c r="AG518" s="81">
        <v>1</v>
      </c>
      <c r="AH518" s="80">
        <v>0</v>
      </c>
      <c r="AI518" s="81">
        <v>0</v>
      </c>
      <c r="AJ518" s="81">
        <v>0</v>
      </c>
      <c r="AK518" s="81">
        <v>0</v>
      </c>
      <c r="AL518" s="81">
        <v>0</v>
      </c>
      <c r="AM518" s="81">
        <v>0</v>
      </c>
      <c r="AN518" s="81">
        <v>0</v>
      </c>
      <c r="AO518" s="81">
        <v>0</v>
      </c>
    </row>
    <row r="519" spans="1:41" ht="15.75" x14ac:dyDescent="0.25">
      <c r="A519" s="84"/>
      <c r="B519" s="84"/>
      <c r="C519" s="84"/>
      <c r="D519" s="80" t="s">
        <v>258</v>
      </c>
      <c r="E519" s="80">
        <v>0</v>
      </c>
      <c r="F519" s="80">
        <v>0</v>
      </c>
      <c r="G519" s="80">
        <v>0</v>
      </c>
      <c r="H519" s="80">
        <v>0</v>
      </c>
      <c r="I519" s="80">
        <v>0</v>
      </c>
      <c r="J519" s="80">
        <v>0</v>
      </c>
      <c r="K519" s="80">
        <v>0</v>
      </c>
      <c r="L519" s="80">
        <v>0</v>
      </c>
      <c r="M519" s="80">
        <v>0</v>
      </c>
      <c r="N519" s="80">
        <v>0</v>
      </c>
      <c r="O519" s="80">
        <v>0</v>
      </c>
      <c r="P519" s="80">
        <v>0</v>
      </c>
      <c r="Q519" s="80">
        <v>0</v>
      </c>
      <c r="R519" s="80">
        <v>1</v>
      </c>
      <c r="S519" s="80">
        <v>0</v>
      </c>
      <c r="T519" s="80">
        <v>0</v>
      </c>
      <c r="U519" s="80">
        <v>0</v>
      </c>
      <c r="V519" s="80">
        <v>0</v>
      </c>
      <c r="W519" s="80">
        <v>1</v>
      </c>
      <c r="X519" s="80">
        <v>0</v>
      </c>
      <c r="Y519" s="80">
        <v>0</v>
      </c>
      <c r="Z519" s="80">
        <v>0</v>
      </c>
      <c r="AA519" s="80">
        <v>0</v>
      </c>
      <c r="AB519" s="80">
        <v>0</v>
      </c>
      <c r="AC519" s="80"/>
      <c r="AD519" s="80">
        <v>0</v>
      </c>
      <c r="AE519" s="80">
        <v>0</v>
      </c>
      <c r="AF519" s="80">
        <v>0</v>
      </c>
      <c r="AG519" s="80">
        <v>0</v>
      </c>
      <c r="AH519" s="80">
        <v>0</v>
      </c>
      <c r="AI519" s="80">
        <v>0</v>
      </c>
      <c r="AJ519" s="80">
        <v>0</v>
      </c>
      <c r="AK519" s="80">
        <v>0</v>
      </c>
      <c r="AL519" s="80">
        <v>0</v>
      </c>
      <c r="AM519" s="81">
        <v>0</v>
      </c>
      <c r="AN519" s="81">
        <v>0</v>
      </c>
      <c r="AO519" s="81">
        <v>0</v>
      </c>
    </row>
    <row r="520" spans="1:41" ht="18.75" customHeight="1" x14ac:dyDescent="0.25">
      <c r="A520" s="84">
        <v>18</v>
      </c>
      <c r="B520" s="84"/>
      <c r="C520" s="84" t="s">
        <v>178</v>
      </c>
      <c r="D520" s="80" t="s">
        <v>245</v>
      </c>
      <c r="E520" s="80">
        <v>0</v>
      </c>
      <c r="F520" s="80">
        <v>0</v>
      </c>
      <c r="G520" s="80">
        <v>0</v>
      </c>
      <c r="H520" s="80">
        <v>1</v>
      </c>
      <c r="I520" s="80">
        <v>2</v>
      </c>
      <c r="J520" s="266">
        <v>2</v>
      </c>
      <c r="K520" s="80">
        <v>0</v>
      </c>
      <c r="L520" s="80">
        <v>0</v>
      </c>
      <c r="M520" s="80">
        <v>0</v>
      </c>
      <c r="N520" s="80">
        <v>0</v>
      </c>
      <c r="O520" s="80">
        <v>1</v>
      </c>
      <c r="P520" s="80">
        <v>0</v>
      </c>
      <c r="Q520" s="80">
        <v>1</v>
      </c>
      <c r="R520" s="80">
        <v>0</v>
      </c>
      <c r="S520" s="80">
        <v>0</v>
      </c>
      <c r="T520" s="80">
        <v>0</v>
      </c>
      <c r="U520" s="80">
        <v>2</v>
      </c>
      <c r="V520" s="80">
        <v>1</v>
      </c>
      <c r="W520" s="80">
        <v>0</v>
      </c>
      <c r="X520" s="80">
        <v>0</v>
      </c>
      <c r="Y520" s="80">
        <v>0</v>
      </c>
      <c r="Z520" s="80">
        <v>0</v>
      </c>
      <c r="AA520" s="80">
        <v>1</v>
      </c>
      <c r="AB520" s="80">
        <v>0</v>
      </c>
      <c r="AC520" s="80">
        <v>1</v>
      </c>
      <c r="AD520" s="80">
        <v>0</v>
      </c>
      <c r="AE520" s="80">
        <v>0</v>
      </c>
      <c r="AF520" s="80">
        <v>0</v>
      </c>
      <c r="AG520" s="80">
        <v>2</v>
      </c>
      <c r="AH520" s="80">
        <v>0</v>
      </c>
      <c r="AI520" s="80">
        <v>0</v>
      </c>
      <c r="AJ520" s="80">
        <v>0</v>
      </c>
      <c r="AK520" s="80">
        <v>0</v>
      </c>
      <c r="AL520" s="80">
        <v>0</v>
      </c>
      <c r="AM520" s="80">
        <v>0</v>
      </c>
      <c r="AN520" s="80">
        <v>0</v>
      </c>
      <c r="AO520" s="80">
        <v>0</v>
      </c>
    </row>
    <row r="521" spans="1:41" ht="15.75" x14ac:dyDescent="0.25">
      <c r="A521" s="84"/>
      <c r="B521" s="84"/>
      <c r="C521" s="84"/>
      <c r="D521" s="80" t="s">
        <v>246</v>
      </c>
      <c r="E521" s="80">
        <v>0</v>
      </c>
      <c r="F521" s="80">
        <v>0</v>
      </c>
      <c r="G521" s="80">
        <v>0</v>
      </c>
      <c r="H521" s="80">
        <v>0</v>
      </c>
      <c r="I521" s="80">
        <v>1</v>
      </c>
      <c r="J521" s="80">
        <v>2</v>
      </c>
      <c r="K521" s="80">
        <v>0</v>
      </c>
      <c r="L521" s="80">
        <v>0</v>
      </c>
      <c r="M521" s="80">
        <v>0</v>
      </c>
      <c r="N521" s="80">
        <v>0</v>
      </c>
      <c r="O521" s="80">
        <v>1</v>
      </c>
      <c r="P521" s="80">
        <v>0</v>
      </c>
      <c r="Q521" s="80">
        <v>1</v>
      </c>
      <c r="R521" s="80">
        <v>0</v>
      </c>
      <c r="S521" s="80">
        <v>0</v>
      </c>
      <c r="T521" s="80">
        <v>0</v>
      </c>
      <c r="U521" s="80">
        <v>2</v>
      </c>
      <c r="V521" s="80">
        <v>1</v>
      </c>
      <c r="W521" s="80">
        <v>0</v>
      </c>
      <c r="X521" s="80">
        <v>0</v>
      </c>
      <c r="Y521" s="80">
        <v>0</v>
      </c>
      <c r="Z521" s="80">
        <v>0</v>
      </c>
      <c r="AA521" s="80">
        <v>1</v>
      </c>
      <c r="AB521" s="80">
        <v>0</v>
      </c>
      <c r="AC521" s="80">
        <v>1</v>
      </c>
      <c r="AD521" s="80">
        <v>0</v>
      </c>
      <c r="AE521" s="80">
        <v>0</v>
      </c>
      <c r="AF521" s="80">
        <v>0</v>
      </c>
      <c r="AG521" s="81">
        <v>2</v>
      </c>
      <c r="AH521" s="80">
        <v>0</v>
      </c>
      <c r="AI521" s="81">
        <v>0</v>
      </c>
      <c r="AJ521" s="81">
        <v>0</v>
      </c>
      <c r="AK521" s="81">
        <v>0</v>
      </c>
      <c r="AL521" s="81">
        <v>0</v>
      </c>
      <c r="AM521" s="81">
        <v>0</v>
      </c>
      <c r="AN521" s="81">
        <v>0</v>
      </c>
      <c r="AO521" s="81">
        <v>0</v>
      </c>
    </row>
    <row r="522" spans="1:41" ht="15.75" x14ac:dyDescent="0.25">
      <c r="A522" s="84"/>
      <c r="B522" s="84"/>
      <c r="C522" s="84"/>
      <c r="D522" s="80" t="s">
        <v>247</v>
      </c>
      <c r="E522" s="80">
        <v>0</v>
      </c>
      <c r="F522" s="80">
        <v>0</v>
      </c>
      <c r="G522" s="80">
        <v>0</v>
      </c>
      <c r="H522" s="80">
        <v>1</v>
      </c>
      <c r="I522" s="80">
        <v>1</v>
      </c>
      <c r="J522" s="80">
        <v>0</v>
      </c>
      <c r="K522" s="80">
        <v>0</v>
      </c>
      <c r="L522" s="80">
        <v>0</v>
      </c>
      <c r="M522" s="80">
        <v>0</v>
      </c>
      <c r="N522" s="80">
        <v>0</v>
      </c>
      <c r="O522" s="80">
        <v>0</v>
      </c>
      <c r="P522" s="80">
        <v>0</v>
      </c>
      <c r="Q522" s="80">
        <v>0</v>
      </c>
      <c r="R522" s="80">
        <v>0</v>
      </c>
      <c r="S522" s="80">
        <v>0</v>
      </c>
      <c r="T522" s="80">
        <v>0</v>
      </c>
      <c r="U522" s="80">
        <v>0</v>
      </c>
      <c r="V522" s="80">
        <v>0</v>
      </c>
      <c r="W522" s="80">
        <v>0</v>
      </c>
      <c r="X522" s="80">
        <v>0</v>
      </c>
      <c r="Y522" s="80">
        <v>0</v>
      </c>
      <c r="Z522" s="80">
        <v>0</v>
      </c>
      <c r="AA522" s="80">
        <v>0</v>
      </c>
      <c r="AB522" s="80">
        <v>0</v>
      </c>
      <c r="AC522" s="80">
        <v>0</v>
      </c>
      <c r="AD522" s="80">
        <v>0</v>
      </c>
      <c r="AE522" s="80">
        <v>0</v>
      </c>
      <c r="AF522" s="80">
        <v>0</v>
      </c>
      <c r="AG522" s="81">
        <v>0</v>
      </c>
      <c r="AH522" s="80">
        <v>0</v>
      </c>
      <c r="AI522" s="81">
        <v>0</v>
      </c>
      <c r="AJ522" s="81">
        <v>0</v>
      </c>
      <c r="AK522" s="81">
        <v>0</v>
      </c>
      <c r="AL522" s="81">
        <v>0</v>
      </c>
      <c r="AM522" s="81">
        <v>0</v>
      </c>
      <c r="AN522" s="81">
        <v>0</v>
      </c>
      <c r="AO522" s="81">
        <v>0</v>
      </c>
    </row>
    <row r="523" spans="1:41" ht="15.75" x14ac:dyDescent="0.25">
      <c r="A523" s="84"/>
      <c r="B523" s="84"/>
      <c r="C523" s="84"/>
      <c r="D523" s="80" t="s">
        <v>248</v>
      </c>
      <c r="E523" s="80">
        <v>0</v>
      </c>
      <c r="F523" s="80">
        <v>0</v>
      </c>
      <c r="G523" s="80">
        <v>0</v>
      </c>
      <c r="H523" s="80">
        <v>0</v>
      </c>
      <c r="I523" s="80">
        <v>1</v>
      </c>
      <c r="J523" s="80">
        <v>2</v>
      </c>
      <c r="K523" s="80">
        <v>0</v>
      </c>
      <c r="L523" s="80">
        <v>0</v>
      </c>
      <c r="M523" s="80">
        <v>0</v>
      </c>
      <c r="N523" s="80">
        <v>0</v>
      </c>
      <c r="O523" s="80">
        <v>1</v>
      </c>
      <c r="P523" s="80">
        <v>0</v>
      </c>
      <c r="Q523" s="80">
        <v>1</v>
      </c>
      <c r="R523" s="80">
        <v>0</v>
      </c>
      <c r="S523" s="80">
        <v>0</v>
      </c>
      <c r="T523" s="80">
        <v>0</v>
      </c>
      <c r="U523" s="80">
        <v>2</v>
      </c>
      <c r="V523" s="80">
        <v>0</v>
      </c>
      <c r="W523" s="80">
        <v>0</v>
      </c>
      <c r="X523" s="80">
        <v>0</v>
      </c>
      <c r="Y523" s="80">
        <v>0</v>
      </c>
      <c r="Z523" s="80">
        <v>0</v>
      </c>
      <c r="AA523" s="80">
        <v>1</v>
      </c>
      <c r="AB523" s="80">
        <v>0</v>
      </c>
      <c r="AC523" s="80">
        <v>1</v>
      </c>
      <c r="AD523" s="80">
        <v>0</v>
      </c>
      <c r="AE523" s="80">
        <v>0</v>
      </c>
      <c r="AF523" s="80">
        <v>0</v>
      </c>
      <c r="AG523" s="81">
        <v>1</v>
      </c>
      <c r="AH523" s="80">
        <v>0</v>
      </c>
      <c r="AI523" s="81">
        <v>0</v>
      </c>
      <c r="AJ523" s="81">
        <v>0</v>
      </c>
      <c r="AK523" s="81">
        <v>0</v>
      </c>
      <c r="AL523" s="81">
        <v>0</v>
      </c>
      <c r="AM523" s="81">
        <v>0</v>
      </c>
      <c r="AN523" s="81">
        <v>0</v>
      </c>
      <c r="AO523" s="81">
        <v>0</v>
      </c>
    </row>
    <row r="524" spans="1:41" ht="15.75" x14ac:dyDescent="0.25">
      <c r="A524" s="84"/>
      <c r="B524" s="84"/>
      <c r="C524" s="84"/>
      <c r="D524" s="80" t="s">
        <v>258</v>
      </c>
      <c r="E524" s="80">
        <v>0</v>
      </c>
      <c r="F524" s="80">
        <v>0</v>
      </c>
      <c r="G524" s="80">
        <v>0</v>
      </c>
      <c r="H524" s="80">
        <v>0</v>
      </c>
      <c r="I524" s="80">
        <v>0</v>
      </c>
      <c r="J524" s="80">
        <v>0</v>
      </c>
      <c r="K524" s="80">
        <v>0</v>
      </c>
      <c r="L524" s="80">
        <v>0</v>
      </c>
      <c r="M524" s="80">
        <v>0</v>
      </c>
      <c r="N524" s="80">
        <v>0</v>
      </c>
      <c r="O524" s="80">
        <v>0</v>
      </c>
      <c r="P524" s="80">
        <v>0</v>
      </c>
      <c r="Q524" s="80">
        <v>0</v>
      </c>
      <c r="R524" s="80">
        <v>0</v>
      </c>
      <c r="S524" s="80">
        <v>0</v>
      </c>
      <c r="T524" s="80">
        <v>0</v>
      </c>
      <c r="U524" s="80">
        <v>0</v>
      </c>
      <c r="V524" s="80">
        <v>1</v>
      </c>
      <c r="W524" s="80">
        <v>0</v>
      </c>
      <c r="X524" s="80">
        <v>0</v>
      </c>
      <c r="Y524" s="80">
        <v>0</v>
      </c>
      <c r="Z524" s="80">
        <v>0</v>
      </c>
      <c r="AA524" s="80">
        <v>0</v>
      </c>
      <c r="AB524" s="80">
        <v>0</v>
      </c>
      <c r="AC524" s="80">
        <v>0</v>
      </c>
      <c r="AD524" s="80">
        <v>0</v>
      </c>
      <c r="AE524" s="80">
        <v>0</v>
      </c>
      <c r="AF524" s="80">
        <v>0</v>
      </c>
      <c r="AG524" s="80">
        <v>1</v>
      </c>
      <c r="AH524" s="80">
        <v>0</v>
      </c>
      <c r="AI524" s="80">
        <v>0</v>
      </c>
      <c r="AJ524" s="80">
        <v>0</v>
      </c>
      <c r="AK524" s="80">
        <v>0</v>
      </c>
      <c r="AL524" s="80">
        <v>0</v>
      </c>
      <c r="AM524" s="81">
        <v>0</v>
      </c>
      <c r="AN524" s="81">
        <v>0</v>
      </c>
      <c r="AO524" s="81">
        <v>0</v>
      </c>
    </row>
    <row r="525" spans="1:41" ht="15.75" x14ac:dyDescent="0.25">
      <c r="A525" s="84">
        <v>19</v>
      </c>
      <c r="B525" s="84"/>
      <c r="C525" s="84" t="s">
        <v>58</v>
      </c>
      <c r="D525" s="80" t="s">
        <v>245</v>
      </c>
      <c r="E525" s="80">
        <v>0</v>
      </c>
      <c r="F525" s="80">
        <v>0</v>
      </c>
      <c r="G525" s="80">
        <v>0</v>
      </c>
      <c r="H525" s="80">
        <v>0</v>
      </c>
      <c r="I525" s="80">
        <v>2</v>
      </c>
      <c r="J525" s="80">
        <v>1</v>
      </c>
      <c r="K525" s="80">
        <v>0</v>
      </c>
      <c r="L525" s="80">
        <v>0</v>
      </c>
      <c r="M525" s="80">
        <v>0</v>
      </c>
      <c r="N525" s="80">
        <v>0</v>
      </c>
      <c r="O525" s="80">
        <v>1</v>
      </c>
      <c r="P525" s="80">
        <v>0</v>
      </c>
      <c r="Q525" s="80">
        <v>1</v>
      </c>
      <c r="R525" s="80">
        <v>0</v>
      </c>
      <c r="S525" s="80">
        <v>0</v>
      </c>
      <c r="T525" s="80">
        <v>0</v>
      </c>
      <c r="U525" s="80">
        <v>2</v>
      </c>
      <c r="V525" s="80">
        <v>2</v>
      </c>
      <c r="W525" s="80">
        <v>1</v>
      </c>
      <c r="X525" s="80">
        <v>0</v>
      </c>
      <c r="Y525" s="80">
        <v>0</v>
      </c>
      <c r="Z525" s="80">
        <v>2</v>
      </c>
      <c r="AA525" s="80">
        <v>1</v>
      </c>
      <c r="AB525" s="80">
        <v>2</v>
      </c>
      <c r="AC525" s="80">
        <v>0</v>
      </c>
      <c r="AD525" s="80">
        <v>0</v>
      </c>
      <c r="AE525" s="80">
        <v>0</v>
      </c>
      <c r="AF525" s="80">
        <v>0</v>
      </c>
      <c r="AG525" s="81">
        <v>1</v>
      </c>
      <c r="AH525" s="80">
        <v>0</v>
      </c>
      <c r="AI525" s="81">
        <v>0</v>
      </c>
      <c r="AJ525" s="81">
        <v>0</v>
      </c>
      <c r="AK525" s="81">
        <v>0</v>
      </c>
      <c r="AL525" s="81">
        <v>0</v>
      </c>
      <c r="AM525" s="81">
        <v>0</v>
      </c>
      <c r="AN525" s="81">
        <v>0</v>
      </c>
      <c r="AO525" s="81">
        <v>0</v>
      </c>
    </row>
    <row r="526" spans="1:41" ht="15.75" x14ac:dyDescent="0.25">
      <c r="A526" s="84"/>
      <c r="B526" s="84"/>
      <c r="C526" s="84"/>
      <c r="D526" s="80" t="s">
        <v>246</v>
      </c>
      <c r="E526" s="80">
        <v>0</v>
      </c>
      <c r="F526" s="80">
        <v>0</v>
      </c>
      <c r="G526" s="80">
        <v>0</v>
      </c>
      <c r="H526" s="80">
        <v>0</v>
      </c>
      <c r="I526" s="80">
        <v>1</v>
      </c>
      <c r="J526" s="80">
        <v>1</v>
      </c>
      <c r="K526" s="80">
        <v>0</v>
      </c>
      <c r="L526" s="80">
        <v>0</v>
      </c>
      <c r="M526" s="80">
        <v>0</v>
      </c>
      <c r="N526" s="80">
        <v>0</v>
      </c>
      <c r="O526" s="80">
        <v>1</v>
      </c>
      <c r="P526" s="80">
        <v>0</v>
      </c>
      <c r="Q526" s="80">
        <v>1</v>
      </c>
      <c r="R526" s="80">
        <v>0</v>
      </c>
      <c r="S526" s="80">
        <v>0</v>
      </c>
      <c r="T526" s="80">
        <v>0</v>
      </c>
      <c r="U526" s="80">
        <v>2</v>
      </c>
      <c r="V526" s="80">
        <v>2</v>
      </c>
      <c r="W526" s="80">
        <v>1</v>
      </c>
      <c r="X526" s="80">
        <v>0</v>
      </c>
      <c r="Y526" s="80">
        <v>0</v>
      </c>
      <c r="Z526" s="80">
        <v>2</v>
      </c>
      <c r="AA526" s="80">
        <v>1</v>
      </c>
      <c r="AB526" s="80">
        <v>2</v>
      </c>
      <c r="AC526" s="80">
        <v>0</v>
      </c>
      <c r="AD526" s="80">
        <v>0</v>
      </c>
      <c r="AE526" s="80">
        <v>0</v>
      </c>
      <c r="AF526" s="80">
        <v>0</v>
      </c>
      <c r="AG526" s="81">
        <v>1</v>
      </c>
      <c r="AH526" s="80">
        <v>0</v>
      </c>
      <c r="AI526" s="81">
        <v>0</v>
      </c>
      <c r="AJ526" s="81">
        <v>0</v>
      </c>
      <c r="AK526" s="81">
        <v>0</v>
      </c>
      <c r="AL526" s="81">
        <v>0</v>
      </c>
      <c r="AM526" s="81">
        <v>0</v>
      </c>
      <c r="AN526" s="81">
        <v>0</v>
      </c>
      <c r="AO526" s="81">
        <v>0</v>
      </c>
    </row>
    <row r="527" spans="1:41" ht="15.75" x14ac:dyDescent="0.25">
      <c r="A527" s="84"/>
      <c r="B527" s="84"/>
      <c r="C527" s="84"/>
      <c r="D527" s="80" t="s">
        <v>247</v>
      </c>
      <c r="E527" s="80">
        <v>0</v>
      </c>
      <c r="F527" s="80">
        <v>0</v>
      </c>
      <c r="G527" s="80">
        <v>0</v>
      </c>
      <c r="H527" s="80">
        <v>0</v>
      </c>
      <c r="I527" s="80">
        <v>1</v>
      </c>
      <c r="J527" s="80">
        <v>0</v>
      </c>
      <c r="K527" s="80">
        <v>0</v>
      </c>
      <c r="L527" s="80">
        <v>0</v>
      </c>
      <c r="M527" s="80">
        <v>0</v>
      </c>
      <c r="N527" s="80">
        <v>0</v>
      </c>
      <c r="O527" s="80">
        <v>0</v>
      </c>
      <c r="P527" s="80">
        <v>0</v>
      </c>
      <c r="Q527" s="80">
        <v>0</v>
      </c>
      <c r="R527" s="80">
        <v>0</v>
      </c>
      <c r="S527" s="80">
        <v>0</v>
      </c>
      <c r="T527" s="80">
        <v>0</v>
      </c>
      <c r="U527" s="80">
        <v>0</v>
      </c>
      <c r="V527" s="80">
        <v>0</v>
      </c>
      <c r="W527" s="80">
        <v>0</v>
      </c>
      <c r="X527" s="80">
        <v>0</v>
      </c>
      <c r="Y527" s="80">
        <v>0</v>
      </c>
      <c r="Z527" s="80">
        <v>0</v>
      </c>
      <c r="AA527" s="80">
        <v>0</v>
      </c>
      <c r="AB527" s="80">
        <v>0</v>
      </c>
      <c r="AC527" s="80">
        <v>0</v>
      </c>
      <c r="AD527" s="80">
        <v>0</v>
      </c>
      <c r="AE527" s="80">
        <v>0</v>
      </c>
      <c r="AF527" s="80">
        <v>0</v>
      </c>
      <c r="AG527" s="81">
        <v>0</v>
      </c>
      <c r="AH527" s="80">
        <v>0</v>
      </c>
      <c r="AI527" s="81">
        <v>0</v>
      </c>
      <c r="AJ527" s="81">
        <v>0</v>
      </c>
      <c r="AK527" s="81">
        <v>0</v>
      </c>
      <c r="AL527" s="81">
        <v>0</v>
      </c>
      <c r="AM527" s="81">
        <v>0</v>
      </c>
      <c r="AN527" s="81">
        <v>0</v>
      </c>
      <c r="AO527" s="81">
        <v>0</v>
      </c>
    </row>
    <row r="528" spans="1:41" ht="15.75" x14ac:dyDescent="0.25">
      <c r="A528" s="84"/>
      <c r="B528" s="84"/>
      <c r="C528" s="84"/>
      <c r="D528" s="80" t="s">
        <v>248</v>
      </c>
      <c r="E528" s="80">
        <v>0</v>
      </c>
      <c r="F528" s="80">
        <v>0</v>
      </c>
      <c r="G528" s="80">
        <v>0</v>
      </c>
      <c r="H528" s="80">
        <v>0</v>
      </c>
      <c r="I528" s="80">
        <v>1</v>
      </c>
      <c r="J528" s="80">
        <v>1</v>
      </c>
      <c r="K528" s="80">
        <v>0</v>
      </c>
      <c r="L528" s="80">
        <v>0</v>
      </c>
      <c r="M528" s="80">
        <v>0</v>
      </c>
      <c r="N528" s="80">
        <v>0</v>
      </c>
      <c r="O528" s="80">
        <v>1</v>
      </c>
      <c r="P528" s="80">
        <v>0</v>
      </c>
      <c r="Q528" s="80">
        <v>1</v>
      </c>
      <c r="R528" s="80">
        <v>0</v>
      </c>
      <c r="S528" s="80">
        <v>0</v>
      </c>
      <c r="T528" s="80">
        <v>0</v>
      </c>
      <c r="U528" s="80">
        <v>2</v>
      </c>
      <c r="V528" s="80">
        <v>1</v>
      </c>
      <c r="W528" s="80">
        <v>0</v>
      </c>
      <c r="X528" s="80">
        <v>0</v>
      </c>
      <c r="Y528" s="80">
        <v>0</v>
      </c>
      <c r="Z528" s="80">
        <v>1</v>
      </c>
      <c r="AA528" s="80">
        <v>1</v>
      </c>
      <c r="AB528" s="80">
        <v>2</v>
      </c>
      <c r="AC528" s="80">
        <v>0</v>
      </c>
      <c r="AD528" s="80">
        <v>0</v>
      </c>
      <c r="AE528" s="80">
        <v>0</v>
      </c>
      <c r="AF528" s="80">
        <v>0</v>
      </c>
      <c r="AG528" s="81">
        <v>1</v>
      </c>
      <c r="AH528" s="80">
        <v>0</v>
      </c>
      <c r="AI528" s="81">
        <v>0</v>
      </c>
      <c r="AJ528" s="81">
        <v>0</v>
      </c>
      <c r="AK528" s="81">
        <v>0</v>
      </c>
      <c r="AL528" s="81">
        <v>0</v>
      </c>
      <c r="AM528" s="81">
        <v>0</v>
      </c>
      <c r="AN528" s="81">
        <v>0</v>
      </c>
      <c r="AO528" s="81">
        <v>0</v>
      </c>
    </row>
    <row r="529" spans="1:41" ht="15.75" x14ac:dyDescent="0.25">
      <c r="A529" s="84"/>
      <c r="B529" s="84"/>
      <c r="C529" s="84"/>
      <c r="D529" s="80" t="s">
        <v>258</v>
      </c>
      <c r="E529" s="80">
        <v>0</v>
      </c>
      <c r="F529" s="80">
        <v>0</v>
      </c>
      <c r="G529" s="80">
        <v>0</v>
      </c>
      <c r="H529" s="80">
        <v>0</v>
      </c>
      <c r="I529" s="80">
        <v>0</v>
      </c>
      <c r="J529" s="80">
        <v>0</v>
      </c>
      <c r="K529" s="80">
        <v>0</v>
      </c>
      <c r="L529" s="80">
        <v>0</v>
      </c>
      <c r="M529" s="80">
        <v>0</v>
      </c>
      <c r="N529" s="80">
        <v>0</v>
      </c>
      <c r="O529" s="80">
        <v>0</v>
      </c>
      <c r="P529" s="80">
        <v>0</v>
      </c>
      <c r="Q529" s="80">
        <v>0</v>
      </c>
      <c r="R529" s="80">
        <v>0</v>
      </c>
      <c r="S529" s="80">
        <v>0</v>
      </c>
      <c r="T529" s="80">
        <v>0</v>
      </c>
      <c r="U529" s="80">
        <v>0</v>
      </c>
      <c r="V529" s="80">
        <v>1</v>
      </c>
      <c r="W529" s="80">
        <v>1</v>
      </c>
      <c r="X529" s="80">
        <v>0</v>
      </c>
      <c r="Y529" s="80">
        <v>0</v>
      </c>
      <c r="Z529" s="80">
        <v>1</v>
      </c>
      <c r="AA529" s="80">
        <v>0</v>
      </c>
      <c r="AB529" s="80">
        <v>0</v>
      </c>
      <c r="AC529" s="80">
        <v>0</v>
      </c>
      <c r="AD529" s="80">
        <v>0</v>
      </c>
      <c r="AE529" s="80">
        <v>0</v>
      </c>
      <c r="AF529" s="80">
        <v>0</v>
      </c>
      <c r="AG529" s="80">
        <v>0</v>
      </c>
      <c r="AH529" s="80">
        <v>0</v>
      </c>
      <c r="AI529" s="80">
        <v>0</v>
      </c>
      <c r="AJ529" s="80">
        <v>0</v>
      </c>
      <c r="AK529" s="80">
        <v>0</v>
      </c>
      <c r="AL529" s="80">
        <v>0</v>
      </c>
      <c r="AM529" s="81">
        <v>0</v>
      </c>
      <c r="AN529" s="81">
        <v>0</v>
      </c>
      <c r="AO529" s="81">
        <v>0</v>
      </c>
    </row>
    <row r="530" spans="1:41" ht="15.75" x14ac:dyDescent="0.25">
      <c r="A530" s="84">
        <v>20</v>
      </c>
      <c r="B530" s="84"/>
      <c r="C530" s="84" t="s">
        <v>188</v>
      </c>
      <c r="D530" s="80" t="s">
        <v>245</v>
      </c>
      <c r="E530" s="80">
        <v>0</v>
      </c>
      <c r="F530" s="80">
        <v>0</v>
      </c>
      <c r="G530" s="80">
        <v>0</v>
      </c>
      <c r="H530" s="80">
        <v>1</v>
      </c>
      <c r="I530" s="80">
        <v>2</v>
      </c>
      <c r="J530" s="80">
        <v>1</v>
      </c>
      <c r="K530" s="80">
        <v>1</v>
      </c>
      <c r="L530" s="80">
        <v>0</v>
      </c>
      <c r="M530" s="80">
        <v>0</v>
      </c>
      <c r="N530" s="80">
        <v>0</v>
      </c>
      <c r="O530" s="80">
        <v>1</v>
      </c>
      <c r="P530" s="80">
        <v>0</v>
      </c>
      <c r="Q530" s="80">
        <v>1</v>
      </c>
      <c r="R530" s="80">
        <v>0</v>
      </c>
      <c r="S530" s="80">
        <v>0</v>
      </c>
      <c r="T530" s="80">
        <v>0</v>
      </c>
      <c r="U530" s="80">
        <v>2</v>
      </c>
      <c r="V530" s="80">
        <v>0</v>
      </c>
      <c r="W530" s="80">
        <v>1</v>
      </c>
      <c r="X530" s="80">
        <v>0</v>
      </c>
      <c r="Y530" s="80">
        <v>0</v>
      </c>
      <c r="Z530" s="80">
        <v>0</v>
      </c>
      <c r="AA530" s="80">
        <v>1</v>
      </c>
      <c r="AB530" s="80">
        <v>0</v>
      </c>
      <c r="AC530" s="80">
        <v>0</v>
      </c>
      <c r="AD530" s="80">
        <v>0</v>
      </c>
      <c r="AE530" s="80">
        <v>1</v>
      </c>
      <c r="AF530" s="80">
        <v>0</v>
      </c>
      <c r="AG530" s="81">
        <v>0</v>
      </c>
      <c r="AH530" s="80">
        <v>1</v>
      </c>
      <c r="AI530" s="81">
        <v>0</v>
      </c>
      <c r="AJ530" s="81">
        <v>0</v>
      </c>
      <c r="AK530" s="81">
        <v>0</v>
      </c>
      <c r="AL530" s="81">
        <v>0</v>
      </c>
      <c r="AM530" s="81">
        <v>0</v>
      </c>
      <c r="AN530" s="81">
        <v>0</v>
      </c>
      <c r="AO530" s="81">
        <v>0</v>
      </c>
    </row>
    <row r="531" spans="1:41" ht="15.75" x14ac:dyDescent="0.25">
      <c r="A531" s="84"/>
      <c r="B531" s="84"/>
      <c r="C531" s="84"/>
      <c r="D531" s="80" t="s">
        <v>246</v>
      </c>
      <c r="E531" s="80">
        <v>0</v>
      </c>
      <c r="F531" s="80">
        <v>0</v>
      </c>
      <c r="G531" s="80">
        <v>0</v>
      </c>
      <c r="H531" s="80">
        <v>1</v>
      </c>
      <c r="I531" s="80">
        <v>2</v>
      </c>
      <c r="J531" s="80">
        <v>1</v>
      </c>
      <c r="K531" s="80">
        <v>1</v>
      </c>
      <c r="L531" s="80">
        <v>0</v>
      </c>
      <c r="M531" s="80">
        <v>0</v>
      </c>
      <c r="N531" s="80">
        <v>0</v>
      </c>
      <c r="O531" s="80">
        <v>1</v>
      </c>
      <c r="P531" s="80">
        <v>0</v>
      </c>
      <c r="Q531" s="80">
        <v>1</v>
      </c>
      <c r="R531" s="80">
        <v>0</v>
      </c>
      <c r="S531" s="80">
        <v>0</v>
      </c>
      <c r="T531" s="80">
        <v>0</v>
      </c>
      <c r="U531" s="80">
        <v>2</v>
      </c>
      <c r="V531" s="80">
        <v>0</v>
      </c>
      <c r="W531" s="80">
        <v>1</v>
      </c>
      <c r="X531" s="80">
        <v>0</v>
      </c>
      <c r="Y531" s="80">
        <v>0</v>
      </c>
      <c r="Z531" s="80">
        <v>0</v>
      </c>
      <c r="AA531" s="80">
        <v>1</v>
      </c>
      <c r="AB531" s="80">
        <v>0</v>
      </c>
      <c r="AC531" s="80">
        <v>0</v>
      </c>
      <c r="AD531" s="80">
        <v>0</v>
      </c>
      <c r="AE531" s="80">
        <v>1</v>
      </c>
      <c r="AF531" s="80">
        <v>0</v>
      </c>
      <c r="AG531" s="81">
        <v>0</v>
      </c>
      <c r="AH531" s="80">
        <v>1</v>
      </c>
      <c r="AI531" s="81">
        <v>0</v>
      </c>
      <c r="AJ531" s="81">
        <v>0</v>
      </c>
      <c r="AK531" s="81">
        <v>0</v>
      </c>
      <c r="AL531" s="81">
        <v>0</v>
      </c>
      <c r="AM531" s="81">
        <v>0</v>
      </c>
      <c r="AN531" s="81">
        <v>0</v>
      </c>
      <c r="AO531" s="81">
        <v>0</v>
      </c>
    </row>
    <row r="532" spans="1:41" ht="15.75" x14ac:dyDescent="0.25">
      <c r="A532" s="84"/>
      <c r="B532" s="84"/>
      <c r="C532" s="84"/>
      <c r="D532" s="80" t="s">
        <v>247</v>
      </c>
      <c r="E532" s="80">
        <v>0</v>
      </c>
      <c r="F532" s="80">
        <v>0</v>
      </c>
      <c r="G532" s="80">
        <v>0</v>
      </c>
      <c r="H532" s="80">
        <v>0</v>
      </c>
      <c r="I532" s="80">
        <v>0</v>
      </c>
      <c r="J532" s="80">
        <v>0</v>
      </c>
      <c r="K532" s="80">
        <v>0</v>
      </c>
      <c r="L532" s="80">
        <v>0</v>
      </c>
      <c r="M532" s="80">
        <v>0</v>
      </c>
      <c r="N532" s="80">
        <v>0</v>
      </c>
      <c r="O532" s="80">
        <v>0</v>
      </c>
      <c r="P532" s="80">
        <v>0</v>
      </c>
      <c r="Q532" s="80">
        <v>0</v>
      </c>
      <c r="R532" s="80">
        <v>0</v>
      </c>
      <c r="S532" s="80">
        <v>0</v>
      </c>
      <c r="T532" s="80">
        <v>0</v>
      </c>
      <c r="U532" s="80">
        <v>0</v>
      </c>
      <c r="V532" s="80">
        <v>0</v>
      </c>
      <c r="W532" s="80">
        <v>0</v>
      </c>
      <c r="X532" s="80">
        <v>0</v>
      </c>
      <c r="Y532" s="80">
        <v>0</v>
      </c>
      <c r="Z532" s="80">
        <v>0</v>
      </c>
      <c r="AA532" s="80">
        <v>0</v>
      </c>
      <c r="AB532" s="80">
        <v>0</v>
      </c>
      <c r="AC532" s="80">
        <v>0</v>
      </c>
      <c r="AD532" s="80">
        <v>0</v>
      </c>
      <c r="AE532" s="80">
        <v>0</v>
      </c>
      <c r="AF532" s="80">
        <v>0</v>
      </c>
      <c r="AG532" s="81">
        <v>0</v>
      </c>
      <c r="AH532" s="80">
        <v>0</v>
      </c>
      <c r="AI532" s="81">
        <v>0</v>
      </c>
      <c r="AJ532" s="81">
        <v>0</v>
      </c>
      <c r="AK532" s="81">
        <v>0</v>
      </c>
      <c r="AL532" s="81">
        <v>0</v>
      </c>
      <c r="AM532" s="81">
        <v>0</v>
      </c>
      <c r="AN532" s="81">
        <v>0</v>
      </c>
      <c r="AO532" s="81">
        <v>0</v>
      </c>
    </row>
    <row r="533" spans="1:41" ht="15.75" x14ac:dyDescent="0.25">
      <c r="A533" s="84"/>
      <c r="B533" s="84"/>
      <c r="C533" s="84"/>
      <c r="D533" s="80" t="s">
        <v>248</v>
      </c>
      <c r="E533" s="80">
        <v>0</v>
      </c>
      <c r="F533" s="80">
        <v>0</v>
      </c>
      <c r="G533" s="80">
        <v>0</v>
      </c>
      <c r="H533" s="80">
        <v>1</v>
      </c>
      <c r="I533" s="80">
        <v>2</v>
      </c>
      <c r="J533" s="80">
        <v>1</v>
      </c>
      <c r="K533" s="80">
        <v>1</v>
      </c>
      <c r="L533" s="80">
        <v>0</v>
      </c>
      <c r="M533" s="80">
        <v>0</v>
      </c>
      <c r="N533" s="80">
        <v>0</v>
      </c>
      <c r="O533" s="80">
        <v>1</v>
      </c>
      <c r="P533" s="80">
        <v>0</v>
      </c>
      <c r="Q533" s="80">
        <v>1</v>
      </c>
      <c r="R533" s="80">
        <v>0</v>
      </c>
      <c r="S533" s="80">
        <v>0</v>
      </c>
      <c r="T533" s="80">
        <v>0</v>
      </c>
      <c r="U533" s="80">
        <v>2</v>
      </c>
      <c r="V533" s="80">
        <v>0</v>
      </c>
      <c r="W533" s="80">
        <v>0</v>
      </c>
      <c r="X533" s="80">
        <v>0</v>
      </c>
      <c r="Y533" s="80">
        <v>0</v>
      </c>
      <c r="Z533" s="80">
        <v>0</v>
      </c>
      <c r="AA533" s="80">
        <v>0</v>
      </c>
      <c r="AB533" s="80">
        <v>0</v>
      </c>
      <c r="AC533" s="80">
        <v>0</v>
      </c>
      <c r="AD533" s="80">
        <v>0</v>
      </c>
      <c r="AE533" s="80">
        <v>1</v>
      </c>
      <c r="AF533" s="80">
        <v>0</v>
      </c>
      <c r="AG533" s="81">
        <v>0</v>
      </c>
      <c r="AH533" s="80">
        <v>1</v>
      </c>
      <c r="AI533" s="81">
        <v>0</v>
      </c>
      <c r="AJ533" s="81">
        <v>0</v>
      </c>
      <c r="AK533" s="81">
        <v>0</v>
      </c>
      <c r="AL533" s="81">
        <v>0</v>
      </c>
      <c r="AM533" s="81">
        <v>0</v>
      </c>
      <c r="AN533" s="81">
        <v>0</v>
      </c>
      <c r="AO533" s="81">
        <v>0</v>
      </c>
    </row>
    <row r="534" spans="1:41" ht="15.75" x14ac:dyDescent="0.25">
      <c r="A534" s="84"/>
      <c r="B534" s="84"/>
      <c r="C534" s="84"/>
      <c r="D534" s="80" t="s">
        <v>258</v>
      </c>
      <c r="E534" s="80">
        <v>0</v>
      </c>
      <c r="F534" s="80">
        <v>0</v>
      </c>
      <c r="G534" s="80">
        <v>0</v>
      </c>
      <c r="H534" s="80">
        <v>0</v>
      </c>
      <c r="I534" s="80">
        <v>0</v>
      </c>
      <c r="J534" s="80">
        <v>0</v>
      </c>
      <c r="K534" s="80">
        <v>0</v>
      </c>
      <c r="L534" s="80">
        <v>0</v>
      </c>
      <c r="M534" s="80">
        <v>0</v>
      </c>
      <c r="N534" s="80">
        <v>0</v>
      </c>
      <c r="O534" s="80">
        <v>0</v>
      </c>
      <c r="P534" s="80">
        <v>0</v>
      </c>
      <c r="Q534" s="80">
        <v>0</v>
      </c>
      <c r="R534" s="80">
        <v>0</v>
      </c>
      <c r="S534" s="80">
        <v>0</v>
      </c>
      <c r="T534" s="80">
        <v>0</v>
      </c>
      <c r="U534" s="80">
        <v>0</v>
      </c>
      <c r="V534" s="80">
        <v>0</v>
      </c>
      <c r="W534" s="80">
        <v>1</v>
      </c>
      <c r="X534" s="80">
        <v>0</v>
      </c>
      <c r="Y534" s="80">
        <v>0</v>
      </c>
      <c r="Z534" s="80">
        <v>0</v>
      </c>
      <c r="AA534" s="80">
        <v>1</v>
      </c>
      <c r="AB534" s="80">
        <v>0</v>
      </c>
      <c r="AC534" s="80">
        <v>0</v>
      </c>
      <c r="AD534" s="80">
        <v>0</v>
      </c>
      <c r="AE534" s="80">
        <v>0</v>
      </c>
      <c r="AF534" s="80">
        <v>0</v>
      </c>
      <c r="AG534" s="80">
        <v>0</v>
      </c>
      <c r="AH534" s="80">
        <v>0</v>
      </c>
      <c r="AI534" s="80">
        <v>0</v>
      </c>
      <c r="AJ534" s="80">
        <v>0</v>
      </c>
      <c r="AK534" s="80">
        <v>0</v>
      </c>
      <c r="AL534" s="80">
        <v>0</v>
      </c>
      <c r="AM534" s="81">
        <v>0</v>
      </c>
      <c r="AN534" s="81">
        <v>0</v>
      </c>
      <c r="AO534" s="81">
        <v>0</v>
      </c>
    </row>
    <row r="535" spans="1:41" ht="15.75" x14ac:dyDescent="0.25">
      <c r="A535" s="84">
        <v>21</v>
      </c>
      <c r="B535" s="84"/>
      <c r="C535" s="84" t="s">
        <v>252</v>
      </c>
      <c r="D535" s="80" t="s">
        <v>245</v>
      </c>
      <c r="E535" s="80">
        <v>0</v>
      </c>
      <c r="F535" s="80">
        <v>0</v>
      </c>
      <c r="G535" s="80">
        <v>0</v>
      </c>
      <c r="H535" s="80">
        <v>2</v>
      </c>
      <c r="I535" s="80">
        <v>1</v>
      </c>
      <c r="J535" s="80">
        <v>0</v>
      </c>
      <c r="K535" s="80">
        <v>1</v>
      </c>
      <c r="L535" s="80">
        <v>0</v>
      </c>
      <c r="M535" s="80">
        <v>1</v>
      </c>
      <c r="N535" s="80">
        <v>1</v>
      </c>
      <c r="O535" s="80">
        <v>1</v>
      </c>
      <c r="P535" s="80">
        <v>0</v>
      </c>
      <c r="Q535" s="80">
        <v>1</v>
      </c>
      <c r="R535" s="80">
        <v>1</v>
      </c>
      <c r="S535" s="80">
        <v>0</v>
      </c>
      <c r="T535" s="80">
        <v>0</v>
      </c>
      <c r="U535" s="80">
        <v>2</v>
      </c>
      <c r="V535" s="80">
        <v>1</v>
      </c>
      <c r="W535" s="80">
        <v>1</v>
      </c>
      <c r="X535" s="80">
        <v>1</v>
      </c>
      <c r="Y535" s="80">
        <v>0</v>
      </c>
      <c r="Z535" s="80">
        <v>0</v>
      </c>
      <c r="AA535" s="80">
        <v>0</v>
      </c>
      <c r="AB535" s="80">
        <v>0</v>
      </c>
      <c r="AC535" s="80">
        <v>0</v>
      </c>
      <c r="AD535" s="80">
        <v>0</v>
      </c>
      <c r="AE535" s="80">
        <v>0</v>
      </c>
      <c r="AF535" s="80">
        <v>0</v>
      </c>
      <c r="AG535" s="81">
        <v>1</v>
      </c>
      <c r="AH535" s="80">
        <v>0</v>
      </c>
      <c r="AI535" s="81">
        <v>0</v>
      </c>
      <c r="AJ535" s="81">
        <v>0</v>
      </c>
      <c r="AK535" s="81">
        <v>0</v>
      </c>
      <c r="AL535" s="81">
        <v>0</v>
      </c>
      <c r="AM535" s="81">
        <v>0</v>
      </c>
      <c r="AN535" s="81">
        <v>0</v>
      </c>
      <c r="AO535" s="81">
        <v>0</v>
      </c>
    </row>
    <row r="536" spans="1:41" ht="15.75" x14ac:dyDescent="0.25">
      <c r="A536" s="84"/>
      <c r="B536" s="84"/>
      <c r="C536" s="84"/>
      <c r="D536" s="80" t="s">
        <v>246</v>
      </c>
      <c r="E536" s="80">
        <v>0</v>
      </c>
      <c r="F536" s="80">
        <v>0</v>
      </c>
      <c r="G536" s="80">
        <v>0</v>
      </c>
      <c r="H536" s="80">
        <v>2</v>
      </c>
      <c r="I536" s="80">
        <v>1</v>
      </c>
      <c r="J536" s="80">
        <v>0</v>
      </c>
      <c r="K536" s="80">
        <v>1</v>
      </c>
      <c r="L536" s="80">
        <v>0</v>
      </c>
      <c r="M536" s="80">
        <v>1</v>
      </c>
      <c r="N536" s="80">
        <v>1</v>
      </c>
      <c r="O536" s="80">
        <v>1</v>
      </c>
      <c r="P536" s="80">
        <v>0</v>
      </c>
      <c r="Q536" s="80">
        <v>1</v>
      </c>
      <c r="R536" s="80">
        <v>1</v>
      </c>
      <c r="S536" s="80">
        <v>0</v>
      </c>
      <c r="T536" s="80">
        <v>0</v>
      </c>
      <c r="U536" s="80">
        <v>2</v>
      </c>
      <c r="V536" s="80">
        <v>1</v>
      </c>
      <c r="W536" s="80">
        <v>1</v>
      </c>
      <c r="X536" s="80">
        <v>1</v>
      </c>
      <c r="Y536" s="80">
        <v>0</v>
      </c>
      <c r="Z536" s="80">
        <v>0</v>
      </c>
      <c r="AA536" s="80">
        <v>0</v>
      </c>
      <c r="AB536" s="80">
        <v>0</v>
      </c>
      <c r="AC536" s="80">
        <v>0</v>
      </c>
      <c r="AD536" s="80">
        <v>0</v>
      </c>
      <c r="AE536" s="80">
        <v>0</v>
      </c>
      <c r="AF536" s="80">
        <v>0</v>
      </c>
      <c r="AG536" s="81">
        <v>1</v>
      </c>
      <c r="AH536" s="80">
        <v>0</v>
      </c>
      <c r="AI536" s="81">
        <v>0</v>
      </c>
      <c r="AJ536" s="81">
        <v>0</v>
      </c>
      <c r="AK536" s="81">
        <v>0</v>
      </c>
      <c r="AL536" s="81">
        <v>0</v>
      </c>
      <c r="AM536" s="81">
        <v>0</v>
      </c>
      <c r="AN536" s="81">
        <v>0</v>
      </c>
      <c r="AO536" s="81">
        <v>0</v>
      </c>
    </row>
    <row r="537" spans="1:41" ht="15.75" x14ac:dyDescent="0.25">
      <c r="A537" s="84"/>
      <c r="B537" s="84"/>
      <c r="C537" s="84"/>
      <c r="D537" s="80" t="s">
        <v>247</v>
      </c>
      <c r="E537" s="80">
        <v>0</v>
      </c>
      <c r="F537" s="80">
        <v>0</v>
      </c>
      <c r="G537" s="80">
        <v>0</v>
      </c>
      <c r="H537" s="80">
        <v>0</v>
      </c>
      <c r="I537" s="80">
        <v>0</v>
      </c>
      <c r="J537" s="80">
        <v>0</v>
      </c>
      <c r="K537" s="80">
        <v>0</v>
      </c>
      <c r="L537" s="80">
        <v>1</v>
      </c>
      <c r="M537" s="80">
        <v>0</v>
      </c>
      <c r="N537" s="80">
        <v>0</v>
      </c>
      <c r="O537" s="80">
        <v>0</v>
      </c>
      <c r="P537" s="80">
        <v>0</v>
      </c>
      <c r="Q537" s="80">
        <v>0</v>
      </c>
      <c r="R537" s="80">
        <v>0</v>
      </c>
      <c r="S537" s="80">
        <v>1</v>
      </c>
      <c r="T537" s="80">
        <v>1</v>
      </c>
      <c r="U537" s="80">
        <v>0</v>
      </c>
      <c r="V537" s="80">
        <v>0</v>
      </c>
      <c r="W537" s="80">
        <v>0</v>
      </c>
      <c r="X537" s="80">
        <v>0</v>
      </c>
      <c r="Y537" s="80">
        <v>0</v>
      </c>
      <c r="Z537" s="80">
        <v>0</v>
      </c>
      <c r="AA537" s="80">
        <v>0</v>
      </c>
      <c r="AB537" s="80">
        <v>0</v>
      </c>
      <c r="AC537" s="80">
        <v>0</v>
      </c>
      <c r="AD537" s="80">
        <v>0</v>
      </c>
      <c r="AE537" s="80">
        <v>0</v>
      </c>
      <c r="AF537" s="80">
        <v>0</v>
      </c>
      <c r="AG537" s="81">
        <v>0</v>
      </c>
      <c r="AH537" s="80">
        <v>0</v>
      </c>
      <c r="AI537" s="80">
        <v>0</v>
      </c>
      <c r="AJ537" s="80">
        <v>0</v>
      </c>
      <c r="AK537" s="80">
        <v>0</v>
      </c>
      <c r="AL537" s="81">
        <v>0</v>
      </c>
      <c r="AM537" s="81">
        <v>0</v>
      </c>
      <c r="AN537" s="81">
        <v>0</v>
      </c>
      <c r="AO537" s="81">
        <v>0</v>
      </c>
    </row>
    <row r="538" spans="1:41" ht="15.75" x14ac:dyDescent="0.25">
      <c r="A538" s="84"/>
      <c r="B538" s="84"/>
      <c r="C538" s="84"/>
      <c r="D538" s="80" t="s">
        <v>248</v>
      </c>
      <c r="E538" s="80">
        <v>0</v>
      </c>
      <c r="F538" s="80">
        <v>0</v>
      </c>
      <c r="G538" s="80">
        <v>0</v>
      </c>
      <c r="H538" s="80">
        <v>2</v>
      </c>
      <c r="I538" s="80">
        <v>1</v>
      </c>
      <c r="J538" s="80">
        <v>0</v>
      </c>
      <c r="K538" s="80">
        <v>1</v>
      </c>
      <c r="L538" s="80">
        <v>0</v>
      </c>
      <c r="M538" s="80">
        <v>1</v>
      </c>
      <c r="N538" s="80">
        <v>1</v>
      </c>
      <c r="O538" s="80">
        <v>1</v>
      </c>
      <c r="P538" s="80">
        <v>0</v>
      </c>
      <c r="Q538" s="80">
        <v>0</v>
      </c>
      <c r="R538" s="80">
        <v>1</v>
      </c>
      <c r="S538" s="80">
        <v>0</v>
      </c>
      <c r="T538" s="80">
        <v>0</v>
      </c>
      <c r="U538" s="80">
        <v>2</v>
      </c>
      <c r="V538" s="80">
        <v>1</v>
      </c>
      <c r="W538" s="80">
        <v>1</v>
      </c>
      <c r="X538" s="80">
        <v>1</v>
      </c>
      <c r="Y538" s="80">
        <v>0</v>
      </c>
      <c r="Z538" s="80">
        <v>0</v>
      </c>
      <c r="AA538" s="80">
        <v>0</v>
      </c>
      <c r="AB538" s="80">
        <v>0</v>
      </c>
      <c r="AC538" s="80">
        <v>0</v>
      </c>
      <c r="AD538" s="80">
        <v>0</v>
      </c>
      <c r="AE538" s="80">
        <v>0</v>
      </c>
      <c r="AF538" s="80">
        <v>0</v>
      </c>
      <c r="AG538" s="80">
        <v>1</v>
      </c>
      <c r="AH538" s="80">
        <v>0</v>
      </c>
      <c r="AI538" s="80">
        <v>0</v>
      </c>
      <c r="AJ538" s="80">
        <v>0</v>
      </c>
      <c r="AK538" s="80">
        <v>0</v>
      </c>
      <c r="AL538" s="80">
        <v>0</v>
      </c>
      <c r="AM538" s="81">
        <v>0</v>
      </c>
      <c r="AN538" s="81">
        <v>0</v>
      </c>
      <c r="AO538" s="81">
        <v>0</v>
      </c>
    </row>
    <row r="539" spans="1:41" ht="15.75" x14ac:dyDescent="0.25">
      <c r="A539" s="84"/>
      <c r="B539" s="84"/>
      <c r="C539" s="84"/>
      <c r="D539" s="80" t="s">
        <v>258</v>
      </c>
      <c r="E539" s="80">
        <v>0</v>
      </c>
      <c r="F539" s="80">
        <v>0</v>
      </c>
      <c r="G539" s="80">
        <v>0</v>
      </c>
      <c r="H539" s="80">
        <v>0</v>
      </c>
      <c r="I539" s="80">
        <v>0</v>
      </c>
      <c r="J539" s="80">
        <v>0</v>
      </c>
      <c r="K539" s="80">
        <v>0</v>
      </c>
      <c r="L539" s="80">
        <v>0</v>
      </c>
      <c r="M539" s="80">
        <v>0</v>
      </c>
      <c r="N539" s="80">
        <v>0</v>
      </c>
      <c r="O539" s="80">
        <v>0</v>
      </c>
      <c r="P539" s="80">
        <v>0</v>
      </c>
      <c r="Q539" s="80">
        <v>1</v>
      </c>
      <c r="R539" s="80">
        <v>0</v>
      </c>
      <c r="S539" s="80">
        <v>0</v>
      </c>
      <c r="T539" s="80">
        <v>0</v>
      </c>
      <c r="U539" s="80">
        <v>0</v>
      </c>
      <c r="V539" s="80">
        <v>0</v>
      </c>
      <c r="W539" s="80">
        <v>0</v>
      </c>
      <c r="X539" s="80">
        <v>0</v>
      </c>
      <c r="Y539" s="80">
        <v>0</v>
      </c>
      <c r="Z539" s="80">
        <v>0</v>
      </c>
      <c r="AA539" s="80">
        <v>0</v>
      </c>
      <c r="AB539" s="80">
        <v>0</v>
      </c>
      <c r="AC539" s="80">
        <v>0</v>
      </c>
      <c r="AD539" s="80">
        <v>0</v>
      </c>
      <c r="AE539" s="80">
        <v>0</v>
      </c>
      <c r="AF539" s="80">
        <v>0</v>
      </c>
      <c r="AG539" s="81">
        <v>0</v>
      </c>
      <c r="AH539" s="80">
        <v>0</v>
      </c>
      <c r="AI539" s="81">
        <v>0</v>
      </c>
      <c r="AJ539" s="81">
        <v>0</v>
      </c>
      <c r="AK539" s="81">
        <v>0</v>
      </c>
      <c r="AL539" s="81">
        <v>0</v>
      </c>
      <c r="AM539" s="81">
        <v>0</v>
      </c>
      <c r="AN539" s="81">
        <v>0</v>
      </c>
      <c r="AO539" s="81">
        <v>0</v>
      </c>
    </row>
    <row r="540" spans="1:41" ht="15.75" x14ac:dyDescent="0.25">
      <c r="A540" s="84">
        <v>22</v>
      </c>
      <c r="B540" s="84"/>
      <c r="C540" s="84" t="s">
        <v>187</v>
      </c>
      <c r="D540" s="80" t="s">
        <v>245</v>
      </c>
      <c r="E540" s="80">
        <v>0</v>
      </c>
      <c r="F540" s="80">
        <v>0</v>
      </c>
      <c r="G540" s="80">
        <v>0</v>
      </c>
      <c r="H540" s="80">
        <v>1</v>
      </c>
      <c r="I540" s="80">
        <v>0</v>
      </c>
      <c r="J540" s="80">
        <v>0</v>
      </c>
      <c r="K540" s="80">
        <v>0</v>
      </c>
      <c r="L540" s="80">
        <v>0</v>
      </c>
      <c r="M540" s="80">
        <v>0</v>
      </c>
      <c r="N540" s="80">
        <v>0</v>
      </c>
      <c r="O540" s="80">
        <v>0</v>
      </c>
      <c r="P540" s="80">
        <v>0</v>
      </c>
      <c r="Q540" s="80">
        <v>0</v>
      </c>
      <c r="R540" s="80">
        <v>0</v>
      </c>
      <c r="S540" s="80">
        <v>0</v>
      </c>
      <c r="T540" s="80">
        <v>0</v>
      </c>
      <c r="U540" s="80">
        <v>0</v>
      </c>
      <c r="V540" s="80">
        <v>0</v>
      </c>
      <c r="W540" s="80">
        <v>0</v>
      </c>
      <c r="X540" s="80">
        <v>0</v>
      </c>
      <c r="Y540" s="80">
        <v>0</v>
      </c>
      <c r="Z540" s="80">
        <v>0</v>
      </c>
      <c r="AA540" s="80">
        <v>0</v>
      </c>
      <c r="AB540" s="80">
        <v>0</v>
      </c>
      <c r="AC540" s="80">
        <v>0</v>
      </c>
      <c r="AD540" s="80">
        <v>0</v>
      </c>
      <c r="AE540" s="80">
        <v>0</v>
      </c>
      <c r="AF540" s="80">
        <v>0</v>
      </c>
      <c r="AG540" s="80">
        <v>0</v>
      </c>
      <c r="AH540" s="80">
        <v>0</v>
      </c>
      <c r="AI540" s="80">
        <v>0</v>
      </c>
      <c r="AJ540" s="80">
        <v>0</v>
      </c>
      <c r="AK540" s="80">
        <v>0</v>
      </c>
      <c r="AL540" s="80">
        <v>0</v>
      </c>
      <c r="AM540" s="81">
        <v>0</v>
      </c>
      <c r="AN540" s="81">
        <v>0</v>
      </c>
      <c r="AO540" s="81">
        <v>0</v>
      </c>
    </row>
    <row r="541" spans="1:41" ht="15.75" x14ac:dyDescent="0.25">
      <c r="A541" s="84"/>
      <c r="B541" s="84"/>
      <c r="C541" s="84"/>
      <c r="D541" s="80" t="s">
        <v>246</v>
      </c>
      <c r="E541" s="80">
        <v>0</v>
      </c>
      <c r="F541" s="80">
        <v>0</v>
      </c>
      <c r="G541" s="80">
        <v>0</v>
      </c>
      <c r="H541" s="80">
        <v>1</v>
      </c>
      <c r="I541" s="80">
        <v>0</v>
      </c>
      <c r="J541" s="80">
        <v>0</v>
      </c>
      <c r="K541" s="80">
        <v>0</v>
      </c>
      <c r="L541" s="80">
        <v>0</v>
      </c>
      <c r="M541" s="80">
        <v>0</v>
      </c>
      <c r="N541" s="80">
        <v>0</v>
      </c>
      <c r="O541" s="80">
        <v>0</v>
      </c>
      <c r="P541" s="80">
        <v>0</v>
      </c>
      <c r="Q541" s="80">
        <v>0</v>
      </c>
      <c r="R541" s="80">
        <v>0</v>
      </c>
      <c r="S541" s="80">
        <v>0</v>
      </c>
      <c r="T541" s="80">
        <v>0</v>
      </c>
      <c r="U541" s="80">
        <v>0</v>
      </c>
      <c r="V541" s="80">
        <v>0</v>
      </c>
      <c r="W541" s="80">
        <v>0</v>
      </c>
      <c r="X541" s="80">
        <v>0</v>
      </c>
      <c r="Y541" s="80">
        <v>0</v>
      </c>
      <c r="Z541" s="80">
        <v>0</v>
      </c>
      <c r="AA541" s="80">
        <v>0</v>
      </c>
      <c r="AB541" s="80">
        <v>0</v>
      </c>
      <c r="AC541" s="80">
        <v>0</v>
      </c>
      <c r="AD541" s="80">
        <v>0</v>
      </c>
      <c r="AE541" s="80">
        <v>0</v>
      </c>
      <c r="AF541" s="80">
        <v>0</v>
      </c>
      <c r="AG541" s="80">
        <v>0</v>
      </c>
      <c r="AH541" s="80">
        <v>0</v>
      </c>
      <c r="AI541" s="80">
        <v>0</v>
      </c>
      <c r="AJ541" s="80">
        <v>0</v>
      </c>
      <c r="AK541" s="80">
        <v>0</v>
      </c>
      <c r="AL541" s="80">
        <v>0</v>
      </c>
      <c r="AM541" s="81">
        <v>0</v>
      </c>
      <c r="AN541" s="81">
        <v>0</v>
      </c>
      <c r="AO541" s="81">
        <v>0</v>
      </c>
    </row>
    <row r="542" spans="1:41" ht="15.75" x14ac:dyDescent="0.25">
      <c r="A542" s="84"/>
      <c r="B542" s="84"/>
      <c r="C542" s="84"/>
      <c r="D542" s="80" t="s">
        <v>247</v>
      </c>
      <c r="E542" s="80">
        <v>0</v>
      </c>
      <c r="F542" s="80">
        <v>0</v>
      </c>
      <c r="G542" s="80">
        <v>0</v>
      </c>
      <c r="H542" s="80">
        <v>0</v>
      </c>
      <c r="I542" s="80">
        <v>0</v>
      </c>
      <c r="J542" s="80">
        <v>0</v>
      </c>
      <c r="K542" s="80">
        <v>0</v>
      </c>
      <c r="L542" s="80">
        <v>0</v>
      </c>
      <c r="M542" s="80">
        <v>0</v>
      </c>
      <c r="N542" s="80">
        <v>0</v>
      </c>
      <c r="O542" s="80">
        <v>0</v>
      </c>
      <c r="P542" s="80">
        <v>0</v>
      </c>
      <c r="Q542" s="80">
        <v>0</v>
      </c>
      <c r="R542" s="80">
        <v>0</v>
      </c>
      <c r="S542" s="80">
        <v>0</v>
      </c>
      <c r="T542" s="80">
        <v>0</v>
      </c>
      <c r="U542" s="80">
        <v>0</v>
      </c>
      <c r="V542" s="80">
        <v>0</v>
      </c>
      <c r="W542" s="80">
        <v>0</v>
      </c>
      <c r="X542" s="80">
        <v>0</v>
      </c>
      <c r="Y542" s="80">
        <v>0</v>
      </c>
      <c r="Z542" s="80">
        <v>0</v>
      </c>
      <c r="AA542" s="80">
        <v>0</v>
      </c>
      <c r="AB542" s="80">
        <v>0</v>
      </c>
      <c r="AC542" s="80">
        <v>0</v>
      </c>
      <c r="AD542" s="80">
        <v>0</v>
      </c>
      <c r="AE542" s="80">
        <v>0</v>
      </c>
      <c r="AF542" s="80">
        <v>0</v>
      </c>
      <c r="AG542" s="80">
        <v>0</v>
      </c>
      <c r="AH542" s="80">
        <v>0</v>
      </c>
      <c r="AI542" s="80">
        <v>0</v>
      </c>
      <c r="AJ542" s="80">
        <v>0</v>
      </c>
      <c r="AK542" s="80">
        <v>0</v>
      </c>
      <c r="AL542" s="80">
        <v>0</v>
      </c>
      <c r="AM542" s="81">
        <v>0</v>
      </c>
      <c r="AN542" s="81">
        <v>0</v>
      </c>
      <c r="AO542" s="81">
        <v>0</v>
      </c>
    </row>
    <row r="543" spans="1:41" ht="15.75" x14ac:dyDescent="0.25">
      <c r="A543" s="84"/>
      <c r="B543" s="84"/>
      <c r="C543" s="84"/>
      <c r="D543" s="80" t="s">
        <v>248</v>
      </c>
      <c r="E543" s="80">
        <v>0</v>
      </c>
      <c r="F543" s="80">
        <v>0</v>
      </c>
      <c r="G543" s="80">
        <v>0</v>
      </c>
      <c r="H543" s="80">
        <v>1</v>
      </c>
      <c r="I543" s="80">
        <v>0</v>
      </c>
      <c r="J543" s="80">
        <v>0</v>
      </c>
      <c r="K543" s="80">
        <v>0</v>
      </c>
      <c r="L543" s="80">
        <v>0</v>
      </c>
      <c r="M543" s="80">
        <v>0</v>
      </c>
      <c r="N543" s="80">
        <v>0</v>
      </c>
      <c r="O543" s="80">
        <v>0</v>
      </c>
      <c r="P543" s="80">
        <v>0</v>
      </c>
      <c r="Q543" s="80">
        <v>0</v>
      </c>
      <c r="R543" s="80">
        <v>0</v>
      </c>
      <c r="S543" s="80">
        <v>0</v>
      </c>
      <c r="T543" s="80">
        <v>0</v>
      </c>
      <c r="U543" s="80">
        <v>0</v>
      </c>
      <c r="V543" s="80">
        <v>0</v>
      </c>
      <c r="W543" s="80">
        <v>0</v>
      </c>
      <c r="X543" s="80">
        <v>0</v>
      </c>
      <c r="Y543" s="80">
        <v>0</v>
      </c>
      <c r="Z543" s="80">
        <v>0</v>
      </c>
      <c r="AA543" s="80">
        <v>0</v>
      </c>
      <c r="AB543" s="80">
        <v>0</v>
      </c>
      <c r="AC543" s="80">
        <v>0</v>
      </c>
      <c r="AD543" s="80">
        <v>0</v>
      </c>
      <c r="AE543" s="80">
        <v>0</v>
      </c>
      <c r="AF543" s="80">
        <v>0</v>
      </c>
      <c r="AG543" s="80">
        <v>0</v>
      </c>
      <c r="AH543" s="80">
        <v>0</v>
      </c>
      <c r="AI543" s="80">
        <v>0</v>
      </c>
      <c r="AJ543" s="80">
        <v>0</v>
      </c>
      <c r="AK543" s="80">
        <v>0</v>
      </c>
      <c r="AL543" s="80">
        <v>0</v>
      </c>
      <c r="AM543" s="81">
        <v>0</v>
      </c>
      <c r="AN543" s="81">
        <v>0</v>
      </c>
      <c r="AO543" s="81">
        <v>0</v>
      </c>
    </row>
    <row r="544" spans="1:41" ht="15.75" x14ac:dyDescent="0.25">
      <c r="A544" s="84"/>
      <c r="B544" s="84"/>
      <c r="C544" s="84"/>
      <c r="D544" s="80" t="s">
        <v>258</v>
      </c>
      <c r="E544" s="80">
        <v>0</v>
      </c>
      <c r="F544" s="80">
        <v>0</v>
      </c>
      <c r="G544" s="80">
        <v>0</v>
      </c>
      <c r="H544" s="80">
        <v>0</v>
      </c>
      <c r="I544" s="80">
        <v>0</v>
      </c>
      <c r="J544" s="80">
        <v>0</v>
      </c>
      <c r="K544" s="80">
        <v>0</v>
      </c>
      <c r="L544" s="80">
        <v>0</v>
      </c>
      <c r="M544" s="80">
        <v>0</v>
      </c>
      <c r="N544" s="80">
        <v>0</v>
      </c>
      <c r="O544" s="80">
        <v>0</v>
      </c>
      <c r="P544" s="80">
        <v>0</v>
      </c>
      <c r="Q544" s="80">
        <v>0</v>
      </c>
      <c r="R544" s="80">
        <v>0</v>
      </c>
      <c r="S544" s="80">
        <v>0</v>
      </c>
      <c r="T544" s="80">
        <v>0</v>
      </c>
      <c r="U544" s="80">
        <v>0</v>
      </c>
      <c r="V544" s="80">
        <v>0</v>
      </c>
      <c r="W544" s="80">
        <v>0</v>
      </c>
      <c r="X544" s="80">
        <v>0</v>
      </c>
      <c r="Y544" s="80">
        <v>0</v>
      </c>
      <c r="Z544" s="80">
        <v>0</v>
      </c>
      <c r="AA544" s="80">
        <v>0</v>
      </c>
      <c r="AB544" s="80">
        <v>0</v>
      </c>
      <c r="AC544" s="80">
        <v>0</v>
      </c>
      <c r="AD544" s="80">
        <v>0</v>
      </c>
      <c r="AE544" s="80">
        <v>0</v>
      </c>
      <c r="AF544" s="80">
        <v>0</v>
      </c>
      <c r="AG544" s="80">
        <v>0</v>
      </c>
      <c r="AH544" s="80">
        <v>0</v>
      </c>
      <c r="AI544" s="80">
        <v>0</v>
      </c>
      <c r="AJ544" s="80">
        <v>0</v>
      </c>
      <c r="AK544" s="80">
        <v>0</v>
      </c>
      <c r="AL544" s="80">
        <v>0</v>
      </c>
      <c r="AM544" s="81">
        <v>0</v>
      </c>
      <c r="AN544" s="81">
        <v>0</v>
      </c>
      <c r="AO544" s="81">
        <v>0</v>
      </c>
    </row>
    <row r="545" spans="1:41" ht="15.75" x14ac:dyDescent="0.25">
      <c r="A545" s="84">
        <v>23</v>
      </c>
      <c r="B545" s="84" t="s">
        <v>83</v>
      </c>
      <c r="C545" s="84" t="s">
        <v>170</v>
      </c>
      <c r="D545" s="80" t="s">
        <v>245</v>
      </c>
      <c r="E545" s="80">
        <v>0</v>
      </c>
      <c r="F545" s="80">
        <v>0</v>
      </c>
      <c r="G545" s="80">
        <v>0</v>
      </c>
      <c r="H545" s="80">
        <v>2</v>
      </c>
      <c r="I545" s="80">
        <v>0</v>
      </c>
      <c r="J545" s="80">
        <v>2</v>
      </c>
      <c r="K545" s="80">
        <v>0</v>
      </c>
      <c r="L545" s="80">
        <v>0</v>
      </c>
      <c r="M545" s="80">
        <v>0</v>
      </c>
      <c r="N545" s="80">
        <v>0</v>
      </c>
      <c r="O545" s="80">
        <v>1</v>
      </c>
      <c r="P545" s="80">
        <v>0</v>
      </c>
      <c r="Q545" s="80">
        <v>1</v>
      </c>
      <c r="R545" s="80">
        <v>2</v>
      </c>
      <c r="S545" s="80">
        <v>0</v>
      </c>
      <c r="T545" s="80">
        <v>0</v>
      </c>
      <c r="U545" s="80">
        <v>2</v>
      </c>
      <c r="V545" s="80">
        <v>2</v>
      </c>
      <c r="W545" s="80">
        <v>1</v>
      </c>
      <c r="X545" s="80">
        <v>0</v>
      </c>
      <c r="Y545" s="80">
        <v>0</v>
      </c>
      <c r="Z545" s="80">
        <v>0</v>
      </c>
      <c r="AA545" s="80">
        <v>0</v>
      </c>
      <c r="AB545" s="80">
        <v>0</v>
      </c>
      <c r="AC545" s="80">
        <v>0</v>
      </c>
      <c r="AD545" s="80">
        <v>0</v>
      </c>
      <c r="AE545" s="80">
        <v>1</v>
      </c>
      <c r="AF545" s="80">
        <v>0</v>
      </c>
      <c r="AG545" s="81">
        <v>2</v>
      </c>
      <c r="AH545" s="80">
        <v>0</v>
      </c>
      <c r="AI545" s="81">
        <v>0</v>
      </c>
      <c r="AJ545" s="81">
        <v>0</v>
      </c>
      <c r="AK545" s="81">
        <v>0</v>
      </c>
      <c r="AL545" s="81">
        <v>0</v>
      </c>
      <c r="AM545" s="81">
        <v>0</v>
      </c>
      <c r="AN545" s="81">
        <v>0</v>
      </c>
      <c r="AO545" s="81">
        <v>0</v>
      </c>
    </row>
    <row r="546" spans="1:41" ht="15.75" x14ac:dyDescent="0.25">
      <c r="A546" s="84"/>
      <c r="B546" s="84"/>
      <c r="C546" s="84"/>
      <c r="D546" s="80" t="s">
        <v>246</v>
      </c>
      <c r="E546" s="80">
        <v>1</v>
      </c>
      <c r="F546" s="80">
        <v>0</v>
      </c>
      <c r="G546" s="80">
        <v>0</v>
      </c>
      <c r="H546" s="80">
        <v>1</v>
      </c>
      <c r="I546" s="80">
        <v>0</v>
      </c>
      <c r="J546" s="80">
        <v>2</v>
      </c>
      <c r="K546" s="80">
        <v>0</v>
      </c>
      <c r="L546" s="80">
        <v>0</v>
      </c>
      <c r="M546" s="80">
        <v>0</v>
      </c>
      <c r="N546" s="80">
        <v>0</v>
      </c>
      <c r="O546" s="80">
        <v>1</v>
      </c>
      <c r="P546" s="80">
        <v>0</v>
      </c>
      <c r="Q546" s="80">
        <v>1</v>
      </c>
      <c r="R546" s="80">
        <v>2</v>
      </c>
      <c r="S546" s="80">
        <v>0</v>
      </c>
      <c r="T546" s="80">
        <v>0</v>
      </c>
      <c r="U546" s="80">
        <v>2</v>
      </c>
      <c r="V546" s="80">
        <v>2</v>
      </c>
      <c r="W546" s="80">
        <v>1</v>
      </c>
      <c r="X546" s="80">
        <v>0</v>
      </c>
      <c r="Y546" s="80">
        <v>0</v>
      </c>
      <c r="Z546" s="80">
        <v>0</v>
      </c>
      <c r="AA546" s="80">
        <v>0</v>
      </c>
      <c r="AB546" s="80">
        <v>0</v>
      </c>
      <c r="AC546" s="80">
        <v>0</v>
      </c>
      <c r="AD546" s="80">
        <v>0</v>
      </c>
      <c r="AE546" s="80">
        <v>1</v>
      </c>
      <c r="AF546" s="80">
        <v>0</v>
      </c>
      <c r="AG546" s="81">
        <v>2</v>
      </c>
      <c r="AH546" s="80">
        <v>0</v>
      </c>
      <c r="AI546" s="81">
        <v>0</v>
      </c>
      <c r="AJ546" s="81">
        <v>0</v>
      </c>
      <c r="AK546" s="81">
        <v>0</v>
      </c>
      <c r="AL546" s="81">
        <v>0</v>
      </c>
      <c r="AM546" s="81">
        <v>0</v>
      </c>
      <c r="AN546" s="81">
        <v>0</v>
      </c>
      <c r="AO546" s="81">
        <v>0</v>
      </c>
    </row>
    <row r="547" spans="1:41" ht="15.75" x14ac:dyDescent="0.25">
      <c r="A547" s="84"/>
      <c r="B547" s="84"/>
      <c r="C547" s="84"/>
      <c r="D547" s="80" t="s">
        <v>247</v>
      </c>
      <c r="E547" s="80">
        <v>0</v>
      </c>
      <c r="F547" s="80">
        <v>0</v>
      </c>
      <c r="G547" s="80">
        <v>0</v>
      </c>
      <c r="H547" s="80">
        <v>1</v>
      </c>
      <c r="I547" s="80">
        <v>0</v>
      </c>
      <c r="J547" s="80">
        <v>0</v>
      </c>
      <c r="K547" s="80">
        <v>0</v>
      </c>
      <c r="L547" s="80">
        <v>0</v>
      </c>
      <c r="M547" s="80">
        <v>0</v>
      </c>
      <c r="N547" s="80">
        <v>0</v>
      </c>
      <c r="O547" s="80">
        <v>0</v>
      </c>
      <c r="P547" s="80">
        <v>0</v>
      </c>
      <c r="Q547" s="80">
        <v>0</v>
      </c>
      <c r="R547" s="80">
        <v>0</v>
      </c>
      <c r="S547" s="80">
        <v>0</v>
      </c>
      <c r="T547" s="80">
        <v>0</v>
      </c>
      <c r="U547" s="80">
        <v>0</v>
      </c>
      <c r="V547" s="80">
        <v>0</v>
      </c>
      <c r="W547" s="80">
        <v>0</v>
      </c>
      <c r="X547" s="80">
        <v>0</v>
      </c>
      <c r="Y547" s="80">
        <v>0</v>
      </c>
      <c r="Z547" s="80">
        <v>0</v>
      </c>
      <c r="AA547" s="80">
        <v>0</v>
      </c>
      <c r="AB547" s="80">
        <v>0</v>
      </c>
      <c r="AC547" s="80">
        <v>0</v>
      </c>
      <c r="AD547" s="80">
        <v>0</v>
      </c>
      <c r="AE547" s="80">
        <v>0</v>
      </c>
      <c r="AF547" s="80">
        <v>0</v>
      </c>
      <c r="AG547" s="81">
        <v>0</v>
      </c>
      <c r="AH547" s="80">
        <v>0</v>
      </c>
      <c r="AI547" s="81">
        <v>0</v>
      </c>
      <c r="AJ547" s="81">
        <v>0</v>
      </c>
      <c r="AK547" s="81">
        <v>0</v>
      </c>
      <c r="AL547" s="81">
        <v>0</v>
      </c>
      <c r="AM547" s="81">
        <v>0</v>
      </c>
      <c r="AN547" s="81">
        <v>0</v>
      </c>
      <c r="AO547" s="81">
        <v>0</v>
      </c>
    </row>
    <row r="548" spans="1:41" ht="15.75" x14ac:dyDescent="0.25">
      <c r="A548" s="84"/>
      <c r="B548" s="84"/>
      <c r="C548" s="84"/>
      <c r="D548" s="80" t="s">
        <v>248</v>
      </c>
      <c r="E548" s="80">
        <v>1</v>
      </c>
      <c r="F548" s="80">
        <v>0</v>
      </c>
      <c r="G548" s="80">
        <v>0</v>
      </c>
      <c r="H548" s="80">
        <v>1</v>
      </c>
      <c r="I548" s="80">
        <v>0</v>
      </c>
      <c r="J548" s="80">
        <v>2</v>
      </c>
      <c r="K548" s="80">
        <v>0</v>
      </c>
      <c r="L548" s="80">
        <v>0</v>
      </c>
      <c r="M548" s="80">
        <v>0</v>
      </c>
      <c r="N548" s="80">
        <v>0</v>
      </c>
      <c r="O548" s="80">
        <v>1</v>
      </c>
      <c r="P548" s="80">
        <v>0</v>
      </c>
      <c r="Q548" s="80">
        <v>1</v>
      </c>
      <c r="R548" s="80">
        <v>0</v>
      </c>
      <c r="S548" s="80">
        <v>0</v>
      </c>
      <c r="T548" s="80">
        <v>0</v>
      </c>
      <c r="U548" s="80">
        <v>2</v>
      </c>
      <c r="V548" s="80">
        <v>2</v>
      </c>
      <c r="W548" s="80">
        <v>1</v>
      </c>
      <c r="X548" s="80">
        <v>0</v>
      </c>
      <c r="Y548" s="80">
        <v>0</v>
      </c>
      <c r="Z548" s="80">
        <v>0</v>
      </c>
      <c r="AA548" s="80">
        <v>0</v>
      </c>
      <c r="AB548" s="80">
        <v>0</v>
      </c>
      <c r="AC548" s="80">
        <v>0</v>
      </c>
      <c r="AD548" s="80">
        <v>0</v>
      </c>
      <c r="AE548" s="80">
        <v>1</v>
      </c>
      <c r="AF548" s="80">
        <v>0</v>
      </c>
      <c r="AG548" s="81">
        <v>2</v>
      </c>
      <c r="AH548" s="80">
        <v>0</v>
      </c>
      <c r="AI548" s="81">
        <v>0</v>
      </c>
      <c r="AJ548" s="81">
        <v>0</v>
      </c>
      <c r="AK548" s="81">
        <v>0</v>
      </c>
      <c r="AL548" s="81">
        <v>0</v>
      </c>
      <c r="AM548" s="81">
        <v>0</v>
      </c>
      <c r="AN548" s="81">
        <v>0</v>
      </c>
      <c r="AO548" s="81">
        <v>0</v>
      </c>
    </row>
    <row r="549" spans="1:41" ht="15.75" x14ac:dyDescent="0.25">
      <c r="A549" s="84"/>
      <c r="B549" s="84"/>
      <c r="C549" s="84"/>
      <c r="D549" s="80" t="s">
        <v>258</v>
      </c>
      <c r="E549" s="80">
        <v>0</v>
      </c>
      <c r="F549" s="80">
        <v>0</v>
      </c>
      <c r="G549" s="80">
        <v>0</v>
      </c>
      <c r="H549" s="80">
        <v>0</v>
      </c>
      <c r="I549" s="80">
        <v>0</v>
      </c>
      <c r="J549" s="80">
        <v>0</v>
      </c>
      <c r="K549" s="80">
        <v>0</v>
      </c>
      <c r="L549" s="80">
        <v>0</v>
      </c>
      <c r="M549" s="80">
        <v>0</v>
      </c>
      <c r="N549" s="80">
        <v>0</v>
      </c>
      <c r="O549" s="80">
        <v>0</v>
      </c>
      <c r="P549" s="80">
        <v>0</v>
      </c>
      <c r="Q549" s="80">
        <v>0</v>
      </c>
      <c r="R549" s="80">
        <v>2</v>
      </c>
      <c r="S549" s="80">
        <v>0</v>
      </c>
      <c r="T549" s="80">
        <v>0</v>
      </c>
      <c r="U549" s="80">
        <v>0</v>
      </c>
      <c r="V549" s="80">
        <v>0</v>
      </c>
      <c r="W549" s="80">
        <v>0</v>
      </c>
      <c r="X549" s="80">
        <v>0</v>
      </c>
      <c r="Y549" s="80">
        <v>0</v>
      </c>
      <c r="Z549" s="80">
        <v>0</v>
      </c>
      <c r="AA549" s="80">
        <v>0</v>
      </c>
      <c r="AB549" s="80">
        <v>0</v>
      </c>
      <c r="AC549" s="80">
        <v>0</v>
      </c>
      <c r="AD549" s="80">
        <v>0</v>
      </c>
      <c r="AE549" s="80">
        <v>0</v>
      </c>
      <c r="AF549" s="80">
        <v>0</v>
      </c>
      <c r="AG549" s="80">
        <v>0</v>
      </c>
      <c r="AH549" s="80">
        <v>0</v>
      </c>
      <c r="AI549" s="80">
        <v>0</v>
      </c>
      <c r="AJ549" s="80">
        <v>0</v>
      </c>
      <c r="AK549" s="80">
        <v>0</v>
      </c>
      <c r="AL549" s="80">
        <v>0</v>
      </c>
      <c r="AM549" s="81">
        <v>0</v>
      </c>
      <c r="AN549" s="81">
        <v>0</v>
      </c>
      <c r="AO549" s="81">
        <v>0</v>
      </c>
    </row>
    <row r="550" spans="1:41" ht="15.75" x14ac:dyDescent="0.25">
      <c r="A550" s="84">
        <v>24</v>
      </c>
      <c r="B550" s="84"/>
      <c r="C550" s="84" t="s">
        <v>19</v>
      </c>
      <c r="D550" s="80" t="s">
        <v>245</v>
      </c>
      <c r="E550" s="80">
        <v>0</v>
      </c>
      <c r="F550" s="80">
        <v>0</v>
      </c>
      <c r="G550" s="80">
        <v>0</v>
      </c>
      <c r="H550" s="80">
        <v>1</v>
      </c>
      <c r="I550" s="80">
        <v>2</v>
      </c>
      <c r="J550" s="80">
        <v>1</v>
      </c>
      <c r="K550" s="80">
        <v>0</v>
      </c>
      <c r="L550" s="80">
        <v>0</v>
      </c>
      <c r="M550" s="80">
        <v>0</v>
      </c>
      <c r="N550" s="80">
        <v>1</v>
      </c>
      <c r="O550" s="80">
        <v>1</v>
      </c>
      <c r="P550" s="80">
        <v>0</v>
      </c>
      <c r="Q550" s="80">
        <v>1</v>
      </c>
      <c r="R550" s="80">
        <v>0</v>
      </c>
      <c r="S550" s="80">
        <v>0</v>
      </c>
      <c r="T550" s="80">
        <v>0</v>
      </c>
      <c r="U550" s="80">
        <v>2</v>
      </c>
      <c r="V550" s="80">
        <v>1</v>
      </c>
      <c r="W550" s="80">
        <v>0</v>
      </c>
      <c r="X550" s="80">
        <v>0</v>
      </c>
      <c r="Y550" s="80">
        <v>0</v>
      </c>
      <c r="Z550" s="80">
        <v>1</v>
      </c>
      <c r="AA550" s="80">
        <v>0</v>
      </c>
      <c r="AB550" s="80">
        <v>0</v>
      </c>
      <c r="AC550" s="80">
        <v>0</v>
      </c>
      <c r="AD550" s="80">
        <v>0</v>
      </c>
      <c r="AE550" s="80">
        <v>1</v>
      </c>
      <c r="AF550" s="80">
        <v>0</v>
      </c>
      <c r="AG550" s="81">
        <v>1</v>
      </c>
      <c r="AH550" s="80">
        <v>0</v>
      </c>
      <c r="AI550" s="81">
        <v>0</v>
      </c>
      <c r="AJ550" s="81">
        <v>0</v>
      </c>
      <c r="AK550" s="81">
        <v>0</v>
      </c>
      <c r="AL550" s="81">
        <v>0</v>
      </c>
      <c r="AM550" s="81">
        <v>0</v>
      </c>
      <c r="AN550" s="81">
        <v>0</v>
      </c>
      <c r="AO550" s="81">
        <v>0</v>
      </c>
    </row>
    <row r="551" spans="1:41" ht="15.75" x14ac:dyDescent="0.25">
      <c r="A551" s="84"/>
      <c r="B551" s="84"/>
      <c r="C551" s="84"/>
      <c r="D551" s="80" t="s">
        <v>246</v>
      </c>
      <c r="E551" s="80">
        <v>0</v>
      </c>
      <c r="F551" s="80">
        <v>0</v>
      </c>
      <c r="G551" s="80">
        <v>0</v>
      </c>
      <c r="H551" s="80">
        <v>1</v>
      </c>
      <c r="I551" s="80">
        <v>1</v>
      </c>
      <c r="J551" s="80">
        <v>1</v>
      </c>
      <c r="K551" s="80">
        <v>0</v>
      </c>
      <c r="L551" s="80">
        <v>0</v>
      </c>
      <c r="M551" s="80">
        <v>0</v>
      </c>
      <c r="N551" s="80">
        <v>1</v>
      </c>
      <c r="O551" s="80">
        <v>1</v>
      </c>
      <c r="P551" s="80">
        <v>0</v>
      </c>
      <c r="Q551" s="80">
        <v>1</v>
      </c>
      <c r="R551" s="80">
        <v>0</v>
      </c>
      <c r="S551" s="80">
        <v>0</v>
      </c>
      <c r="T551" s="80">
        <v>0</v>
      </c>
      <c r="U551" s="80">
        <v>2</v>
      </c>
      <c r="V551" s="80">
        <v>1</v>
      </c>
      <c r="W551" s="80">
        <v>0</v>
      </c>
      <c r="X551" s="80">
        <v>0</v>
      </c>
      <c r="Y551" s="80">
        <v>0</v>
      </c>
      <c r="Z551" s="80">
        <v>1</v>
      </c>
      <c r="AA551" s="80">
        <v>0</v>
      </c>
      <c r="AB551" s="80">
        <v>0</v>
      </c>
      <c r="AC551" s="80">
        <v>0</v>
      </c>
      <c r="AD551" s="80">
        <v>0</v>
      </c>
      <c r="AE551" s="80">
        <v>1</v>
      </c>
      <c r="AF551" s="80">
        <v>0</v>
      </c>
      <c r="AG551" s="81">
        <v>1</v>
      </c>
      <c r="AH551" s="80">
        <v>0</v>
      </c>
      <c r="AI551" s="81">
        <v>0</v>
      </c>
      <c r="AJ551" s="81">
        <v>0</v>
      </c>
      <c r="AK551" s="81">
        <v>0</v>
      </c>
      <c r="AL551" s="81">
        <v>0</v>
      </c>
      <c r="AM551" s="81">
        <v>0</v>
      </c>
      <c r="AN551" s="81">
        <v>0</v>
      </c>
      <c r="AO551" s="81">
        <v>0</v>
      </c>
    </row>
    <row r="552" spans="1:41" ht="15.75" x14ac:dyDescent="0.25">
      <c r="A552" s="84"/>
      <c r="B552" s="84"/>
      <c r="C552" s="84"/>
      <c r="D552" s="80" t="s">
        <v>247</v>
      </c>
      <c r="E552" s="80">
        <v>0</v>
      </c>
      <c r="F552" s="80">
        <v>0</v>
      </c>
      <c r="G552" s="80">
        <v>0</v>
      </c>
      <c r="H552" s="80">
        <v>0</v>
      </c>
      <c r="I552" s="80">
        <v>1</v>
      </c>
      <c r="J552" s="80">
        <v>0</v>
      </c>
      <c r="K552" s="80">
        <v>0</v>
      </c>
      <c r="L552" s="80">
        <v>0</v>
      </c>
      <c r="M552" s="80">
        <v>0</v>
      </c>
      <c r="N552" s="80">
        <v>0</v>
      </c>
      <c r="O552" s="80">
        <v>0</v>
      </c>
      <c r="P552" s="80">
        <v>0</v>
      </c>
      <c r="Q552" s="80">
        <v>0</v>
      </c>
      <c r="R552" s="80">
        <v>0</v>
      </c>
      <c r="S552" s="80">
        <v>0</v>
      </c>
      <c r="T552" s="80">
        <v>0</v>
      </c>
      <c r="U552" s="80">
        <v>0</v>
      </c>
      <c r="V552" s="80">
        <v>0</v>
      </c>
      <c r="W552" s="80">
        <v>0</v>
      </c>
      <c r="X552" s="80">
        <v>0</v>
      </c>
      <c r="Y552" s="80">
        <v>0</v>
      </c>
      <c r="Z552" s="80">
        <v>0</v>
      </c>
      <c r="AA552" s="80">
        <v>0</v>
      </c>
      <c r="AB552" s="80">
        <v>0</v>
      </c>
      <c r="AC552" s="80">
        <v>0</v>
      </c>
      <c r="AD552" s="80">
        <v>0</v>
      </c>
      <c r="AE552" s="80">
        <v>0</v>
      </c>
      <c r="AF552" s="80">
        <v>0</v>
      </c>
      <c r="AG552" s="81">
        <v>0</v>
      </c>
      <c r="AH552" s="80">
        <v>0</v>
      </c>
      <c r="AI552" s="81">
        <v>0</v>
      </c>
      <c r="AJ552" s="81">
        <v>0</v>
      </c>
      <c r="AK552" s="81">
        <v>0</v>
      </c>
      <c r="AL552" s="81">
        <v>0</v>
      </c>
      <c r="AM552" s="81">
        <v>0</v>
      </c>
      <c r="AN552" s="81">
        <v>0</v>
      </c>
      <c r="AO552" s="81">
        <v>0</v>
      </c>
    </row>
    <row r="553" spans="1:41" ht="15.75" x14ac:dyDescent="0.25">
      <c r="A553" s="84"/>
      <c r="B553" s="84"/>
      <c r="C553" s="84"/>
      <c r="D553" s="80" t="s">
        <v>248</v>
      </c>
      <c r="E553" s="80">
        <v>0</v>
      </c>
      <c r="F553" s="80">
        <v>0</v>
      </c>
      <c r="G553" s="80">
        <v>0</v>
      </c>
      <c r="H553" s="80">
        <v>1</v>
      </c>
      <c r="I553" s="80">
        <v>1</v>
      </c>
      <c r="J553" s="80">
        <v>1</v>
      </c>
      <c r="K553" s="80">
        <v>0</v>
      </c>
      <c r="L553" s="80">
        <v>0</v>
      </c>
      <c r="M553" s="80">
        <v>0</v>
      </c>
      <c r="N553" s="80">
        <v>1</v>
      </c>
      <c r="O553" s="80">
        <v>1</v>
      </c>
      <c r="P553" s="80">
        <v>0</v>
      </c>
      <c r="Q553" s="80">
        <v>1</v>
      </c>
      <c r="R553" s="80">
        <v>0</v>
      </c>
      <c r="S553" s="80">
        <v>0</v>
      </c>
      <c r="T553" s="80">
        <v>0</v>
      </c>
      <c r="U553" s="80">
        <v>2</v>
      </c>
      <c r="V553" s="80">
        <v>0</v>
      </c>
      <c r="W553" s="80">
        <v>0</v>
      </c>
      <c r="X553" s="80">
        <v>0</v>
      </c>
      <c r="Y553" s="80">
        <v>0</v>
      </c>
      <c r="Z553" s="80">
        <v>1</v>
      </c>
      <c r="AA553" s="80">
        <v>0</v>
      </c>
      <c r="AB553" s="80">
        <v>0</v>
      </c>
      <c r="AC553" s="80">
        <v>0</v>
      </c>
      <c r="AD553" s="80">
        <v>0</v>
      </c>
      <c r="AE553" s="80">
        <v>1</v>
      </c>
      <c r="AF553" s="80">
        <v>0</v>
      </c>
      <c r="AG553" s="81">
        <v>1</v>
      </c>
      <c r="AH553" s="80">
        <v>0</v>
      </c>
      <c r="AI553" s="81">
        <v>0</v>
      </c>
      <c r="AJ553" s="81">
        <v>0</v>
      </c>
      <c r="AK553" s="81">
        <v>0</v>
      </c>
      <c r="AL553" s="81">
        <v>0</v>
      </c>
      <c r="AM553" s="81">
        <v>0</v>
      </c>
      <c r="AN553" s="81">
        <v>0</v>
      </c>
      <c r="AO553" s="81">
        <v>0</v>
      </c>
    </row>
    <row r="554" spans="1:41" ht="15.75" x14ac:dyDescent="0.25">
      <c r="A554" s="84"/>
      <c r="B554" s="84"/>
      <c r="C554" s="84"/>
      <c r="D554" s="80" t="s">
        <v>258</v>
      </c>
      <c r="E554" s="80">
        <v>0</v>
      </c>
      <c r="F554" s="80">
        <v>0</v>
      </c>
      <c r="G554" s="80">
        <v>0</v>
      </c>
      <c r="H554" s="80">
        <v>0</v>
      </c>
      <c r="I554" s="80">
        <v>0</v>
      </c>
      <c r="J554" s="80">
        <v>0</v>
      </c>
      <c r="K554" s="80">
        <v>0</v>
      </c>
      <c r="L554" s="80">
        <v>0</v>
      </c>
      <c r="M554" s="80">
        <v>0</v>
      </c>
      <c r="N554" s="80">
        <v>0</v>
      </c>
      <c r="O554" s="80">
        <v>0</v>
      </c>
      <c r="P554" s="80">
        <v>0</v>
      </c>
      <c r="Q554" s="80">
        <v>0</v>
      </c>
      <c r="R554" s="80">
        <v>0</v>
      </c>
      <c r="S554" s="80">
        <v>0</v>
      </c>
      <c r="T554" s="80">
        <v>0</v>
      </c>
      <c r="U554" s="80">
        <v>0</v>
      </c>
      <c r="V554" s="80">
        <v>1</v>
      </c>
      <c r="W554" s="80">
        <v>0</v>
      </c>
      <c r="X554" s="80">
        <v>0</v>
      </c>
      <c r="Y554" s="80">
        <v>0</v>
      </c>
      <c r="Z554" s="80">
        <v>0</v>
      </c>
      <c r="AA554" s="80">
        <v>0</v>
      </c>
      <c r="AB554" s="80">
        <v>0</v>
      </c>
      <c r="AC554" s="80">
        <v>0</v>
      </c>
      <c r="AD554" s="80">
        <v>0</v>
      </c>
      <c r="AE554" s="80">
        <v>0</v>
      </c>
      <c r="AF554" s="80">
        <v>0</v>
      </c>
      <c r="AG554" s="80">
        <v>0</v>
      </c>
      <c r="AH554" s="80">
        <v>0</v>
      </c>
      <c r="AI554" s="80">
        <v>0</v>
      </c>
      <c r="AJ554" s="80">
        <v>0</v>
      </c>
      <c r="AK554" s="80">
        <v>0</v>
      </c>
      <c r="AL554" s="80">
        <v>0</v>
      </c>
      <c r="AM554" s="81">
        <v>0</v>
      </c>
      <c r="AN554" s="81">
        <v>0</v>
      </c>
      <c r="AO554" s="81">
        <v>0</v>
      </c>
    </row>
    <row r="555" spans="1:41" ht="15.75" x14ac:dyDescent="0.25">
      <c r="A555" s="84">
        <v>25</v>
      </c>
      <c r="B555" s="84" t="s">
        <v>90</v>
      </c>
      <c r="C555" s="84" t="s">
        <v>90</v>
      </c>
      <c r="D555" s="80" t="s">
        <v>245</v>
      </c>
      <c r="E555" s="80">
        <v>0</v>
      </c>
      <c r="F555" s="80">
        <v>0</v>
      </c>
      <c r="G555" s="80">
        <v>0</v>
      </c>
      <c r="H555" s="80">
        <v>3</v>
      </c>
      <c r="I555" s="80">
        <v>3</v>
      </c>
      <c r="J555" s="80">
        <v>3</v>
      </c>
      <c r="K555" s="80">
        <v>0</v>
      </c>
      <c r="L555" s="80">
        <v>2</v>
      </c>
      <c r="M555" s="80">
        <v>0</v>
      </c>
      <c r="N555" s="80">
        <v>0</v>
      </c>
      <c r="O555" s="80">
        <v>1</v>
      </c>
      <c r="P555" s="80">
        <v>0</v>
      </c>
      <c r="Q555" s="80">
        <v>2</v>
      </c>
      <c r="R555" s="80">
        <v>0</v>
      </c>
      <c r="S555" s="80">
        <v>0</v>
      </c>
      <c r="T555" s="80">
        <v>1</v>
      </c>
      <c r="U555" s="80">
        <v>3</v>
      </c>
      <c r="V555" s="80">
        <v>2</v>
      </c>
      <c r="W555" s="80">
        <v>1</v>
      </c>
      <c r="X555" s="80">
        <v>0</v>
      </c>
      <c r="Y555" s="80">
        <v>0</v>
      </c>
      <c r="Z555" s="80">
        <v>0</v>
      </c>
      <c r="AA555" s="80">
        <v>1</v>
      </c>
      <c r="AB555" s="80">
        <v>1</v>
      </c>
      <c r="AC555" s="80">
        <v>2</v>
      </c>
      <c r="AD555" s="80">
        <v>1</v>
      </c>
      <c r="AE555" s="80">
        <v>1</v>
      </c>
      <c r="AF555" s="80">
        <v>0</v>
      </c>
      <c r="AG555" s="81">
        <v>0</v>
      </c>
      <c r="AH555" s="80">
        <v>1</v>
      </c>
      <c r="AI555" s="81">
        <v>0</v>
      </c>
      <c r="AJ555" s="81">
        <v>0</v>
      </c>
      <c r="AK555" s="81">
        <v>0</v>
      </c>
      <c r="AL555" s="81">
        <v>0</v>
      </c>
      <c r="AM555" s="81">
        <v>0</v>
      </c>
      <c r="AN555" s="81">
        <v>0</v>
      </c>
      <c r="AO555" s="81">
        <v>0</v>
      </c>
    </row>
    <row r="556" spans="1:41" ht="15.75" x14ac:dyDescent="0.25">
      <c r="A556" s="84">
        <v>26</v>
      </c>
      <c r="B556" s="84"/>
      <c r="C556" s="84" t="s">
        <v>142</v>
      </c>
      <c r="D556" s="80" t="s">
        <v>246</v>
      </c>
      <c r="E556" s="80">
        <v>0</v>
      </c>
      <c r="F556" s="80">
        <v>0</v>
      </c>
      <c r="G556" s="80">
        <v>0</v>
      </c>
      <c r="H556" s="80">
        <v>2</v>
      </c>
      <c r="I556" s="80">
        <v>2</v>
      </c>
      <c r="J556" s="80">
        <v>3</v>
      </c>
      <c r="K556" s="80">
        <v>0</v>
      </c>
      <c r="L556" s="80">
        <v>1</v>
      </c>
      <c r="M556" s="80">
        <v>0</v>
      </c>
      <c r="N556" s="80">
        <v>0</v>
      </c>
      <c r="O556" s="80">
        <v>1</v>
      </c>
      <c r="P556" s="80">
        <v>0</v>
      </c>
      <c r="Q556" s="80">
        <v>2</v>
      </c>
      <c r="R556" s="80">
        <v>0</v>
      </c>
      <c r="S556" s="80">
        <v>0</v>
      </c>
      <c r="T556" s="80">
        <v>1</v>
      </c>
      <c r="U556" s="80">
        <v>3</v>
      </c>
      <c r="V556" s="80">
        <v>2</v>
      </c>
      <c r="W556" s="80">
        <v>1</v>
      </c>
      <c r="X556" s="80">
        <v>0</v>
      </c>
      <c r="Y556" s="80">
        <v>0</v>
      </c>
      <c r="Z556" s="80">
        <v>0</v>
      </c>
      <c r="AA556" s="80">
        <v>1</v>
      </c>
      <c r="AB556" s="80">
        <v>1</v>
      </c>
      <c r="AC556" s="80">
        <v>2</v>
      </c>
      <c r="AD556" s="80">
        <v>1</v>
      </c>
      <c r="AE556" s="80">
        <v>1</v>
      </c>
      <c r="AF556" s="80">
        <v>0</v>
      </c>
      <c r="AG556" s="81">
        <v>0</v>
      </c>
      <c r="AH556" s="80">
        <v>1</v>
      </c>
      <c r="AI556" s="81">
        <v>0</v>
      </c>
      <c r="AJ556" s="81">
        <v>0</v>
      </c>
      <c r="AK556" s="81">
        <v>0</v>
      </c>
      <c r="AL556" s="81">
        <v>0</v>
      </c>
      <c r="AM556" s="81">
        <v>0</v>
      </c>
      <c r="AN556" s="81">
        <v>0</v>
      </c>
      <c r="AO556" s="81">
        <v>0</v>
      </c>
    </row>
    <row r="557" spans="1:41" ht="15.75" x14ac:dyDescent="0.25">
      <c r="A557" s="84">
        <v>27</v>
      </c>
      <c r="B557" s="84"/>
      <c r="C557" s="84" t="s">
        <v>411</v>
      </c>
      <c r="D557" s="80" t="s">
        <v>247</v>
      </c>
      <c r="E557" s="80">
        <v>0</v>
      </c>
      <c r="F557" s="80">
        <v>0</v>
      </c>
      <c r="G557" s="80">
        <v>0</v>
      </c>
      <c r="H557" s="80">
        <v>1</v>
      </c>
      <c r="I557" s="80">
        <v>1</v>
      </c>
      <c r="J557" s="80">
        <v>0</v>
      </c>
      <c r="K557" s="80">
        <v>0</v>
      </c>
      <c r="L557" s="80">
        <v>0</v>
      </c>
      <c r="M557" s="80">
        <v>0</v>
      </c>
      <c r="N557" s="80">
        <v>0</v>
      </c>
      <c r="O557" s="80">
        <v>0</v>
      </c>
      <c r="P557" s="80">
        <v>0</v>
      </c>
      <c r="Q557" s="80">
        <v>0</v>
      </c>
      <c r="R557" s="80">
        <v>0</v>
      </c>
      <c r="S557" s="80">
        <v>0</v>
      </c>
      <c r="T557" s="80">
        <v>0</v>
      </c>
      <c r="U557" s="80">
        <v>0</v>
      </c>
      <c r="V557" s="80">
        <v>0</v>
      </c>
      <c r="W557" s="80">
        <v>0</v>
      </c>
      <c r="X557" s="80">
        <v>0</v>
      </c>
      <c r="Y557" s="80">
        <v>0</v>
      </c>
      <c r="Z557" s="80">
        <v>0</v>
      </c>
      <c r="AA557" s="80">
        <v>0</v>
      </c>
      <c r="AB557" s="80">
        <v>0</v>
      </c>
      <c r="AC557" s="80">
        <v>0</v>
      </c>
      <c r="AD557" s="80">
        <v>0</v>
      </c>
      <c r="AE557" s="80">
        <v>0</v>
      </c>
      <c r="AF557" s="80">
        <v>0</v>
      </c>
      <c r="AG557" s="81">
        <v>0</v>
      </c>
      <c r="AH557" s="80">
        <v>0</v>
      </c>
      <c r="AI557" s="81">
        <v>0</v>
      </c>
      <c r="AJ557" s="81">
        <v>0</v>
      </c>
      <c r="AK557" s="81">
        <v>0</v>
      </c>
      <c r="AL557" s="81">
        <v>0</v>
      </c>
      <c r="AM557" s="81">
        <v>0</v>
      </c>
      <c r="AN557" s="81">
        <v>0</v>
      </c>
      <c r="AO557" s="81">
        <v>0</v>
      </c>
    </row>
    <row r="558" spans="1:41" ht="15.75" x14ac:dyDescent="0.25">
      <c r="A558" s="84"/>
      <c r="B558" s="84"/>
      <c r="C558" s="84"/>
      <c r="D558" s="80" t="s">
        <v>248</v>
      </c>
      <c r="E558" s="80">
        <v>0</v>
      </c>
      <c r="F558" s="80">
        <v>0</v>
      </c>
      <c r="G558" s="80">
        <v>0</v>
      </c>
      <c r="H558" s="80">
        <v>2</v>
      </c>
      <c r="I558" s="80">
        <v>2</v>
      </c>
      <c r="J558" s="80">
        <v>3</v>
      </c>
      <c r="K558" s="80">
        <v>0</v>
      </c>
      <c r="L558" s="80">
        <v>0</v>
      </c>
      <c r="M558" s="80">
        <v>0</v>
      </c>
      <c r="N558" s="80">
        <v>0</v>
      </c>
      <c r="O558" s="80">
        <v>1</v>
      </c>
      <c r="P558" s="80">
        <v>0</v>
      </c>
      <c r="Q558" s="80">
        <v>1</v>
      </c>
      <c r="R558" s="80">
        <v>0</v>
      </c>
      <c r="S558" s="80">
        <v>0</v>
      </c>
      <c r="T558" s="80">
        <v>1</v>
      </c>
      <c r="U558" s="80">
        <v>2</v>
      </c>
      <c r="V558" s="80">
        <v>2</v>
      </c>
      <c r="W558" s="80">
        <v>1</v>
      </c>
      <c r="X558" s="80">
        <v>0</v>
      </c>
      <c r="Y558" s="80">
        <v>0</v>
      </c>
      <c r="Z558" s="80">
        <v>0</v>
      </c>
      <c r="AA558" s="80">
        <v>1</v>
      </c>
      <c r="AB558" s="80">
        <v>1</v>
      </c>
      <c r="AC558" s="80">
        <v>1</v>
      </c>
      <c r="AD558" s="80">
        <v>1</v>
      </c>
      <c r="AE558" s="80">
        <v>1</v>
      </c>
      <c r="AF558" s="80">
        <v>0</v>
      </c>
      <c r="AG558" s="81">
        <v>0</v>
      </c>
      <c r="AH558" s="80">
        <v>1</v>
      </c>
      <c r="AI558" s="81">
        <v>0</v>
      </c>
      <c r="AJ558" s="81">
        <v>0</v>
      </c>
      <c r="AK558" s="81">
        <v>0</v>
      </c>
      <c r="AL558" s="81">
        <v>0</v>
      </c>
      <c r="AM558" s="81">
        <v>0</v>
      </c>
      <c r="AN558" s="81">
        <v>0</v>
      </c>
      <c r="AO558" s="81">
        <v>0</v>
      </c>
    </row>
    <row r="559" spans="1:41" ht="15.75" x14ac:dyDescent="0.25">
      <c r="A559" s="84"/>
      <c r="B559" s="84"/>
      <c r="C559" s="84"/>
      <c r="D559" s="80" t="s">
        <v>258</v>
      </c>
      <c r="E559" s="80">
        <v>0</v>
      </c>
      <c r="F559" s="80">
        <v>0</v>
      </c>
      <c r="G559" s="80">
        <v>0</v>
      </c>
      <c r="H559" s="80">
        <v>0</v>
      </c>
      <c r="I559" s="80">
        <v>0</v>
      </c>
      <c r="J559" s="80">
        <v>0</v>
      </c>
      <c r="K559" s="80">
        <v>0</v>
      </c>
      <c r="L559" s="80">
        <v>1</v>
      </c>
      <c r="M559" s="80">
        <v>0</v>
      </c>
      <c r="N559" s="80">
        <v>0</v>
      </c>
      <c r="O559" s="80">
        <v>0</v>
      </c>
      <c r="P559" s="80">
        <v>0</v>
      </c>
      <c r="Q559" s="80">
        <v>1</v>
      </c>
      <c r="R559" s="80">
        <v>0</v>
      </c>
      <c r="S559" s="80">
        <v>0</v>
      </c>
      <c r="T559" s="80">
        <v>0</v>
      </c>
      <c r="U559" s="80">
        <v>1</v>
      </c>
      <c r="V559" s="80">
        <v>0</v>
      </c>
      <c r="W559" s="80">
        <v>0</v>
      </c>
      <c r="X559" s="80">
        <v>0</v>
      </c>
      <c r="Y559" s="80">
        <v>0</v>
      </c>
      <c r="Z559" s="80">
        <v>0</v>
      </c>
      <c r="AA559" s="80">
        <v>0</v>
      </c>
      <c r="AB559" s="80">
        <v>0</v>
      </c>
      <c r="AC559" s="80">
        <v>1</v>
      </c>
      <c r="AD559" s="80">
        <v>0</v>
      </c>
      <c r="AE559" s="80">
        <v>0</v>
      </c>
      <c r="AF559" s="80">
        <v>0</v>
      </c>
      <c r="AG559" s="80">
        <v>0</v>
      </c>
      <c r="AH559" s="80">
        <v>0</v>
      </c>
      <c r="AI559" s="80">
        <v>0</v>
      </c>
      <c r="AJ559" s="80">
        <v>0</v>
      </c>
      <c r="AK559" s="80">
        <v>0</v>
      </c>
      <c r="AL559" s="80">
        <v>0</v>
      </c>
      <c r="AM559" s="81">
        <v>0</v>
      </c>
      <c r="AN559" s="81">
        <v>0</v>
      </c>
      <c r="AO559" s="81">
        <v>0</v>
      </c>
    </row>
    <row r="560" spans="1:41" ht="15.75" x14ac:dyDescent="0.25">
      <c r="A560" s="84">
        <v>28</v>
      </c>
      <c r="B560" s="84" t="s">
        <v>89</v>
      </c>
      <c r="C560" s="84" t="s">
        <v>176</v>
      </c>
      <c r="D560" s="80" t="s">
        <v>245</v>
      </c>
      <c r="E560" s="80">
        <v>0</v>
      </c>
      <c r="F560" s="80">
        <v>0</v>
      </c>
      <c r="G560" s="80">
        <v>0</v>
      </c>
      <c r="H560" s="80">
        <v>2</v>
      </c>
      <c r="I560" s="80">
        <v>1</v>
      </c>
      <c r="J560" s="80">
        <v>1</v>
      </c>
      <c r="K560" s="80">
        <v>0</v>
      </c>
      <c r="L560" s="80">
        <v>0</v>
      </c>
      <c r="M560" s="80">
        <v>1</v>
      </c>
      <c r="N560" s="80">
        <v>0</v>
      </c>
      <c r="O560" s="80">
        <v>1</v>
      </c>
      <c r="P560" s="80">
        <v>0</v>
      </c>
      <c r="Q560" s="80">
        <v>1</v>
      </c>
      <c r="R560" s="80">
        <v>1</v>
      </c>
      <c r="S560" s="80">
        <v>0</v>
      </c>
      <c r="T560" s="80">
        <v>0</v>
      </c>
      <c r="U560" s="80">
        <v>1</v>
      </c>
      <c r="V560" s="80">
        <v>1</v>
      </c>
      <c r="W560" s="80">
        <v>1</v>
      </c>
      <c r="X560" s="80">
        <v>0</v>
      </c>
      <c r="Y560" s="80">
        <v>0</v>
      </c>
      <c r="Z560" s="80">
        <v>3</v>
      </c>
      <c r="AA560" s="80">
        <v>0</v>
      </c>
      <c r="AB560" s="80">
        <v>0</v>
      </c>
      <c r="AC560" s="80">
        <v>0</v>
      </c>
      <c r="AD560" s="80">
        <v>1</v>
      </c>
      <c r="AE560" s="80">
        <v>0</v>
      </c>
      <c r="AF560" s="80">
        <v>0</v>
      </c>
      <c r="AG560" s="81">
        <v>1</v>
      </c>
      <c r="AH560" s="80">
        <v>0</v>
      </c>
      <c r="AI560" s="81">
        <v>0</v>
      </c>
      <c r="AJ560" s="81">
        <v>0</v>
      </c>
      <c r="AK560" s="81">
        <v>0</v>
      </c>
      <c r="AL560" s="81">
        <v>0</v>
      </c>
      <c r="AM560" s="81">
        <v>0</v>
      </c>
      <c r="AN560" s="81">
        <v>0</v>
      </c>
      <c r="AO560" s="81">
        <v>0</v>
      </c>
    </row>
    <row r="561" spans="1:41" ht="15.75" x14ac:dyDescent="0.25">
      <c r="A561" s="84"/>
      <c r="B561" s="84"/>
      <c r="C561" s="84"/>
      <c r="D561" s="80" t="s">
        <v>246</v>
      </c>
      <c r="E561" s="80">
        <v>0</v>
      </c>
      <c r="F561" s="80">
        <v>0</v>
      </c>
      <c r="G561" s="80">
        <v>0</v>
      </c>
      <c r="H561" s="80">
        <v>2</v>
      </c>
      <c r="I561" s="80">
        <v>1</v>
      </c>
      <c r="J561" s="80">
        <v>1</v>
      </c>
      <c r="K561" s="80">
        <v>0</v>
      </c>
      <c r="L561" s="80">
        <v>0</v>
      </c>
      <c r="M561" s="80">
        <v>1</v>
      </c>
      <c r="N561" s="80">
        <v>0</v>
      </c>
      <c r="O561" s="80">
        <v>1</v>
      </c>
      <c r="P561" s="80">
        <v>0</v>
      </c>
      <c r="Q561" s="80">
        <v>1</v>
      </c>
      <c r="R561" s="80">
        <v>1</v>
      </c>
      <c r="S561" s="80">
        <v>0</v>
      </c>
      <c r="T561" s="80">
        <v>0</v>
      </c>
      <c r="U561" s="80">
        <v>1</v>
      </c>
      <c r="V561" s="80">
        <v>1</v>
      </c>
      <c r="W561" s="80">
        <v>1</v>
      </c>
      <c r="X561" s="80">
        <v>0</v>
      </c>
      <c r="Y561" s="80">
        <v>0</v>
      </c>
      <c r="Z561" s="80">
        <v>3</v>
      </c>
      <c r="AA561" s="80">
        <v>0</v>
      </c>
      <c r="AB561" s="80">
        <v>0</v>
      </c>
      <c r="AC561" s="80">
        <v>0</v>
      </c>
      <c r="AD561" s="80">
        <v>1</v>
      </c>
      <c r="AE561" s="80">
        <v>0</v>
      </c>
      <c r="AF561" s="80">
        <v>0</v>
      </c>
      <c r="AG561" s="81">
        <v>1</v>
      </c>
      <c r="AH561" s="80">
        <v>0</v>
      </c>
      <c r="AI561" s="81">
        <v>0</v>
      </c>
      <c r="AJ561" s="81">
        <v>0</v>
      </c>
      <c r="AK561" s="81">
        <v>0</v>
      </c>
      <c r="AL561" s="81">
        <v>0</v>
      </c>
      <c r="AM561" s="81">
        <v>0</v>
      </c>
      <c r="AN561" s="81">
        <v>0</v>
      </c>
      <c r="AO561" s="81">
        <v>0</v>
      </c>
    </row>
    <row r="562" spans="1:41" ht="15.75" x14ac:dyDescent="0.25">
      <c r="A562" s="84"/>
      <c r="B562" s="84"/>
      <c r="C562" s="84"/>
      <c r="D562" s="80" t="s">
        <v>247</v>
      </c>
      <c r="E562" s="80">
        <v>0</v>
      </c>
      <c r="F562" s="80">
        <v>0</v>
      </c>
      <c r="G562" s="80">
        <v>0</v>
      </c>
      <c r="H562" s="80">
        <v>0</v>
      </c>
      <c r="I562" s="80">
        <v>0</v>
      </c>
      <c r="J562" s="80">
        <v>0</v>
      </c>
      <c r="K562" s="80">
        <v>0</v>
      </c>
      <c r="L562" s="80">
        <v>0</v>
      </c>
      <c r="M562" s="80">
        <v>0</v>
      </c>
      <c r="N562" s="80">
        <v>0</v>
      </c>
      <c r="O562" s="80">
        <v>0</v>
      </c>
      <c r="P562" s="80">
        <v>0</v>
      </c>
      <c r="Q562" s="80">
        <v>0</v>
      </c>
      <c r="R562" s="80">
        <v>0</v>
      </c>
      <c r="S562" s="80">
        <v>0</v>
      </c>
      <c r="T562" s="80">
        <v>0</v>
      </c>
      <c r="U562" s="80">
        <v>0</v>
      </c>
      <c r="V562" s="80">
        <v>0</v>
      </c>
      <c r="W562" s="80">
        <v>0</v>
      </c>
      <c r="X562" s="80">
        <v>0</v>
      </c>
      <c r="Y562" s="80">
        <v>0</v>
      </c>
      <c r="Z562" s="80">
        <v>0</v>
      </c>
      <c r="AA562" s="80">
        <v>0</v>
      </c>
      <c r="AB562" s="80">
        <v>0</v>
      </c>
      <c r="AC562" s="80">
        <v>0</v>
      </c>
      <c r="AD562" s="80">
        <v>0</v>
      </c>
      <c r="AE562" s="80">
        <v>0</v>
      </c>
      <c r="AF562" s="80">
        <v>0</v>
      </c>
      <c r="AG562" s="81">
        <v>0</v>
      </c>
      <c r="AH562" s="80">
        <v>0</v>
      </c>
      <c r="AI562" s="81">
        <v>0</v>
      </c>
      <c r="AJ562" s="81">
        <v>0</v>
      </c>
      <c r="AK562" s="81">
        <v>0</v>
      </c>
      <c r="AL562" s="81">
        <v>0</v>
      </c>
      <c r="AM562" s="81">
        <v>0</v>
      </c>
      <c r="AN562" s="81">
        <v>0</v>
      </c>
      <c r="AO562" s="81">
        <v>0</v>
      </c>
    </row>
    <row r="563" spans="1:41" ht="15.75" x14ac:dyDescent="0.25">
      <c r="A563" s="84"/>
      <c r="B563" s="84"/>
      <c r="C563" s="84"/>
      <c r="D563" s="80" t="s">
        <v>248</v>
      </c>
      <c r="E563" s="80">
        <v>0</v>
      </c>
      <c r="F563" s="80">
        <v>0</v>
      </c>
      <c r="G563" s="80">
        <v>0</v>
      </c>
      <c r="H563" s="80">
        <v>2</v>
      </c>
      <c r="I563" s="80">
        <v>1</v>
      </c>
      <c r="J563" s="80">
        <v>1</v>
      </c>
      <c r="K563" s="80">
        <v>0</v>
      </c>
      <c r="L563" s="80">
        <v>0</v>
      </c>
      <c r="M563" s="80">
        <v>1</v>
      </c>
      <c r="N563" s="80">
        <v>0</v>
      </c>
      <c r="O563" s="80">
        <v>1</v>
      </c>
      <c r="P563" s="80">
        <v>0</v>
      </c>
      <c r="Q563" s="80">
        <v>1</v>
      </c>
      <c r="R563" s="80">
        <v>1</v>
      </c>
      <c r="S563" s="80">
        <v>0</v>
      </c>
      <c r="T563" s="80">
        <v>0</v>
      </c>
      <c r="U563" s="80">
        <v>1</v>
      </c>
      <c r="V563" s="80">
        <v>1</v>
      </c>
      <c r="W563" s="80">
        <v>1</v>
      </c>
      <c r="X563" s="80">
        <v>0</v>
      </c>
      <c r="Y563" s="80">
        <v>0</v>
      </c>
      <c r="Z563" s="80">
        <v>3</v>
      </c>
      <c r="AA563" s="80">
        <v>0</v>
      </c>
      <c r="AB563" s="80">
        <v>0</v>
      </c>
      <c r="AC563" s="80">
        <v>0</v>
      </c>
      <c r="AD563" s="80">
        <v>1</v>
      </c>
      <c r="AE563" s="80">
        <v>0</v>
      </c>
      <c r="AF563" s="80">
        <v>0</v>
      </c>
      <c r="AG563" s="81">
        <v>1</v>
      </c>
      <c r="AH563" s="80">
        <v>0</v>
      </c>
      <c r="AI563" s="81">
        <v>0</v>
      </c>
      <c r="AJ563" s="81">
        <v>0</v>
      </c>
      <c r="AK563" s="81">
        <v>0</v>
      </c>
      <c r="AL563" s="81">
        <v>0</v>
      </c>
      <c r="AM563" s="81">
        <v>0</v>
      </c>
      <c r="AN563" s="81">
        <v>0</v>
      </c>
      <c r="AO563" s="81">
        <v>0</v>
      </c>
    </row>
    <row r="564" spans="1:41" ht="15.75" x14ac:dyDescent="0.25">
      <c r="A564" s="84"/>
      <c r="B564" s="84"/>
      <c r="C564" s="84"/>
      <c r="D564" s="80" t="s">
        <v>258</v>
      </c>
      <c r="E564" s="80">
        <v>0</v>
      </c>
      <c r="F564" s="80">
        <v>0</v>
      </c>
      <c r="G564" s="80">
        <v>0</v>
      </c>
      <c r="H564" s="80">
        <v>0</v>
      </c>
      <c r="I564" s="80">
        <v>0</v>
      </c>
      <c r="J564" s="80">
        <v>0</v>
      </c>
      <c r="K564" s="80">
        <v>0</v>
      </c>
      <c r="L564" s="80">
        <v>0</v>
      </c>
      <c r="M564" s="80">
        <v>0</v>
      </c>
      <c r="N564" s="80">
        <v>0</v>
      </c>
      <c r="O564" s="80">
        <v>0</v>
      </c>
      <c r="P564" s="80">
        <v>0</v>
      </c>
      <c r="Q564" s="80">
        <v>0</v>
      </c>
      <c r="R564" s="80">
        <v>0</v>
      </c>
      <c r="S564" s="80">
        <v>0</v>
      </c>
      <c r="T564" s="80">
        <v>0</v>
      </c>
      <c r="U564" s="80">
        <v>0</v>
      </c>
      <c r="V564" s="80">
        <v>0</v>
      </c>
      <c r="W564" s="80">
        <v>0</v>
      </c>
      <c r="X564" s="80">
        <v>0</v>
      </c>
      <c r="Y564" s="80">
        <v>0</v>
      </c>
      <c r="Z564" s="80">
        <v>0</v>
      </c>
      <c r="AA564" s="80">
        <v>0</v>
      </c>
      <c r="AB564" s="80">
        <v>0</v>
      </c>
      <c r="AC564" s="80">
        <v>0</v>
      </c>
      <c r="AD564" s="80">
        <v>0</v>
      </c>
      <c r="AE564" s="80">
        <v>0</v>
      </c>
      <c r="AF564" s="80">
        <v>0</v>
      </c>
      <c r="AG564" s="80">
        <v>0</v>
      </c>
      <c r="AH564" s="80">
        <v>0</v>
      </c>
      <c r="AI564" s="80">
        <v>0</v>
      </c>
      <c r="AJ564" s="80">
        <v>0</v>
      </c>
      <c r="AK564" s="80">
        <v>0</v>
      </c>
      <c r="AL564" s="80">
        <v>0</v>
      </c>
      <c r="AM564" s="81">
        <v>0</v>
      </c>
      <c r="AN564" s="81">
        <v>0</v>
      </c>
      <c r="AO564" s="81">
        <v>0</v>
      </c>
    </row>
    <row r="565" spans="1:41" ht="15.75" x14ac:dyDescent="0.25">
      <c r="A565" s="84">
        <v>29</v>
      </c>
      <c r="B565" s="84"/>
      <c r="C565" s="84" t="s">
        <v>89</v>
      </c>
      <c r="D565" s="80" t="s">
        <v>245</v>
      </c>
      <c r="E565" s="80">
        <v>0</v>
      </c>
      <c r="F565" s="80">
        <v>0</v>
      </c>
      <c r="G565" s="80">
        <v>0</v>
      </c>
      <c r="H565" s="80">
        <v>1</v>
      </c>
      <c r="I565" s="80">
        <v>0</v>
      </c>
      <c r="J565" s="80">
        <v>1</v>
      </c>
      <c r="K565" s="80">
        <v>0</v>
      </c>
      <c r="L565" s="80">
        <v>0</v>
      </c>
      <c r="M565" s="80">
        <v>1</v>
      </c>
      <c r="N565" s="80">
        <v>0</v>
      </c>
      <c r="O565" s="80">
        <v>0</v>
      </c>
      <c r="P565" s="80">
        <v>0</v>
      </c>
      <c r="Q565" s="80">
        <v>0</v>
      </c>
      <c r="R565" s="80">
        <v>0</v>
      </c>
      <c r="S565" s="80">
        <v>0</v>
      </c>
      <c r="T565" s="80">
        <v>0</v>
      </c>
      <c r="U565" s="80">
        <v>0</v>
      </c>
      <c r="V565" s="80">
        <v>0</v>
      </c>
      <c r="W565" s="80">
        <v>0</v>
      </c>
      <c r="X565" s="80">
        <v>0</v>
      </c>
      <c r="Y565" s="80">
        <v>0</v>
      </c>
      <c r="Z565" s="80">
        <v>2</v>
      </c>
      <c r="AA565" s="80">
        <v>0</v>
      </c>
      <c r="AB565" s="80">
        <v>0</v>
      </c>
      <c r="AC565" s="80">
        <v>0</v>
      </c>
      <c r="AD565" s="80">
        <v>0</v>
      </c>
      <c r="AE565" s="80">
        <v>0</v>
      </c>
      <c r="AF565" s="80">
        <v>0</v>
      </c>
      <c r="AG565" s="80">
        <v>0</v>
      </c>
      <c r="AH565" s="80">
        <v>0</v>
      </c>
      <c r="AI565" s="80">
        <v>0</v>
      </c>
      <c r="AJ565" s="80">
        <v>0</v>
      </c>
      <c r="AK565" s="80">
        <v>0</v>
      </c>
      <c r="AL565" s="80">
        <v>0</v>
      </c>
      <c r="AM565" s="80">
        <v>0</v>
      </c>
      <c r="AN565" s="80">
        <v>0</v>
      </c>
      <c r="AO565" s="80">
        <v>0</v>
      </c>
    </row>
    <row r="566" spans="1:41" ht="15.75" x14ac:dyDescent="0.25">
      <c r="A566" s="84"/>
      <c r="B566" s="84"/>
      <c r="C566" s="84"/>
      <c r="D566" s="80" t="s">
        <v>246</v>
      </c>
      <c r="E566" s="80">
        <v>0</v>
      </c>
      <c r="F566" s="80">
        <v>0</v>
      </c>
      <c r="G566" s="80">
        <v>0</v>
      </c>
      <c r="H566" s="80">
        <v>0</v>
      </c>
      <c r="I566" s="80">
        <v>0</v>
      </c>
      <c r="J566" s="80">
        <v>1</v>
      </c>
      <c r="K566" s="80">
        <v>0</v>
      </c>
      <c r="L566" s="80">
        <v>0</v>
      </c>
      <c r="M566" s="80">
        <v>0</v>
      </c>
      <c r="N566" s="80">
        <v>0</v>
      </c>
      <c r="O566" s="80">
        <v>0</v>
      </c>
      <c r="P566" s="80">
        <v>0</v>
      </c>
      <c r="Q566" s="80">
        <v>0</v>
      </c>
      <c r="R566" s="80">
        <v>0</v>
      </c>
      <c r="S566" s="80">
        <v>0</v>
      </c>
      <c r="T566" s="80">
        <v>0</v>
      </c>
      <c r="U566" s="80">
        <v>0</v>
      </c>
      <c r="V566" s="80">
        <v>0</v>
      </c>
      <c r="W566" s="80">
        <v>0</v>
      </c>
      <c r="X566" s="80">
        <v>0</v>
      </c>
      <c r="Y566" s="80">
        <v>0</v>
      </c>
      <c r="Z566" s="80">
        <v>2</v>
      </c>
      <c r="AA566" s="80">
        <v>0</v>
      </c>
      <c r="AB566" s="80">
        <v>0</v>
      </c>
      <c r="AC566" s="80">
        <v>0</v>
      </c>
      <c r="AD566" s="80">
        <v>0</v>
      </c>
      <c r="AE566" s="80">
        <v>0</v>
      </c>
      <c r="AF566" s="80">
        <v>0</v>
      </c>
      <c r="AG566" s="80">
        <v>0</v>
      </c>
      <c r="AH566" s="80">
        <v>0</v>
      </c>
      <c r="AI566" s="80">
        <v>0</v>
      </c>
      <c r="AJ566" s="80">
        <v>0</v>
      </c>
      <c r="AK566" s="80">
        <v>0</v>
      </c>
      <c r="AL566" s="80">
        <v>0</v>
      </c>
      <c r="AM566" s="80">
        <v>0</v>
      </c>
      <c r="AN566" s="80">
        <v>0</v>
      </c>
      <c r="AO566" s="80">
        <v>0</v>
      </c>
    </row>
    <row r="567" spans="1:41" ht="15.75" x14ac:dyDescent="0.25">
      <c r="A567" s="84"/>
      <c r="B567" s="84"/>
      <c r="C567" s="84"/>
      <c r="D567" s="80" t="s">
        <v>247</v>
      </c>
      <c r="E567" s="80">
        <v>0</v>
      </c>
      <c r="F567" s="80">
        <v>0</v>
      </c>
      <c r="G567" s="80">
        <v>0</v>
      </c>
      <c r="H567" s="80">
        <v>1</v>
      </c>
      <c r="I567" s="80">
        <v>0</v>
      </c>
      <c r="J567" s="80">
        <v>0</v>
      </c>
      <c r="K567" s="80">
        <v>0</v>
      </c>
      <c r="L567" s="80">
        <v>0</v>
      </c>
      <c r="M567" s="80">
        <v>1</v>
      </c>
      <c r="N567" s="80">
        <v>0</v>
      </c>
      <c r="O567" s="80">
        <v>0</v>
      </c>
      <c r="P567" s="80">
        <v>0</v>
      </c>
      <c r="Q567" s="80">
        <v>0</v>
      </c>
      <c r="R567" s="80">
        <v>0</v>
      </c>
      <c r="S567" s="80">
        <v>0</v>
      </c>
      <c r="T567" s="80">
        <v>0</v>
      </c>
      <c r="U567" s="80">
        <v>0</v>
      </c>
      <c r="V567" s="80">
        <v>0</v>
      </c>
      <c r="W567" s="80">
        <v>0</v>
      </c>
      <c r="X567" s="80">
        <v>0</v>
      </c>
      <c r="Y567" s="80">
        <v>0</v>
      </c>
      <c r="Z567" s="80">
        <v>0</v>
      </c>
      <c r="AA567" s="80">
        <v>0</v>
      </c>
      <c r="AB567" s="80">
        <v>0</v>
      </c>
      <c r="AC567" s="80">
        <v>0</v>
      </c>
      <c r="AD567" s="80">
        <v>0</v>
      </c>
      <c r="AE567" s="80">
        <v>0</v>
      </c>
      <c r="AF567" s="80">
        <v>0</v>
      </c>
      <c r="AG567" s="80">
        <v>0</v>
      </c>
      <c r="AH567" s="80">
        <v>0</v>
      </c>
      <c r="AI567" s="80">
        <v>0</v>
      </c>
      <c r="AJ567" s="80">
        <v>0</v>
      </c>
      <c r="AK567" s="80">
        <v>0</v>
      </c>
      <c r="AL567" s="80">
        <v>0</v>
      </c>
      <c r="AM567" s="80">
        <v>0</v>
      </c>
      <c r="AN567" s="80">
        <v>0</v>
      </c>
      <c r="AO567" s="80">
        <v>0</v>
      </c>
    </row>
    <row r="568" spans="1:41" ht="15.75" x14ac:dyDescent="0.25">
      <c r="A568" s="84"/>
      <c r="B568" s="84"/>
      <c r="C568" s="84"/>
      <c r="D568" s="80" t="s">
        <v>248</v>
      </c>
      <c r="E568" s="80">
        <v>0</v>
      </c>
      <c r="F568" s="80">
        <v>0</v>
      </c>
      <c r="G568" s="80">
        <v>0</v>
      </c>
      <c r="H568" s="80">
        <v>0</v>
      </c>
      <c r="I568" s="80">
        <v>0</v>
      </c>
      <c r="J568" s="80">
        <v>1</v>
      </c>
      <c r="K568" s="80">
        <v>0</v>
      </c>
      <c r="L568" s="80">
        <v>0</v>
      </c>
      <c r="M568" s="80">
        <v>0</v>
      </c>
      <c r="N568" s="80">
        <v>0</v>
      </c>
      <c r="O568" s="80">
        <v>0</v>
      </c>
      <c r="P568" s="80">
        <v>0</v>
      </c>
      <c r="Q568" s="80">
        <v>0</v>
      </c>
      <c r="R568" s="80">
        <v>0</v>
      </c>
      <c r="S568" s="80">
        <v>0</v>
      </c>
      <c r="T568" s="80">
        <v>0</v>
      </c>
      <c r="U568" s="80">
        <v>0</v>
      </c>
      <c r="V568" s="80">
        <v>0</v>
      </c>
      <c r="W568" s="80">
        <v>0</v>
      </c>
      <c r="X568" s="80">
        <v>0</v>
      </c>
      <c r="Y568" s="80">
        <v>0</v>
      </c>
      <c r="Z568" s="80">
        <v>2</v>
      </c>
      <c r="AA568" s="80">
        <v>0</v>
      </c>
      <c r="AB568" s="80">
        <v>0</v>
      </c>
      <c r="AC568" s="80">
        <v>0</v>
      </c>
      <c r="AD568" s="80">
        <v>0</v>
      </c>
      <c r="AE568" s="80">
        <v>0</v>
      </c>
      <c r="AF568" s="80">
        <v>0</v>
      </c>
      <c r="AG568" s="80">
        <v>0</v>
      </c>
      <c r="AH568" s="80">
        <v>0</v>
      </c>
      <c r="AI568" s="80">
        <v>0</v>
      </c>
      <c r="AJ568" s="80">
        <v>0</v>
      </c>
      <c r="AK568" s="80">
        <v>0</v>
      </c>
      <c r="AL568" s="80">
        <v>0</v>
      </c>
      <c r="AM568" s="80">
        <v>0</v>
      </c>
      <c r="AN568" s="80">
        <v>0</v>
      </c>
      <c r="AO568" s="80">
        <v>0</v>
      </c>
    </row>
    <row r="569" spans="1:41" ht="15.75" x14ac:dyDescent="0.25">
      <c r="A569" s="84"/>
      <c r="B569" s="84"/>
      <c r="C569" s="84"/>
      <c r="D569" s="80" t="s">
        <v>258</v>
      </c>
      <c r="E569" s="80">
        <v>0</v>
      </c>
      <c r="F569" s="80">
        <v>0</v>
      </c>
      <c r="G569" s="80">
        <v>0</v>
      </c>
      <c r="H569" s="80">
        <v>0</v>
      </c>
      <c r="I569" s="80">
        <v>0</v>
      </c>
      <c r="J569" s="80">
        <v>0</v>
      </c>
      <c r="K569" s="80">
        <v>0</v>
      </c>
      <c r="L569" s="80">
        <v>0</v>
      </c>
      <c r="M569" s="80">
        <v>0</v>
      </c>
      <c r="N569" s="80">
        <v>0</v>
      </c>
      <c r="O569" s="80">
        <v>0</v>
      </c>
      <c r="P569" s="80">
        <v>0</v>
      </c>
      <c r="Q569" s="80">
        <v>0</v>
      </c>
      <c r="R569" s="80">
        <v>0</v>
      </c>
      <c r="S569" s="80">
        <v>0</v>
      </c>
      <c r="T569" s="80">
        <v>0</v>
      </c>
      <c r="U569" s="80">
        <v>0</v>
      </c>
      <c r="V569" s="80">
        <v>0</v>
      </c>
      <c r="W569" s="80">
        <v>0</v>
      </c>
      <c r="X569" s="80">
        <v>0</v>
      </c>
      <c r="Y569" s="80">
        <v>0</v>
      </c>
      <c r="Z569" s="80">
        <v>0</v>
      </c>
      <c r="AA569" s="80">
        <v>0</v>
      </c>
      <c r="AB569" s="80">
        <v>0</v>
      </c>
      <c r="AC569" s="80">
        <v>0</v>
      </c>
      <c r="AD569" s="80">
        <v>0</v>
      </c>
      <c r="AE569" s="80">
        <v>0</v>
      </c>
      <c r="AF569" s="80">
        <v>0</v>
      </c>
      <c r="AG569" s="80">
        <v>0</v>
      </c>
      <c r="AH569" s="80">
        <v>0</v>
      </c>
      <c r="AI569" s="80">
        <v>0</v>
      </c>
      <c r="AJ569" s="80">
        <v>0</v>
      </c>
      <c r="AK569" s="80">
        <v>0</v>
      </c>
      <c r="AL569" s="80">
        <v>0</v>
      </c>
      <c r="AM569" s="80">
        <v>0</v>
      </c>
      <c r="AN569" s="80">
        <v>0</v>
      </c>
      <c r="AO569" s="80">
        <v>0</v>
      </c>
    </row>
    <row r="570" spans="1:41" ht="15.75" x14ac:dyDescent="0.25">
      <c r="A570" s="84">
        <v>30</v>
      </c>
      <c r="B570" s="84"/>
      <c r="C570" s="84" t="s">
        <v>185</v>
      </c>
      <c r="D570" s="80" t="s">
        <v>245</v>
      </c>
      <c r="E570" s="80">
        <v>0</v>
      </c>
      <c r="F570" s="80">
        <v>0</v>
      </c>
      <c r="G570" s="80">
        <v>0</v>
      </c>
      <c r="H570" s="80">
        <v>1</v>
      </c>
      <c r="I570" s="80">
        <v>1</v>
      </c>
      <c r="J570" s="80">
        <v>1</v>
      </c>
      <c r="K570" s="80">
        <v>0</v>
      </c>
      <c r="L570" s="80">
        <v>0</v>
      </c>
      <c r="M570" s="80">
        <v>0</v>
      </c>
      <c r="N570" s="80">
        <v>1</v>
      </c>
      <c r="O570" s="80">
        <v>1</v>
      </c>
      <c r="P570" s="80">
        <v>0</v>
      </c>
      <c r="Q570" s="80">
        <v>1</v>
      </c>
      <c r="R570" s="80">
        <v>0</v>
      </c>
      <c r="S570" s="80">
        <v>0</v>
      </c>
      <c r="T570" s="80">
        <v>0</v>
      </c>
      <c r="U570" s="80">
        <v>2</v>
      </c>
      <c r="V570" s="80">
        <v>1</v>
      </c>
      <c r="W570" s="80">
        <v>0</v>
      </c>
      <c r="X570" s="80">
        <v>0</v>
      </c>
      <c r="Y570" s="80">
        <v>0</v>
      </c>
      <c r="Z570" s="80">
        <v>3</v>
      </c>
      <c r="AA570" s="80">
        <v>1</v>
      </c>
      <c r="AB570" s="80">
        <v>0</v>
      </c>
      <c r="AC570" s="80">
        <v>0</v>
      </c>
      <c r="AD570" s="80">
        <v>0</v>
      </c>
      <c r="AE570" s="80">
        <v>0</v>
      </c>
      <c r="AF570" s="80">
        <v>0</v>
      </c>
      <c r="AG570" s="81">
        <v>2</v>
      </c>
      <c r="AH570" s="80">
        <v>0</v>
      </c>
      <c r="AI570" s="81">
        <v>0</v>
      </c>
      <c r="AJ570" s="81">
        <v>0</v>
      </c>
      <c r="AK570" s="81">
        <v>0</v>
      </c>
      <c r="AL570" s="81">
        <v>0</v>
      </c>
      <c r="AM570" s="80">
        <v>0</v>
      </c>
      <c r="AN570" s="80">
        <v>0</v>
      </c>
      <c r="AO570" s="80">
        <v>0</v>
      </c>
    </row>
    <row r="571" spans="1:41" ht="15.75" x14ac:dyDescent="0.25">
      <c r="A571" s="84"/>
      <c r="B571" s="84"/>
      <c r="C571" s="84"/>
      <c r="D571" s="80" t="s">
        <v>246</v>
      </c>
      <c r="E571" s="80">
        <v>0</v>
      </c>
      <c r="F571" s="80">
        <v>0</v>
      </c>
      <c r="G571" s="80">
        <v>0</v>
      </c>
      <c r="H571" s="80">
        <v>1</v>
      </c>
      <c r="I571" s="80">
        <v>1</v>
      </c>
      <c r="J571" s="80">
        <v>1</v>
      </c>
      <c r="K571" s="80">
        <v>0</v>
      </c>
      <c r="L571" s="80">
        <v>0</v>
      </c>
      <c r="M571" s="80">
        <v>0</v>
      </c>
      <c r="N571" s="80">
        <v>1</v>
      </c>
      <c r="O571" s="80">
        <v>1</v>
      </c>
      <c r="P571" s="80">
        <v>0</v>
      </c>
      <c r="Q571" s="80">
        <v>1</v>
      </c>
      <c r="R571" s="80">
        <v>0</v>
      </c>
      <c r="S571" s="80">
        <v>0</v>
      </c>
      <c r="T571" s="80">
        <v>0</v>
      </c>
      <c r="U571" s="80">
        <v>2</v>
      </c>
      <c r="V571" s="80">
        <v>1</v>
      </c>
      <c r="W571" s="80">
        <v>0</v>
      </c>
      <c r="X571" s="80">
        <v>0</v>
      </c>
      <c r="Y571" s="80">
        <v>0</v>
      </c>
      <c r="Z571" s="80">
        <v>3</v>
      </c>
      <c r="AA571" s="80">
        <v>1</v>
      </c>
      <c r="AB571" s="80">
        <v>0</v>
      </c>
      <c r="AC571" s="80">
        <v>0</v>
      </c>
      <c r="AD571" s="80">
        <v>0</v>
      </c>
      <c r="AE571" s="80">
        <v>0</v>
      </c>
      <c r="AF571" s="80">
        <v>0</v>
      </c>
      <c r="AG571" s="81">
        <v>2</v>
      </c>
      <c r="AH571" s="80">
        <v>0</v>
      </c>
      <c r="AI571" s="81">
        <v>0</v>
      </c>
      <c r="AJ571" s="81">
        <v>0</v>
      </c>
      <c r="AK571" s="81">
        <v>0</v>
      </c>
      <c r="AL571" s="81">
        <v>0</v>
      </c>
      <c r="AM571" s="80">
        <v>0</v>
      </c>
      <c r="AN571" s="80">
        <v>0</v>
      </c>
      <c r="AO571" s="80">
        <v>0</v>
      </c>
    </row>
    <row r="572" spans="1:41" ht="15.75" x14ac:dyDescent="0.25">
      <c r="A572" s="84"/>
      <c r="B572" s="84"/>
      <c r="C572" s="84"/>
      <c r="D572" s="80" t="s">
        <v>247</v>
      </c>
      <c r="E572" s="80">
        <v>0</v>
      </c>
      <c r="F572" s="80">
        <v>0</v>
      </c>
      <c r="G572" s="80">
        <v>0</v>
      </c>
      <c r="H572" s="80">
        <v>0</v>
      </c>
      <c r="I572" s="80">
        <v>0</v>
      </c>
      <c r="J572" s="80">
        <v>0</v>
      </c>
      <c r="K572" s="80">
        <v>0</v>
      </c>
      <c r="L572" s="80">
        <v>0</v>
      </c>
      <c r="M572" s="80">
        <v>0</v>
      </c>
      <c r="N572" s="80">
        <v>0</v>
      </c>
      <c r="O572" s="80">
        <v>0</v>
      </c>
      <c r="P572" s="80">
        <v>0</v>
      </c>
      <c r="Q572" s="80">
        <v>0</v>
      </c>
      <c r="R572" s="80">
        <v>0</v>
      </c>
      <c r="S572" s="80">
        <v>0</v>
      </c>
      <c r="T572" s="80">
        <v>0</v>
      </c>
      <c r="U572" s="80">
        <v>0</v>
      </c>
      <c r="V572" s="80">
        <v>0</v>
      </c>
      <c r="W572" s="80">
        <v>0</v>
      </c>
      <c r="X572" s="80">
        <v>0</v>
      </c>
      <c r="Y572" s="80">
        <v>0</v>
      </c>
      <c r="Z572" s="80">
        <v>0</v>
      </c>
      <c r="AA572" s="80">
        <v>0</v>
      </c>
      <c r="AB572" s="80">
        <v>0</v>
      </c>
      <c r="AC572" s="80">
        <v>0</v>
      </c>
      <c r="AD572" s="80">
        <v>0</v>
      </c>
      <c r="AE572" s="80">
        <v>0</v>
      </c>
      <c r="AF572" s="80">
        <v>0</v>
      </c>
      <c r="AG572" s="81">
        <v>0</v>
      </c>
      <c r="AH572" s="80">
        <v>0</v>
      </c>
      <c r="AI572" s="81">
        <v>0</v>
      </c>
      <c r="AJ572" s="81">
        <v>0</v>
      </c>
      <c r="AK572" s="81">
        <v>0</v>
      </c>
      <c r="AL572" s="81">
        <v>0</v>
      </c>
      <c r="AM572" s="80">
        <v>0</v>
      </c>
      <c r="AN572" s="80">
        <v>0</v>
      </c>
      <c r="AO572" s="80">
        <v>0</v>
      </c>
    </row>
    <row r="573" spans="1:41" ht="15.75" x14ac:dyDescent="0.25">
      <c r="A573" s="84"/>
      <c r="B573" s="84"/>
      <c r="C573" s="84"/>
      <c r="D573" s="80" t="s">
        <v>248</v>
      </c>
      <c r="E573" s="80">
        <v>0</v>
      </c>
      <c r="F573" s="80">
        <v>0</v>
      </c>
      <c r="G573" s="80">
        <v>0</v>
      </c>
      <c r="H573" s="80">
        <v>1</v>
      </c>
      <c r="I573" s="80">
        <v>1</v>
      </c>
      <c r="J573" s="80">
        <v>1</v>
      </c>
      <c r="K573" s="80">
        <v>0</v>
      </c>
      <c r="L573" s="80">
        <v>0</v>
      </c>
      <c r="M573" s="80">
        <v>0</v>
      </c>
      <c r="N573" s="80">
        <v>1</v>
      </c>
      <c r="O573" s="80">
        <v>1</v>
      </c>
      <c r="P573" s="80">
        <v>0</v>
      </c>
      <c r="Q573" s="80">
        <v>1</v>
      </c>
      <c r="R573" s="80">
        <v>0</v>
      </c>
      <c r="S573" s="80">
        <v>0</v>
      </c>
      <c r="T573" s="80">
        <v>0</v>
      </c>
      <c r="U573" s="80">
        <v>2</v>
      </c>
      <c r="V573" s="80">
        <v>1</v>
      </c>
      <c r="W573" s="80">
        <v>0</v>
      </c>
      <c r="X573" s="80">
        <v>0</v>
      </c>
      <c r="Y573" s="80">
        <v>0</v>
      </c>
      <c r="Z573" s="80">
        <v>3</v>
      </c>
      <c r="AA573" s="80">
        <v>1</v>
      </c>
      <c r="AB573" s="80">
        <v>0</v>
      </c>
      <c r="AC573" s="80">
        <v>0</v>
      </c>
      <c r="AD573" s="80">
        <v>0</v>
      </c>
      <c r="AE573" s="80">
        <v>0</v>
      </c>
      <c r="AF573" s="80">
        <v>0</v>
      </c>
      <c r="AG573" s="81">
        <v>2</v>
      </c>
      <c r="AH573" s="80">
        <v>0</v>
      </c>
      <c r="AI573" s="81">
        <v>0</v>
      </c>
      <c r="AJ573" s="81">
        <v>0</v>
      </c>
      <c r="AK573" s="81">
        <v>0</v>
      </c>
      <c r="AL573" s="81">
        <v>0</v>
      </c>
      <c r="AM573" s="80">
        <v>0</v>
      </c>
      <c r="AN573" s="80">
        <v>0</v>
      </c>
      <c r="AO573" s="80">
        <v>0</v>
      </c>
    </row>
    <row r="574" spans="1:41" ht="15.75" x14ac:dyDescent="0.25">
      <c r="A574" s="84"/>
      <c r="B574" s="84"/>
      <c r="C574" s="84"/>
      <c r="D574" s="80" t="s">
        <v>258</v>
      </c>
      <c r="E574" s="80">
        <v>0</v>
      </c>
      <c r="F574" s="80">
        <v>0</v>
      </c>
      <c r="G574" s="80">
        <v>0</v>
      </c>
      <c r="H574" s="80">
        <v>0</v>
      </c>
      <c r="I574" s="80">
        <v>0</v>
      </c>
      <c r="J574" s="80">
        <v>0</v>
      </c>
      <c r="K574" s="80">
        <v>0</v>
      </c>
      <c r="L574" s="80">
        <v>0</v>
      </c>
      <c r="M574" s="80">
        <v>0</v>
      </c>
      <c r="N574" s="80">
        <v>0</v>
      </c>
      <c r="O574" s="80">
        <v>0</v>
      </c>
      <c r="P574" s="80">
        <v>0</v>
      </c>
      <c r="Q574" s="80">
        <v>0</v>
      </c>
      <c r="R574" s="80">
        <v>0</v>
      </c>
      <c r="S574" s="80">
        <v>0</v>
      </c>
      <c r="T574" s="80">
        <v>0</v>
      </c>
      <c r="U574" s="80">
        <v>0</v>
      </c>
      <c r="V574" s="80">
        <v>0</v>
      </c>
      <c r="W574" s="80">
        <v>0</v>
      </c>
      <c r="X574" s="80">
        <v>0</v>
      </c>
      <c r="Y574" s="80">
        <v>0</v>
      </c>
      <c r="Z574" s="80">
        <v>0</v>
      </c>
      <c r="AA574" s="80">
        <v>0</v>
      </c>
      <c r="AB574" s="80">
        <v>0</v>
      </c>
      <c r="AC574" s="80">
        <v>0</v>
      </c>
      <c r="AD574" s="80">
        <v>0</v>
      </c>
      <c r="AE574" s="80">
        <v>0</v>
      </c>
      <c r="AF574" s="80">
        <v>0</v>
      </c>
      <c r="AG574" s="80">
        <v>0</v>
      </c>
      <c r="AH574" s="80">
        <v>0</v>
      </c>
      <c r="AI574" s="80">
        <v>0</v>
      </c>
      <c r="AJ574" s="80">
        <v>0</v>
      </c>
      <c r="AK574" s="80">
        <v>0</v>
      </c>
      <c r="AL574" s="80">
        <v>0</v>
      </c>
      <c r="AM574" s="80">
        <v>0</v>
      </c>
      <c r="AN574" s="80">
        <v>0</v>
      </c>
      <c r="AO574" s="80">
        <v>0</v>
      </c>
    </row>
    <row r="575" spans="1:41" ht="15.75" x14ac:dyDescent="0.25">
      <c r="A575" s="84">
        <v>31</v>
      </c>
      <c r="B575" s="84" t="s">
        <v>28</v>
      </c>
      <c r="C575" s="84" t="s">
        <v>207</v>
      </c>
      <c r="D575" s="80" t="s">
        <v>245</v>
      </c>
      <c r="E575" s="80">
        <v>0</v>
      </c>
      <c r="F575" s="80">
        <v>0</v>
      </c>
      <c r="G575" s="80">
        <v>0</v>
      </c>
      <c r="H575" s="81">
        <v>1</v>
      </c>
      <c r="I575" s="133">
        <v>2</v>
      </c>
      <c r="J575" s="134">
        <v>1</v>
      </c>
      <c r="K575" s="80">
        <v>0</v>
      </c>
      <c r="L575" s="80">
        <v>0</v>
      </c>
      <c r="M575" s="80">
        <v>1</v>
      </c>
      <c r="N575" s="81">
        <v>0</v>
      </c>
      <c r="O575" s="80">
        <v>3</v>
      </c>
      <c r="P575" s="80">
        <v>1</v>
      </c>
      <c r="Q575" s="80">
        <v>2</v>
      </c>
      <c r="R575" s="80">
        <v>0</v>
      </c>
      <c r="S575" s="80">
        <v>0</v>
      </c>
      <c r="T575" s="81">
        <v>1</v>
      </c>
      <c r="U575" s="80">
        <v>4</v>
      </c>
      <c r="V575" s="80">
        <v>2</v>
      </c>
      <c r="W575" s="81">
        <v>0</v>
      </c>
      <c r="X575" s="80">
        <v>0</v>
      </c>
      <c r="Y575" s="80">
        <v>0</v>
      </c>
      <c r="Z575" s="80">
        <v>2</v>
      </c>
      <c r="AA575" s="80">
        <v>1</v>
      </c>
      <c r="AB575" s="80">
        <v>1</v>
      </c>
      <c r="AC575" s="80">
        <v>1</v>
      </c>
      <c r="AD575" s="80">
        <v>1</v>
      </c>
      <c r="AE575" s="80">
        <v>1</v>
      </c>
      <c r="AF575" s="80">
        <v>1</v>
      </c>
      <c r="AG575" s="81">
        <v>1</v>
      </c>
      <c r="AH575" s="80">
        <v>2</v>
      </c>
      <c r="AI575" s="81">
        <v>0</v>
      </c>
      <c r="AJ575" s="81">
        <v>0</v>
      </c>
      <c r="AK575" s="81">
        <v>0</v>
      </c>
      <c r="AL575" s="81">
        <v>0</v>
      </c>
      <c r="AM575" s="80">
        <v>0</v>
      </c>
      <c r="AN575" s="80">
        <v>0</v>
      </c>
      <c r="AO575" s="80">
        <v>0</v>
      </c>
    </row>
    <row r="576" spans="1:41" ht="15.75" x14ac:dyDescent="0.25">
      <c r="A576" s="84"/>
      <c r="B576" s="84"/>
      <c r="C576" s="84"/>
      <c r="D576" s="80" t="s">
        <v>246</v>
      </c>
      <c r="E576" s="80">
        <v>0</v>
      </c>
      <c r="F576" s="80">
        <v>0</v>
      </c>
      <c r="G576" s="80">
        <v>0</v>
      </c>
      <c r="H576" s="81">
        <v>1</v>
      </c>
      <c r="I576" s="133">
        <v>2</v>
      </c>
      <c r="J576" s="134">
        <v>1</v>
      </c>
      <c r="K576" s="80">
        <v>0</v>
      </c>
      <c r="L576" s="80">
        <v>0</v>
      </c>
      <c r="M576" s="80">
        <v>1</v>
      </c>
      <c r="N576" s="81">
        <v>0</v>
      </c>
      <c r="O576" s="80">
        <v>3</v>
      </c>
      <c r="P576" s="80">
        <v>1</v>
      </c>
      <c r="Q576" s="80">
        <v>2</v>
      </c>
      <c r="R576" s="80">
        <v>0</v>
      </c>
      <c r="S576" s="80">
        <v>0</v>
      </c>
      <c r="T576" s="81">
        <v>1</v>
      </c>
      <c r="U576" s="80">
        <v>4</v>
      </c>
      <c r="V576" s="80">
        <v>2</v>
      </c>
      <c r="W576" s="81">
        <v>0</v>
      </c>
      <c r="X576" s="80">
        <v>0</v>
      </c>
      <c r="Y576" s="80">
        <v>0</v>
      </c>
      <c r="Z576" s="80">
        <v>2</v>
      </c>
      <c r="AA576" s="80">
        <v>1</v>
      </c>
      <c r="AB576" s="80">
        <v>1</v>
      </c>
      <c r="AC576" s="80">
        <v>1</v>
      </c>
      <c r="AD576" s="80">
        <v>1</v>
      </c>
      <c r="AE576" s="80">
        <v>1</v>
      </c>
      <c r="AF576" s="80">
        <v>1</v>
      </c>
      <c r="AG576" s="81">
        <v>1</v>
      </c>
      <c r="AH576" s="80">
        <v>2</v>
      </c>
      <c r="AI576" s="81">
        <v>0</v>
      </c>
      <c r="AJ576" s="81">
        <v>0</v>
      </c>
      <c r="AK576" s="81">
        <v>0</v>
      </c>
      <c r="AL576" s="81">
        <v>0</v>
      </c>
      <c r="AM576" s="80">
        <v>0</v>
      </c>
      <c r="AN576" s="80">
        <v>0</v>
      </c>
      <c r="AO576" s="80">
        <v>0</v>
      </c>
    </row>
    <row r="577" spans="1:41" ht="15.75" x14ac:dyDescent="0.25">
      <c r="A577" s="84"/>
      <c r="B577" s="84"/>
      <c r="C577" s="84"/>
      <c r="D577" s="80" t="s">
        <v>247</v>
      </c>
      <c r="E577" s="80">
        <v>0</v>
      </c>
      <c r="F577" s="80">
        <v>0</v>
      </c>
      <c r="G577" s="80">
        <v>0</v>
      </c>
      <c r="H577" s="81">
        <v>0</v>
      </c>
      <c r="I577" s="81">
        <v>0</v>
      </c>
      <c r="J577" s="80">
        <v>0</v>
      </c>
      <c r="K577" s="80">
        <v>0</v>
      </c>
      <c r="L577" s="80">
        <v>0</v>
      </c>
      <c r="M577" s="80">
        <v>0</v>
      </c>
      <c r="N577" s="81">
        <v>0</v>
      </c>
      <c r="O577" s="80">
        <v>0</v>
      </c>
      <c r="P577" s="80">
        <v>0</v>
      </c>
      <c r="Q577" s="80">
        <v>0</v>
      </c>
      <c r="R577" s="80">
        <v>0</v>
      </c>
      <c r="S577" s="80">
        <v>0</v>
      </c>
      <c r="T577" s="81">
        <v>0</v>
      </c>
      <c r="U577" s="80">
        <v>0</v>
      </c>
      <c r="V577" s="80">
        <v>0</v>
      </c>
      <c r="W577" s="81">
        <v>0</v>
      </c>
      <c r="X577" s="80">
        <v>0</v>
      </c>
      <c r="Y577" s="80">
        <v>0</v>
      </c>
      <c r="Z577" s="80">
        <v>0</v>
      </c>
      <c r="AA577" s="80">
        <v>0</v>
      </c>
      <c r="AB577" s="80">
        <v>0</v>
      </c>
      <c r="AC577" s="80">
        <v>0</v>
      </c>
      <c r="AD577" s="80">
        <v>0</v>
      </c>
      <c r="AE577" s="80">
        <v>0</v>
      </c>
      <c r="AF577" s="80">
        <v>0</v>
      </c>
      <c r="AG577" s="81">
        <v>0</v>
      </c>
      <c r="AH577" s="80">
        <v>0</v>
      </c>
      <c r="AI577" s="81">
        <v>0</v>
      </c>
      <c r="AJ577" s="81">
        <v>0</v>
      </c>
      <c r="AK577" s="81">
        <v>0</v>
      </c>
      <c r="AL577" s="81">
        <v>0</v>
      </c>
      <c r="AM577" s="80">
        <v>0</v>
      </c>
      <c r="AN577" s="80">
        <v>0</v>
      </c>
      <c r="AO577" s="80">
        <v>0</v>
      </c>
    </row>
    <row r="578" spans="1:41" ht="15.75" x14ac:dyDescent="0.25">
      <c r="A578" s="84"/>
      <c r="B578" s="84"/>
      <c r="C578" s="84"/>
      <c r="D578" s="80" t="s">
        <v>248</v>
      </c>
      <c r="E578" s="80">
        <v>0</v>
      </c>
      <c r="F578" s="80">
        <v>0</v>
      </c>
      <c r="G578" s="80">
        <v>0</v>
      </c>
      <c r="H578" s="81">
        <v>1</v>
      </c>
      <c r="I578" s="81">
        <v>2</v>
      </c>
      <c r="J578" s="80">
        <v>1</v>
      </c>
      <c r="K578" s="80">
        <v>0</v>
      </c>
      <c r="L578" s="80">
        <v>0</v>
      </c>
      <c r="M578" s="80">
        <v>1</v>
      </c>
      <c r="N578" s="81">
        <v>0</v>
      </c>
      <c r="O578" s="80">
        <v>3</v>
      </c>
      <c r="P578" s="80">
        <v>1</v>
      </c>
      <c r="Q578" s="80">
        <v>2</v>
      </c>
      <c r="R578" s="80">
        <v>0</v>
      </c>
      <c r="S578" s="80">
        <v>0</v>
      </c>
      <c r="T578" s="81">
        <v>1</v>
      </c>
      <c r="U578" s="80">
        <v>3</v>
      </c>
      <c r="V578" s="80">
        <v>2</v>
      </c>
      <c r="W578" s="81">
        <v>0</v>
      </c>
      <c r="X578" s="80">
        <v>0</v>
      </c>
      <c r="Y578" s="80">
        <v>0</v>
      </c>
      <c r="Z578" s="80">
        <v>1</v>
      </c>
      <c r="AA578" s="80">
        <v>1</v>
      </c>
      <c r="AB578" s="80">
        <v>1</v>
      </c>
      <c r="AC578" s="80">
        <v>1</v>
      </c>
      <c r="AD578" s="80">
        <v>1</v>
      </c>
      <c r="AE578" s="80">
        <v>1</v>
      </c>
      <c r="AF578" s="80">
        <v>0</v>
      </c>
      <c r="AG578" s="81">
        <v>1</v>
      </c>
      <c r="AH578" s="80">
        <v>2</v>
      </c>
      <c r="AI578" s="81">
        <v>0</v>
      </c>
      <c r="AJ578" s="81">
        <v>0</v>
      </c>
      <c r="AK578" s="81">
        <v>0</v>
      </c>
      <c r="AL578" s="81">
        <v>0</v>
      </c>
      <c r="AM578" s="80">
        <v>0</v>
      </c>
      <c r="AN578" s="80">
        <v>0</v>
      </c>
      <c r="AO578" s="80">
        <v>0</v>
      </c>
    </row>
    <row r="579" spans="1:41" ht="15.75" x14ac:dyDescent="0.25">
      <c r="A579" s="84"/>
      <c r="B579" s="84"/>
      <c r="C579" s="84"/>
      <c r="D579" s="80" t="s">
        <v>258</v>
      </c>
      <c r="E579" s="80">
        <v>0</v>
      </c>
      <c r="F579" s="80">
        <v>0</v>
      </c>
      <c r="G579" s="80">
        <v>0</v>
      </c>
      <c r="H579" s="81">
        <v>0</v>
      </c>
      <c r="I579" s="81">
        <v>0</v>
      </c>
      <c r="J579" s="81">
        <v>0</v>
      </c>
      <c r="K579" s="81">
        <v>0</v>
      </c>
      <c r="L579" s="80">
        <v>0</v>
      </c>
      <c r="M579" s="81">
        <v>0</v>
      </c>
      <c r="N579" s="81">
        <v>0</v>
      </c>
      <c r="O579" s="81">
        <v>0</v>
      </c>
      <c r="P579" s="80">
        <v>0</v>
      </c>
      <c r="Q579" s="81">
        <v>0</v>
      </c>
      <c r="R579" s="81">
        <v>0</v>
      </c>
      <c r="S579" s="81">
        <v>0</v>
      </c>
      <c r="T579" s="81">
        <v>0</v>
      </c>
      <c r="U579" s="81">
        <v>1</v>
      </c>
      <c r="V579" s="81">
        <v>0</v>
      </c>
      <c r="W579" s="81">
        <v>0</v>
      </c>
      <c r="X579" s="81">
        <v>0</v>
      </c>
      <c r="Y579" s="81">
        <v>0</v>
      </c>
      <c r="Z579" s="81">
        <v>1</v>
      </c>
      <c r="AA579" s="81">
        <v>0</v>
      </c>
      <c r="AB579" s="81">
        <v>0</v>
      </c>
      <c r="AC579" s="80">
        <v>0</v>
      </c>
      <c r="AD579" s="80">
        <v>0</v>
      </c>
      <c r="AE579" s="81">
        <v>0</v>
      </c>
      <c r="AF579" s="81">
        <v>1</v>
      </c>
      <c r="AG579" s="81">
        <v>0</v>
      </c>
      <c r="AH579" s="81">
        <v>0</v>
      </c>
      <c r="AI579" s="81">
        <v>0</v>
      </c>
      <c r="AJ579" s="81">
        <v>0</v>
      </c>
      <c r="AK579" s="81">
        <v>0</v>
      </c>
      <c r="AL579" s="81">
        <v>0</v>
      </c>
      <c r="AM579" s="80">
        <v>0</v>
      </c>
      <c r="AN579" s="80">
        <v>0</v>
      </c>
      <c r="AO579" s="80">
        <v>0</v>
      </c>
    </row>
    <row r="580" spans="1:41" ht="15.75" x14ac:dyDescent="0.25">
      <c r="A580" s="84">
        <v>32</v>
      </c>
      <c r="B580" s="84"/>
      <c r="C580" s="84" t="s">
        <v>253</v>
      </c>
      <c r="D580" s="80" t="s">
        <v>245</v>
      </c>
      <c r="E580" s="80">
        <v>0</v>
      </c>
      <c r="F580" s="80">
        <v>0</v>
      </c>
      <c r="G580" s="80">
        <v>0</v>
      </c>
      <c r="H580" s="81">
        <v>1</v>
      </c>
      <c r="I580" s="81">
        <v>1</v>
      </c>
      <c r="J580" s="80">
        <v>1</v>
      </c>
      <c r="K580" s="80">
        <v>0</v>
      </c>
      <c r="L580" s="80">
        <v>0</v>
      </c>
      <c r="M580" s="80">
        <v>0</v>
      </c>
      <c r="N580" s="80">
        <v>0</v>
      </c>
      <c r="O580" s="80">
        <v>1</v>
      </c>
      <c r="P580" s="80">
        <v>1</v>
      </c>
      <c r="Q580" s="80">
        <v>1</v>
      </c>
      <c r="R580" s="80">
        <v>0</v>
      </c>
      <c r="S580" s="81">
        <v>0</v>
      </c>
      <c r="T580" s="81">
        <v>0</v>
      </c>
      <c r="U580" s="80">
        <v>3</v>
      </c>
      <c r="V580" s="80">
        <v>1</v>
      </c>
      <c r="W580" s="81">
        <v>0</v>
      </c>
      <c r="X580" s="80">
        <v>0</v>
      </c>
      <c r="Y580" s="80">
        <v>0</v>
      </c>
      <c r="Z580" s="80">
        <v>0</v>
      </c>
      <c r="AA580" s="80">
        <v>0</v>
      </c>
      <c r="AB580" s="80">
        <v>0</v>
      </c>
      <c r="AC580" s="80">
        <v>0</v>
      </c>
      <c r="AD580" s="80">
        <v>0</v>
      </c>
      <c r="AE580" s="80">
        <v>0</v>
      </c>
      <c r="AF580" s="80">
        <v>0</v>
      </c>
      <c r="AG580" s="81">
        <v>1</v>
      </c>
      <c r="AH580" s="80">
        <v>0</v>
      </c>
      <c r="AI580" s="81">
        <v>0</v>
      </c>
      <c r="AJ580" s="81">
        <v>0</v>
      </c>
      <c r="AK580" s="81">
        <v>0</v>
      </c>
      <c r="AL580" s="81">
        <v>0</v>
      </c>
      <c r="AM580" s="80">
        <v>0</v>
      </c>
      <c r="AN580" s="80">
        <v>0</v>
      </c>
      <c r="AO580" s="80">
        <v>0</v>
      </c>
    </row>
    <row r="581" spans="1:41" ht="15.75" x14ac:dyDescent="0.25">
      <c r="A581" s="84"/>
      <c r="B581" s="84"/>
      <c r="C581" s="84"/>
      <c r="D581" s="80" t="s">
        <v>246</v>
      </c>
      <c r="E581" s="80">
        <v>0</v>
      </c>
      <c r="F581" s="80">
        <v>0</v>
      </c>
      <c r="G581" s="80">
        <v>0</v>
      </c>
      <c r="H581" s="81">
        <v>1</v>
      </c>
      <c r="I581" s="81">
        <v>1</v>
      </c>
      <c r="J581" s="80">
        <v>1</v>
      </c>
      <c r="K581" s="80">
        <v>0</v>
      </c>
      <c r="L581" s="80">
        <v>0</v>
      </c>
      <c r="M581" s="80">
        <v>0</v>
      </c>
      <c r="N581" s="80">
        <v>0</v>
      </c>
      <c r="O581" s="80">
        <v>1</v>
      </c>
      <c r="P581" s="80">
        <v>1</v>
      </c>
      <c r="Q581" s="80">
        <v>1</v>
      </c>
      <c r="R581" s="80">
        <v>0</v>
      </c>
      <c r="S581" s="81">
        <v>0</v>
      </c>
      <c r="T581" s="81">
        <v>0</v>
      </c>
      <c r="U581" s="80">
        <v>3</v>
      </c>
      <c r="V581" s="80">
        <v>1</v>
      </c>
      <c r="W581" s="81">
        <v>0</v>
      </c>
      <c r="X581" s="80">
        <v>0</v>
      </c>
      <c r="Y581" s="80">
        <v>0</v>
      </c>
      <c r="Z581" s="80">
        <v>0</v>
      </c>
      <c r="AA581" s="80">
        <v>0</v>
      </c>
      <c r="AB581" s="80">
        <v>0</v>
      </c>
      <c r="AC581" s="80">
        <v>0</v>
      </c>
      <c r="AD581" s="80">
        <v>0</v>
      </c>
      <c r="AE581" s="80">
        <v>0</v>
      </c>
      <c r="AF581" s="80">
        <v>0</v>
      </c>
      <c r="AG581" s="81">
        <v>1</v>
      </c>
      <c r="AH581" s="80">
        <v>0</v>
      </c>
      <c r="AI581" s="81">
        <v>0</v>
      </c>
      <c r="AJ581" s="81">
        <v>0</v>
      </c>
      <c r="AK581" s="81">
        <v>0</v>
      </c>
      <c r="AL581" s="81">
        <v>0</v>
      </c>
      <c r="AM581" s="80">
        <v>0</v>
      </c>
      <c r="AN581" s="80">
        <v>0</v>
      </c>
      <c r="AO581" s="80">
        <v>0</v>
      </c>
    </row>
    <row r="582" spans="1:41" ht="15.75" x14ac:dyDescent="0.25">
      <c r="A582" s="84"/>
      <c r="B582" s="84"/>
      <c r="C582" s="84"/>
      <c r="D582" s="80" t="s">
        <v>247</v>
      </c>
      <c r="E582" s="80">
        <v>0</v>
      </c>
      <c r="F582" s="80">
        <v>0</v>
      </c>
      <c r="G582" s="80">
        <v>0</v>
      </c>
      <c r="H582" s="81">
        <v>0</v>
      </c>
      <c r="I582" s="81">
        <v>0</v>
      </c>
      <c r="J582" s="80">
        <v>0</v>
      </c>
      <c r="K582" s="80">
        <v>0</v>
      </c>
      <c r="L582" s="80">
        <v>0</v>
      </c>
      <c r="M582" s="80">
        <v>0</v>
      </c>
      <c r="N582" s="80">
        <v>0</v>
      </c>
      <c r="O582" s="80">
        <v>0</v>
      </c>
      <c r="P582" s="80">
        <v>0</v>
      </c>
      <c r="Q582" s="80">
        <v>0</v>
      </c>
      <c r="R582" s="80">
        <v>0</v>
      </c>
      <c r="S582" s="81">
        <v>0</v>
      </c>
      <c r="T582" s="81">
        <v>0</v>
      </c>
      <c r="U582" s="80">
        <v>0</v>
      </c>
      <c r="V582" s="80">
        <v>0</v>
      </c>
      <c r="W582" s="81">
        <v>0</v>
      </c>
      <c r="X582" s="80">
        <v>0</v>
      </c>
      <c r="Y582" s="80">
        <v>0</v>
      </c>
      <c r="Z582" s="80">
        <v>0</v>
      </c>
      <c r="AA582" s="80">
        <v>0</v>
      </c>
      <c r="AB582" s="80">
        <v>0</v>
      </c>
      <c r="AC582" s="80">
        <v>0</v>
      </c>
      <c r="AD582" s="80">
        <v>0</v>
      </c>
      <c r="AE582" s="80">
        <v>0</v>
      </c>
      <c r="AF582" s="80">
        <v>0</v>
      </c>
      <c r="AG582" s="81">
        <v>0</v>
      </c>
      <c r="AH582" s="80">
        <v>0</v>
      </c>
      <c r="AI582" s="81">
        <v>0</v>
      </c>
      <c r="AJ582" s="81">
        <v>0</v>
      </c>
      <c r="AK582" s="81">
        <v>0</v>
      </c>
      <c r="AL582" s="81">
        <v>0</v>
      </c>
      <c r="AM582" s="80">
        <v>0</v>
      </c>
      <c r="AN582" s="80">
        <v>0</v>
      </c>
      <c r="AO582" s="80">
        <v>0</v>
      </c>
    </row>
    <row r="583" spans="1:41" ht="15.75" x14ac:dyDescent="0.25">
      <c r="A583" s="84"/>
      <c r="B583" s="84"/>
      <c r="C583" s="84"/>
      <c r="D583" s="80" t="s">
        <v>248</v>
      </c>
      <c r="E583" s="80">
        <v>0</v>
      </c>
      <c r="F583" s="80">
        <v>0</v>
      </c>
      <c r="G583" s="80">
        <v>0</v>
      </c>
      <c r="H583" s="81">
        <v>1</v>
      </c>
      <c r="I583" s="81">
        <v>1</v>
      </c>
      <c r="J583" s="80">
        <v>1</v>
      </c>
      <c r="K583" s="80">
        <v>0</v>
      </c>
      <c r="L583" s="80">
        <v>0</v>
      </c>
      <c r="M583" s="80">
        <v>0</v>
      </c>
      <c r="N583" s="80">
        <v>0</v>
      </c>
      <c r="O583" s="80">
        <v>1</v>
      </c>
      <c r="P583" s="80">
        <v>1</v>
      </c>
      <c r="Q583" s="80">
        <v>1</v>
      </c>
      <c r="R583" s="80">
        <v>0</v>
      </c>
      <c r="S583" s="81">
        <v>0</v>
      </c>
      <c r="T583" s="81">
        <v>0</v>
      </c>
      <c r="U583" s="80">
        <v>3</v>
      </c>
      <c r="V583" s="80">
        <v>1</v>
      </c>
      <c r="W583" s="81">
        <v>0</v>
      </c>
      <c r="X583" s="80">
        <v>0</v>
      </c>
      <c r="Y583" s="80">
        <v>0</v>
      </c>
      <c r="Z583" s="80">
        <v>0</v>
      </c>
      <c r="AA583" s="80">
        <v>0</v>
      </c>
      <c r="AB583" s="80">
        <v>0</v>
      </c>
      <c r="AC583" s="80">
        <v>0</v>
      </c>
      <c r="AD583" s="80">
        <v>0</v>
      </c>
      <c r="AE583" s="80">
        <v>0</v>
      </c>
      <c r="AF583" s="80">
        <v>0</v>
      </c>
      <c r="AG583" s="81">
        <v>1</v>
      </c>
      <c r="AH583" s="80">
        <v>0</v>
      </c>
      <c r="AI583" s="81">
        <v>0</v>
      </c>
      <c r="AJ583" s="81">
        <v>0</v>
      </c>
      <c r="AK583" s="81">
        <v>0</v>
      </c>
      <c r="AL583" s="81">
        <v>0</v>
      </c>
      <c r="AM583" s="80">
        <v>0</v>
      </c>
      <c r="AN583" s="80">
        <v>0</v>
      </c>
      <c r="AO583" s="80">
        <v>0</v>
      </c>
    </row>
    <row r="584" spans="1:41" ht="15.75" x14ac:dyDescent="0.25">
      <c r="A584" s="84"/>
      <c r="B584" s="84"/>
      <c r="C584" s="84"/>
      <c r="D584" s="80" t="s">
        <v>258</v>
      </c>
      <c r="E584" s="80">
        <v>0</v>
      </c>
      <c r="F584" s="80">
        <v>0</v>
      </c>
      <c r="G584" s="81">
        <v>0</v>
      </c>
      <c r="H584" s="81">
        <v>0</v>
      </c>
      <c r="I584" s="81">
        <v>0</v>
      </c>
      <c r="J584" s="81">
        <v>0</v>
      </c>
      <c r="K584" s="81">
        <v>0</v>
      </c>
      <c r="L584" s="80">
        <v>0</v>
      </c>
      <c r="M584" s="81">
        <v>0</v>
      </c>
      <c r="N584" s="80">
        <v>0</v>
      </c>
      <c r="O584" s="81">
        <v>0</v>
      </c>
      <c r="P584" s="80">
        <v>0</v>
      </c>
      <c r="Q584" s="81">
        <v>0</v>
      </c>
      <c r="R584" s="81">
        <v>0</v>
      </c>
      <c r="S584" s="81">
        <v>0</v>
      </c>
      <c r="T584" s="81">
        <v>0</v>
      </c>
      <c r="U584" s="81">
        <v>0</v>
      </c>
      <c r="V584" s="81">
        <v>0</v>
      </c>
      <c r="W584" s="81">
        <v>0</v>
      </c>
      <c r="X584" s="81">
        <v>0</v>
      </c>
      <c r="Y584" s="81">
        <v>0</v>
      </c>
      <c r="Z584" s="81">
        <v>0</v>
      </c>
      <c r="AA584" s="81">
        <v>0</v>
      </c>
      <c r="AB584" s="81">
        <v>0</v>
      </c>
      <c r="AC584" s="80">
        <v>0</v>
      </c>
      <c r="AD584" s="80">
        <v>0</v>
      </c>
      <c r="AE584" s="81">
        <v>0</v>
      </c>
      <c r="AF584" s="81">
        <v>0</v>
      </c>
      <c r="AG584" s="81">
        <v>0</v>
      </c>
      <c r="AH584" s="81">
        <v>0</v>
      </c>
      <c r="AI584" s="81">
        <v>0</v>
      </c>
      <c r="AJ584" s="81">
        <v>0</v>
      </c>
      <c r="AK584" s="81">
        <v>0</v>
      </c>
      <c r="AL584" s="81">
        <v>0</v>
      </c>
      <c r="AM584" s="80">
        <v>0</v>
      </c>
      <c r="AN584" s="80">
        <v>0</v>
      </c>
      <c r="AO584" s="80">
        <v>0</v>
      </c>
    </row>
    <row r="585" spans="1:41" ht="15.75" x14ac:dyDescent="0.25">
      <c r="A585" s="84">
        <v>33</v>
      </c>
      <c r="B585" s="84"/>
      <c r="C585" s="84" t="s">
        <v>171</v>
      </c>
      <c r="D585" s="80" t="s">
        <v>245</v>
      </c>
      <c r="E585" s="80">
        <v>0</v>
      </c>
      <c r="F585" s="80">
        <v>0</v>
      </c>
      <c r="G585" s="80">
        <v>0</v>
      </c>
      <c r="H585" s="81">
        <v>1</v>
      </c>
      <c r="I585" s="81">
        <v>2</v>
      </c>
      <c r="J585" s="80">
        <v>1</v>
      </c>
      <c r="K585" s="80">
        <v>0</v>
      </c>
      <c r="L585" s="80">
        <v>0</v>
      </c>
      <c r="M585" s="80">
        <v>0</v>
      </c>
      <c r="N585" s="80">
        <v>0</v>
      </c>
      <c r="O585" s="80">
        <v>1</v>
      </c>
      <c r="P585" s="80">
        <v>0</v>
      </c>
      <c r="Q585" s="80">
        <v>1</v>
      </c>
      <c r="R585" s="80">
        <v>0</v>
      </c>
      <c r="S585" s="80">
        <v>0</v>
      </c>
      <c r="T585" s="81">
        <v>1</v>
      </c>
      <c r="U585" s="80">
        <v>2</v>
      </c>
      <c r="V585" s="80">
        <v>1</v>
      </c>
      <c r="W585" s="81">
        <v>0</v>
      </c>
      <c r="X585" s="80">
        <v>0</v>
      </c>
      <c r="Y585" s="80">
        <v>0</v>
      </c>
      <c r="Z585" s="80">
        <v>0</v>
      </c>
      <c r="AA585" s="80">
        <v>0</v>
      </c>
      <c r="AB585" s="80">
        <v>0</v>
      </c>
      <c r="AC585" s="80">
        <v>0</v>
      </c>
      <c r="AD585" s="80">
        <v>0</v>
      </c>
      <c r="AE585" s="80">
        <v>0</v>
      </c>
      <c r="AF585" s="80">
        <v>1</v>
      </c>
      <c r="AG585" s="81">
        <v>1</v>
      </c>
      <c r="AH585" s="80">
        <v>0</v>
      </c>
      <c r="AI585" s="81">
        <v>0</v>
      </c>
      <c r="AJ585" s="81">
        <v>0</v>
      </c>
      <c r="AK585" s="81">
        <v>0</v>
      </c>
      <c r="AL585" s="81">
        <v>0</v>
      </c>
      <c r="AM585" s="80">
        <v>0</v>
      </c>
      <c r="AN585" s="80">
        <v>0</v>
      </c>
      <c r="AO585" s="80">
        <v>0</v>
      </c>
    </row>
    <row r="586" spans="1:41" ht="15.75" x14ac:dyDescent="0.25">
      <c r="A586" s="84"/>
      <c r="B586" s="84"/>
      <c r="C586" s="84"/>
      <c r="D586" s="80" t="s">
        <v>246</v>
      </c>
      <c r="E586" s="80">
        <v>0</v>
      </c>
      <c r="F586" s="80">
        <v>0</v>
      </c>
      <c r="G586" s="80">
        <v>0</v>
      </c>
      <c r="H586" s="81">
        <v>1</v>
      </c>
      <c r="I586" s="81">
        <v>2</v>
      </c>
      <c r="J586" s="80">
        <v>1</v>
      </c>
      <c r="K586" s="80">
        <v>0</v>
      </c>
      <c r="L586" s="80">
        <v>0</v>
      </c>
      <c r="M586" s="80">
        <v>0</v>
      </c>
      <c r="N586" s="80">
        <v>0</v>
      </c>
      <c r="O586" s="80">
        <v>1</v>
      </c>
      <c r="P586" s="80">
        <v>0</v>
      </c>
      <c r="Q586" s="80">
        <v>1</v>
      </c>
      <c r="R586" s="80">
        <v>0</v>
      </c>
      <c r="S586" s="80">
        <v>0</v>
      </c>
      <c r="T586" s="81">
        <v>1</v>
      </c>
      <c r="U586" s="80">
        <v>2</v>
      </c>
      <c r="V586" s="80">
        <v>1</v>
      </c>
      <c r="W586" s="81">
        <v>0</v>
      </c>
      <c r="X586" s="80">
        <v>0</v>
      </c>
      <c r="Y586" s="80">
        <v>0</v>
      </c>
      <c r="Z586" s="80">
        <v>0</v>
      </c>
      <c r="AA586" s="80">
        <v>0</v>
      </c>
      <c r="AB586" s="80">
        <v>0</v>
      </c>
      <c r="AC586" s="80">
        <v>0</v>
      </c>
      <c r="AD586" s="80">
        <v>0</v>
      </c>
      <c r="AE586" s="80">
        <v>0</v>
      </c>
      <c r="AF586" s="80">
        <v>1</v>
      </c>
      <c r="AG586" s="81">
        <v>1</v>
      </c>
      <c r="AH586" s="80">
        <v>0</v>
      </c>
      <c r="AI586" s="81">
        <v>0</v>
      </c>
      <c r="AJ586" s="81">
        <v>0</v>
      </c>
      <c r="AK586" s="81">
        <v>0</v>
      </c>
      <c r="AL586" s="81">
        <v>0</v>
      </c>
      <c r="AM586" s="80">
        <v>0</v>
      </c>
      <c r="AN586" s="80">
        <v>0</v>
      </c>
      <c r="AO586" s="80">
        <v>0</v>
      </c>
    </row>
    <row r="587" spans="1:41" ht="15.75" x14ac:dyDescent="0.25">
      <c r="A587" s="84"/>
      <c r="B587" s="84"/>
      <c r="C587" s="84"/>
      <c r="D587" s="80" t="s">
        <v>247</v>
      </c>
      <c r="E587" s="80">
        <v>0</v>
      </c>
      <c r="F587" s="80">
        <v>0</v>
      </c>
      <c r="G587" s="80">
        <v>0</v>
      </c>
      <c r="H587" s="81">
        <v>0</v>
      </c>
      <c r="I587" s="81">
        <v>0</v>
      </c>
      <c r="J587" s="80">
        <v>0</v>
      </c>
      <c r="K587" s="80">
        <v>0</v>
      </c>
      <c r="L587" s="80">
        <v>0</v>
      </c>
      <c r="M587" s="80">
        <v>0</v>
      </c>
      <c r="N587" s="80">
        <v>0</v>
      </c>
      <c r="O587" s="80">
        <v>0</v>
      </c>
      <c r="P587" s="80">
        <v>0</v>
      </c>
      <c r="Q587" s="80">
        <v>0</v>
      </c>
      <c r="R587" s="80">
        <v>0</v>
      </c>
      <c r="S587" s="80">
        <v>0</v>
      </c>
      <c r="T587" s="81">
        <v>0</v>
      </c>
      <c r="U587" s="80">
        <v>0</v>
      </c>
      <c r="V587" s="80">
        <v>0</v>
      </c>
      <c r="W587" s="81">
        <v>0</v>
      </c>
      <c r="X587" s="80">
        <v>0</v>
      </c>
      <c r="Y587" s="80">
        <v>0</v>
      </c>
      <c r="Z587" s="80">
        <v>0</v>
      </c>
      <c r="AA587" s="80">
        <v>0</v>
      </c>
      <c r="AB587" s="80">
        <v>0</v>
      </c>
      <c r="AC587" s="80">
        <v>0</v>
      </c>
      <c r="AD587" s="80">
        <v>0</v>
      </c>
      <c r="AE587" s="80">
        <v>0</v>
      </c>
      <c r="AF587" s="80">
        <v>0</v>
      </c>
      <c r="AG587" s="81">
        <v>0</v>
      </c>
      <c r="AH587" s="80">
        <v>0</v>
      </c>
      <c r="AI587" s="81">
        <v>0</v>
      </c>
      <c r="AJ587" s="81">
        <v>0</v>
      </c>
      <c r="AK587" s="81">
        <v>0</v>
      </c>
      <c r="AL587" s="81">
        <v>0</v>
      </c>
      <c r="AM587" s="80">
        <v>0</v>
      </c>
      <c r="AN587" s="80">
        <v>0</v>
      </c>
      <c r="AO587" s="80">
        <v>0</v>
      </c>
    </row>
    <row r="588" spans="1:41" ht="15.75" x14ac:dyDescent="0.25">
      <c r="A588" s="84"/>
      <c r="B588" s="84"/>
      <c r="C588" s="84"/>
      <c r="D588" s="80" t="s">
        <v>248</v>
      </c>
      <c r="E588" s="80">
        <v>0</v>
      </c>
      <c r="F588" s="80">
        <v>0</v>
      </c>
      <c r="G588" s="80">
        <v>0</v>
      </c>
      <c r="H588" s="81">
        <v>1</v>
      </c>
      <c r="I588" s="81">
        <v>2</v>
      </c>
      <c r="J588" s="80">
        <v>1</v>
      </c>
      <c r="K588" s="80">
        <v>0</v>
      </c>
      <c r="L588" s="80">
        <v>0</v>
      </c>
      <c r="M588" s="80">
        <v>0</v>
      </c>
      <c r="N588" s="80">
        <v>0</v>
      </c>
      <c r="O588" s="80">
        <v>1</v>
      </c>
      <c r="P588" s="80">
        <v>0</v>
      </c>
      <c r="Q588" s="80">
        <v>1</v>
      </c>
      <c r="R588" s="80">
        <v>0</v>
      </c>
      <c r="S588" s="80">
        <v>0</v>
      </c>
      <c r="T588" s="81">
        <v>1</v>
      </c>
      <c r="U588" s="80">
        <v>2</v>
      </c>
      <c r="V588" s="80">
        <v>1</v>
      </c>
      <c r="W588" s="81">
        <v>0</v>
      </c>
      <c r="X588" s="80">
        <v>0</v>
      </c>
      <c r="Y588" s="80">
        <v>0</v>
      </c>
      <c r="Z588" s="80">
        <v>0</v>
      </c>
      <c r="AA588" s="80">
        <v>0</v>
      </c>
      <c r="AB588" s="80">
        <v>0</v>
      </c>
      <c r="AC588" s="80">
        <v>0</v>
      </c>
      <c r="AD588" s="80">
        <v>0</v>
      </c>
      <c r="AE588" s="80">
        <v>0</v>
      </c>
      <c r="AF588" s="80">
        <v>1</v>
      </c>
      <c r="AG588" s="81">
        <v>1</v>
      </c>
      <c r="AH588" s="80">
        <v>0</v>
      </c>
      <c r="AI588" s="81">
        <v>0</v>
      </c>
      <c r="AJ588" s="81">
        <v>0</v>
      </c>
      <c r="AK588" s="81">
        <v>0</v>
      </c>
      <c r="AL588" s="81">
        <v>0</v>
      </c>
      <c r="AM588" s="80">
        <v>0</v>
      </c>
      <c r="AN588" s="80">
        <v>0</v>
      </c>
      <c r="AO588" s="80">
        <v>0</v>
      </c>
    </row>
    <row r="589" spans="1:41" ht="15.75" x14ac:dyDescent="0.25">
      <c r="A589" s="84"/>
      <c r="B589" s="84"/>
      <c r="C589" s="84"/>
      <c r="D589" s="80" t="s">
        <v>258</v>
      </c>
      <c r="E589" s="80">
        <v>0</v>
      </c>
      <c r="F589" s="80">
        <v>0</v>
      </c>
      <c r="G589" s="81">
        <v>0</v>
      </c>
      <c r="H589" s="81">
        <v>0</v>
      </c>
      <c r="I589" s="81">
        <v>0</v>
      </c>
      <c r="J589" s="81">
        <v>0</v>
      </c>
      <c r="K589" s="81">
        <v>0</v>
      </c>
      <c r="L589" s="80">
        <v>0</v>
      </c>
      <c r="M589" s="80">
        <v>0</v>
      </c>
      <c r="N589" s="80">
        <v>0</v>
      </c>
      <c r="O589" s="81">
        <v>0</v>
      </c>
      <c r="P589" s="80">
        <v>0</v>
      </c>
      <c r="Q589" s="80">
        <v>0</v>
      </c>
      <c r="R589" s="81">
        <v>0</v>
      </c>
      <c r="S589" s="81">
        <v>0</v>
      </c>
      <c r="T589" s="81">
        <v>0</v>
      </c>
      <c r="U589" s="81">
        <v>0</v>
      </c>
      <c r="V589" s="81">
        <v>0</v>
      </c>
      <c r="W589" s="81">
        <v>0</v>
      </c>
      <c r="X589" s="81">
        <v>0</v>
      </c>
      <c r="Y589" s="81">
        <v>0</v>
      </c>
      <c r="Z589" s="81">
        <v>0</v>
      </c>
      <c r="AA589" s="81">
        <v>0</v>
      </c>
      <c r="AB589" s="81">
        <v>0</v>
      </c>
      <c r="AC589" s="80">
        <v>0</v>
      </c>
      <c r="AD589" s="80">
        <v>0</v>
      </c>
      <c r="AE589" s="81">
        <v>0</v>
      </c>
      <c r="AF589" s="81">
        <v>0</v>
      </c>
      <c r="AG589" s="81">
        <v>0</v>
      </c>
      <c r="AH589" s="81">
        <v>0</v>
      </c>
      <c r="AI589" s="81">
        <v>0</v>
      </c>
      <c r="AJ589" s="81">
        <v>0</v>
      </c>
      <c r="AK589" s="81">
        <v>0</v>
      </c>
      <c r="AL589" s="81">
        <v>0</v>
      </c>
      <c r="AM589" s="80">
        <v>0</v>
      </c>
      <c r="AN589" s="80">
        <v>0</v>
      </c>
      <c r="AO589" s="80">
        <v>0</v>
      </c>
    </row>
    <row r="590" spans="1:41" ht="15.75" x14ac:dyDescent="0.25">
      <c r="A590" s="84">
        <v>34</v>
      </c>
      <c r="B590" s="84"/>
      <c r="C590" s="84" t="s">
        <v>31</v>
      </c>
      <c r="D590" s="80" t="s">
        <v>245</v>
      </c>
      <c r="E590" s="80">
        <v>0</v>
      </c>
      <c r="F590" s="80">
        <v>0</v>
      </c>
      <c r="G590" s="80">
        <v>1</v>
      </c>
      <c r="H590" s="81">
        <v>1</v>
      </c>
      <c r="I590" s="81">
        <v>1</v>
      </c>
      <c r="J590" s="80">
        <v>1</v>
      </c>
      <c r="K590" s="80">
        <v>0</v>
      </c>
      <c r="L590" s="80">
        <v>1</v>
      </c>
      <c r="M590" s="80">
        <v>0</v>
      </c>
      <c r="N590" s="81">
        <v>1</v>
      </c>
      <c r="O590" s="80">
        <v>1</v>
      </c>
      <c r="P590" s="80">
        <v>0</v>
      </c>
      <c r="Q590" s="80">
        <v>1</v>
      </c>
      <c r="R590" s="80">
        <v>0</v>
      </c>
      <c r="S590" s="80">
        <v>0</v>
      </c>
      <c r="T590" s="81">
        <v>0</v>
      </c>
      <c r="U590" s="80">
        <v>2</v>
      </c>
      <c r="V590" s="80">
        <v>0</v>
      </c>
      <c r="W590" s="81">
        <v>1</v>
      </c>
      <c r="X590" s="80">
        <v>0</v>
      </c>
      <c r="Y590" s="80">
        <v>1</v>
      </c>
      <c r="Z590" s="80">
        <v>0</v>
      </c>
      <c r="AA590" s="80">
        <v>0</v>
      </c>
      <c r="AB590" s="80">
        <v>1</v>
      </c>
      <c r="AC590" s="80">
        <v>0</v>
      </c>
      <c r="AD590" s="80">
        <v>0</v>
      </c>
      <c r="AE590" s="80">
        <v>0</v>
      </c>
      <c r="AF590" s="80">
        <v>0</v>
      </c>
      <c r="AG590" s="81">
        <v>0</v>
      </c>
      <c r="AH590" s="80">
        <v>0</v>
      </c>
      <c r="AI590" s="81">
        <v>0</v>
      </c>
      <c r="AJ590" s="81">
        <v>0</v>
      </c>
      <c r="AK590" s="81">
        <v>0</v>
      </c>
      <c r="AL590" s="81">
        <v>0</v>
      </c>
      <c r="AM590" s="80">
        <v>0</v>
      </c>
      <c r="AN590" s="80">
        <v>0</v>
      </c>
      <c r="AO590" s="80">
        <v>0</v>
      </c>
    </row>
    <row r="591" spans="1:41" ht="15.75" x14ac:dyDescent="0.25">
      <c r="A591" s="84"/>
      <c r="B591" s="84"/>
      <c r="C591" s="84"/>
      <c r="D591" s="80" t="s">
        <v>246</v>
      </c>
      <c r="E591" s="80">
        <v>0</v>
      </c>
      <c r="F591" s="80">
        <v>0</v>
      </c>
      <c r="G591" s="80">
        <v>1</v>
      </c>
      <c r="H591" s="81">
        <v>1</v>
      </c>
      <c r="I591" s="81">
        <v>1</v>
      </c>
      <c r="J591" s="80">
        <v>1</v>
      </c>
      <c r="K591" s="80">
        <v>0</v>
      </c>
      <c r="L591" s="80">
        <v>1</v>
      </c>
      <c r="M591" s="80">
        <v>0</v>
      </c>
      <c r="N591" s="81">
        <v>1</v>
      </c>
      <c r="O591" s="80">
        <v>1</v>
      </c>
      <c r="P591" s="80">
        <v>0</v>
      </c>
      <c r="Q591" s="80">
        <v>1</v>
      </c>
      <c r="R591" s="80">
        <v>0</v>
      </c>
      <c r="S591" s="80">
        <v>0</v>
      </c>
      <c r="T591" s="81">
        <v>0</v>
      </c>
      <c r="U591" s="80">
        <v>2</v>
      </c>
      <c r="V591" s="80">
        <v>0</v>
      </c>
      <c r="W591" s="81">
        <v>1</v>
      </c>
      <c r="X591" s="80">
        <v>0</v>
      </c>
      <c r="Y591" s="80">
        <v>1</v>
      </c>
      <c r="Z591" s="80">
        <v>0</v>
      </c>
      <c r="AA591" s="80">
        <v>0</v>
      </c>
      <c r="AB591" s="80">
        <v>1</v>
      </c>
      <c r="AC591" s="80">
        <v>0</v>
      </c>
      <c r="AD591" s="80">
        <v>0</v>
      </c>
      <c r="AE591" s="80">
        <v>0</v>
      </c>
      <c r="AF591" s="80">
        <v>0</v>
      </c>
      <c r="AG591" s="81">
        <v>0</v>
      </c>
      <c r="AH591" s="80">
        <v>0</v>
      </c>
      <c r="AI591" s="81">
        <v>0</v>
      </c>
      <c r="AJ591" s="81">
        <v>0</v>
      </c>
      <c r="AK591" s="81">
        <v>0</v>
      </c>
      <c r="AL591" s="81">
        <v>0</v>
      </c>
      <c r="AM591" s="80">
        <v>0</v>
      </c>
      <c r="AN591" s="80">
        <v>0</v>
      </c>
      <c r="AO591" s="80">
        <v>0</v>
      </c>
    </row>
    <row r="592" spans="1:41" ht="15.75" x14ac:dyDescent="0.25">
      <c r="A592" s="84"/>
      <c r="B592" s="84"/>
      <c r="C592" s="84"/>
      <c r="D592" s="80" t="s">
        <v>247</v>
      </c>
      <c r="E592" s="80">
        <v>0</v>
      </c>
      <c r="F592" s="80">
        <v>0</v>
      </c>
      <c r="G592" s="80">
        <v>0</v>
      </c>
      <c r="H592" s="81">
        <v>0</v>
      </c>
      <c r="I592" s="81">
        <v>0</v>
      </c>
      <c r="J592" s="80">
        <v>0</v>
      </c>
      <c r="K592" s="80">
        <v>0</v>
      </c>
      <c r="L592" s="80">
        <v>0</v>
      </c>
      <c r="M592" s="80">
        <v>0</v>
      </c>
      <c r="N592" s="81">
        <v>0</v>
      </c>
      <c r="O592" s="80">
        <v>0</v>
      </c>
      <c r="P592" s="80">
        <v>0</v>
      </c>
      <c r="Q592" s="80">
        <v>0</v>
      </c>
      <c r="R592" s="80">
        <v>0</v>
      </c>
      <c r="S592" s="80">
        <v>0</v>
      </c>
      <c r="T592" s="81">
        <v>0</v>
      </c>
      <c r="U592" s="80">
        <v>0</v>
      </c>
      <c r="V592" s="80">
        <v>0</v>
      </c>
      <c r="W592" s="81">
        <v>0</v>
      </c>
      <c r="X592" s="80">
        <v>0</v>
      </c>
      <c r="Y592" s="80">
        <v>0</v>
      </c>
      <c r="Z592" s="80">
        <v>0</v>
      </c>
      <c r="AA592" s="80">
        <v>0</v>
      </c>
      <c r="AB592" s="80">
        <v>0</v>
      </c>
      <c r="AC592" s="80">
        <v>0</v>
      </c>
      <c r="AD592" s="80">
        <v>0</v>
      </c>
      <c r="AE592" s="80">
        <v>0</v>
      </c>
      <c r="AF592" s="80">
        <v>0</v>
      </c>
      <c r="AG592" s="81">
        <v>0</v>
      </c>
      <c r="AH592" s="80">
        <v>0</v>
      </c>
      <c r="AI592" s="81">
        <v>0</v>
      </c>
      <c r="AJ592" s="81">
        <v>0</v>
      </c>
      <c r="AK592" s="81">
        <v>0</v>
      </c>
      <c r="AL592" s="81">
        <v>0</v>
      </c>
      <c r="AM592" s="80">
        <v>0</v>
      </c>
      <c r="AN592" s="80">
        <v>0</v>
      </c>
      <c r="AO592" s="80">
        <v>0</v>
      </c>
    </row>
    <row r="593" spans="1:41" ht="15.75" x14ac:dyDescent="0.25">
      <c r="A593" s="84"/>
      <c r="B593" s="84"/>
      <c r="C593" s="84"/>
      <c r="D593" s="80" t="s">
        <v>248</v>
      </c>
      <c r="E593" s="80">
        <v>0</v>
      </c>
      <c r="F593" s="80">
        <v>0</v>
      </c>
      <c r="G593" s="80">
        <v>1</v>
      </c>
      <c r="H593" s="81">
        <v>1</v>
      </c>
      <c r="I593" s="81">
        <v>1</v>
      </c>
      <c r="J593" s="80">
        <v>1</v>
      </c>
      <c r="K593" s="80">
        <v>0</v>
      </c>
      <c r="L593" s="80">
        <v>1</v>
      </c>
      <c r="M593" s="80">
        <v>0</v>
      </c>
      <c r="N593" s="81">
        <v>1</v>
      </c>
      <c r="O593" s="80">
        <v>1</v>
      </c>
      <c r="P593" s="80">
        <v>0</v>
      </c>
      <c r="Q593" s="80">
        <v>0</v>
      </c>
      <c r="R593" s="80">
        <v>0</v>
      </c>
      <c r="S593" s="80">
        <v>0</v>
      </c>
      <c r="T593" s="81">
        <v>0</v>
      </c>
      <c r="U593" s="80">
        <v>2</v>
      </c>
      <c r="V593" s="80">
        <v>0</v>
      </c>
      <c r="W593" s="81">
        <v>1</v>
      </c>
      <c r="X593" s="80">
        <v>0</v>
      </c>
      <c r="Y593" s="80">
        <v>1</v>
      </c>
      <c r="Z593" s="80">
        <v>0</v>
      </c>
      <c r="AA593" s="80">
        <v>0</v>
      </c>
      <c r="AB593" s="80">
        <v>1</v>
      </c>
      <c r="AC593" s="80">
        <v>0</v>
      </c>
      <c r="AD593" s="80">
        <v>0</v>
      </c>
      <c r="AE593" s="80">
        <v>0</v>
      </c>
      <c r="AF593" s="80">
        <v>0</v>
      </c>
      <c r="AG593" s="81">
        <v>0</v>
      </c>
      <c r="AH593" s="80">
        <v>0</v>
      </c>
      <c r="AI593" s="81">
        <v>0</v>
      </c>
      <c r="AJ593" s="81">
        <v>0</v>
      </c>
      <c r="AK593" s="81">
        <v>0</v>
      </c>
      <c r="AL593" s="81">
        <v>0</v>
      </c>
      <c r="AM593" s="80">
        <v>0</v>
      </c>
      <c r="AN593" s="80">
        <v>0</v>
      </c>
      <c r="AO593" s="80">
        <v>0</v>
      </c>
    </row>
    <row r="594" spans="1:41" ht="15.75" x14ac:dyDescent="0.25">
      <c r="A594" s="84"/>
      <c r="B594" s="84"/>
      <c r="C594" s="84"/>
      <c r="D594" s="80" t="s">
        <v>258</v>
      </c>
      <c r="E594" s="80">
        <v>0</v>
      </c>
      <c r="F594" s="80">
        <v>0</v>
      </c>
      <c r="G594" s="80">
        <v>0</v>
      </c>
      <c r="H594" s="80">
        <v>0</v>
      </c>
      <c r="I594" s="80">
        <v>0</v>
      </c>
      <c r="J594" s="80">
        <v>0</v>
      </c>
      <c r="K594" s="80">
        <v>0</v>
      </c>
      <c r="L594" s="80">
        <v>0</v>
      </c>
      <c r="M594" s="80">
        <v>0</v>
      </c>
      <c r="N594" s="80">
        <v>0</v>
      </c>
      <c r="O594" s="80">
        <v>0</v>
      </c>
      <c r="P594" s="80">
        <v>0</v>
      </c>
      <c r="Q594" s="80">
        <v>1</v>
      </c>
      <c r="R594" s="80">
        <v>0</v>
      </c>
      <c r="S594" s="80">
        <v>0</v>
      </c>
      <c r="T594" s="80">
        <v>0</v>
      </c>
      <c r="U594" s="80">
        <v>0</v>
      </c>
      <c r="V594" s="80">
        <v>0</v>
      </c>
      <c r="W594" s="80">
        <v>0</v>
      </c>
      <c r="X594" s="80">
        <v>0</v>
      </c>
      <c r="Y594" s="80">
        <v>0</v>
      </c>
      <c r="Z594" s="80">
        <v>0</v>
      </c>
      <c r="AA594" s="80">
        <v>0</v>
      </c>
      <c r="AB594" s="80">
        <v>0</v>
      </c>
      <c r="AC594" s="80">
        <v>0</v>
      </c>
      <c r="AD594" s="80">
        <v>0</v>
      </c>
      <c r="AE594" s="80">
        <v>0</v>
      </c>
      <c r="AF594" s="80">
        <v>0</v>
      </c>
      <c r="AG594" s="80">
        <v>0</v>
      </c>
      <c r="AH594" s="80">
        <v>0</v>
      </c>
      <c r="AI594" s="80">
        <v>0</v>
      </c>
      <c r="AJ594" s="80">
        <v>0</v>
      </c>
      <c r="AK594" s="80">
        <v>0</v>
      </c>
      <c r="AL594" s="80">
        <v>0</v>
      </c>
      <c r="AM594" s="80">
        <v>0</v>
      </c>
      <c r="AN594" s="80">
        <v>0</v>
      </c>
      <c r="AO594" s="80">
        <v>0</v>
      </c>
    </row>
    <row r="595" spans="1:41" ht="15.75" x14ac:dyDescent="0.25">
      <c r="A595" s="84">
        <v>35</v>
      </c>
      <c r="B595" s="84"/>
      <c r="C595" s="84" t="s">
        <v>201</v>
      </c>
      <c r="D595" s="80" t="s">
        <v>245</v>
      </c>
      <c r="E595" s="80">
        <v>0</v>
      </c>
      <c r="F595" s="80">
        <v>0</v>
      </c>
      <c r="G595" s="81">
        <v>0</v>
      </c>
      <c r="H595" s="81">
        <v>1</v>
      </c>
      <c r="I595" s="81">
        <v>1</v>
      </c>
      <c r="J595" s="81">
        <v>1</v>
      </c>
      <c r="K595" s="81">
        <v>0</v>
      </c>
      <c r="L595" s="81">
        <v>0</v>
      </c>
      <c r="M595" s="81">
        <v>0</v>
      </c>
      <c r="N595" s="81">
        <v>0</v>
      </c>
      <c r="O595" s="81">
        <v>1</v>
      </c>
      <c r="P595" s="80">
        <v>0</v>
      </c>
      <c r="Q595" s="81">
        <v>0</v>
      </c>
      <c r="R595" s="81">
        <v>0</v>
      </c>
      <c r="S595" s="81">
        <v>0</v>
      </c>
      <c r="T595" s="81">
        <v>0</v>
      </c>
      <c r="U595" s="81">
        <v>2</v>
      </c>
      <c r="V595" s="81">
        <v>0</v>
      </c>
      <c r="W595" s="81">
        <v>0</v>
      </c>
      <c r="X595" s="81">
        <v>0</v>
      </c>
      <c r="Y595" s="81">
        <v>0</v>
      </c>
      <c r="Z595" s="81">
        <v>0</v>
      </c>
      <c r="AA595" s="81">
        <v>0</v>
      </c>
      <c r="AB595" s="81">
        <v>0</v>
      </c>
      <c r="AC595" s="80">
        <v>0</v>
      </c>
      <c r="AD595" s="80">
        <v>0</v>
      </c>
      <c r="AE595" s="81">
        <v>0</v>
      </c>
      <c r="AF595" s="81">
        <v>0</v>
      </c>
      <c r="AG595" s="81">
        <v>1</v>
      </c>
      <c r="AH595" s="81">
        <v>0</v>
      </c>
      <c r="AI595" s="81">
        <v>0</v>
      </c>
      <c r="AJ595" s="81">
        <v>0</v>
      </c>
      <c r="AK595" s="81">
        <v>0</v>
      </c>
      <c r="AL595" s="81">
        <v>0</v>
      </c>
      <c r="AM595" s="80">
        <v>0</v>
      </c>
      <c r="AN595" s="80">
        <v>0</v>
      </c>
      <c r="AO595" s="80">
        <v>0</v>
      </c>
    </row>
    <row r="596" spans="1:41" ht="15.75" x14ac:dyDescent="0.25">
      <c r="A596" s="84"/>
      <c r="B596" s="84"/>
      <c r="C596" s="84"/>
      <c r="D596" s="80" t="s">
        <v>246</v>
      </c>
      <c r="E596" s="80">
        <v>0</v>
      </c>
      <c r="F596" s="80">
        <v>0</v>
      </c>
      <c r="G596" s="81">
        <v>0</v>
      </c>
      <c r="H596" s="81">
        <v>1</v>
      </c>
      <c r="I596" s="81">
        <v>1</v>
      </c>
      <c r="J596" s="81">
        <v>1</v>
      </c>
      <c r="K596" s="81">
        <v>0</v>
      </c>
      <c r="L596" s="81">
        <v>0</v>
      </c>
      <c r="M596" s="81">
        <v>0</v>
      </c>
      <c r="N596" s="81">
        <v>0</v>
      </c>
      <c r="O596" s="81">
        <v>1</v>
      </c>
      <c r="P596" s="80">
        <v>0</v>
      </c>
      <c r="Q596" s="81">
        <v>0</v>
      </c>
      <c r="R596" s="81">
        <v>0</v>
      </c>
      <c r="S596" s="81">
        <v>0</v>
      </c>
      <c r="T596" s="81">
        <v>0</v>
      </c>
      <c r="U596" s="81">
        <v>2</v>
      </c>
      <c r="V596" s="81">
        <v>0</v>
      </c>
      <c r="W596" s="81">
        <v>0</v>
      </c>
      <c r="X596" s="81">
        <v>0</v>
      </c>
      <c r="Y596" s="81">
        <v>0</v>
      </c>
      <c r="Z596" s="81">
        <v>0</v>
      </c>
      <c r="AA596" s="81">
        <v>0</v>
      </c>
      <c r="AB596" s="81">
        <v>0</v>
      </c>
      <c r="AC596" s="80">
        <v>0</v>
      </c>
      <c r="AD596" s="80">
        <v>0</v>
      </c>
      <c r="AE596" s="81">
        <v>0</v>
      </c>
      <c r="AF596" s="81">
        <v>0</v>
      </c>
      <c r="AG596" s="81">
        <v>1</v>
      </c>
      <c r="AH596" s="81">
        <v>0</v>
      </c>
      <c r="AI596" s="81">
        <v>0</v>
      </c>
      <c r="AJ596" s="81">
        <v>0</v>
      </c>
      <c r="AK596" s="81">
        <v>0</v>
      </c>
      <c r="AL596" s="81">
        <v>0</v>
      </c>
      <c r="AM596" s="80">
        <v>0</v>
      </c>
      <c r="AN596" s="80">
        <v>0</v>
      </c>
      <c r="AO596" s="80">
        <v>0</v>
      </c>
    </row>
    <row r="597" spans="1:41" ht="15.75" x14ac:dyDescent="0.25">
      <c r="A597" s="84"/>
      <c r="B597" s="84"/>
      <c r="C597" s="84"/>
      <c r="D597" s="80" t="s">
        <v>247</v>
      </c>
      <c r="E597" s="80">
        <v>0</v>
      </c>
      <c r="F597" s="80">
        <v>0</v>
      </c>
      <c r="G597" s="81">
        <v>0</v>
      </c>
      <c r="H597" s="81">
        <v>0</v>
      </c>
      <c r="I597" s="81">
        <v>0</v>
      </c>
      <c r="J597" s="81">
        <v>0</v>
      </c>
      <c r="K597" s="81">
        <v>0</v>
      </c>
      <c r="L597" s="81">
        <v>0</v>
      </c>
      <c r="M597" s="81">
        <v>0</v>
      </c>
      <c r="N597" s="81">
        <v>0</v>
      </c>
      <c r="O597" s="81">
        <v>0</v>
      </c>
      <c r="P597" s="80">
        <v>0</v>
      </c>
      <c r="Q597" s="81">
        <v>0</v>
      </c>
      <c r="R597" s="81">
        <v>0</v>
      </c>
      <c r="S597" s="81">
        <v>0</v>
      </c>
      <c r="T597" s="81">
        <v>0</v>
      </c>
      <c r="U597" s="81">
        <v>0</v>
      </c>
      <c r="V597" s="81">
        <v>0</v>
      </c>
      <c r="W597" s="81">
        <v>0</v>
      </c>
      <c r="X597" s="81">
        <v>0</v>
      </c>
      <c r="Y597" s="81">
        <v>0</v>
      </c>
      <c r="Z597" s="81">
        <v>0</v>
      </c>
      <c r="AA597" s="81">
        <v>0</v>
      </c>
      <c r="AB597" s="81">
        <v>0</v>
      </c>
      <c r="AC597" s="80">
        <v>0</v>
      </c>
      <c r="AD597" s="80">
        <v>0</v>
      </c>
      <c r="AE597" s="81">
        <v>0</v>
      </c>
      <c r="AF597" s="81">
        <v>0</v>
      </c>
      <c r="AG597" s="81">
        <v>0</v>
      </c>
      <c r="AH597" s="81">
        <v>0</v>
      </c>
      <c r="AI597" s="81">
        <v>0</v>
      </c>
      <c r="AJ597" s="81">
        <v>0</v>
      </c>
      <c r="AK597" s="81">
        <v>0</v>
      </c>
      <c r="AL597" s="81">
        <v>0</v>
      </c>
      <c r="AM597" s="80">
        <v>0</v>
      </c>
      <c r="AN597" s="80">
        <v>0</v>
      </c>
      <c r="AO597" s="80">
        <v>0</v>
      </c>
    </row>
    <row r="598" spans="1:41" ht="15.75" x14ac:dyDescent="0.25">
      <c r="A598" s="84"/>
      <c r="B598" s="84"/>
      <c r="C598" s="84"/>
      <c r="D598" s="80" t="s">
        <v>248</v>
      </c>
      <c r="E598" s="80">
        <v>0</v>
      </c>
      <c r="F598" s="80">
        <v>0</v>
      </c>
      <c r="G598" s="81">
        <v>0</v>
      </c>
      <c r="H598" s="81">
        <v>1</v>
      </c>
      <c r="I598" s="81">
        <v>1</v>
      </c>
      <c r="J598" s="81">
        <v>1</v>
      </c>
      <c r="K598" s="81">
        <v>0</v>
      </c>
      <c r="L598" s="81">
        <v>0</v>
      </c>
      <c r="M598" s="81">
        <v>0</v>
      </c>
      <c r="N598" s="81">
        <v>0</v>
      </c>
      <c r="O598" s="81">
        <v>1</v>
      </c>
      <c r="P598" s="80">
        <v>0</v>
      </c>
      <c r="Q598" s="81">
        <v>0</v>
      </c>
      <c r="R598" s="81">
        <v>0</v>
      </c>
      <c r="S598" s="81">
        <v>0</v>
      </c>
      <c r="T598" s="81">
        <v>0</v>
      </c>
      <c r="U598" s="81">
        <v>2</v>
      </c>
      <c r="V598" s="81">
        <v>0</v>
      </c>
      <c r="W598" s="81">
        <v>0</v>
      </c>
      <c r="X598" s="81">
        <v>0</v>
      </c>
      <c r="Y598" s="81">
        <v>0</v>
      </c>
      <c r="Z598" s="81">
        <v>0</v>
      </c>
      <c r="AA598" s="81">
        <v>0</v>
      </c>
      <c r="AB598" s="81">
        <v>0</v>
      </c>
      <c r="AC598" s="80">
        <v>0</v>
      </c>
      <c r="AD598" s="80">
        <v>0</v>
      </c>
      <c r="AE598" s="81">
        <v>0</v>
      </c>
      <c r="AF598" s="81">
        <v>0</v>
      </c>
      <c r="AG598" s="81">
        <v>1</v>
      </c>
      <c r="AH598" s="81">
        <v>0</v>
      </c>
      <c r="AI598" s="81">
        <v>0</v>
      </c>
      <c r="AJ598" s="81">
        <v>0</v>
      </c>
      <c r="AK598" s="81">
        <v>0</v>
      </c>
      <c r="AL598" s="81">
        <v>0</v>
      </c>
      <c r="AM598" s="80">
        <v>0</v>
      </c>
      <c r="AN598" s="80">
        <v>0</v>
      </c>
      <c r="AO598" s="80">
        <v>0</v>
      </c>
    </row>
    <row r="599" spans="1:41" ht="15.75" x14ac:dyDescent="0.25">
      <c r="A599" s="84"/>
      <c r="B599" s="84"/>
      <c r="C599" s="84"/>
      <c r="D599" s="80" t="s">
        <v>258</v>
      </c>
      <c r="E599" s="80">
        <v>0</v>
      </c>
      <c r="F599" s="80">
        <v>0</v>
      </c>
      <c r="G599" s="80">
        <v>0</v>
      </c>
      <c r="H599" s="80">
        <v>0</v>
      </c>
      <c r="I599" s="80">
        <v>0</v>
      </c>
      <c r="J599" s="80">
        <v>0</v>
      </c>
      <c r="K599" s="80">
        <v>0</v>
      </c>
      <c r="L599" s="80">
        <v>0</v>
      </c>
      <c r="M599" s="80">
        <v>0</v>
      </c>
      <c r="N599" s="80">
        <v>0</v>
      </c>
      <c r="O599" s="80">
        <v>0</v>
      </c>
      <c r="P599" s="80">
        <v>0</v>
      </c>
      <c r="Q599" s="80">
        <v>0</v>
      </c>
      <c r="R599" s="80">
        <v>0</v>
      </c>
      <c r="S599" s="80">
        <v>0</v>
      </c>
      <c r="T599" s="80">
        <v>0</v>
      </c>
      <c r="U599" s="80">
        <v>0</v>
      </c>
      <c r="V599" s="80">
        <v>0</v>
      </c>
      <c r="W599" s="80">
        <v>0</v>
      </c>
      <c r="X599" s="80">
        <v>0</v>
      </c>
      <c r="Y599" s="80">
        <v>0</v>
      </c>
      <c r="Z599" s="80">
        <v>0</v>
      </c>
      <c r="AA599" s="80">
        <v>0</v>
      </c>
      <c r="AB599" s="80">
        <v>0</v>
      </c>
      <c r="AC599" s="80">
        <v>0</v>
      </c>
      <c r="AD599" s="80">
        <v>0</v>
      </c>
      <c r="AE599" s="80">
        <v>0</v>
      </c>
      <c r="AF599" s="80">
        <v>0</v>
      </c>
      <c r="AG599" s="80">
        <v>0</v>
      </c>
      <c r="AH599" s="80">
        <v>0</v>
      </c>
      <c r="AI599" s="80">
        <v>0</v>
      </c>
      <c r="AJ599" s="80">
        <v>0</v>
      </c>
      <c r="AK599" s="80">
        <v>0</v>
      </c>
      <c r="AL599" s="80">
        <v>0</v>
      </c>
      <c r="AM599" s="80">
        <v>0</v>
      </c>
      <c r="AN599" s="80">
        <v>0</v>
      </c>
      <c r="AO599" s="80">
        <v>0</v>
      </c>
    </row>
    <row r="600" spans="1:41" ht="15.75" x14ac:dyDescent="0.25">
      <c r="A600" s="84">
        <v>36</v>
      </c>
      <c r="B600" s="84" t="s">
        <v>91</v>
      </c>
      <c r="C600" s="84" t="s">
        <v>184</v>
      </c>
      <c r="D600" s="80" t="s">
        <v>245</v>
      </c>
      <c r="E600" s="80">
        <v>0</v>
      </c>
      <c r="F600" s="80">
        <v>0</v>
      </c>
      <c r="G600" s="80">
        <v>0</v>
      </c>
      <c r="H600" s="81">
        <v>1</v>
      </c>
      <c r="I600" s="81">
        <v>1</v>
      </c>
      <c r="J600" s="80">
        <v>1</v>
      </c>
      <c r="K600" s="80">
        <v>0</v>
      </c>
      <c r="L600" s="80">
        <v>0</v>
      </c>
      <c r="M600" s="80">
        <v>0</v>
      </c>
      <c r="N600" s="81">
        <v>0</v>
      </c>
      <c r="O600" s="81">
        <v>2</v>
      </c>
      <c r="P600" s="81">
        <v>0</v>
      </c>
      <c r="Q600" s="81">
        <v>1</v>
      </c>
      <c r="R600" s="80">
        <v>0</v>
      </c>
      <c r="S600" s="80">
        <v>0</v>
      </c>
      <c r="T600" s="81">
        <v>0</v>
      </c>
      <c r="U600" s="80">
        <v>1</v>
      </c>
      <c r="V600" s="81">
        <v>3</v>
      </c>
      <c r="W600" s="81">
        <v>2</v>
      </c>
      <c r="X600" s="80">
        <v>1</v>
      </c>
      <c r="Y600" s="80">
        <v>0</v>
      </c>
      <c r="Z600" s="80">
        <v>1</v>
      </c>
      <c r="AA600" s="80">
        <v>2</v>
      </c>
      <c r="AB600" s="80">
        <v>0</v>
      </c>
      <c r="AC600" s="80">
        <v>1</v>
      </c>
      <c r="AD600" s="80">
        <v>0</v>
      </c>
      <c r="AE600" s="80">
        <v>2</v>
      </c>
      <c r="AF600" s="80">
        <v>2</v>
      </c>
      <c r="AG600" s="81">
        <v>0</v>
      </c>
      <c r="AH600" s="80">
        <v>2</v>
      </c>
      <c r="AI600" s="81">
        <v>1</v>
      </c>
      <c r="AJ600" s="81">
        <v>0</v>
      </c>
      <c r="AK600" s="81">
        <v>0</v>
      </c>
      <c r="AL600" s="81">
        <v>0</v>
      </c>
      <c r="AM600" s="80">
        <v>0</v>
      </c>
      <c r="AN600" s="80">
        <v>0</v>
      </c>
      <c r="AO600" s="80">
        <v>0</v>
      </c>
    </row>
    <row r="601" spans="1:41" ht="15.75" x14ac:dyDescent="0.25">
      <c r="A601" s="84"/>
      <c r="B601" s="84"/>
      <c r="C601" s="84"/>
      <c r="D601" s="80" t="s">
        <v>246</v>
      </c>
      <c r="E601" s="80">
        <v>1</v>
      </c>
      <c r="F601" s="80">
        <v>0</v>
      </c>
      <c r="G601" s="80">
        <v>0</v>
      </c>
      <c r="H601" s="81">
        <v>1</v>
      </c>
      <c r="I601" s="81">
        <v>1</v>
      </c>
      <c r="J601" s="80">
        <v>1</v>
      </c>
      <c r="K601" s="80">
        <v>0</v>
      </c>
      <c r="L601" s="80">
        <v>0</v>
      </c>
      <c r="M601" s="80">
        <v>0</v>
      </c>
      <c r="N601" s="81">
        <v>0</v>
      </c>
      <c r="O601" s="81">
        <v>2</v>
      </c>
      <c r="P601" s="81">
        <v>0</v>
      </c>
      <c r="Q601" s="81">
        <v>1</v>
      </c>
      <c r="R601" s="80">
        <v>0</v>
      </c>
      <c r="S601" s="80">
        <v>0</v>
      </c>
      <c r="T601" s="81">
        <v>0</v>
      </c>
      <c r="U601" s="80">
        <v>1</v>
      </c>
      <c r="V601" s="81">
        <v>3</v>
      </c>
      <c r="W601" s="81">
        <v>2</v>
      </c>
      <c r="X601" s="80">
        <v>1</v>
      </c>
      <c r="Y601" s="80">
        <v>0</v>
      </c>
      <c r="Z601" s="80">
        <v>1</v>
      </c>
      <c r="AA601" s="80">
        <v>2</v>
      </c>
      <c r="AB601" s="80">
        <v>0</v>
      </c>
      <c r="AC601" s="80">
        <v>1</v>
      </c>
      <c r="AD601" s="80">
        <v>0</v>
      </c>
      <c r="AE601" s="80">
        <v>2</v>
      </c>
      <c r="AF601" s="80">
        <v>2</v>
      </c>
      <c r="AG601" s="81">
        <v>0</v>
      </c>
      <c r="AH601" s="80">
        <v>2</v>
      </c>
      <c r="AI601" s="81">
        <v>1</v>
      </c>
      <c r="AJ601" s="81">
        <v>0</v>
      </c>
      <c r="AK601" s="81">
        <v>0</v>
      </c>
      <c r="AL601" s="81">
        <v>0</v>
      </c>
      <c r="AM601" s="80">
        <v>0</v>
      </c>
      <c r="AN601" s="80">
        <v>0</v>
      </c>
      <c r="AO601" s="80">
        <v>0</v>
      </c>
    </row>
    <row r="602" spans="1:41" ht="15.75" x14ac:dyDescent="0.25">
      <c r="A602" s="84"/>
      <c r="B602" s="84"/>
      <c r="C602" s="84"/>
      <c r="D602" s="80" t="s">
        <v>247</v>
      </c>
      <c r="E602" s="80">
        <v>0</v>
      </c>
      <c r="F602" s="80">
        <v>0</v>
      </c>
      <c r="G602" s="80">
        <v>0</v>
      </c>
      <c r="H602" s="81">
        <v>0</v>
      </c>
      <c r="I602" s="81">
        <v>0</v>
      </c>
      <c r="J602" s="80">
        <v>0</v>
      </c>
      <c r="K602" s="80">
        <v>0</v>
      </c>
      <c r="L602" s="80">
        <v>0</v>
      </c>
      <c r="M602" s="80">
        <v>0</v>
      </c>
      <c r="N602" s="81">
        <v>0</v>
      </c>
      <c r="O602" s="81">
        <v>0</v>
      </c>
      <c r="P602" s="81">
        <v>0</v>
      </c>
      <c r="Q602" s="81">
        <v>0</v>
      </c>
      <c r="R602" s="80">
        <v>0</v>
      </c>
      <c r="S602" s="80">
        <v>0</v>
      </c>
      <c r="T602" s="81">
        <v>0</v>
      </c>
      <c r="U602" s="80">
        <v>0</v>
      </c>
      <c r="V602" s="81">
        <v>0</v>
      </c>
      <c r="W602" s="81">
        <v>0</v>
      </c>
      <c r="X602" s="80">
        <v>0</v>
      </c>
      <c r="Y602" s="80">
        <v>0</v>
      </c>
      <c r="Z602" s="80">
        <v>0</v>
      </c>
      <c r="AA602" s="80">
        <v>0</v>
      </c>
      <c r="AB602" s="80">
        <v>0</v>
      </c>
      <c r="AC602" s="80">
        <v>0</v>
      </c>
      <c r="AD602" s="80">
        <v>0</v>
      </c>
      <c r="AE602" s="80">
        <v>0</v>
      </c>
      <c r="AF602" s="80">
        <v>0</v>
      </c>
      <c r="AG602" s="81">
        <v>0</v>
      </c>
      <c r="AH602" s="80">
        <v>0</v>
      </c>
      <c r="AI602" s="81">
        <v>0</v>
      </c>
      <c r="AJ602" s="81">
        <v>0</v>
      </c>
      <c r="AK602" s="81">
        <v>0</v>
      </c>
      <c r="AL602" s="81">
        <v>0</v>
      </c>
      <c r="AM602" s="80">
        <v>0</v>
      </c>
      <c r="AN602" s="80">
        <v>0</v>
      </c>
      <c r="AO602" s="80">
        <v>0</v>
      </c>
    </row>
    <row r="603" spans="1:41" ht="15.75" x14ac:dyDescent="0.25">
      <c r="A603" s="84"/>
      <c r="B603" s="84"/>
      <c r="C603" s="84"/>
      <c r="D603" s="80" t="s">
        <v>248</v>
      </c>
      <c r="E603" s="80">
        <v>1</v>
      </c>
      <c r="F603" s="80">
        <v>0</v>
      </c>
      <c r="G603" s="80">
        <v>0</v>
      </c>
      <c r="H603" s="81">
        <v>1</v>
      </c>
      <c r="I603" s="81">
        <v>1</v>
      </c>
      <c r="J603" s="80">
        <v>1</v>
      </c>
      <c r="K603" s="80">
        <v>0</v>
      </c>
      <c r="L603" s="80">
        <v>1</v>
      </c>
      <c r="M603" s="80">
        <v>0</v>
      </c>
      <c r="N603" s="81">
        <v>0</v>
      </c>
      <c r="O603" s="81">
        <v>2</v>
      </c>
      <c r="P603" s="81">
        <v>0</v>
      </c>
      <c r="Q603" s="81">
        <v>0</v>
      </c>
      <c r="R603" s="80">
        <v>0</v>
      </c>
      <c r="S603" s="80">
        <v>0</v>
      </c>
      <c r="T603" s="81">
        <v>0</v>
      </c>
      <c r="U603" s="80">
        <v>1</v>
      </c>
      <c r="V603" s="81">
        <v>3</v>
      </c>
      <c r="W603" s="81">
        <v>2</v>
      </c>
      <c r="X603" s="80">
        <v>1</v>
      </c>
      <c r="Y603" s="80">
        <v>0</v>
      </c>
      <c r="Z603" s="80">
        <v>1</v>
      </c>
      <c r="AA603" s="80">
        <v>2</v>
      </c>
      <c r="AB603" s="80">
        <v>0</v>
      </c>
      <c r="AC603" s="80">
        <v>1</v>
      </c>
      <c r="AD603" s="80">
        <v>0</v>
      </c>
      <c r="AE603" s="80">
        <v>2</v>
      </c>
      <c r="AF603" s="80">
        <v>2</v>
      </c>
      <c r="AG603" s="81">
        <v>0</v>
      </c>
      <c r="AH603" s="80">
        <v>2</v>
      </c>
      <c r="AI603" s="81">
        <v>0</v>
      </c>
      <c r="AJ603" s="81">
        <v>0</v>
      </c>
      <c r="AK603" s="81">
        <v>0</v>
      </c>
      <c r="AL603" s="81">
        <v>0</v>
      </c>
      <c r="AM603" s="80">
        <v>0</v>
      </c>
      <c r="AN603" s="80">
        <v>0</v>
      </c>
      <c r="AO603" s="80">
        <v>0</v>
      </c>
    </row>
    <row r="604" spans="1:41" ht="15.75" x14ac:dyDescent="0.25">
      <c r="A604" s="84"/>
      <c r="B604" s="84"/>
      <c r="C604" s="84"/>
      <c r="D604" s="80" t="s">
        <v>258</v>
      </c>
      <c r="E604" s="80">
        <v>0</v>
      </c>
      <c r="F604" s="80">
        <v>0</v>
      </c>
      <c r="G604" s="80">
        <v>0</v>
      </c>
      <c r="H604" s="80">
        <v>0</v>
      </c>
      <c r="I604" s="80">
        <v>0</v>
      </c>
      <c r="J604" s="80">
        <v>0</v>
      </c>
      <c r="K604" s="80">
        <v>0</v>
      </c>
      <c r="L604" s="80">
        <v>0</v>
      </c>
      <c r="M604" s="80">
        <v>0</v>
      </c>
      <c r="N604" s="80">
        <v>0</v>
      </c>
      <c r="O604" s="80">
        <v>0</v>
      </c>
      <c r="P604" s="80">
        <v>0</v>
      </c>
      <c r="Q604" s="80">
        <v>1</v>
      </c>
      <c r="R604" s="80">
        <v>0</v>
      </c>
      <c r="S604" s="80">
        <v>0</v>
      </c>
      <c r="T604" s="80">
        <v>0</v>
      </c>
      <c r="U604" s="80">
        <v>0</v>
      </c>
      <c r="V604" s="80">
        <v>0</v>
      </c>
      <c r="W604" s="80">
        <v>0</v>
      </c>
      <c r="X604" s="80">
        <v>0</v>
      </c>
      <c r="Y604" s="80">
        <v>0</v>
      </c>
      <c r="Z604" s="80">
        <v>0</v>
      </c>
      <c r="AA604" s="80">
        <v>0</v>
      </c>
      <c r="AB604" s="80">
        <v>0</v>
      </c>
      <c r="AC604" s="80">
        <v>0</v>
      </c>
      <c r="AD604" s="80">
        <v>0</v>
      </c>
      <c r="AE604" s="80">
        <v>0</v>
      </c>
      <c r="AF604" s="80">
        <v>0</v>
      </c>
      <c r="AG604" s="80">
        <v>0</v>
      </c>
      <c r="AH604" s="80">
        <v>0</v>
      </c>
      <c r="AI604" s="80">
        <v>1</v>
      </c>
      <c r="AJ604" s="80">
        <v>0</v>
      </c>
      <c r="AK604" s="80">
        <v>0</v>
      </c>
      <c r="AL604" s="80">
        <v>0</v>
      </c>
      <c r="AM604" s="80">
        <v>0</v>
      </c>
      <c r="AN604" s="80">
        <v>0</v>
      </c>
      <c r="AO604" s="80">
        <v>0</v>
      </c>
    </row>
    <row r="605" spans="1:41" ht="15.75" x14ac:dyDescent="0.25">
      <c r="A605" s="84">
        <v>37</v>
      </c>
      <c r="B605" s="84"/>
      <c r="C605" s="84" t="s">
        <v>254</v>
      </c>
      <c r="D605" s="80" t="s">
        <v>245</v>
      </c>
      <c r="E605" s="80">
        <v>0</v>
      </c>
      <c r="F605" s="80">
        <v>0</v>
      </c>
      <c r="G605" s="80">
        <v>0</v>
      </c>
      <c r="H605" s="81">
        <v>0</v>
      </c>
      <c r="I605" s="81">
        <v>2</v>
      </c>
      <c r="J605" s="80">
        <v>2</v>
      </c>
      <c r="K605" s="80">
        <v>0</v>
      </c>
      <c r="L605" s="80">
        <v>0</v>
      </c>
      <c r="M605" s="80">
        <v>0</v>
      </c>
      <c r="N605" s="81">
        <v>1</v>
      </c>
      <c r="O605" s="81">
        <v>1</v>
      </c>
      <c r="P605" s="81">
        <v>0</v>
      </c>
      <c r="Q605" s="81">
        <v>2</v>
      </c>
      <c r="R605" s="80">
        <v>1</v>
      </c>
      <c r="S605" s="80">
        <v>0</v>
      </c>
      <c r="T605" s="81">
        <v>0</v>
      </c>
      <c r="U605" s="80">
        <v>1</v>
      </c>
      <c r="V605" s="81">
        <v>2</v>
      </c>
      <c r="W605" s="81">
        <v>0</v>
      </c>
      <c r="X605" s="80">
        <v>0</v>
      </c>
      <c r="Y605" s="80">
        <v>0</v>
      </c>
      <c r="Z605" s="80">
        <v>1</v>
      </c>
      <c r="AA605" s="80">
        <v>1</v>
      </c>
      <c r="AB605" s="80">
        <v>1</v>
      </c>
      <c r="AC605" s="80">
        <v>1</v>
      </c>
      <c r="AD605" s="80">
        <v>1</v>
      </c>
      <c r="AE605" s="80">
        <v>1</v>
      </c>
      <c r="AF605" s="80">
        <v>1</v>
      </c>
      <c r="AG605" s="81">
        <v>0</v>
      </c>
      <c r="AH605" s="80">
        <v>1</v>
      </c>
      <c r="AI605" s="81">
        <v>0</v>
      </c>
      <c r="AJ605" s="81">
        <v>0</v>
      </c>
      <c r="AK605" s="81">
        <v>0</v>
      </c>
      <c r="AL605" s="81">
        <v>0</v>
      </c>
      <c r="AM605" s="80">
        <v>0</v>
      </c>
      <c r="AN605" s="80">
        <v>0</v>
      </c>
      <c r="AO605" s="80">
        <v>0</v>
      </c>
    </row>
    <row r="606" spans="1:41" ht="15.75" x14ac:dyDescent="0.25">
      <c r="A606" s="84"/>
      <c r="B606" s="84"/>
      <c r="C606" s="84"/>
      <c r="D606" s="80" t="s">
        <v>246</v>
      </c>
      <c r="E606" s="80">
        <v>1</v>
      </c>
      <c r="F606" s="80">
        <v>0</v>
      </c>
      <c r="G606" s="80">
        <v>0</v>
      </c>
      <c r="H606" s="81">
        <v>0</v>
      </c>
      <c r="I606" s="81">
        <v>1</v>
      </c>
      <c r="J606" s="80">
        <v>2</v>
      </c>
      <c r="K606" s="80">
        <v>0</v>
      </c>
      <c r="L606" s="80">
        <v>0</v>
      </c>
      <c r="M606" s="80">
        <v>0</v>
      </c>
      <c r="N606" s="81">
        <v>1</v>
      </c>
      <c r="O606" s="81">
        <v>1</v>
      </c>
      <c r="P606" s="81">
        <v>0</v>
      </c>
      <c r="Q606" s="81">
        <v>2</v>
      </c>
      <c r="R606" s="80">
        <v>1</v>
      </c>
      <c r="S606" s="80">
        <v>0</v>
      </c>
      <c r="T606" s="81">
        <v>0</v>
      </c>
      <c r="U606" s="80">
        <v>1</v>
      </c>
      <c r="V606" s="81">
        <v>2</v>
      </c>
      <c r="W606" s="81">
        <v>0</v>
      </c>
      <c r="X606" s="80">
        <v>0</v>
      </c>
      <c r="Y606" s="80">
        <v>0</v>
      </c>
      <c r="Z606" s="80">
        <v>1</v>
      </c>
      <c r="AA606" s="80">
        <v>1</v>
      </c>
      <c r="AB606" s="80">
        <v>1</v>
      </c>
      <c r="AC606" s="80">
        <v>1</v>
      </c>
      <c r="AD606" s="80">
        <v>1</v>
      </c>
      <c r="AE606" s="80">
        <v>1</v>
      </c>
      <c r="AF606" s="80">
        <v>1</v>
      </c>
      <c r="AG606" s="81">
        <v>0</v>
      </c>
      <c r="AH606" s="80">
        <v>1</v>
      </c>
      <c r="AI606" s="81">
        <v>0</v>
      </c>
      <c r="AJ606" s="81">
        <v>0</v>
      </c>
      <c r="AK606" s="81">
        <v>0</v>
      </c>
      <c r="AL606" s="81">
        <v>0</v>
      </c>
      <c r="AM606" s="80">
        <v>0</v>
      </c>
      <c r="AN606" s="80">
        <v>0</v>
      </c>
      <c r="AO606" s="80">
        <v>0</v>
      </c>
    </row>
    <row r="607" spans="1:41" ht="15.75" x14ac:dyDescent="0.25">
      <c r="A607" s="84"/>
      <c r="B607" s="84"/>
      <c r="C607" s="84"/>
      <c r="D607" s="80" t="s">
        <v>247</v>
      </c>
      <c r="E607" s="80">
        <v>0</v>
      </c>
      <c r="F607" s="80">
        <v>0</v>
      </c>
      <c r="G607" s="80">
        <v>0</v>
      </c>
      <c r="H607" s="81">
        <v>0</v>
      </c>
      <c r="I607" s="81">
        <v>1</v>
      </c>
      <c r="J607" s="80">
        <v>0</v>
      </c>
      <c r="K607" s="80">
        <v>0</v>
      </c>
      <c r="L607" s="80">
        <v>0</v>
      </c>
      <c r="M607" s="80">
        <v>0</v>
      </c>
      <c r="N607" s="81">
        <v>0</v>
      </c>
      <c r="O607" s="81">
        <v>0</v>
      </c>
      <c r="P607" s="81">
        <v>0</v>
      </c>
      <c r="Q607" s="81">
        <v>0</v>
      </c>
      <c r="R607" s="80">
        <v>0</v>
      </c>
      <c r="S607" s="80">
        <v>0</v>
      </c>
      <c r="T607" s="81">
        <v>0</v>
      </c>
      <c r="U607" s="80">
        <v>0</v>
      </c>
      <c r="V607" s="81">
        <v>0</v>
      </c>
      <c r="W607" s="81">
        <v>0</v>
      </c>
      <c r="X607" s="80">
        <v>0</v>
      </c>
      <c r="Y607" s="80">
        <v>0</v>
      </c>
      <c r="Z607" s="80">
        <v>0</v>
      </c>
      <c r="AA607" s="80">
        <v>0</v>
      </c>
      <c r="AB607" s="80">
        <v>0</v>
      </c>
      <c r="AC607" s="80">
        <v>0</v>
      </c>
      <c r="AD607" s="80">
        <v>0</v>
      </c>
      <c r="AE607" s="80">
        <v>0</v>
      </c>
      <c r="AF607" s="80">
        <v>0</v>
      </c>
      <c r="AG607" s="81">
        <v>0</v>
      </c>
      <c r="AH607" s="80">
        <v>0</v>
      </c>
      <c r="AI607" s="81">
        <v>0</v>
      </c>
      <c r="AJ607" s="81">
        <v>0</v>
      </c>
      <c r="AK607" s="81">
        <v>0</v>
      </c>
      <c r="AL607" s="81">
        <v>0</v>
      </c>
      <c r="AM607" s="80">
        <v>0</v>
      </c>
      <c r="AN607" s="80">
        <v>0</v>
      </c>
      <c r="AO607" s="80">
        <v>0</v>
      </c>
    </row>
    <row r="608" spans="1:41" ht="15.75" x14ac:dyDescent="0.25">
      <c r="A608" s="84"/>
      <c r="B608" s="84"/>
      <c r="C608" s="84"/>
      <c r="D608" s="80" t="s">
        <v>248</v>
      </c>
      <c r="E608" s="80">
        <v>1</v>
      </c>
      <c r="F608" s="80">
        <v>0</v>
      </c>
      <c r="G608" s="80">
        <v>0</v>
      </c>
      <c r="H608" s="81">
        <v>0</v>
      </c>
      <c r="I608" s="81">
        <v>1</v>
      </c>
      <c r="J608" s="80">
        <v>2</v>
      </c>
      <c r="K608" s="80">
        <v>0</v>
      </c>
      <c r="L608" s="80">
        <v>0</v>
      </c>
      <c r="M608" s="80">
        <v>0</v>
      </c>
      <c r="N608" s="81">
        <v>1</v>
      </c>
      <c r="O608" s="81">
        <v>1</v>
      </c>
      <c r="P608" s="81">
        <v>0</v>
      </c>
      <c r="Q608" s="81">
        <v>2</v>
      </c>
      <c r="R608" s="80">
        <v>1</v>
      </c>
      <c r="S608" s="80">
        <v>0</v>
      </c>
      <c r="T608" s="81">
        <v>0</v>
      </c>
      <c r="U608" s="80">
        <v>1</v>
      </c>
      <c r="V608" s="81">
        <v>2</v>
      </c>
      <c r="W608" s="81">
        <v>0</v>
      </c>
      <c r="X608" s="80">
        <v>0</v>
      </c>
      <c r="Y608" s="80">
        <v>0</v>
      </c>
      <c r="Z608" s="80">
        <v>1</v>
      </c>
      <c r="AA608" s="80">
        <v>1</v>
      </c>
      <c r="AB608" s="80">
        <v>1</v>
      </c>
      <c r="AC608" s="80">
        <v>1</v>
      </c>
      <c r="AD608" s="80">
        <v>1</v>
      </c>
      <c r="AE608" s="80">
        <v>1</v>
      </c>
      <c r="AF608" s="80">
        <v>1</v>
      </c>
      <c r="AG608" s="81">
        <v>0</v>
      </c>
      <c r="AH608" s="80">
        <v>1</v>
      </c>
      <c r="AI608" s="81">
        <v>0</v>
      </c>
      <c r="AJ608" s="81">
        <v>0</v>
      </c>
      <c r="AK608" s="81">
        <v>0</v>
      </c>
      <c r="AL608" s="81">
        <v>0</v>
      </c>
      <c r="AM608" s="80">
        <v>0</v>
      </c>
      <c r="AN608" s="80">
        <v>0</v>
      </c>
      <c r="AO608" s="80">
        <v>0</v>
      </c>
    </row>
    <row r="609" spans="1:41" ht="15.75" x14ac:dyDescent="0.25">
      <c r="A609" s="84"/>
      <c r="B609" s="84"/>
      <c r="C609" s="84"/>
      <c r="D609" s="80" t="s">
        <v>258</v>
      </c>
      <c r="E609" s="80">
        <v>0</v>
      </c>
      <c r="F609" s="80">
        <v>0</v>
      </c>
      <c r="G609" s="80">
        <v>0</v>
      </c>
      <c r="H609" s="80">
        <v>0</v>
      </c>
      <c r="I609" s="80">
        <v>0</v>
      </c>
      <c r="J609" s="80">
        <v>0</v>
      </c>
      <c r="K609" s="80">
        <v>0</v>
      </c>
      <c r="L609" s="80">
        <v>0</v>
      </c>
      <c r="M609" s="80">
        <v>0</v>
      </c>
      <c r="N609" s="81">
        <v>0</v>
      </c>
      <c r="O609" s="80">
        <v>0</v>
      </c>
      <c r="P609" s="80">
        <v>0</v>
      </c>
      <c r="Q609" s="80">
        <v>0</v>
      </c>
      <c r="R609" s="80">
        <v>0</v>
      </c>
      <c r="S609" s="80">
        <v>0</v>
      </c>
      <c r="T609" s="80">
        <v>0</v>
      </c>
      <c r="U609" s="80">
        <v>0</v>
      </c>
      <c r="V609" s="80">
        <v>0</v>
      </c>
      <c r="W609" s="80">
        <v>0</v>
      </c>
      <c r="X609" s="80">
        <v>0</v>
      </c>
      <c r="Y609" s="80">
        <v>0</v>
      </c>
      <c r="Z609" s="80">
        <v>0</v>
      </c>
      <c r="AA609" s="80">
        <v>0</v>
      </c>
      <c r="AB609" s="80">
        <v>0</v>
      </c>
      <c r="AC609" s="80">
        <v>0</v>
      </c>
      <c r="AD609" s="80">
        <v>0</v>
      </c>
      <c r="AE609" s="80">
        <v>0</v>
      </c>
      <c r="AF609" s="80">
        <v>0</v>
      </c>
      <c r="AG609" s="80">
        <v>0</v>
      </c>
      <c r="AH609" s="80">
        <v>0</v>
      </c>
      <c r="AI609" s="80">
        <v>0</v>
      </c>
      <c r="AJ609" s="80">
        <v>0</v>
      </c>
      <c r="AK609" s="80">
        <v>0</v>
      </c>
      <c r="AL609" s="80">
        <v>0</v>
      </c>
      <c r="AM609" s="80">
        <v>0</v>
      </c>
      <c r="AN609" s="80">
        <v>0</v>
      </c>
      <c r="AO609" s="80">
        <v>0</v>
      </c>
    </row>
    <row r="610" spans="1:41" ht="15.75" x14ac:dyDescent="0.25">
      <c r="A610" s="84">
        <v>38</v>
      </c>
      <c r="B610" s="84"/>
      <c r="C610" s="84" t="s">
        <v>175</v>
      </c>
      <c r="D610" s="80" t="s">
        <v>245</v>
      </c>
      <c r="E610" s="80">
        <v>0</v>
      </c>
      <c r="F610" s="80">
        <v>0</v>
      </c>
      <c r="G610" s="80">
        <v>0</v>
      </c>
      <c r="H610" s="81">
        <v>1</v>
      </c>
      <c r="I610" s="81">
        <v>0</v>
      </c>
      <c r="J610" s="80">
        <v>2</v>
      </c>
      <c r="K610" s="80">
        <v>0</v>
      </c>
      <c r="L610" s="80">
        <v>0</v>
      </c>
      <c r="M610" s="80">
        <v>0</v>
      </c>
      <c r="N610" s="81">
        <v>0</v>
      </c>
      <c r="O610" s="81">
        <v>1</v>
      </c>
      <c r="P610" s="81">
        <v>0</v>
      </c>
      <c r="Q610" s="81">
        <v>1</v>
      </c>
      <c r="R610" s="80">
        <v>0</v>
      </c>
      <c r="S610" s="80">
        <v>0</v>
      </c>
      <c r="T610" s="81">
        <v>0</v>
      </c>
      <c r="U610" s="80">
        <v>2</v>
      </c>
      <c r="V610" s="81">
        <v>1</v>
      </c>
      <c r="W610" s="81">
        <v>1</v>
      </c>
      <c r="X610" s="80">
        <v>0</v>
      </c>
      <c r="Y610" s="80">
        <v>0</v>
      </c>
      <c r="Z610" s="80">
        <v>0</v>
      </c>
      <c r="AA610" s="80">
        <v>0</v>
      </c>
      <c r="AB610" s="80">
        <v>0</v>
      </c>
      <c r="AC610" s="80">
        <v>0</v>
      </c>
      <c r="AD610" s="80">
        <v>0</v>
      </c>
      <c r="AE610" s="80">
        <v>0</v>
      </c>
      <c r="AF610" s="80">
        <v>0</v>
      </c>
      <c r="AG610" s="81">
        <v>0</v>
      </c>
      <c r="AH610" s="80">
        <v>0</v>
      </c>
      <c r="AI610" s="81">
        <v>0</v>
      </c>
      <c r="AJ610" s="81">
        <v>0</v>
      </c>
      <c r="AK610" s="81">
        <v>0</v>
      </c>
      <c r="AL610" s="81">
        <v>0</v>
      </c>
      <c r="AM610" s="81">
        <v>3</v>
      </c>
      <c r="AN610" s="81">
        <v>3</v>
      </c>
      <c r="AO610" s="80">
        <v>0</v>
      </c>
    </row>
    <row r="611" spans="1:41" ht="15.75" x14ac:dyDescent="0.25">
      <c r="A611" s="84"/>
      <c r="B611" s="84"/>
      <c r="C611" s="84"/>
      <c r="D611" s="80" t="s">
        <v>246</v>
      </c>
      <c r="E611" s="80">
        <v>0</v>
      </c>
      <c r="F611" s="80">
        <v>0</v>
      </c>
      <c r="G611" s="80">
        <v>0</v>
      </c>
      <c r="H611" s="81">
        <v>1</v>
      </c>
      <c r="I611" s="81">
        <v>0</v>
      </c>
      <c r="J611" s="80">
        <v>2</v>
      </c>
      <c r="K611" s="80">
        <v>0</v>
      </c>
      <c r="L611" s="80">
        <v>0</v>
      </c>
      <c r="M611" s="80">
        <v>0</v>
      </c>
      <c r="N611" s="81">
        <v>0</v>
      </c>
      <c r="O611" s="81">
        <v>1</v>
      </c>
      <c r="P611" s="81">
        <v>0</v>
      </c>
      <c r="Q611" s="81">
        <v>1</v>
      </c>
      <c r="R611" s="80">
        <v>0</v>
      </c>
      <c r="S611" s="80">
        <v>0</v>
      </c>
      <c r="T611" s="81">
        <v>0</v>
      </c>
      <c r="U611" s="80">
        <v>2</v>
      </c>
      <c r="V611" s="81">
        <v>1</v>
      </c>
      <c r="W611" s="81">
        <v>1</v>
      </c>
      <c r="X611" s="80">
        <v>0</v>
      </c>
      <c r="Y611" s="80">
        <v>0</v>
      </c>
      <c r="Z611" s="80">
        <v>0</v>
      </c>
      <c r="AA611" s="80">
        <v>0</v>
      </c>
      <c r="AB611" s="80">
        <v>0</v>
      </c>
      <c r="AC611" s="80">
        <v>0</v>
      </c>
      <c r="AD611" s="80">
        <v>0</v>
      </c>
      <c r="AE611" s="80">
        <v>0</v>
      </c>
      <c r="AF611" s="80">
        <v>0</v>
      </c>
      <c r="AG611" s="81">
        <v>0</v>
      </c>
      <c r="AH611" s="80">
        <v>0</v>
      </c>
      <c r="AI611" s="81">
        <v>0</v>
      </c>
      <c r="AJ611" s="81">
        <v>0</v>
      </c>
      <c r="AK611" s="81">
        <v>0</v>
      </c>
      <c r="AL611" s="81">
        <v>0</v>
      </c>
      <c r="AM611" s="81">
        <v>3</v>
      </c>
      <c r="AN611" s="81">
        <v>3</v>
      </c>
      <c r="AO611" s="80">
        <v>0</v>
      </c>
    </row>
    <row r="612" spans="1:41" ht="15.75" x14ac:dyDescent="0.25">
      <c r="A612" s="84"/>
      <c r="B612" s="84"/>
      <c r="C612" s="84"/>
      <c r="D612" s="80" t="s">
        <v>247</v>
      </c>
      <c r="E612" s="80">
        <v>0</v>
      </c>
      <c r="F612" s="80">
        <v>0</v>
      </c>
      <c r="G612" s="80">
        <v>0</v>
      </c>
      <c r="H612" s="81">
        <v>0</v>
      </c>
      <c r="I612" s="81">
        <v>0</v>
      </c>
      <c r="J612" s="80">
        <v>0</v>
      </c>
      <c r="K612" s="80">
        <v>0</v>
      </c>
      <c r="L612" s="80">
        <v>0</v>
      </c>
      <c r="M612" s="80">
        <v>0</v>
      </c>
      <c r="N612" s="81">
        <v>0</v>
      </c>
      <c r="O612" s="81">
        <v>0</v>
      </c>
      <c r="P612" s="81">
        <v>0</v>
      </c>
      <c r="Q612" s="81">
        <v>0</v>
      </c>
      <c r="R612" s="80">
        <v>0</v>
      </c>
      <c r="S612" s="80">
        <v>0</v>
      </c>
      <c r="T612" s="81">
        <v>0</v>
      </c>
      <c r="U612" s="80">
        <v>0</v>
      </c>
      <c r="V612" s="81">
        <v>0</v>
      </c>
      <c r="W612" s="81">
        <v>0</v>
      </c>
      <c r="X612" s="80">
        <v>0</v>
      </c>
      <c r="Y612" s="80">
        <v>0</v>
      </c>
      <c r="Z612" s="80">
        <v>0</v>
      </c>
      <c r="AA612" s="80">
        <v>0</v>
      </c>
      <c r="AB612" s="80">
        <v>0</v>
      </c>
      <c r="AC612" s="80">
        <v>0</v>
      </c>
      <c r="AD612" s="80">
        <v>0</v>
      </c>
      <c r="AE612" s="80">
        <v>0</v>
      </c>
      <c r="AF612" s="80">
        <v>0</v>
      </c>
      <c r="AG612" s="81">
        <v>0</v>
      </c>
      <c r="AH612" s="80">
        <v>0</v>
      </c>
      <c r="AI612" s="81">
        <v>0</v>
      </c>
      <c r="AJ612" s="81">
        <v>0</v>
      </c>
      <c r="AK612" s="81">
        <v>0</v>
      </c>
      <c r="AL612" s="81">
        <v>0</v>
      </c>
      <c r="AM612" s="81">
        <v>0</v>
      </c>
      <c r="AN612" s="81">
        <v>0</v>
      </c>
      <c r="AO612" s="80">
        <v>0</v>
      </c>
    </row>
    <row r="613" spans="1:41" ht="15.75" x14ac:dyDescent="0.25">
      <c r="A613" s="84"/>
      <c r="B613" s="84"/>
      <c r="C613" s="84"/>
      <c r="D613" s="80" t="s">
        <v>248</v>
      </c>
      <c r="E613" s="80">
        <v>0</v>
      </c>
      <c r="F613" s="80">
        <v>0</v>
      </c>
      <c r="G613" s="80">
        <v>0</v>
      </c>
      <c r="H613" s="81">
        <v>1</v>
      </c>
      <c r="I613" s="81">
        <v>0</v>
      </c>
      <c r="J613" s="80">
        <v>2</v>
      </c>
      <c r="K613" s="80">
        <v>0</v>
      </c>
      <c r="L613" s="80">
        <v>0</v>
      </c>
      <c r="M613" s="80">
        <v>0</v>
      </c>
      <c r="N613" s="81">
        <v>0</v>
      </c>
      <c r="O613" s="81">
        <v>1</v>
      </c>
      <c r="P613" s="81">
        <v>0</v>
      </c>
      <c r="Q613" s="81">
        <v>1</v>
      </c>
      <c r="R613" s="80">
        <v>0</v>
      </c>
      <c r="S613" s="80">
        <v>0</v>
      </c>
      <c r="T613" s="81">
        <v>0</v>
      </c>
      <c r="U613" s="80">
        <v>2</v>
      </c>
      <c r="V613" s="81">
        <v>1</v>
      </c>
      <c r="W613" s="81">
        <v>1</v>
      </c>
      <c r="X613" s="80">
        <v>0</v>
      </c>
      <c r="Y613" s="80">
        <v>0</v>
      </c>
      <c r="Z613" s="80">
        <v>0</v>
      </c>
      <c r="AA613" s="80">
        <v>0</v>
      </c>
      <c r="AB613" s="80">
        <v>0</v>
      </c>
      <c r="AC613" s="80">
        <v>0</v>
      </c>
      <c r="AD613" s="80">
        <v>0</v>
      </c>
      <c r="AE613" s="80">
        <v>0</v>
      </c>
      <c r="AF613" s="80">
        <v>0</v>
      </c>
      <c r="AG613" s="81">
        <v>0</v>
      </c>
      <c r="AH613" s="80">
        <v>0</v>
      </c>
      <c r="AI613" s="81">
        <v>0</v>
      </c>
      <c r="AJ613" s="81">
        <v>0</v>
      </c>
      <c r="AK613" s="81">
        <v>0</v>
      </c>
      <c r="AL613" s="81">
        <v>0</v>
      </c>
      <c r="AM613" s="81">
        <v>3</v>
      </c>
      <c r="AN613" s="81">
        <v>3</v>
      </c>
      <c r="AO613" s="80">
        <v>0</v>
      </c>
    </row>
    <row r="614" spans="1:41" ht="15.75" x14ac:dyDescent="0.25">
      <c r="A614" s="84"/>
      <c r="B614" s="84"/>
      <c r="C614" s="84"/>
      <c r="D614" s="80" t="s">
        <v>258</v>
      </c>
      <c r="E614" s="80">
        <v>0</v>
      </c>
      <c r="F614" s="80">
        <v>0</v>
      </c>
      <c r="G614" s="80">
        <v>0</v>
      </c>
      <c r="H614" s="80">
        <v>0</v>
      </c>
      <c r="I614" s="80">
        <v>0</v>
      </c>
      <c r="J614" s="80">
        <v>0</v>
      </c>
      <c r="K614" s="80">
        <v>0</v>
      </c>
      <c r="L614" s="80">
        <v>0</v>
      </c>
      <c r="M614" s="80">
        <v>0</v>
      </c>
      <c r="N614" s="80">
        <v>0</v>
      </c>
      <c r="O614" s="80">
        <v>0</v>
      </c>
      <c r="P614" s="80">
        <v>0</v>
      </c>
      <c r="Q614" s="80">
        <v>0</v>
      </c>
      <c r="R614" s="80">
        <v>0</v>
      </c>
      <c r="S614" s="80">
        <v>0</v>
      </c>
      <c r="T614" s="80">
        <v>0</v>
      </c>
      <c r="U614" s="80">
        <v>0</v>
      </c>
      <c r="V614" s="80">
        <v>0</v>
      </c>
      <c r="W614" s="80">
        <v>0</v>
      </c>
      <c r="X614" s="80">
        <v>0</v>
      </c>
      <c r="Y614" s="80">
        <v>0</v>
      </c>
      <c r="Z614" s="80">
        <v>0</v>
      </c>
      <c r="AA614" s="80">
        <v>0</v>
      </c>
      <c r="AB614" s="80">
        <v>0</v>
      </c>
      <c r="AC614" s="80">
        <v>0</v>
      </c>
      <c r="AD614" s="80">
        <v>0</v>
      </c>
      <c r="AE614" s="80">
        <v>0</v>
      </c>
      <c r="AF614" s="80">
        <v>0</v>
      </c>
      <c r="AG614" s="80">
        <v>0</v>
      </c>
      <c r="AH614" s="80">
        <v>0</v>
      </c>
      <c r="AI614" s="80">
        <v>0</v>
      </c>
      <c r="AJ614" s="80">
        <v>0</v>
      </c>
      <c r="AK614" s="80">
        <v>0</v>
      </c>
      <c r="AL614" s="80">
        <v>0</v>
      </c>
      <c r="AM614" s="80">
        <v>0</v>
      </c>
      <c r="AN614" s="80">
        <v>0</v>
      </c>
      <c r="AO614" s="80">
        <v>0</v>
      </c>
    </row>
    <row r="615" spans="1:41" ht="15.75" x14ac:dyDescent="0.25">
      <c r="A615" s="84">
        <v>39</v>
      </c>
      <c r="B615" s="84" t="s">
        <v>169</v>
      </c>
      <c r="C615" s="84" t="s">
        <v>255</v>
      </c>
      <c r="D615" s="80" t="s">
        <v>245</v>
      </c>
      <c r="E615" s="80">
        <v>0</v>
      </c>
      <c r="F615" s="80">
        <v>0</v>
      </c>
      <c r="G615" s="80">
        <v>0</v>
      </c>
      <c r="H615" s="81">
        <v>0</v>
      </c>
      <c r="I615" s="81">
        <v>2</v>
      </c>
      <c r="J615" s="80">
        <v>2</v>
      </c>
      <c r="K615" s="80">
        <v>0</v>
      </c>
      <c r="L615" s="80">
        <v>0</v>
      </c>
      <c r="M615" s="80">
        <v>0</v>
      </c>
      <c r="N615" s="81">
        <v>0</v>
      </c>
      <c r="O615" s="81">
        <v>1</v>
      </c>
      <c r="P615" s="81">
        <v>0</v>
      </c>
      <c r="Q615" s="81">
        <v>0</v>
      </c>
      <c r="R615" s="80">
        <v>0</v>
      </c>
      <c r="S615" s="80">
        <v>0</v>
      </c>
      <c r="T615" s="81">
        <v>0</v>
      </c>
      <c r="U615" s="81">
        <v>2</v>
      </c>
      <c r="V615" s="81">
        <v>1</v>
      </c>
      <c r="W615" s="81">
        <v>0</v>
      </c>
      <c r="X615" s="81">
        <v>0</v>
      </c>
      <c r="Y615" s="80">
        <v>0</v>
      </c>
      <c r="Z615" s="80">
        <v>1</v>
      </c>
      <c r="AA615" s="80">
        <v>2</v>
      </c>
      <c r="AB615" s="80">
        <v>1</v>
      </c>
      <c r="AC615" s="80">
        <v>1</v>
      </c>
      <c r="AD615" s="80">
        <v>0</v>
      </c>
      <c r="AE615" s="80">
        <v>1</v>
      </c>
      <c r="AF615" s="80">
        <v>1</v>
      </c>
      <c r="AG615" s="81">
        <v>1</v>
      </c>
      <c r="AH615" s="80">
        <v>2</v>
      </c>
      <c r="AI615" s="81">
        <v>1</v>
      </c>
      <c r="AJ615" s="81">
        <v>1</v>
      </c>
      <c r="AK615" s="81">
        <v>0</v>
      </c>
      <c r="AL615" s="81">
        <v>0</v>
      </c>
      <c r="AM615" s="80">
        <v>0</v>
      </c>
      <c r="AN615" s="80">
        <v>0</v>
      </c>
      <c r="AO615" s="80">
        <v>0</v>
      </c>
    </row>
    <row r="616" spans="1:41" ht="15.75" x14ac:dyDescent="0.25">
      <c r="A616" s="84"/>
      <c r="B616" s="84"/>
      <c r="C616" s="84"/>
      <c r="D616" s="80" t="s">
        <v>246</v>
      </c>
      <c r="E616" s="80">
        <v>1</v>
      </c>
      <c r="F616" s="80">
        <v>0</v>
      </c>
      <c r="G616" s="80">
        <v>0</v>
      </c>
      <c r="H616" s="81">
        <v>1</v>
      </c>
      <c r="I616" s="81">
        <v>1</v>
      </c>
      <c r="J616" s="80">
        <v>1</v>
      </c>
      <c r="K616" s="80">
        <v>0</v>
      </c>
      <c r="L616" s="80">
        <v>0</v>
      </c>
      <c r="M616" s="80">
        <v>0</v>
      </c>
      <c r="N616" s="81">
        <v>0</v>
      </c>
      <c r="O616" s="81">
        <v>1</v>
      </c>
      <c r="P616" s="81">
        <v>0</v>
      </c>
      <c r="Q616" s="81">
        <v>0</v>
      </c>
      <c r="R616" s="80">
        <v>0</v>
      </c>
      <c r="S616" s="80">
        <v>0</v>
      </c>
      <c r="T616" s="81">
        <v>0</v>
      </c>
      <c r="U616" s="81">
        <v>2</v>
      </c>
      <c r="V616" s="81">
        <v>1</v>
      </c>
      <c r="W616" s="81">
        <v>0</v>
      </c>
      <c r="X616" s="81">
        <v>0</v>
      </c>
      <c r="Y616" s="80">
        <v>0</v>
      </c>
      <c r="Z616" s="80">
        <v>1</v>
      </c>
      <c r="AA616" s="80">
        <v>2</v>
      </c>
      <c r="AB616" s="80">
        <v>1</v>
      </c>
      <c r="AC616" s="80">
        <v>1</v>
      </c>
      <c r="AD616" s="80">
        <v>0</v>
      </c>
      <c r="AE616" s="80">
        <v>1</v>
      </c>
      <c r="AF616" s="80">
        <v>1</v>
      </c>
      <c r="AG616" s="81">
        <v>1</v>
      </c>
      <c r="AH616" s="80">
        <v>1</v>
      </c>
      <c r="AI616" s="81">
        <v>1</v>
      </c>
      <c r="AJ616" s="81">
        <v>0</v>
      </c>
      <c r="AK616" s="81">
        <v>0</v>
      </c>
      <c r="AL616" s="81">
        <v>0</v>
      </c>
      <c r="AM616" s="80">
        <v>0</v>
      </c>
      <c r="AN616" s="80">
        <v>0</v>
      </c>
      <c r="AO616" s="80">
        <v>0</v>
      </c>
    </row>
    <row r="617" spans="1:41" ht="15.75" x14ac:dyDescent="0.25">
      <c r="A617" s="84"/>
      <c r="B617" s="84"/>
      <c r="C617" s="84"/>
      <c r="D617" s="80" t="s">
        <v>247</v>
      </c>
      <c r="E617" s="80">
        <v>0</v>
      </c>
      <c r="F617" s="80">
        <v>0</v>
      </c>
      <c r="G617" s="80">
        <v>0</v>
      </c>
      <c r="H617" s="81">
        <v>0</v>
      </c>
      <c r="I617" s="81">
        <v>1</v>
      </c>
      <c r="J617" s="80">
        <v>1</v>
      </c>
      <c r="K617" s="80">
        <v>0</v>
      </c>
      <c r="L617" s="80">
        <v>0</v>
      </c>
      <c r="M617" s="80">
        <v>0</v>
      </c>
      <c r="N617" s="81">
        <v>0</v>
      </c>
      <c r="O617" s="81">
        <v>0</v>
      </c>
      <c r="P617" s="81">
        <v>0</v>
      </c>
      <c r="Q617" s="81">
        <v>0</v>
      </c>
      <c r="R617" s="80">
        <v>0</v>
      </c>
      <c r="S617" s="80">
        <v>0</v>
      </c>
      <c r="T617" s="81">
        <v>0</v>
      </c>
      <c r="U617" s="81">
        <v>0</v>
      </c>
      <c r="V617" s="81">
        <v>0</v>
      </c>
      <c r="W617" s="81">
        <v>0</v>
      </c>
      <c r="X617" s="81">
        <v>0</v>
      </c>
      <c r="Y617" s="80">
        <v>0</v>
      </c>
      <c r="Z617" s="80">
        <v>0</v>
      </c>
      <c r="AA617" s="80">
        <v>0</v>
      </c>
      <c r="AB617" s="80">
        <v>0</v>
      </c>
      <c r="AC617" s="80">
        <v>0</v>
      </c>
      <c r="AD617" s="80">
        <v>0</v>
      </c>
      <c r="AE617" s="80">
        <v>0</v>
      </c>
      <c r="AF617" s="80">
        <v>0</v>
      </c>
      <c r="AG617" s="81">
        <v>0</v>
      </c>
      <c r="AH617" s="80">
        <v>1</v>
      </c>
      <c r="AI617" s="81">
        <v>0</v>
      </c>
      <c r="AJ617" s="81">
        <v>0</v>
      </c>
      <c r="AK617" s="81">
        <v>0</v>
      </c>
      <c r="AL617" s="81">
        <v>0</v>
      </c>
      <c r="AM617" s="80">
        <v>0</v>
      </c>
      <c r="AN617" s="80">
        <v>0</v>
      </c>
      <c r="AO617" s="80">
        <v>0</v>
      </c>
    </row>
    <row r="618" spans="1:41" ht="15.75" x14ac:dyDescent="0.25">
      <c r="A618" s="84"/>
      <c r="B618" s="84"/>
      <c r="C618" s="84"/>
      <c r="D618" s="80" t="s">
        <v>248</v>
      </c>
      <c r="E618" s="80">
        <v>1</v>
      </c>
      <c r="F618" s="80">
        <v>0</v>
      </c>
      <c r="G618" s="80">
        <v>0</v>
      </c>
      <c r="H618" s="81">
        <v>1</v>
      </c>
      <c r="I618" s="81">
        <v>1</v>
      </c>
      <c r="J618" s="80">
        <v>1</v>
      </c>
      <c r="K618" s="80">
        <v>0</v>
      </c>
      <c r="L618" s="80">
        <v>0</v>
      </c>
      <c r="M618" s="80">
        <v>0</v>
      </c>
      <c r="N618" s="81">
        <v>0</v>
      </c>
      <c r="O618" s="81">
        <v>1</v>
      </c>
      <c r="P618" s="81">
        <v>0</v>
      </c>
      <c r="Q618" s="81">
        <v>0</v>
      </c>
      <c r="R618" s="80">
        <v>0</v>
      </c>
      <c r="S618" s="80">
        <v>0</v>
      </c>
      <c r="T618" s="81">
        <v>0</v>
      </c>
      <c r="U618" s="81">
        <v>2</v>
      </c>
      <c r="V618" s="81">
        <v>1</v>
      </c>
      <c r="W618" s="81">
        <v>0</v>
      </c>
      <c r="X618" s="81">
        <v>0</v>
      </c>
      <c r="Y618" s="80">
        <v>0</v>
      </c>
      <c r="Z618" s="80">
        <v>1</v>
      </c>
      <c r="AA618" s="80">
        <v>2</v>
      </c>
      <c r="AB618" s="80">
        <v>1</v>
      </c>
      <c r="AC618" s="80">
        <v>1</v>
      </c>
      <c r="AD618" s="80">
        <v>0</v>
      </c>
      <c r="AE618" s="80">
        <v>1</v>
      </c>
      <c r="AF618" s="80">
        <v>1</v>
      </c>
      <c r="AG618" s="81">
        <v>1</v>
      </c>
      <c r="AH618" s="80">
        <v>1</v>
      </c>
      <c r="AI618" s="81">
        <v>1</v>
      </c>
      <c r="AJ618" s="81">
        <v>0</v>
      </c>
      <c r="AK618" s="81">
        <v>0</v>
      </c>
      <c r="AL618" s="81">
        <v>0</v>
      </c>
      <c r="AM618" s="80">
        <v>0</v>
      </c>
      <c r="AN618" s="80">
        <v>0</v>
      </c>
      <c r="AO618" s="80">
        <v>0</v>
      </c>
    </row>
    <row r="619" spans="1:41" ht="15.75" x14ac:dyDescent="0.25">
      <c r="A619" s="84"/>
      <c r="B619" s="84"/>
      <c r="C619" s="84"/>
      <c r="D619" s="80" t="s">
        <v>258</v>
      </c>
      <c r="E619" s="80">
        <v>0</v>
      </c>
      <c r="F619" s="80">
        <v>0</v>
      </c>
      <c r="G619" s="80">
        <v>0</v>
      </c>
      <c r="H619" s="81">
        <v>0</v>
      </c>
      <c r="I619" s="81">
        <v>0</v>
      </c>
      <c r="J619" s="80">
        <v>0</v>
      </c>
      <c r="K619" s="80">
        <v>0</v>
      </c>
      <c r="L619" s="80">
        <v>0</v>
      </c>
      <c r="M619" s="80">
        <v>0</v>
      </c>
      <c r="N619" s="80">
        <v>0</v>
      </c>
      <c r="O619" s="80">
        <v>0</v>
      </c>
      <c r="P619" s="80">
        <v>0</v>
      </c>
      <c r="Q619" s="80">
        <v>0</v>
      </c>
      <c r="R619" s="80">
        <v>0</v>
      </c>
      <c r="S619" s="80">
        <v>0</v>
      </c>
      <c r="T619" s="80">
        <v>0</v>
      </c>
      <c r="U619" s="80">
        <v>0</v>
      </c>
      <c r="V619" s="80">
        <v>0</v>
      </c>
      <c r="W619" s="80">
        <v>0</v>
      </c>
      <c r="X619" s="80">
        <v>0</v>
      </c>
      <c r="Y619" s="80">
        <v>0</v>
      </c>
      <c r="Z619" s="80">
        <v>0</v>
      </c>
      <c r="AA619" s="80">
        <v>0</v>
      </c>
      <c r="AB619" s="80">
        <v>0</v>
      </c>
      <c r="AC619" s="80">
        <v>0</v>
      </c>
      <c r="AD619" s="80">
        <v>0</v>
      </c>
      <c r="AE619" s="80">
        <v>0</v>
      </c>
      <c r="AF619" s="80">
        <v>0</v>
      </c>
      <c r="AG619" s="80">
        <v>0</v>
      </c>
      <c r="AH619" s="80">
        <v>0</v>
      </c>
      <c r="AI619" s="80">
        <v>0</v>
      </c>
      <c r="AJ619" s="80">
        <v>0</v>
      </c>
      <c r="AK619" s="80">
        <v>0</v>
      </c>
      <c r="AL619" s="80">
        <v>0</v>
      </c>
      <c r="AM619" s="80">
        <v>0</v>
      </c>
      <c r="AN619" s="80">
        <v>0</v>
      </c>
      <c r="AO619" s="80">
        <v>0</v>
      </c>
    </row>
    <row r="620" spans="1:41" ht="15.75" x14ac:dyDescent="0.25">
      <c r="A620" s="84">
        <v>40</v>
      </c>
      <c r="B620" s="84"/>
      <c r="C620" s="84" t="s">
        <v>256</v>
      </c>
      <c r="D620" s="80" t="s">
        <v>245</v>
      </c>
      <c r="E620" s="80">
        <v>0</v>
      </c>
      <c r="F620" s="80">
        <v>0</v>
      </c>
      <c r="G620" s="80">
        <v>0</v>
      </c>
      <c r="H620" s="81">
        <v>1</v>
      </c>
      <c r="I620" s="81">
        <v>1</v>
      </c>
      <c r="J620" s="80">
        <v>0</v>
      </c>
      <c r="K620" s="80">
        <v>0</v>
      </c>
      <c r="L620" s="80">
        <v>0</v>
      </c>
      <c r="M620" s="80">
        <v>0</v>
      </c>
      <c r="N620" s="81">
        <v>1</v>
      </c>
      <c r="O620" s="81">
        <v>1</v>
      </c>
      <c r="P620" s="81">
        <v>0</v>
      </c>
      <c r="Q620" s="81">
        <v>0</v>
      </c>
      <c r="R620" s="80">
        <v>0</v>
      </c>
      <c r="S620" s="80">
        <v>0</v>
      </c>
      <c r="T620" s="81">
        <v>1</v>
      </c>
      <c r="U620" s="81">
        <v>1</v>
      </c>
      <c r="V620" s="81">
        <v>0</v>
      </c>
      <c r="W620" s="81">
        <v>0</v>
      </c>
      <c r="X620" s="81">
        <v>0</v>
      </c>
      <c r="Y620" s="80">
        <v>0</v>
      </c>
      <c r="Z620" s="80">
        <v>0</v>
      </c>
      <c r="AA620" s="80">
        <v>0</v>
      </c>
      <c r="AB620" s="80">
        <v>0</v>
      </c>
      <c r="AC620" s="80">
        <v>0</v>
      </c>
      <c r="AD620" s="80">
        <v>1</v>
      </c>
      <c r="AE620" s="80">
        <v>0</v>
      </c>
      <c r="AF620" s="80">
        <v>1</v>
      </c>
      <c r="AG620" s="81">
        <v>1</v>
      </c>
      <c r="AH620" s="80">
        <v>0</v>
      </c>
      <c r="AI620" s="81">
        <v>0</v>
      </c>
      <c r="AJ620" s="81">
        <v>0</v>
      </c>
      <c r="AK620" s="81">
        <v>0</v>
      </c>
      <c r="AL620" s="81">
        <v>0</v>
      </c>
      <c r="AM620" s="80">
        <v>0</v>
      </c>
      <c r="AN620" s="80">
        <v>0</v>
      </c>
      <c r="AO620" s="80">
        <v>0</v>
      </c>
    </row>
    <row r="621" spans="1:41" ht="15.75" x14ac:dyDescent="0.25">
      <c r="A621" s="84"/>
      <c r="B621" s="84"/>
      <c r="C621" s="84"/>
      <c r="D621" s="80" t="s">
        <v>246</v>
      </c>
      <c r="E621" s="80">
        <v>0</v>
      </c>
      <c r="F621" s="80">
        <v>0</v>
      </c>
      <c r="G621" s="80">
        <v>0</v>
      </c>
      <c r="H621" s="81">
        <v>1</v>
      </c>
      <c r="I621" s="81">
        <v>1</v>
      </c>
      <c r="J621" s="80">
        <v>0</v>
      </c>
      <c r="K621" s="80">
        <v>0</v>
      </c>
      <c r="L621" s="80">
        <v>0</v>
      </c>
      <c r="M621" s="80">
        <v>0</v>
      </c>
      <c r="N621" s="81">
        <v>1</v>
      </c>
      <c r="O621" s="81">
        <v>1</v>
      </c>
      <c r="P621" s="81">
        <v>0</v>
      </c>
      <c r="Q621" s="81">
        <v>0</v>
      </c>
      <c r="R621" s="80">
        <v>0</v>
      </c>
      <c r="S621" s="80">
        <v>0</v>
      </c>
      <c r="T621" s="81">
        <v>1</v>
      </c>
      <c r="U621" s="81">
        <v>1</v>
      </c>
      <c r="V621" s="81">
        <v>0</v>
      </c>
      <c r="W621" s="81">
        <v>0</v>
      </c>
      <c r="X621" s="81">
        <v>0</v>
      </c>
      <c r="Y621" s="80">
        <v>0</v>
      </c>
      <c r="Z621" s="80">
        <v>0</v>
      </c>
      <c r="AA621" s="80">
        <v>0</v>
      </c>
      <c r="AB621" s="80">
        <v>0</v>
      </c>
      <c r="AC621" s="80">
        <v>0</v>
      </c>
      <c r="AD621" s="80">
        <v>1</v>
      </c>
      <c r="AE621" s="80">
        <v>0</v>
      </c>
      <c r="AF621" s="80">
        <v>1</v>
      </c>
      <c r="AG621" s="81">
        <v>1</v>
      </c>
      <c r="AH621" s="80">
        <v>0</v>
      </c>
      <c r="AI621" s="81">
        <v>0</v>
      </c>
      <c r="AJ621" s="81">
        <v>0</v>
      </c>
      <c r="AK621" s="81">
        <v>0</v>
      </c>
      <c r="AL621" s="81">
        <v>0</v>
      </c>
      <c r="AM621" s="80">
        <v>0</v>
      </c>
      <c r="AN621" s="80">
        <v>0</v>
      </c>
      <c r="AO621" s="80">
        <v>0</v>
      </c>
    </row>
    <row r="622" spans="1:41" ht="15.75" x14ac:dyDescent="0.25">
      <c r="A622" s="84"/>
      <c r="B622" s="84"/>
      <c r="C622" s="84"/>
      <c r="D622" s="80" t="s">
        <v>247</v>
      </c>
      <c r="E622" s="80">
        <v>0</v>
      </c>
      <c r="F622" s="80">
        <v>0</v>
      </c>
      <c r="G622" s="80">
        <v>0</v>
      </c>
      <c r="H622" s="81">
        <v>0</v>
      </c>
      <c r="I622" s="81">
        <v>0</v>
      </c>
      <c r="J622" s="80">
        <v>0</v>
      </c>
      <c r="K622" s="80">
        <v>0</v>
      </c>
      <c r="L622" s="80">
        <v>0</v>
      </c>
      <c r="M622" s="80">
        <v>0</v>
      </c>
      <c r="N622" s="81">
        <v>0</v>
      </c>
      <c r="O622" s="81">
        <v>0</v>
      </c>
      <c r="P622" s="81">
        <v>0</v>
      </c>
      <c r="Q622" s="81">
        <v>0</v>
      </c>
      <c r="R622" s="80">
        <v>0</v>
      </c>
      <c r="S622" s="80">
        <v>0</v>
      </c>
      <c r="T622" s="81">
        <v>0</v>
      </c>
      <c r="U622" s="81">
        <v>0</v>
      </c>
      <c r="V622" s="81">
        <v>0</v>
      </c>
      <c r="W622" s="81">
        <v>0</v>
      </c>
      <c r="X622" s="81">
        <v>0</v>
      </c>
      <c r="Y622" s="80">
        <v>0</v>
      </c>
      <c r="Z622" s="80">
        <v>0</v>
      </c>
      <c r="AA622" s="80">
        <v>0</v>
      </c>
      <c r="AB622" s="80">
        <v>0</v>
      </c>
      <c r="AC622" s="80">
        <v>0</v>
      </c>
      <c r="AD622" s="80">
        <v>0</v>
      </c>
      <c r="AE622" s="80">
        <v>0</v>
      </c>
      <c r="AF622" s="80">
        <v>0</v>
      </c>
      <c r="AG622" s="81">
        <v>0</v>
      </c>
      <c r="AH622" s="80">
        <v>0</v>
      </c>
      <c r="AI622" s="81">
        <v>0</v>
      </c>
      <c r="AJ622" s="81">
        <v>0</v>
      </c>
      <c r="AK622" s="81">
        <v>0</v>
      </c>
      <c r="AL622" s="81">
        <v>0</v>
      </c>
      <c r="AM622" s="80">
        <v>0</v>
      </c>
      <c r="AN622" s="80">
        <v>0</v>
      </c>
      <c r="AO622" s="80">
        <v>0</v>
      </c>
    </row>
    <row r="623" spans="1:41" ht="15.75" x14ac:dyDescent="0.25">
      <c r="A623" s="84"/>
      <c r="B623" s="84"/>
      <c r="C623" s="84"/>
      <c r="D623" s="80" t="s">
        <v>248</v>
      </c>
      <c r="E623" s="80">
        <v>0</v>
      </c>
      <c r="F623" s="80">
        <v>0</v>
      </c>
      <c r="G623" s="80">
        <v>0</v>
      </c>
      <c r="H623" s="81">
        <v>1</v>
      </c>
      <c r="I623" s="81">
        <v>1</v>
      </c>
      <c r="J623" s="80">
        <v>0</v>
      </c>
      <c r="K623" s="80">
        <v>0</v>
      </c>
      <c r="L623" s="80">
        <v>0</v>
      </c>
      <c r="M623" s="80">
        <v>0</v>
      </c>
      <c r="N623" s="81">
        <v>1</v>
      </c>
      <c r="O623" s="81">
        <v>1</v>
      </c>
      <c r="P623" s="81">
        <v>0</v>
      </c>
      <c r="Q623" s="81">
        <v>0</v>
      </c>
      <c r="R623" s="80">
        <v>0</v>
      </c>
      <c r="S623" s="80">
        <v>0</v>
      </c>
      <c r="T623" s="81">
        <v>1</v>
      </c>
      <c r="U623" s="81">
        <v>1</v>
      </c>
      <c r="V623" s="81">
        <v>0</v>
      </c>
      <c r="W623" s="81">
        <v>0</v>
      </c>
      <c r="X623" s="81">
        <v>0</v>
      </c>
      <c r="Y623" s="80">
        <v>0</v>
      </c>
      <c r="Z623" s="80">
        <v>0</v>
      </c>
      <c r="AA623" s="80">
        <v>0</v>
      </c>
      <c r="AB623" s="80">
        <v>0</v>
      </c>
      <c r="AC623" s="80">
        <v>0</v>
      </c>
      <c r="AD623" s="80">
        <v>1</v>
      </c>
      <c r="AE623" s="80">
        <v>0</v>
      </c>
      <c r="AF623" s="80">
        <v>1</v>
      </c>
      <c r="AG623" s="81">
        <v>1</v>
      </c>
      <c r="AH623" s="80">
        <v>0</v>
      </c>
      <c r="AI623" s="81">
        <v>0</v>
      </c>
      <c r="AJ623" s="81">
        <v>0</v>
      </c>
      <c r="AK623" s="81">
        <v>0</v>
      </c>
      <c r="AL623" s="81">
        <v>0</v>
      </c>
      <c r="AM623" s="80">
        <v>0</v>
      </c>
      <c r="AN623" s="80">
        <v>0</v>
      </c>
      <c r="AO623" s="80">
        <v>0</v>
      </c>
    </row>
    <row r="624" spans="1:41" ht="15.75" x14ac:dyDescent="0.25">
      <c r="A624" s="84"/>
      <c r="B624" s="84"/>
      <c r="C624" s="84"/>
      <c r="D624" s="80" t="s">
        <v>258</v>
      </c>
      <c r="E624" s="80">
        <v>0</v>
      </c>
      <c r="F624" s="80">
        <v>0</v>
      </c>
      <c r="G624" s="80">
        <v>0</v>
      </c>
      <c r="H624" s="80">
        <v>0</v>
      </c>
      <c r="I624" s="80">
        <v>0</v>
      </c>
      <c r="J624" s="80">
        <v>0</v>
      </c>
      <c r="K624" s="80">
        <v>0</v>
      </c>
      <c r="L624" s="80">
        <v>0</v>
      </c>
      <c r="M624" s="80">
        <v>0</v>
      </c>
      <c r="N624" s="80">
        <v>0</v>
      </c>
      <c r="O624" s="80">
        <v>0</v>
      </c>
      <c r="P624" s="80">
        <v>0</v>
      </c>
      <c r="Q624" s="81">
        <v>0</v>
      </c>
      <c r="R624" s="80">
        <v>0</v>
      </c>
      <c r="S624" s="80">
        <v>0</v>
      </c>
      <c r="T624" s="80">
        <v>0</v>
      </c>
      <c r="U624" s="80">
        <v>0</v>
      </c>
      <c r="V624" s="80">
        <v>0</v>
      </c>
      <c r="W624" s="80">
        <v>0</v>
      </c>
      <c r="X624" s="80">
        <v>0</v>
      </c>
      <c r="Y624" s="80">
        <v>0</v>
      </c>
      <c r="Z624" s="80">
        <v>0</v>
      </c>
      <c r="AA624" s="80">
        <v>0</v>
      </c>
      <c r="AB624" s="80">
        <v>0</v>
      </c>
      <c r="AC624" s="80">
        <v>0</v>
      </c>
      <c r="AD624" s="80">
        <v>0</v>
      </c>
      <c r="AE624" s="80">
        <v>0</v>
      </c>
      <c r="AF624" s="80">
        <v>0</v>
      </c>
      <c r="AG624" s="80">
        <v>0</v>
      </c>
      <c r="AH624" s="80">
        <v>0</v>
      </c>
      <c r="AI624" s="80">
        <v>0</v>
      </c>
      <c r="AJ624" s="80">
        <v>0</v>
      </c>
      <c r="AK624" s="80">
        <v>0</v>
      </c>
      <c r="AL624" s="80">
        <v>0</v>
      </c>
      <c r="AM624" s="80">
        <v>0</v>
      </c>
      <c r="AN624" s="80">
        <v>0</v>
      </c>
      <c r="AO624" s="80">
        <v>0</v>
      </c>
    </row>
    <row r="625" spans="1:41" ht="15.75" x14ac:dyDescent="0.25">
      <c r="A625" s="84">
        <v>41</v>
      </c>
      <c r="B625" s="84"/>
      <c r="C625" s="84" t="s">
        <v>773</v>
      </c>
      <c r="D625" s="80" t="s">
        <v>245</v>
      </c>
      <c r="E625" s="80">
        <v>0</v>
      </c>
      <c r="F625" s="80">
        <v>0</v>
      </c>
      <c r="G625" s="80">
        <v>0</v>
      </c>
      <c r="H625" s="80">
        <v>1</v>
      </c>
      <c r="I625" s="80">
        <v>1</v>
      </c>
      <c r="J625" s="80">
        <v>1</v>
      </c>
      <c r="K625" s="80">
        <v>0</v>
      </c>
      <c r="L625" s="80">
        <v>0</v>
      </c>
      <c r="M625" s="80">
        <v>0</v>
      </c>
      <c r="N625" s="80">
        <v>0</v>
      </c>
      <c r="O625" s="80">
        <v>1</v>
      </c>
      <c r="P625" s="80">
        <v>0</v>
      </c>
      <c r="Q625" s="80">
        <v>0</v>
      </c>
      <c r="R625" s="80">
        <v>0</v>
      </c>
      <c r="S625" s="80">
        <v>0</v>
      </c>
      <c r="T625" s="80">
        <v>0</v>
      </c>
      <c r="U625" s="80">
        <v>1</v>
      </c>
      <c r="V625" s="80">
        <v>0</v>
      </c>
      <c r="W625" s="80">
        <v>0</v>
      </c>
      <c r="X625" s="80">
        <v>0</v>
      </c>
      <c r="Y625" s="80">
        <v>0</v>
      </c>
      <c r="Z625" s="80">
        <v>0</v>
      </c>
      <c r="AA625" s="80">
        <v>0</v>
      </c>
      <c r="AB625" s="80">
        <v>0</v>
      </c>
      <c r="AC625" s="80">
        <v>0</v>
      </c>
      <c r="AD625" s="80">
        <v>0</v>
      </c>
      <c r="AE625" s="80">
        <v>0</v>
      </c>
      <c r="AF625" s="80">
        <v>0</v>
      </c>
      <c r="AG625" s="80">
        <v>0</v>
      </c>
      <c r="AH625" s="80">
        <v>0</v>
      </c>
      <c r="AI625" s="80">
        <v>0</v>
      </c>
      <c r="AJ625" s="80">
        <v>0</v>
      </c>
      <c r="AK625" s="80">
        <v>0</v>
      </c>
      <c r="AL625" s="80">
        <v>0</v>
      </c>
      <c r="AM625" s="80">
        <v>0</v>
      </c>
      <c r="AN625" s="80">
        <v>0</v>
      </c>
      <c r="AO625" s="80">
        <v>0</v>
      </c>
    </row>
    <row r="626" spans="1:41" ht="15.75" x14ac:dyDescent="0.25">
      <c r="A626" s="84"/>
      <c r="B626" s="84"/>
      <c r="C626" s="84"/>
      <c r="D626" s="80" t="s">
        <v>246</v>
      </c>
      <c r="E626" s="80">
        <v>0</v>
      </c>
      <c r="F626" s="80">
        <v>0</v>
      </c>
      <c r="G626" s="80">
        <v>0</v>
      </c>
      <c r="H626" s="80">
        <v>0</v>
      </c>
      <c r="I626" s="80">
        <v>1</v>
      </c>
      <c r="J626" s="80">
        <v>1</v>
      </c>
      <c r="K626" s="80">
        <v>0</v>
      </c>
      <c r="L626" s="80">
        <v>0</v>
      </c>
      <c r="M626" s="80">
        <v>0</v>
      </c>
      <c r="N626" s="80">
        <v>0</v>
      </c>
      <c r="O626" s="80">
        <v>0</v>
      </c>
      <c r="P626" s="80">
        <v>0</v>
      </c>
      <c r="Q626" s="80">
        <v>0</v>
      </c>
      <c r="R626" s="80">
        <v>0</v>
      </c>
      <c r="S626" s="80">
        <v>0</v>
      </c>
      <c r="T626" s="80">
        <v>0</v>
      </c>
      <c r="U626" s="80">
        <v>0</v>
      </c>
      <c r="V626" s="80">
        <v>0</v>
      </c>
      <c r="W626" s="80">
        <v>0</v>
      </c>
      <c r="X626" s="80">
        <v>0</v>
      </c>
      <c r="Y626" s="80">
        <v>0</v>
      </c>
      <c r="Z626" s="80">
        <v>0</v>
      </c>
      <c r="AA626" s="80">
        <v>0</v>
      </c>
      <c r="AB626" s="80">
        <v>0</v>
      </c>
      <c r="AC626" s="80">
        <v>0</v>
      </c>
      <c r="AD626" s="80">
        <v>0</v>
      </c>
      <c r="AE626" s="80">
        <v>0</v>
      </c>
      <c r="AF626" s="80">
        <v>0</v>
      </c>
      <c r="AG626" s="80">
        <v>0</v>
      </c>
      <c r="AH626" s="80">
        <v>0</v>
      </c>
      <c r="AI626" s="80">
        <v>0</v>
      </c>
      <c r="AJ626" s="80">
        <v>0</v>
      </c>
      <c r="AK626" s="80">
        <v>0</v>
      </c>
      <c r="AL626" s="80">
        <v>0</v>
      </c>
      <c r="AM626" s="80">
        <v>0</v>
      </c>
      <c r="AN626" s="80">
        <v>0</v>
      </c>
      <c r="AO626" s="80">
        <v>0</v>
      </c>
    </row>
    <row r="627" spans="1:41" ht="15.75" x14ac:dyDescent="0.25">
      <c r="A627" s="84"/>
      <c r="B627" s="84"/>
      <c r="C627" s="84"/>
      <c r="D627" s="80" t="s">
        <v>247</v>
      </c>
      <c r="E627" s="80">
        <v>0</v>
      </c>
      <c r="F627" s="80">
        <v>0</v>
      </c>
      <c r="G627" s="80">
        <v>0</v>
      </c>
      <c r="H627" s="80">
        <v>1</v>
      </c>
      <c r="I627" s="80">
        <v>0</v>
      </c>
      <c r="J627" s="80">
        <v>0</v>
      </c>
      <c r="K627" s="80">
        <v>0</v>
      </c>
      <c r="L627" s="80">
        <v>0</v>
      </c>
      <c r="M627" s="80">
        <v>0</v>
      </c>
      <c r="N627" s="80">
        <v>0</v>
      </c>
      <c r="O627" s="80">
        <v>1</v>
      </c>
      <c r="P627" s="80">
        <v>0</v>
      </c>
      <c r="Q627" s="80">
        <v>0</v>
      </c>
      <c r="R627" s="80">
        <v>0</v>
      </c>
      <c r="S627" s="80">
        <v>0</v>
      </c>
      <c r="T627" s="80">
        <v>0</v>
      </c>
      <c r="U627" s="80">
        <v>1</v>
      </c>
      <c r="V627" s="80">
        <v>0</v>
      </c>
      <c r="W627" s="80">
        <v>0</v>
      </c>
      <c r="X627" s="80">
        <v>0</v>
      </c>
      <c r="Y627" s="80">
        <v>0</v>
      </c>
      <c r="Z627" s="80">
        <v>0</v>
      </c>
      <c r="AA627" s="80">
        <v>0</v>
      </c>
      <c r="AB627" s="80">
        <v>0</v>
      </c>
      <c r="AC627" s="80">
        <v>0</v>
      </c>
      <c r="AD627" s="80">
        <v>0</v>
      </c>
      <c r="AE627" s="80">
        <v>0</v>
      </c>
      <c r="AF627" s="80">
        <v>0</v>
      </c>
      <c r="AG627" s="80">
        <v>0</v>
      </c>
      <c r="AH627" s="80">
        <v>0</v>
      </c>
      <c r="AI627" s="80">
        <v>0</v>
      </c>
      <c r="AJ627" s="80">
        <v>0</v>
      </c>
      <c r="AK627" s="80">
        <v>0</v>
      </c>
      <c r="AL627" s="80">
        <v>0</v>
      </c>
      <c r="AM627" s="80">
        <v>0</v>
      </c>
      <c r="AN627" s="80">
        <v>0</v>
      </c>
      <c r="AO627" s="80">
        <v>0</v>
      </c>
    </row>
    <row r="628" spans="1:41" ht="15.75" x14ac:dyDescent="0.25">
      <c r="A628" s="84"/>
      <c r="B628" s="84"/>
      <c r="C628" s="84"/>
      <c r="D628" s="80" t="s">
        <v>248</v>
      </c>
      <c r="E628" s="80">
        <v>0</v>
      </c>
      <c r="F628" s="80">
        <v>0</v>
      </c>
      <c r="G628" s="80">
        <v>0</v>
      </c>
      <c r="H628" s="80">
        <v>0</v>
      </c>
      <c r="I628" s="80">
        <v>1</v>
      </c>
      <c r="J628" s="80">
        <v>1</v>
      </c>
      <c r="K628" s="80">
        <v>0</v>
      </c>
      <c r="L628" s="80">
        <v>0</v>
      </c>
      <c r="M628" s="80">
        <v>0</v>
      </c>
      <c r="N628" s="80">
        <v>0</v>
      </c>
      <c r="O628" s="80">
        <v>0</v>
      </c>
      <c r="P628" s="80">
        <v>0</v>
      </c>
      <c r="Q628" s="80">
        <v>0</v>
      </c>
      <c r="R628" s="80">
        <v>0</v>
      </c>
      <c r="S628" s="80">
        <v>0</v>
      </c>
      <c r="T628" s="80">
        <v>0</v>
      </c>
      <c r="U628" s="80">
        <v>0</v>
      </c>
      <c r="V628" s="80">
        <v>0</v>
      </c>
      <c r="W628" s="80">
        <v>0</v>
      </c>
      <c r="X628" s="80">
        <v>0</v>
      </c>
      <c r="Y628" s="80">
        <v>0</v>
      </c>
      <c r="Z628" s="80">
        <v>0</v>
      </c>
      <c r="AA628" s="80">
        <v>0</v>
      </c>
      <c r="AB628" s="80">
        <v>0</v>
      </c>
      <c r="AC628" s="80">
        <v>0</v>
      </c>
      <c r="AD628" s="80">
        <v>0</v>
      </c>
      <c r="AE628" s="80">
        <v>0</v>
      </c>
      <c r="AF628" s="80">
        <v>0</v>
      </c>
      <c r="AG628" s="80">
        <v>0</v>
      </c>
      <c r="AH628" s="80">
        <v>0</v>
      </c>
      <c r="AI628" s="80">
        <v>0</v>
      </c>
      <c r="AJ628" s="80">
        <v>0</v>
      </c>
      <c r="AK628" s="80">
        <v>0</v>
      </c>
      <c r="AL628" s="80">
        <v>0</v>
      </c>
      <c r="AM628" s="80">
        <v>0</v>
      </c>
      <c r="AN628" s="80">
        <v>0</v>
      </c>
      <c r="AO628" s="80">
        <v>0</v>
      </c>
    </row>
    <row r="629" spans="1:41" ht="15.75" x14ac:dyDescent="0.25">
      <c r="A629" s="84"/>
      <c r="B629" s="84"/>
      <c r="C629" s="84"/>
      <c r="D629" s="80" t="s">
        <v>258</v>
      </c>
      <c r="E629" s="80">
        <v>0</v>
      </c>
      <c r="F629" s="80">
        <v>0</v>
      </c>
      <c r="G629" s="80">
        <v>0</v>
      </c>
      <c r="H629" s="80">
        <v>0</v>
      </c>
      <c r="I629" s="80">
        <v>0</v>
      </c>
      <c r="J629" s="80">
        <v>0</v>
      </c>
      <c r="K629" s="80">
        <v>0</v>
      </c>
      <c r="L629" s="80">
        <v>0</v>
      </c>
      <c r="M629" s="80">
        <v>0</v>
      </c>
      <c r="N629" s="80">
        <v>0</v>
      </c>
      <c r="O629" s="80">
        <v>0</v>
      </c>
      <c r="P629" s="80">
        <v>0</v>
      </c>
      <c r="Q629" s="80">
        <v>0</v>
      </c>
      <c r="R629" s="80">
        <v>0</v>
      </c>
      <c r="S629" s="80">
        <v>0</v>
      </c>
      <c r="T629" s="80">
        <v>0</v>
      </c>
      <c r="U629" s="80">
        <v>0</v>
      </c>
      <c r="V629" s="80">
        <v>0</v>
      </c>
      <c r="W629" s="80">
        <v>0</v>
      </c>
      <c r="X629" s="80">
        <v>0</v>
      </c>
      <c r="Y629" s="80">
        <v>0</v>
      </c>
      <c r="Z629" s="80">
        <v>0</v>
      </c>
      <c r="AA629" s="80">
        <v>0</v>
      </c>
      <c r="AB629" s="80">
        <v>0</v>
      </c>
      <c r="AC629" s="80">
        <v>0</v>
      </c>
      <c r="AD629" s="80">
        <v>0</v>
      </c>
      <c r="AE629" s="80">
        <v>0</v>
      </c>
      <c r="AF629" s="80">
        <v>0</v>
      </c>
      <c r="AG629" s="80">
        <v>0</v>
      </c>
      <c r="AH629" s="80">
        <v>0</v>
      </c>
      <c r="AI629" s="80">
        <v>0</v>
      </c>
      <c r="AJ629" s="80">
        <v>0</v>
      </c>
      <c r="AK629" s="80">
        <v>0</v>
      </c>
      <c r="AL629" s="80">
        <v>0</v>
      </c>
      <c r="AM629" s="80">
        <v>0</v>
      </c>
      <c r="AN629" s="80">
        <v>0</v>
      </c>
      <c r="AO629" s="80">
        <v>0</v>
      </c>
    </row>
    <row r="630" spans="1:41" ht="15.75" x14ac:dyDescent="0.25">
      <c r="A630" s="84">
        <v>42</v>
      </c>
      <c r="B630" s="84" t="s">
        <v>257</v>
      </c>
      <c r="C630" s="84" t="s">
        <v>257</v>
      </c>
      <c r="D630" s="80" t="s">
        <v>245</v>
      </c>
      <c r="E630" s="80">
        <v>0</v>
      </c>
      <c r="F630" s="80">
        <v>0</v>
      </c>
      <c r="G630" s="80">
        <v>0</v>
      </c>
      <c r="H630" s="81">
        <v>0</v>
      </c>
      <c r="I630" s="81">
        <v>1</v>
      </c>
      <c r="J630" s="80">
        <v>1</v>
      </c>
      <c r="K630" s="80">
        <v>0</v>
      </c>
      <c r="L630" s="80">
        <v>0</v>
      </c>
      <c r="M630" s="80">
        <v>1</v>
      </c>
      <c r="N630" s="81">
        <v>1</v>
      </c>
      <c r="O630" s="81">
        <v>1</v>
      </c>
      <c r="P630" s="80">
        <v>1</v>
      </c>
      <c r="Q630" s="81">
        <v>1</v>
      </c>
      <c r="R630" s="80">
        <v>0</v>
      </c>
      <c r="S630" s="80">
        <v>0</v>
      </c>
      <c r="T630" s="81">
        <v>0</v>
      </c>
      <c r="U630" s="81">
        <v>2</v>
      </c>
      <c r="V630" s="81">
        <v>1</v>
      </c>
      <c r="W630" s="81">
        <v>0</v>
      </c>
      <c r="X630" s="81">
        <v>0</v>
      </c>
      <c r="Y630" s="81">
        <v>0</v>
      </c>
      <c r="Z630" s="81">
        <v>0</v>
      </c>
      <c r="AA630" s="81">
        <v>0</v>
      </c>
      <c r="AB630" s="81">
        <v>0</v>
      </c>
      <c r="AC630" s="81">
        <v>0</v>
      </c>
      <c r="AD630" s="81">
        <v>0</v>
      </c>
      <c r="AE630" s="81">
        <v>0</v>
      </c>
      <c r="AF630" s="81">
        <v>0</v>
      </c>
      <c r="AG630" s="81">
        <v>0</v>
      </c>
      <c r="AH630" s="81">
        <v>0</v>
      </c>
      <c r="AI630" s="81">
        <v>0</v>
      </c>
      <c r="AJ630" s="81">
        <v>0</v>
      </c>
      <c r="AK630" s="81">
        <v>0</v>
      </c>
      <c r="AL630" s="81">
        <v>0</v>
      </c>
      <c r="AM630" s="80">
        <v>0</v>
      </c>
      <c r="AN630" s="80">
        <v>0</v>
      </c>
      <c r="AO630" s="80">
        <v>0</v>
      </c>
    </row>
    <row r="631" spans="1:41" ht="15.75" x14ac:dyDescent="0.25">
      <c r="A631" s="84"/>
      <c r="B631" s="84"/>
      <c r="C631" s="84"/>
      <c r="D631" s="80" t="s">
        <v>246</v>
      </c>
      <c r="E631" s="80">
        <v>0</v>
      </c>
      <c r="F631" s="80">
        <v>0</v>
      </c>
      <c r="G631" s="80">
        <v>0</v>
      </c>
      <c r="H631" s="80">
        <v>0</v>
      </c>
      <c r="I631" s="81">
        <v>1</v>
      </c>
      <c r="J631" s="80">
        <v>1</v>
      </c>
      <c r="K631" s="80">
        <v>0</v>
      </c>
      <c r="L631" s="80">
        <v>0</v>
      </c>
      <c r="M631" s="80">
        <v>1</v>
      </c>
      <c r="N631" s="81">
        <v>1</v>
      </c>
      <c r="O631" s="81">
        <v>1</v>
      </c>
      <c r="P631" s="80">
        <v>1</v>
      </c>
      <c r="Q631" s="81">
        <v>1</v>
      </c>
      <c r="R631" s="80">
        <v>0</v>
      </c>
      <c r="S631" s="80">
        <v>0</v>
      </c>
      <c r="T631" s="81">
        <v>0</v>
      </c>
      <c r="U631" s="81">
        <v>2</v>
      </c>
      <c r="V631" s="81">
        <v>1</v>
      </c>
      <c r="W631" s="81">
        <v>0</v>
      </c>
      <c r="X631" s="81">
        <v>0</v>
      </c>
      <c r="Y631" s="81">
        <v>0</v>
      </c>
      <c r="Z631" s="81">
        <v>0</v>
      </c>
      <c r="AA631" s="81">
        <v>0</v>
      </c>
      <c r="AB631" s="81">
        <v>0</v>
      </c>
      <c r="AC631" s="81">
        <v>0</v>
      </c>
      <c r="AD631" s="81">
        <v>0</v>
      </c>
      <c r="AE631" s="81">
        <v>0</v>
      </c>
      <c r="AF631" s="81">
        <v>0</v>
      </c>
      <c r="AG631" s="81">
        <v>0</v>
      </c>
      <c r="AH631" s="81">
        <v>0</v>
      </c>
      <c r="AI631" s="81">
        <v>0</v>
      </c>
      <c r="AJ631" s="81">
        <v>0</v>
      </c>
      <c r="AK631" s="81">
        <v>0</v>
      </c>
      <c r="AL631" s="81">
        <v>0</v>
      </c>
      <c r="AM631" s="80">
        <v>0</v>
      </c>
      <c r="AN631" s="80">
        <v>0</v>
      </c>
      <c r="AO631" s="80">
        <v>0</v>
      </c>
    </row>
    <row r="632" spans="1:41" ht="15.75" x14ac:dyDescent="0.25">
      <c r="A632" s="84"/>
      <c r="B632" s="84"/>
      <c r="C632" s="84"/>
      <c r="D632" s="80" t="s">
        <v>247</v>
      </c>
      <c r="E632" s="80">
        <v>0</v>
      </c>
      <c r="F632" s="80">
        <v>0</v>
      </c>
      <c r="G632" s="80">
        <v>0</v>
      </c>
      <c r="H632" s="80">
        <v>0</v>
      </c>
      <c r="I632" s="81">
        <v>0</v>
      </c>
      <c r="J632" s="80">
        <v>0</v>
      </c>
      <c r="K632" s="80">
        <v>0</v>
      </c>
      <c r="L632" s="80">
        <v>0</v>
      </c>
      <c r="M632" s="80">
        <v>0</v>
      </c>
      <c r="N632" s="81">
        <v>0</v>
      </c>
      <c r="O632" s="81">
        <v>0</v>
      </c>
      <c r="P632" s="80">
        <v>0</v>
      </c>
      <c r="Q632" s="81">
        <v>0</v>
      </c>
      <c r="R632" s="80">
        <v>0</v>
      </c>
      <c r="S632" s="80">
        <v>0</v>
      </c>
      <c r="T632" s="81">
        <v>0</v>
      </c>
      <c r="U632" s="81">
        <v>0</v>
      </c>
      <c r="V632" s="81">
        <v>0</v>
      </c>
      <c r="W632" s="81">
        <v>0</v>
      </c>
      <c r="X632" s="81">
        <v>0</v>
      </c>
      <c r="Y632" s="81">
        <v>0</v>
      </c>
      <c r="Z632" s="81">
        <v>0</v>
      </c>
      <c r="AA632" s="81">
        <v>0</v>
      </c>
      <c r="AB632" s="81">
        <v>0</v>
      </c>
      <c r="AC632" s="81">
        <v>0</v>
      </c>
      <c r="AD632" s="81">
        <v>0</v>
      </c>
      <c r="AE632" s="81">
        <v>0</v>
      </c>
      <c r="AF632" s="81">
        <v>0</v>
      </c>
      <c r="AG632" s="81">
        <v>0</v>
      </c>
      <c r="AH632" s="81">
        <v>0</v>
      </c>
      <c r="AI632" s="81">
        <v>0</v>
      </c>
      <c r="AJ632" s="81">
        <v>0</v>
      </c>
      <c r="AK632" s="81">
        <v>0</v>
      </c>
      <c r="AL632" s="81">
        <v>0</v>
      </c>
      <c r="AM632" s="80">
        <v>0</v>
      </c>
      <c r="AN632" s="80">
        <v>0</v>
      </c>
      <c r="AO632" s="80">
        <v>0</v>
      </c>
    </row>
    <row r="633" spans="1:41" ht="15.75" x14ac:dyDescent="0.25">
      <c r="A633" s="84"/>
      <c r="B633" s="84"/>
      <c r="C633" s="84"/>
      <c r="D633" s="80" t="s">
        <v>248</v>
      </c>
      <c r="E633" s="80">
        <v>0</v>
      </c>
      <c r="F633" s="80">
        <v>0</v>
      </c>
      <c r="G633" s="80">
        <v>0</v>
      </c>
      <c r="H633" s="80">
        <v>0</v>
      </c>
      <c r="I633" s="81">
        <v>1</v>
      </c>
      <c r="J633" s="80">
        <v>1</v>
      </c>
      <c r="K633" s="80">
        <v>0</v>
      </c>
      <c r="L633" s="80">
        <v>0</v>
      </c>
      <c r="M633" s="80">
        <v>1</v>
      </c>
      <c r="N633" s="81">
        <v>1</v>
      </c>
      <c r="O633" s="81">
        <v>1</v>
      </c>
      <c r="P633" s="80">
        <v>1</v>
      </c>
      <c r="Q633" s="81">
        <v>1</v>
      </c>
      <c r="R633" s="80">
        <v>0</v>
      </c>
      <c r="S633" s="80">
        <v>0</v>
      </c>
      <c r="T633" s="81">
        <v>0</v>
      </c>
      <c r="U633" s="81">
        <v>0</v>
      </c>
      <c r="V633" s="81">
        <v>1</v>
      </c>
      <c r="W633" s="81">
        <v>0</v>
      </c>
      <c r="X633" s="81">
        <v>0</v>
      </c>
      <c r="Y633" s="81">
        <v>0</v>
      </c>
      <c r="Z633" s="81">
        <v>0</v>
      </c>
      <c r="AA633" s="81">
        <v>0</v>
      </c>
      <c r="AB633" s="81">
        <v>0</v>
      </c>
      <c r="AC633" s="81">
        <v>0</v>
      </c>
      <c r="AD633" s="81">
        <v>0</v>
      </c>
      <c r="AE633" s="81">
        <v>0</v>
      </c>
      <c r="AF633" s="81">
        <v>0</v>
      </c>
      <c r="AG633" s="81">
        <v>0</v>
      </c>
      <c r="AH633" s="81">
        <v>0</v>
      </c>
      <c r="AI633" s="81">
        <v>0</v>
      </c>
      <c r="AJ633" s="81">
        <v>0</v>
      </c>
      <c r="AK633" s="81">
        <v>0</v>
      </c>
      <c r="AL633" s="81">
        <v>0</v>
      </c>
      <c r="AM633" s="80">
        <v>0</v>
      </c>
      <c r="AN633" s="80">
        <v>0</v>
      </c>
      <c r="AO633" s="80">
        <v>0</v>
      </c>
    </row>
    <row r="634" spans="1:41" ht="15.75" x14ac:dyDescent="0.25">
      <c r="A634" s="84"/>
      <c r="B634" s="84"/>
      <c r="C634" s="84"/>
      <c r="D634" s="80" t="s">
        <v>258</v>
      </c>
      <c r="E634" s="80">
        <v>0</v>
      </c>
      <c r="F634" s="80">
        <v>0</v>
      </c>
      <c r="G634" s="80">
        <v>0</v>
      </c>
      <c r="H634" s="80">
        <v>0</v>
      </c>
      <c r="I634" s="80">
        <v>0</v>
      </c>
      <c r="J634" s="80">
        <v>0</v>
      </c>
      <c r="K634" s="80">
        <v>0</v>
      </c>
      <c r="L634" s="80">
        <v>0</v>
      </c>
      <c r="M634" s="80">
        <v>0</v>
      </c>
      <c r="N634" s="80">
        <v>0</v>
      </c>
      <c r="O634" s="80">
        <v>0</v>
      </c>
      <c r="P634" s="80">
        <v>0</v>
      </c>
      <c r="Q634" s="80">
        <v>0</v>
      </c>
      <c r="R634" s="80">
        <v>0</v>
      </c>
      <c r="S634" s="80">
        <v>0</v>
      </c>
      <c r="T634" s="80">
        <v>0</v>
      </c>
      <c r="U634" s="80">
        <v>2</v>
      </c>
      <c r="V634" s="80">
        <v>0</v>
      </c>
      <c r="W634" s="80">
        <v>0</v>
      </c>
      <c r="X634" s="80">
        <v>0</v>
      </c>
      <c r="Y634" s="80">
        <v>0</v>
      </c>
      <c r="Z634" s="80">
        <v>0</v>
      </c>
      <c r="AA634" s="80">
        <v>0</v>
      </c>
      <c r="AB634" s="80">
        <v>0</v>
      </c>
      <c r="AC634" s="80">
        <v>0</v>
      </c>
      <c r="AD634" s="80">
        <v>0</v>
      </c>
      <c r="AE634" s="80">
        <v>0</v>
      </c>
      <c r="AF634" s="80">
        <v>0</v>
      </c>
      <c r="AG634" s="80">
        <v>0</v>
      </c>
      <c r="AH634" s="80">
        <v>0</v>
      </c>
      <c r="AI634" s="80">
        <v>0</v>
      </c>
      <c r="AJ634" s="80">
        <v>0</v>
      </c>
      <c r="AK634" s="80">
        <v>0</v>
      </c>
      <c r="AL634" s="80">
        <v>0</v>
      </c>
      <c r="AM634" s="80">
        <v>0</v>
      </c>
      <c r="AN634" s="80">
        <v>0</v>
      </c>
      <c r="AO634" s="80">
        <v>0</v>
      </c>
    </row>
    <row r="635" spans="1:41" ht="15.75" x14ac:dyDescent="0.25">
      <c r="A635" s="84">
        <v>43</v>
      </c>
      <c r="B635" s="84"/>
      <c r="C635" s="84" t="s">
        <v>264</v>
      </c>
      <c r="D635" s="80" t="s">
        <v>245</v>
      </c>
      <c r="E635" s="80">
        <v>0</v>
      </c>
      <c r="F635" s="80">
        <v>0</v>
      </c>
      <c r="G635" s="80">
        <v>0</v>
      </c>
      <c r="H635" s="80">
        <v>1</v>
      </c>
      <c r="I635" s="80">
        <v>1</v>
      </c>
      <c r="J635" s="80">
        <v>1</v>
      </c>
      <c r="K635" s="80">
        <v>0</v>
      </c>
      <c r="L635" s="80">
        <v>1</v>
      </c>
      <c r="M635" s="80">
        <v>0</v>
      </c>
      <c r="N635" s="80">
        <v>0</v>
      </c>
      <c r="O635" s="80">
        <v>0</v>
      </c>
      <c r="P635" s="80">
        <v>0</v>
      </c>
      <c r="Q635" s="80">
        <v>1</v>
      </c>
      <c r="R635" s="80">
        <v>0</v>
      </c>
      <c r="S635" s="80">
        <v>0</v>
      </c>
      <c r="T635" s="80">
        <v>0</v>
      </c>
      <c r="U635" s="80">
        <v>2</v>
      </c>
      <c r="V635" s="80">
        <v>0</v>
      </c>
      <c r="W635" s="80">
        <v>0</v>
      </c>
      <c r="X635" s="80">
        <v>0</v>
      </c>
      <c r="Y635" s="80">
        <v>0</v>
      </c>
      <c r="Z635" s="80">
        <v>0</v>
      </c>
      <c r="AA635" s="80">
        <v>0</v>
      </c>
      <c r="AB635" s="80">
        <v>0</v>
      </c>
      <c r="AC635" s="80">
        <v>0</v>
      </c>
      <c r="AD635" s="80">
        <v>0</v>
      </c>
      <c r="AE635" s="80">
        <v>0</v>
      </c>
      <c r="AF635" s="80">
        <v>0</v>
      </c>
      <c r="AG635" s="80">
        <v>0</v>
      </c>
      <c r="AH635" s="80">
        <v>0</v>
      </c>
      <c r="AI635" s="80">
        <v>0</v>
      </c>
      <c r="AJ635" s="80">
        <v>0</v>
      </c>
      <c r="AK635" s="80">
        <v>0</v>
      </c>
      <c r="AL635" s="80">
        <v>0</v>
      </c>
      <c r="AM635" s="80">
        <v>0</v>
      </c>
      <c r="AN635" s="80">
        <v>0</v>
      </c>
      <c r="AO635" s="80">
        <v>0</v>
      </c>
    </row>
    <row r="636" spans="1:41" ht="15.75" x14ac:dyDescent="0.25">
      <c r="A636" s="84"/>
      <c r="B636" s="84"/>
      <c r="C636" s="84"/>
      <c r="D636" s="80" t="s">
        <v>246</v>
      </c>
      <c r="E636" s="80">
        <v>0</v>
      </c>
      <c r="F636" s="80">
        <v>0</v>
      </c>
      <c r="G636" s="80">
        <v>0</v>
      </c>
      <c r="H636" s="80">
        <v>1</v>
      </c>
      <c r="I636" s="80">
        <v>1</v>
      </c>
      <c r="J636" s="80">
        <v>1</v>
      </c>
      <c r="K636" s="80">
        <v>0</v>
      </c>
      <c r="L636" s="80">
        <v>1</v>
      </c>
      <c r="M636" s="80">
        <v>0</v>
      </c>
      <c r="N636" s="80">
        <v>0</v>
      </c>
      <c r="O636" s="80">
        <v>0</v>
      </c>
      <c r="P636" s="80">
        <v>0</v>
      </c>
      <c r="Q636" s="80">
        <v>1</v>
      </c>
      <c r="R636" s="80">
        <v>0</v>
      </c>
      <c r="S636" s="80">
        <v>0</v>
      </c>
      <c r="T636" s="80">
        <v>0</v>
      </c>
      <c r="U636" s="80">
        <v>2</v>
      </c>
      <c r="V636" s="80">
        <v>0</v>
      </c>
      <c r="W636" s="80">
        <v>0</v>
      </c>
      <c r="X636" s="80">
        <v>0</v>
      </c>
      <c r="Y636" s="80">
        <v>0</v>
      </c>
      <c r="Z636" s="80">
        <v>0</v>
      </c>
      <c r="AA636" s="80">
        <v>0</v>
      </c>
      <c r="AB636" s="80">
        <v>0</v>
      </c>
      <c r="AC636" s="80">
        <v>0</v>
      </c>
      <c r="AD636" s="80">
        <v>0</v>
      </c>
      <c r="AE636" s="80">
        <v>0</v>
      </c>
      <c r="AF636" s="80">
        <v>0</v>
      </c>
      <c r="AG636" s="80">
        <v>0</v>
      </c>
      <c r="AH636" s="80">
        <v>0</v>
      </c>
      <c r="AI636" s="80">
        <v>0</v>
      </c>
      <c r="AJ636" s="80">
        <v>0</v>
      </c>
      <c r="AK636" s="80">
        <v>0</v>
      </c>
      <c r="AL636" s="80">
        <v>0</v>
      </c>
      <c r="AM636" s="80">
        <v>0</v>
      </c>
      <c r="AN636" s="80">
        <v>0</v>
      </c>
      <c r="AO636" s="80">
        <v>0</v>
      </c>
    </row>
    <row r="637" spans="1:41" ht="15.75" x14ac:dyDescent="0.25">
      <c r="A637" s="84"/>
      <c r="B637" s="84"/>
      <c r="C637" s="84"/>
      <c r="D637" s="80" t="s">
        <v>247</v>
      </c>
      <c r="E637" s="80">
        <v>0</v>
      </c>
      <c r="F637" s="80">
        <v>0</v>
      </c>
      <c r="G637" s="80">
        <v>0</v>
      </c>
      <c r="H637" s="80">
        <v>0</v>
      </c>
      <c r="I637" s="80">
        <v>0</v>
      </c>
      <c r="J637" s="80">
        <v>0</v>
      </c>
      <c r="K637" s="80">
        <v>0</v>
      </c>
      <c r="L637" s="80">
        <v>0</v>
      </c>
      <c r="M637" s="80">
        <v>0</v>
      </c>
      <c r="N637" s="80">
        <v>0</v>
      </c>
      <c r="O637" s="80">
        <v>0</v>
      </c>
      <c r="P637" s="80">
        <v>0</v>
      </c>
      <c r="Q637" s="80">
        <v>0</v>
      </c>
      <c r="R637" s="80">
        <v>0</v>
      </c>
      <c r="S637" s="80">
        <v>0</v>
      </c>
      <c r="T637" s="80">
        <v>0</v>
      </c>
      <c r="U637" s="80">
        <v>0</v>
      </c>
      <c r="V637" s="80">
        <v>0</v>
      </c>
      <c r="W637" s="80">
        <v>0</v>
      </c>
      <c r="X637" s="80">
        <v>0</v>
      </c>
      <c r="Y637" s="80">
        <v>0</v>
      </c>
      <c r="Z637" s="80">
        <v>0</v>
      </c>
      <c r="AA637" s="80">
        <v>0</v>
      </c>
      <c r="AB637" s="80">
        <v>0</v>
      </c>
      <c r="AC637" s="80">
        <v>0</v>
      </c>
      <c r="AD637" s="80">
        <v>0</v>
      </c>
      <c r="AE637" s="80">
        <v>0</v>
      </c>
      <c r="AF637" s="80">
        <v>0</v>
      </c>
      <c r="AG637" s="80">
        <v>0</v>
      </c>
      <c r="AH637" s="80">
        <v>0</v>
      </c>
      <c r="AI637" s="80">
        <v>0</v>
      </c>
      <c r="AJ637" s="80">
        <v>0</v>
      </c>
      <c r="AK637" s="80">
        <v>0</v>
      </c>
      <c r="AL637" s="80">
        <v>0</v>
      </c>
      <c r="AM637" s="80">
        <v>0</v>
      </c>
      <c r="AN637" s="80">
        <v>0</v>
      </c>
      <c r="AO637" s="80">
        <v>0</v>
      </c>
    </row>
    <row r="638" spans="1:41" ht="15.75" x14ac:dyDescent="0.25">
      <c r="A638" s="84"/>
      <c r="B638" s="84"/>
      <c r="C638" s="84"/>
      <c r="D638" s="80" t="s">
        <v>248</v>
      </c>
      <c r="E638" s="80">
        <v>0</v>
      </c>
      <c r="F638" s="80">
        <v>0</v>
      </c>
      <c r="G638" s="80">
        <v>0</v>
      </c>
      <c r="H638" s="80">
        <v>1</v>
      </c>
      <c r="I638" s="80">
        <v>0</v>
      </c>
      <c r="J638" s="80">
        <v>1</v>
      </c>
      <c r="K638" s="80">
        <v>0</v>
      </c>
      <c r="L638" s="80">
        <v>1</v>
      </c>
      <c r="M638" s="80">
        <v>0</v>
      </c>
      <c r="N638" s="80">
        <v>0</v>
      </c>
      <c r="O638" s="80">
        <v>0</v>
      </c>
      <c r="P638" s="80">
        <v>0</v>
      </c>
      <c r="Q638" s="80">
        <v>1</v>
      </c>
      <c r="R638" s="80">
        <v>0</v>
      </c>
      <c r="S638" s="80">
        <v>0</v>
      </c>
      <c r="T638" s="80">
        <v>0</v>
      </c>
      <c r="U638" s="80">
        <v>2</v>
      </c>
      <c r="V638" s="80">
        <v>0</v>
      </c>
      <c r="W638" s="80">
        <v>0</v>
      </c>
      <c r="X638" s="80">
        <v>0</v>
      </c>
      <c r="Y638" s="80">
        <v>0</v>
      </c>
      <c r="Z638" s="80">
        <v>0</v>
      </c>
      <c r="AA638" s="80">
        <v>0</v>
      </c>
      <c r="AB638" s="80">
        <v>0</v>
      </c>
      <c r="AC638" s="80">
        <v>0</v>
      </c>
      <c r="AD638" s="80">
        <v>0</v>
      </c>
      <c r="AE638" s="80">
        <v>0</v>
      </c>
      <c r="AF638" s="80">
        <v>0</v>
      </c>
      <c r="AG638" s="80">
        <v>0</v>
      </c>
      <c r="AH638" s="80">
        <v>0</v>
      </c>
      <c r="AI638" s="80">
        <v>0</v>
      </c>
      <c r="AJ638" s="80">
        <v>0</v>
      </c>
      <c r="AK638" s="80">
        <v>0</v>
      </c>
      <c r="AL638" s="80">
        <v>0</v>
      </c>
      <c r="AM638" s="80">
        <v>0</v>
      </c>
      <c r="AN638" s="80">
        <v>0</v>
      </c>
      <c r="AO638" s="80">
        <v>0</v>
      </c>
    </row>
    <row r="639" spans="1:41" ht="15.75" x14ac:dyDescent="0.25">
      <c r="A639" s="84"/>
      <c r="B639" s="84"/>
      <c r="C639" s="84"/>
      <c r="D639" s="80" t="s">
        <v>258</v>
      </c>
      <c r="E639" s="80">
        <v>0</v>
      </c>
      <c r="F639" s="80">
        <v>0</v>
      </c>
      <c r="G639" s="80">
        <v>0</v>
      </c>
      <c r="H639" s="80">
        <v>0</v>
      </c>
      <c r="I639" s="80">
        <v>1</v>
      </c>
      <c r="J639" s="80">
        <v>0</v>
      </c>
      <c r="K639" s="80">
        <v>0</v>
      </c>
      <c r="L639" s="80">
        <v>0</v>
      </c>
      <c r="M639" s="80">
        <v>0</v>
      </c>
      <c r="N639" s="80">
        <v>0</v>
      </c>
      <c r="O639" s="80">
        <v>0</v>
      </c>
      <c r="P639" s="80">
        <v>0</v>
      </c>
      <c r="Q639" s="80">
        <v>0</v>
      </c>
      <c r="R639" s="80">
        <v>0</v>
      </c>
      <c r="S639" s="80">
        <v>0</v>
      </c>
      <c r="T639" s="80">
        <v>0</v>
      </c>
      <c r="U639" s="80">
        <v>0</v>
      </c>
      <c r="V639" s="80">
        <v>0</v>
      </c>
      <c r="W639" s="80">
        <v>0</v>
      </c>
      <c r="X639" s="80">
        <v>0</v>
      </c>
      <c r="Y639" s="80">
        <v>0</v>
      </c>
      <c r="Z639" s="80">
        <v>0</v>
      </c>
      <c r="AA639" s="80">
        <v>0</v>
      </c>
      <c r="AB639" s="80">
        <v>0</v>
      </c>
      <c r="AC639" s="80">
        <v>0</v>
      </c>
      <c r="AD639" s="80">
        <v>0</v>
      </c>
      <c r="AE639" s="80">
        <v>0</v>
      </c>
      <c r="AF639" s="80">
        <v>0</v>
      </c>
      <c r="AG639" s="80">
        <v>0</v>
      </c>
      <c r="AH639" s="80">
        <v>0</v>
      </c>
      <c r="AI639" s="80">
        <v>0</v>
      </c>
      <c r="AJ639" s="80">
        <v>0</v>
      </c>
      <c r="AK639" s="80">
        <v>0</v>
      </c>
      <c r="AL639" s="80">
        <v>0</v>
      </c>
      <c r="AM639" s="80">
        <v>0</v>
      </c>
      <c r="AN639" s="80">
        <v>0</v>
      </c>
      <c r="AO639" s="80">
        <v>0</v>
      </c>
    </row>
    <row r="640" spans="1:41" ht="15.75" x14ac:dyDescent="0.25">
      <c r="A640" s="84">
        <v>44</v>
      </c>
      <c r="B640" s="84"/>
      <c r="C640" s="84" t="s">
        <v>265</v>
      </c>
      <c r="D640" s="80" t="s">
        <v>245</v>
      </c>
      <c r="E640" s="80">
        <v>0</v>
      </c>
      <c r="F640" s="80">
        <v>0</v>
      </c>
      <c r="G640" s="80">
        <v>0</v>
      </c>
      <c r="H640" s="80">
        <v>0</v>
      </c>
      <c r="I640" s="80">
        <v>1</v>
      </c>
      <c r="J640" s="80">
        <v>0</v>
      </c>
      <c r="K640" s="80">
        <v>0</v>
      </c>
      <c r="L640" s="80">
        <v>0</v>
      </c>
      <c r="M640" s="80">
        <v>0</v>
      </c>
      <c r="N640" s="80">
        <v>0</v>
      </c>
      <c r="O640" s="80">
        <v>0</v>
      </c>
      <c r="P640" s="80">
        <v>1</v>
      </c>
      <c r="Q640" s="80">
        <v>1</v>
      </c>
      <c r="R640" s="80">
        <v>0</v>
      </c>
      <c r="S640" s="80">
        <v>0</v>
      </c>
      <c r="T640" s="80">
        <v>0</v>
      </c>
      <c r="U640" s="80">
        <v>2</v>
      </c>
      <c r="V640" s="80">
        <v>1</v>
      </c>
      <c r="W640" s="80">
        <v>0</v>
      </c>
      <c r="X640" s="80">
        <v>0</v>
      </c>
      <c r="Y640" s="80">
        <v>0</v>
      </c>
      <c r="Z640" s="80">
        <v>1</v>
      </c>
      <c r="AA640" s="80">
        <v>0</v>
      </c>
      <c r="AB640" s="80">
        <v>1</v>
      </c>
      <c r="AC640" s="80">
        <v>0</v>
      </c>
      <c r="AD640" s="80">
        <v>1</v>
      </c>
      <c r="AE640" s="80">
        <v>1</v>
      </c>
      <c r="AF640" s="80">
        <v>0</v>
      </c>
      <c r="AG640" s="80">
        <v>0</v>
      </c>
      <c r="AH640" s="80">
        <v>0</v>
      </c>
      <c r="AI640" s="80">
        <v>0</v>
      </c>
      <c r="AJ640" s="80">
        <v>0</v>
      </c>
      <c r="AK640" s="80">
        <v>0</v>
      </c>
      <c r="AL640" s="80">
        <v>0</v>
      </c>
      <c r="AM640" s="80">
        <v>0</v>
      </c>
      <c r="AN640" s="80">
        <v>0</v>
      </c>
      <c r="AO640" s="80">
        <v>0</v>
      </c>
    </row>
    <row r="641" spans="1:41" ht="15.75" x14ac:dyDescent="0.25">
      <c r="A641" s="84"/>
      <c r="B641" s="84"/>
      <c r="C641" s="84"/>
      <c r="D641" s="80" t="s">
        <v>246</v>
      </c>
      <c r="E641" s="80">
        <v>0</v>
      </c>
      <c r="F641" s="80">
        <v>0</v>
      </c>
      <c r="G641" s="80">
        <v>0</v>
      </c>
      <c r="H641" s="80">
        <v>0</v>
      </c>
      <c r="I641" s="80">
        <v>1</v>
      </c>
      <c r="J641" s="80">
        <v>0</v>
      </c>
      <c r="K641" s="80">
        <v>0</v>
      </c>
      <c r="L641" s="80">
        <v>0</v>
      </c>
      <c r="M641" s="80">
        <v>0</v>
      </c>
      <c r="N641" s="80">
        <v>0</v>
      </c>
      <c r="O641" s="80">
        <v>0</v>
      </c>
      <c r="P641" s="80">
        <v>1</v>
      </c>
      <c r="Q641" s="80">
        <v>1</v>
      </c>
      <c r="R641" s="80">
        <v>0</v>
      </c>
      <c r="S641" s="80">
        <v>0</v>
      </c>
      <c r="T641" s="80">
        <v>0</v>
      </c>
      <c r="U641" s="80">
        <v>2</v>
      </c>
      <c r="V641" s="80">
        <v>1</v>
      </c>
      <c r="W641" s="80">
        <v>0</v>
      </c>
      <c r="X641" s="80">
        <v>0</v>
      </c>
      <c r="Y641" s="80">
        <v>0</v>
      </c>
      <c r="Z641" s="80">
        <v>1</v>
      </c>
      <c r="AA641" s="80">
        <v>0</v>
      </c>
      <c r="AB641" s="80">
        <v>1</v>
      </c>
      <c r="AC641" s="80">
        <v>0</v>
      </c>
      <c r="AD641" s="80">
        <v>1</v>
      </c>
      <c r="AE641" s="80">
        <v>1</v>
      </c>
      <c r="AF641" s="80">
        <v>0</v>
      </c>
      <c r="AG641" s="80">
        <v>0</v>
      </c>
      <c r="AH641" s="80">
        <v>0</v>
      </c>
      <c r="AI641" s="80">
        <v>0</v>
      </c>
      <c r="AJ641" s="80">
        <v>0</v>
      </c>
      <c r="AK641" s="80">
        <v>0</v>
      </c>
      <c r="AL641" s="80">
        <v>0</v>
      </c>
      <c r="AM641" s="80">
        <v>0</v>
      </c>
      <c r="AN641" s="80">
        <v>0</v>
      </c>
      <c r="AO641" s="80">
        <v>0</v>
      </c>
    </row>
    <row r="642" spans="1:41" ht="15.75" x14ac:dyDescent="0.25">
      <c r="A642" s="84"/>
      <c r="B642" s="84"/>
      <c r="C642" s="84"/>
      <c r="D642" s="80" t="s">
        <v>247</v>
      </c>
      <c r="E642" s="80">
        <v>0</v>
      </c>
      <c r="F642" s="80">
        <v>0</v>
      </c>
      <c r="G642" s="80">
        <v>0</v>
      </c>
      <c r="H642" s="80">
        <v>0</v>
      </c>
      <c r="I642" s="80">
        <v>0</v>
      </c>
      <c r="J642" s="80">
        <v>0</v>
      </c>
      <c r="K642" s="80">
        <v>0</v>
      </c>
      <c r="L642" s="80">
        <v>0</v>
      </c>
      <c r="M642" s="80">
        <v>0</v>
      </c>
      <c r="N642" s="80">
        <v>0</v>
      </c>
      <c r="O642" s="80">
        <v>0</v>
      </c>
      <c r="P642" s="80">
        <v>0</v>
      </c>
      <c r="Q642" s="80">
        <v>0</v>
      </c>
      <c r="R642" s="80">
        <v>0</v>
      </c>
      <c r="S642" s="80">
        <v>0</v>
      </c>
      <c r="T642" s="80">
        <v>0</v>
      </c>
      <c r="U642" s="80">
        <v>0</v>
      </c>
      <c r="V642" s="80">
        <v>0</v>
      </c>
      <c r="W642" s="80">
        <v>0</v>
      </c>
      <c r="X642" s="80">
        <v>0</v>
      </c>
      <c r="Y642" s="80">
        <v>0</v>
      </c>
      <c r="Z642" s="80">
        <v>0</v>
      </c>
      <c r="AA642" s="80">
        <v>0</v>
      </c>
      <c r="AB642" s="80">
        <v>0</v>
      </c>
      <c r="AC642" s="80">
        <v>0</v>
      </c>
      <c r="AD642" s="80">
        <v>0</v>
      </c>
      <c r="AE642" s="80">
        <v>0</v>
      </c>
      <c r="AF642" s="80">
        <v>0</v>
      </c>
      <c r="AG642" s="80">
        <v>0</v>
      </c>
      <c r="AH642" s="80">
        <v>0</v>
      </c>
      <c r="AI642" s="80">
        <v>0</v>
      </c>
      <c r="AJ642" s="80">
        <v>0</v>
      </c>
      <c r="AK642" s="80">
        <v>0</v>
      </c>
      <c r="AL642" s="80">
        <v>0</v>
      </c>
      <c r="AM642" s="80">
        <v>0</v>
      </c>
      <c r="AN642" s="80">
        <v>0</v>
      </c>
      <c r="AO642" s="80">
        <v>0</v>
      </c>
    </row>
    <row r="643" spans="1:41" ht="15.75" x14ac:dyDescent="0.25">
      <c r="A643" s="84"/>
      <c r="B643" s="84"/>
      <c r="C643" s="84"/>
      <c r="D643" s="80" t="s">
        <v>248</v>
      </c>
      <c r="E643" s="80">
        <v>0</v>
      </c>
      <c r="F643" s="80">
        <v>0</v>
      </c>
      <c r="G643" s="80">
        <v>0</v>
      </c>
      <c r="H643" s="80">
        <v>0</v>
      </c>
      <c r="I643" s="80">
        <v>1</v>
      </c>
      <c r="J643" s="80">
        <v>0</v>
      </c>
      <c r="K643" s="80">
        <v>0</v>
      </c>
      <c r="L643" s="80">
        <v>0</v>
      </c>
      <c r="M643" s="80">
        <v>0</v>
      </c>
      <c r="N643" s="80">
        <v>0</v>
      </c>
      <c r="O643" s="80">
        <v>0</v>
      </c>
      <c r="P643" s="80">
        <v>1</v>
      </c>
      <c r="Q643" s="80">
        <v>1</v>
      </c>
      <c r="R643" s="80">
        <v>0</v>
      </c>
      <c r="S643" s="80">
        <v>0</v>
      </c>
      <c r="T643" s="80">
        <v>0</v>
      </c>
      <c r="U643" s="80">
        <v>2</v>
      </c>
      <c r="V643" s="80">
        <v>1</v>
      </c>
      <c r="W643" s="80">
        <v>0</v>
      </c>
      <c r="X643" s="80">
        <v>0</v>
      </c>
      <c r="Y643" s="80">
        <v>0</v>
      </c>
      <c r="Z643" s="80">
        <v>1</v>
      </c>
      <c r="AA643" s="80">
        <v>0</v>
      </c>
      <c r="AB643" s="80">
        <v>1</v>
      </c>
      <c r="AC643" s="80">
        <v>0</v>
      </c>
      <c r="AD643" s="80">
        <v>1</v>
      </c>
      <c r="AE643" s="80">
        <v>1</v>
      </c>
      <c r="AF643" s="80">
        <v>0</v>
      </c>
      <c r="AG643" s="80">
        <v>0</v>
      </c>
      <c r="AH643" s="80">
        <v>0</v>
      </c>
      <c r="AI643" s="80">
        <v>0</v>
      </c>
      <c r="AJ643" s="80">
        <v>0</v>
      </c>
      <c r="AK643" s="80">
        <v>0</v>
      </c>
      <c r="AL643" s="80">
        <v>0</v>
      </c>
      <c r="AM643" s="80">
        <v>0</v>
      </c>
      <c r="AN643" s="80">
        <v>0</v>
      </c>
      <c r="AO643" s="80">
        <v>0</v>
      </c>
    </row>
    <row r="644" spans="1:41" ht="15.75" x14ac:dyDescent="0.25">
      <c r="A644" s="84"/>
      <c r="B644" s="84"/>
      <c r="C644" s="84"/>
      <c r="D644" s="80" t="s">
        <v>258</v>
      </c>
      <c r="E644" s="80">
        <v>0</v>
      </c>
      <c r="F644" s="80">
        <v>0</v>
      </c>
      <c r="G644" s="80">
        <v>0</v>
      </c>
      <c r="H644" s="80">
        <v>0</v>
      </c>
      <c r="I644" s="80">
        <v>0</v>
      </c>
      <c r="J644" s="80">
        <v>0</v>
      </c>
      <c r="K644" s="80">
        <v>0</v>
      </c>
      <c r="L644" s="80">
        <v>0</v>
      </c>
      <c r="M644" s="80">
        <v>0</v>
      </c>
      <c r="N644" s="80">
        <v>0</v>
      </c>
      <c r="O644" s="80">
        <v>0</v>
      </c>
      <c r="P644" s="80">
        <v>0</v>
      </c>
      <c r="Q644" s="80">
        <v>0</v>
      </c>
      <c r="R644" s="80">
        <v>0</v>
      </c>
      <c r="S644" s="80">
        <v>0</v>
      </c>
      <c r="T644" s="80">
        <v>0</v>
      </c>
      <c r="U644" s="80">
        <v>0</v>
      </c>
      <c r="V644" s="80">
        <v>0</v>
      </c>
      <c r="W644" s="80">
        <v>0</v>
      </c>
      <c r="X644" s="80">
        <v>0</v>
      </c>
      <c r="Y644" s="80">
        <v>0</v>
      </c>
      <c r="Z644" s="80">
        <v>0</v>
      </c>
      <c r="AA644" s="80">
        <v>0</v>
      </c>
      <c r="AB644" s="80">
        <v>0</v>
      </c>
      <c r="AC644" s="80">
        <v>0</v>
      </c>
      <c r="AD644" s="80">
        <v>0</v>
      </c>
      <c r="AE644" s="80">
        <v>0</v>
      </c>
      <c r="AF644" s="80">
        <v>0</v>
      </c>
      <c r="AG644" s="80">
        <v>0</v>
      </c>
      <c r="AH644" s="80">
        <v>0</v>
      </c>
      <c r="AI644" s="80">
        <v>0</v>
      </c>
      <c r="AJ644" s="80">
        <v>0</v>
      </c>
      <c r="AK644" s="80">
        <v>0</v>
      </c>
      <c r="AL644" s="80">
        <v>0</v>
      </c>
      <c r="AM644" s="80">
        <v>0</v>
      </c>
      <c r="AN644" s="80">
        <v>0</v>
      </c>
      <c r="AO644" s="80">
        <v>0</v>
      </c>
    </row>
    <row r="645" spans="1:41" ht="15.75" x14ac:dyDescent="0.25">
      <c r="A645" s="84"/>
      <c r="B645" s="84"/>
      <c r="C645" s="84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  <c r="AH645" s="80"/>
      <c r="AI645" s="80"/>
      <c r="AJ645" s="80"/>
      <c r="AK645" s="80"/>
      <c r="AL645" s="80"/>
      <c r="AM645" s="147"/>
      <c r="AN645" s="147"/>
      <c r="AO645" s="147"/>
    </row>
    <row r="646" spans="1:41" ht="18.75" x14ac:dyDescent="0.3">
      <c r="A646" s="145"/>
      <c r="B646" s="145"/>
      <c r="C646" s="146" t="s">
        <v>771</v>
      </c>
      <c r="D646" s="135" t="s">
        <v>245</v>
      </c>
      <c r="E646" s="135">
        <f>E445+E450+E455+E460+E465+E470+E475+E480+E485+E490+E495+E500+E505+E510+E515+E520+E525+E530+E535+E540+E545+E550+E555+E560+E565+E570+E575+E580+E585+E590+E595+E600+E605+E610+E615+E620+E625+E630+E635+E640</f>
        <v>0</v>
      </c>
      <c r="F646" s="135">
        <f t="shared" ref="F646:AO646" si="12">F445+F450+F455+F460+F465+F470+F475+F480+F485+F490+F495+F500+F505+F510+F515+F520+F525+F530+F535+F540+F545+F550+F555+F560+F565+F570+F575+F580+F585+F590+F595+F600+F605+F610+F615+F620+F625+F630+F635+F640</f>
        <v>1</v>
      </c>
      <c r="G646" s="135">
        <f t="shared" si="12"/>
        <v>3</v>
      </c>
      <c r="H646" s="135">
        <f t="shared" si="12"/>
        <v>44</v>
      </c>
      <c r="I646" s="135">
        <f t="shared" si="12"/>
        <v>64</v>
      </c>
      <c r="J646" s="135">
        <f t="shared" si="12"/>
        <v>49</v>
      </c>
      <c r="K646" s="135">
        <f t="shared" si="12"/>
        <v>4</v>
      </c>
      <c r="L646" s="135">
        <f t="shared" si="12"/>
        <v>7</v>
      </c>
      <c r="M646" s="135">
        <f t="shared" si="12"/>
        <v>8</v>
      </c>
      <c r="N646" s="135">
        <f t="shared" si="12"/>
        <v>14</v>
      </c>
      <c r="O646" s="135">
        <f t="shared" si="12"/>
        <v>43</v>
      </c>
      <c r="P646" s="135">
        <f t="shared" si="12"/>
        <v>7</v>
      </c>
      <c r="Q646" s="135">
        <f t="shared" si="12"/>
        <v>37</v>
      </c>
      <c r="R646" s="135">
        <f t="shared" si="12"/>
        <v>15</v>
      </c>
      <c r="S646" s="135">
        <f t="shared" si="12"/>
        <v>0</v>
      </c>
      <c r="T646" s="135">
        <f t="shared" si="12"/>
        <v>7</v>
      </c>
      <c r="U646" s="135">
        <f t="shared" si="12"/>
        <v>70</v>
      </c>
      <c r="V646" s="135">
        <f t="shared" si="12"/>
        <v>47</v>
      </c>
      <c r="W646" s="135">
        <f t="shared" si="12"/>
        <v>19</v>
      </c>
      <c r="X646" s="135">
        <f t="shared" si="12"/>
        <v>10</v>
      </c>
      <c r="Y646" s="135">
        <f t="shared" si="12"/>
        <v>3</v>
      </c>
      <c r="Z646" s="135">
        <f t="shared" si="12"/>
        <v>33</v>
      </c>
      <c r="AA646" s="135">
        <f t="shared" si="12"/>
        <v>27</v>
      </c>
      <c r="AB646" s="135">
        <f t="shared" si="12"/>
        <v>22</v>
      </c>
      <c r="AC646" s="135">
        <f t="shared" si="12"/>
        <v>10</v>
      </c>
      <c r="AD646" s="135">
        <f t="shared" si="12"/>
        <v>10</v>
      </c>
      <c r="AE646" s="135">
        <f t="shared" si="12"/>
        <v>17</v>
      </c>
      <c r="AF646" s="135">
        <f t="shared" si="12"/>
        <v>10</v>
      </c>
      <c r="AG646" s="135">
        <f t="shared" si="12"/>
        <v>30</v>
      </c>
      <c r="AH646" s="135">
        <f t="shared" si="12"/>
        <v>21</v>
      </c>
      <c r="AI646" s="135">
        <f t="shared" si="12"/>
        <v>3</v>
      </c>
      <c r="AJ646" s="135">
        <f t="shared" si="12"/>
        <v>1</v>
      </c>
      <c r="AK646" s="135">
        <f t="shared" si="12"/>
        <v>0</v>
      </c>
      <c r="AL646" s="135">
        <f t="shared" si="12"/>
        <v>1</v>
      </c>
      <c r="AM646" s="135">
        <f t="shared" si="12"/>
        <v>12</v>
      </c>
      <c r="AN646" s="135">
        <f t="shared" si="12"/>
        <v>6</v>
      </c>
      <c r="AO646" s="135">
        <f t="shared" si="12"/>
        <v>2</v>
      </c>
    </row>
    <row r="647" spans="1:41" ht="18.75" x14ac:dyDescent="0.3">
      <c r="A647" s="145"/>
      <c r="B647" s="145"/>
      <c r="C647" s="146"/>
      <c r="D647" s="135" t="s">
        <v>246</v>
      </c>
      <c r="E647" s="135">
        <f t="shared" ref="E647:AO647" si="13">E446+E451+E456+E461+E466+E471+E476+E481+E486+E491+E496+E501+E506+E511+E516+E521+E526+E531+E536+E541+E546+E551+E556+E561+E566+E571+E576+E581+E586+E591+E596+E601+E606+E611+E616+E621+E626+E631+E636+E641</f>
        <v>8</v>
      </c>
      <c r="F647" s="135">
        <f t="shared" si="13"/>
        <v>1</v>
      </c>
      <c r="G647" s="135">
        <f t="shared" si="13"/>
        <v>3</v>
      </c>
      <c r="H647" s="135">
        <f t="shared" si="13"/>
        <v>38</v>
      </c>
      <c r="I647" s="135">
        <f t="shared" si="13"/>
        <v>53</v>
      </c>
      <c r="J647" s="135">
        <f t="shared" si="13"/>
        <v>45</v>
      </c>
      <c r="K647" s="135">
        <f t="shared" si="13"/>
        <v>3</v>
      </c>
      <c r="L647" s="135">
        <f t="shared" si="13"/>
        <v>6</v>
      </c>
      <c r="M647" s="135">
        <f t="shared" si="13"/>
        <v>7</v>
      </c>
      <c r="N647" s="135">
        <f t="shared" si="13"/>
        <v>14</v>
      </c>
      <c r="O647" s="135">
        <f t="shared" si="13"/>
        <v>42</v>
      </c>
      <c r="P647" s="135">
        <f t="shared" si="13"/>
        <v>6</v>
      </c>
      <c r="Q647" s="135">
        <f t="shared" si="13"/>
        <v>36</v>
      </c>
      <c r="R647" s="135">
        <f t="shared" si="13"/>
        <v>14</v>
      </c>
      <c r="S647" s="135">
        <f t="shared" si="13"/>
        <v>0</v>
      </c>
      <c r="T647" s="135">
        <f t="shared" si="13"/>
        <v>7</v>
      </c>
      <c r="U647" s="135">
        <f t="shared" si="13"/>
        <v>69</v>
      </c>
      <c r="V647" s="135">
        <f t="shared" si="13"/>
        <v>47</v>
      </c>
      <c r="W647" s="135">
        <f t="shared" si="13"/>
        <v>19</v>
      </c>
      <c r="X647" s="135">
        <f t="shared" si="13"/>
        <v>10</v>
      </c>
      <c r="Y647" s="135">
        <f t="shared" si="13"/>
        <v>3</v>
      </c>
      <c r="Z647" s="135">
        <f t="shared" si="13"/>
        <v>33</v>
      </c>
      <c r="AA647" s="135">
        <f t="shared" si="13"/>
        <v>26</v>
      </c>
      <c r="AB647" s="135">
        <f t="shared" si="13"/>
        <v>22</v>
      </c>
      <c r="AC647" s="135">
        <f t="shared" si="13"/>
        <v>9</v>
      </c>
      <c r="AD647" s="135">
        <f t="shared" si="13"/>
        <v>10</v>
      </c>
      <c r="AE647" s="135">
        <f t="shared" si="13"/>
        <v>17</v>
      </c>
      <c r="AF647" s="135">
        <f t="shared" si="13"/>
        <v>9</v>
      </c>
      <c r="AG647" s="135">
        <f t="shared" si="13"/>
        <v>29</v>
      </c>
      <c r="AH647" s="135">
        <f t="shared" si="13"/>
        <v>19</v>
      </c>
      <c r="AI647" s="135">
        <f t="shared" si="13"/>
        <v>3</v>
      </c>
      <c r="AJ647" s="135">
        <f t="shared" si="13"/>
        <v>0</v>
      </c>
      <c r="AK647" s="135">
        <f t="shared" si="13"/>
        <v>0</v>
      </c>
      <c r="AL647" s="135">
        <f t="shared" si="13"/>
        <v>1</v>
      </c>
      <c r="AM647" s="135">
        <f t="shared" si="13"/>
        <v>12</v>
      </c>
      <c r="AN647" s="135">
        <f t="shared" si="13"/>
        <v>6</v>
      </c>
      <c r="AO647" s="135">
        <f t="shared" si="13"/>
        <v>2</v>
      </c>
    </row>
    <row r="648" spans="1:41" ht="18.75" x14ac:dyDescent="0.3">
      <c r="A648" s="145"/>
      <c r="B648" s="145"/>
      <c r="C648" s="146"/>
      <c r="D648" s="135" t="s">
        <v>247</v>
      </c>
      <c r="E648" s="135">
        <f t="shared" ref="E648:AO648" si="14">E447+E452+E457+E462+E467+E472+E477+E482+E487+E492+E497+E502+E507+E512+E517+E522+E527+E532+E537+E542+E547+E552+E557+E562+E567+E572+E577+E582+E587+E592+E597+E602+E607+E612+E617+E622+E627+E632+E637+E642</f>
        <v>0</v>
      </c>
      <c r="F648" s="135">
        <f t="shared" si="14"/>
        <v>0</v>
      </c>
      <c r="G648" s="135">
        <f t="shared" si="14"/>
        <v>0</v>
      </c>
      <c r="H648" s="135">
        <f t="shared" si="14"/>
        <v>7</v>
      </c>
      <c r="I648" s="135">
        <f t="shared" si="14"/>
        <v>11</v>
      </c>
      <c r="J648" s="135">
        <f t="shared" si="14"/>
        <v>4</v>
      </c>
      <c r="K648" s="135">
        <f t="shared" si="14"/>
        <v>1</v>
      </c>
      <c r="L648" s="135">
        <f t="shared" si="14"/>
        <v>1</v>
      </c>
      <c r="M648" s="135">
        <f t="shared" si="14"/>
        <v>1</v>
      </c>
      <c r="N648" s="135">
        <f t="shared" si="14"/>
        <v>0</v>
      </c>
      <c r="O648" s="135">
        <f t="shared" si="14"/>
        <v>1</v>
      </c>
      <c r="P648" s="135">
        <f t="shared" si="14"/>
        <v>1</v>
      </c>
      <c r="Q648" s="135">
        <f t="shared" si="14"/>
        <v>1</v>
      </c>
      <c r="R648" s="135">
        <f t="shared" si="14"/>
        <v>1</v>
      </c>
      <c r="S648" s="135">
        <f t="shared" si="14"/>
        <v>1</v>
      </c>
      <c r="T648" s="135">
        <f t="shared" si="14"/>
        <v>1</v>
      </c>
      <c r="U648" s="135">
        <f t="shared" si="14"/>
        <v>1</v>
      </c>
      <c r="V648" s="135">
        <f t="shared" si="14"/>
        <v>0</v>
      </c>
      <c r="W648" s="135">
        <f t="shared" si="14"/>
        <v>0</v>
      </c>
      <c r="X648" s="135">
        <f t="shared" si="14"/>
        <v>0</v>
      </c>
      <c r="Y648" s="135">
        <f t="shared" si="14"/>
        <v>0</v>
      </c>
      <c r="Z648" s="135">
        <f t="shared" si="14"/>
        <v>0</v>
      </c>
      <c r="AA648" s="135">
        <f t="shared" si="14"/>
        <v>1</v>
      </c>
      <c r="AB648" s="135">
        <f t="shared" si="14"/>
        <v>0</v>
      </c>
      <c r="AC648" s="135">
        <f t="shared" si="14"/>
        <v>1</v>
      </c>
      <c r="AD648" s="135">
        <f t="shared" si="14"/>
        <v>0</v>
      </c>
      <c r="AE648" s="135">
        <f t="shared" si="14"/>
        <v>0</v>
      </c>
      <c r="AF648" s="135">
        <f t="shared" si="14"/>
        <v>1</v>
      </c>
      <c r="AG648" s="135">
        <f t="shared" si="14"/>
        <v>1</v>
      </c>
      <c r="AH648" s="135">
        <f t="shared" si="14"/>
        <v>2</v>
      </c>
      <c r="AI648" s="135">
        <f t="shared" si="14"/>
        <v>0</v>
      </c>
      <c r="AJ648" s="135">
        <f t="shared" si="14"/>
        <v>0</v>
      </c>
      <c r="AK648" s="135">
        <f t="shared" si="14"/>
        <v>0</v>
      </c>
      <c r="AL648" s="135">
        <f t="shared" si="14"/>
        <v>0</v>
      </c>
      <c r="AM648" s="135">
        <f t="shared" si="14"/>
        <v>0</v>
      </c>
      <c r="AN648" s="135">
        <f t="shared" si="14"/>
        <v>0</v>
      </c>
      <c r="AO648" s="135">
        <f t="shared" si="14"/>
        <v>0</v>
      </c>
    </row>
    <row r="649" spans="1:41" ht="15.75" x14ac:dyDescent="0.25">
      <c r="A649" s="147"/>
      <c r="B649" s="147"/>
      <c r="C649" s="148"/>
      <c r="D649" s="135" t="s">
        <v>248</v>
      </c>
      <c r="E649" s="135">
        <f t="shared" ref="E649:AO649" si="15">E448+E453+E458+E463+E468+E473+E478+E483+E488+E493+E498+E503+E508+E513+E518+E523+E528+E533+E538+E543+E548+E553+E558+E563+E568+E573+E578+E583+E588+E593+E598+E603+E608+E613+E618+E623+E628+E633+E638+E643</f>
        <v>8</v>
      </c>
      <c r="F649" s="135">
        <f t="shared" si="15"/>
        <v>1</v>
      </c>
      <c r="G649" s="135">
        <f t="shared" si="15"/>
        <v>3</v>
      </c>
      <c r="H649" s="135">
        <f t="shared" si="15"/>
        <v>38</v>
      </c>
      <c r="I649" s="135">
        <f t="shared" si="15"/>
        <v>50</v>
      </c>
      <c r="J649" s="135">
        <f t="shared" si="15"/>
        <v>45</v>
      </c>
      <c r="K649" s="135">
        <f t="shared" si="15"/>
        <v>2</v>
      </c>
      <c r="L649" s="135">
        <f t="shared" si="15"/>
        <v>4</v>
      </c>
      <c r="M649" s="135">
        <f t="shared" si="15"/>
        <v>7</v>
      </c>
      <c r="N649" s="135">
        <f t="shared" si="15"/>
        <v>13</v>
      </c>
      <c r="O649" s="135">
        <f t="shared" si="15"/>
        <v>42</v>
      </c>
      <c r="P649" s="135">
        <f t="shared" si="15"/>
        <v>6</v>
      </c>
      <c r="Q649" s="135">
        <f t="shared" si="15"/>
        <v>29</v>
      </c>
      <c r="R649" s="135">
        <f t="shared" si="15"/>
        <v>9</v>
      </c>
      <c r="S649" s="135">
        <f t="shared" si="15"/>
        <v>0</v>
      </c>
      <c r="T649" s="135">
        <f t="shared" si="15"/>
        <v>6</v>
      </c>
      <c r="U649" s="135">
        <f t="shared" si="15"/>
        <v>65</v>
      </c>
      <c r="V649" s="135">
        <f t="shared" si="15"/>
        <v>44</v>
      </c>
      <c r="W649" s="135">
        <f t="shared" si="15"/>
        <v>14</v>
      </c>
      <c r="X649" s="135">
        <f t="shared" si="15"/>
        <v>10</v>
      </c>
      <c r="Y649" s="135">
        <f t="shared" si="15"/>
        <v>3</v>
      </c>
      <c r="Z649" s="135">
        <f t="shared" si="15"/>
        <v>30</v>
      </c>
      <c r="AA649" s="135">
        <f t="shared" si="15"/>
        <v>24</v>
      </c>
      <c r="AB649" s="135">
        <f t="shared" si="15"/>
        <v>21</v>
      </c>
      <c r="AC649" s="135">
        <f t="shared" si="15"/>
        <v>7</v>
      </c>
      <c r="AD649" s="135">
        <f t="shared" si="15"/>
        <v>10</v>
      </c>
      <c r="AE649" s="135">
        <f t="shared" si="15"/>
        <v>16</v>
      </c>
      <c r="AF649" s="135">
        <f t="shared" si="15"/>
        <v>7</v>
      </c>
      <c r="AG649" s="135">
        <f t="shared" si="15"/>
        <v>28</v>
      </c>
      <c r="AH649" s="135">
        <f t="shared" si="15"/>
        <v>18</v>
      </c>
      <c r="AI649" s="135">
        <f t="shared" si="15"/>
        <v>2</v>
      </c>
      <c r="AJ649" s="135">
        <f t="shared" si="15"/>
        <v>0</v>
      </c>
      <c r="AK649" s="135">
        <f t="shared" si="15"/>
        <v>0</v>
      </c>
      <c r="AL649" s="135">
        <f t="shared" si="15"/>
        <v>1</v>
      </c>
      <c r="AM649" s="135">
        <f t="shared" si="15"/>
        <v>10</v>
      </c>
      <c r="AN649" s="135">
        <f t="shared" si="15"/>
        <v>6</v>
      </c>
      <c r="AO649" s="135">
        <f t="shared" si="15"/>
        <v>2</v>
      </c>
    </row>
    <row r="650" spans="1:41" ht="15.75" x14ac:dyDescent="0.25">
      <c r="A650" s="147"/>
      <c r="B650" s="147"/>
      <c r="C650" s="148"/>
      <c r="D650" s="135" t="s">
        <v>258</v>
      </c>
      <c r="E650" s="135">
        <f t="shared" ref="E650:AO650" si="16">E449+E454+E459+E464+E469+E474+E479+E484+E489+E494+E499+E504+E509+E514+E519+E524+E529+E534+E539+E544+E549+E554+E559+E564+E569+E574+E579+E584+E589+E594+E599+E604+E609+E614+E619+E624+E629+E634+E639+E644</f>
        <v>0</v>
      </c>
      <c r="F650" s="135">
        <f t="shared" si="16"/>
        <v>0</v>
      </c>
      <c r="G650" s="135">
        <f t="shared" si="16"/>
        <v>0</v>
      </c>
      <c r="H650" s="135">
        <f t="shared" si="16"/>
        <v>0</v>
      </c>
      <c r="I650" s="135">
        <f t="shared" si="16"/>
        <v>3</v>
      </c>
      <c r="J650" s="135">
        <f t="shared" si="16"/>
        <v>0</v>
      </c>
      <c r="K650" s="135">
        <f t="shared" si="16"/>
        <v>1</v>
      </c>
      <c r="L650" s="135">
        <f t="shared" si="16"/>
        <v>3</v>
      </c>
      <c r="M650" s="135">
        <f t="shared" si="16"/>
        <v>0</v>
      </c>
      <c r="N650" s="135">
        <f t="shared" si="16"/>
        <v>1</v>
      </c>
      <c r="O650" s="135">
        <f t="shared" si="16"/>
        <v>0</v>
      </c>
      <c r="P650" s="135">
        <f t="shared" si="16"/>
        <v>0</v>
      </c>
      <c r="Q650" s="135">
        <f t="shared" si="16"/>
        <v>7</v>
      </c>
      <c r="R650" s="135">
        <f t="shared" si="16"/>
        <v>5</v>
      </c>
      <c r="S650" s="135">
        <f t="shared" si="16"/>
        <v>0</v>
      </c>
      <c r="T650" s="135">
        <f t="shared" si="16"/>
        <v>1</v>
      </c>
      <c r="U650" s="135">
        <f t="shared" si="16"/>
        <v>4</v>
      </c>
      <c r="V650" s="135">
        <f t="shared" si="16"/>
        <v>3</v>
      </c>
      <c r="W650" s="135">
        <f t="shared" si="16"/>
        <v>5</v>
      </c>
      <c r="X650" s="135">
        <f t="shared" si="16"/>
        <v>0</v>
      </c>
      <c r="Y650" s="135">
        <f t="shared" si="16"/>
        <v>0</v>
      </c>
      <c r="Z650" s="135">
        <f t="shared" si="16"/>
        <v>3</v>
      </c>
      <c r="AA650" s="135">
        <f t="shared" si="16"/>
        <v>1</v>
      </c>
      <c r="AB650" s="135">
        <f t="shared" si="16"/>
        <v>1</v>
      </c>
      <c r="AC650" s="135">
        <f t="shared" si="16"/>
        <v>2</v>
      </c>
      <c r="AD650" s="135">
        <f t="shared" si="16"/>
        <v>0</v>
      </c>
      <c r="AE650" s="135">
        <f t="shared" si="16"/>
        <v>1</v>
      </c>
      <c r="AF650" s="135">
        <f t="shared" si="16"/>
        <v>2</v>
      </c>
      <c r="AG650" s="135">
        <f t="shared" si="16"/>
        <v>1</v>
      </c>
      <c r="AH650" s="135">
        <f t="shared" si="16"/>
        <v>1</v>
      </c>
      <c r="AI650" s="135">
        <f t="shared" si="16"/>
        <v>1</v>
      </c>
      <c r="AJ650" s="135">
        <f t="shared" si="16"/>
        <v>0</v>
      </c>
      <c r="AK650" s="135">
        <f t="shared" si="16"/>
        <v>0</v>
      </c>
      <c r="AL650" s="135">
        <f t="shared" si="16"/>
        <v>0</v>
      </c>
      <c r="AM650" s="135">
        <f t="shared" si="16"/>
        <v>2</v>
      </c>
      <c r="AN650" s="135">
        <f t="shared" si="16"/>
        <v>0</v>
      </c>
      <c r="AO650" s="135">
        <f t="shared" si="16"/>
        <v>0</v>
      </c>
    </row>
    <row r="651" spans="1:41" ht="15.75" x14ac:dyDescent="0.25">
      <c r="C651" s="149"/>
      <c r="D651" s="137"/>
      <c r="E651" s="137"/>
      <c r="F651" s="137"/>
      <c r="G651" s="137"/>
      <c r="H651" s="137"/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  <c r="X651" s="137"/>
      <c r="Y651" s="137"/>
      <c r="Z651" s="137"/>
      <c r="AA651" s="137"/>
      <c r="AB651" s="137"/>
      <c r="AC651" s="137"/>
      <c r="AD651" s="137"/>
      <c r="AE651" s="137"/>
      <c r="AF651" s="137"/>
      <c r="AG651" s="137"/>
      <c r="AH651" s="137"/>
      <c r="AI651" s="137"/>
      <c r="AJ651" s="137"/>
      <c r="AK651" s="137"/>
      <c r="AL651" s="137"/>
      <c r="AM651" s="137"/>
      <c r="AN651" s="137"/>
      <c r="AO651" s="137"/>
    </row>
    <row r="653" spans="1:41" ht="20.25" x14ac:dyDescent="0.3">
      <c r="A653" s="628" t="s">
        <v>1080</v>
      </c>
      <c r="B653" s="628"/>
      <c r="C653" s="628"/>
      <c r="D653" s="628"/>
      <c r="E653" s="628"/>
      <c r="F653" s="628"/>
      <c r="G653" s="628"/>
      <c r="H653" s="628"/>
      <c r="I653" s="628"/>
      <c r="J653" s="628"/>
      <c r="K653" s="628"/>
      <c r="L653" s="628"/>
      <c r="M653" s="628"/>
      <c r="N653" s="628"/>
      <c r="O653" s="628"/>
      <c r="P653" s="628"/>
      <c r="Q653" s="628"/>
      <c r="R653" s="628"/>
      <c r="S653" s="628"/>
      <c r="T653" s="628"/>
      <c r="U653" s="628"/>
      <c r="V653" s="628"/>
      <c r="W653" s="628"/>
      <c r="X653" s="628"/>
      <c r="Y653" s="628"/>
      <c r="Z653" s="628"/>
      <c r="AA653" s="628"/>
      <c r="AB653" s="628"/>
      <c r="AC653" s="628"/>
      <c r="AD653" s="628"/>
      <c r="AE653" s="628"/>
      <c r="AF653" s="628"/>
      <c r="AG653" s="628"/>
      <c r="AH653" s="628"/>
      <c r="AI653" s="628"/>
      <c r="AJ653" s="628"/>
      <c r="AK653" s="628"/>
      <c r="AL653" s="628"/>
      <c r="AM653" s="628"/>
      <c r="AN653" s="628"/>
      <c r="AO653" s="628"/>
    </row>
    <row r="654" spans="1:41" ht="132" x14ac:dyDescent="0.25">
      <c r="A654" s="74" t="s">
        <v>76</v>
      </c>
      <c r="B654" s="74" t="s">
        <v>217</v>
      </c>
      <c r="C654" s="75" t="s">
        <v>218</v>
      </c>
      <c r="D654" s="74" t="s">
        <v>219</v>
      </c>
      <c r="E654" s="76" t="s">
        <v>363</v>
      </c>
      <c r="F654" s="76" t="s">
        <v>266</v>
      </c>
      <c r="G654" s="76" t="s">
        <v>259</v>
      </c>
      <c r="H654" s="76" t="s">
        <v>220</v>
      </c>
      <c r="I654" s="76" t="s">
        <v>221</v>
      </c>
      <c r="J654" s="76" t="s">
        <v>222</v>
      </c>
      <c r="K654" s="76" t="s">
        <v>223</v>
      </c>
      <c r="L654" s="76" t="s">
        <v>261</v>
      </c>
      <c r="M654" s="76" t="s">
        <v>224</v>
      </c>
      <c r="N654" s="77" t="s">
        <v>260</v>
      </c>
      <c r="O654" s="76" t="s">
        <v>225</v>
      </c>
      <c r="P654" s="76" t="s">
        <v>707</v>
      </c>
      <c r="Q654" s="76" t="s">
        <v>226</v>
      </c>
      <c r="R654" s="76" t="s">
        <v>227</v>
      </c>
      <c r="S654" s="76" t="s">
        <v>228</v>
      </c>
      <c r="T654" s="78" t="s">
        <v>229</v>
      </c>
      <c r="U654" s="76" t="s">
        <v>230</v>
      </c>
      <c r="V654" s="78" t="s">
        <v>231</v>
      </c>
      <c r="W654" s="76" t="s">
        <v>232</v>
      </c>
      <c r="X654" s="76" t="s">
        <v>233</v>
      </c>
      <c r="Y654" s="76" t="s">
        <v>234</v>
      </c>
      <c r="Z654" s="76" t="s">
        <v>235</v>
      </c>
      <c r="AA654" s="76" t="s">
        <v>236</v>
      </c>
      <c r="AB654" s="76" t="s">
        <v>237</v>
      </c>
      <c r="AC654" s="76" t="s">
        <v>315</v>
      </c>
      <c r="AD654" s="76" t="s">
        <v>316</v>
      </c>
      <c r="AE654" s="76" t="s">
        <v>238</v>
      </c>
      <c r="AF654" s="76" t="s">
        <v>239</v>
      </c>
      <c r="AG654" s="77" t="s">
        <v>240</v>
      </c>
      <c r="AH654" s="76" t="s">
        <v>241</v>
      </c>
      <c r="AI654" s="78" t="s">
        <v>242</v>
      </c>
      <c r="AJ654" s="76" t="s">
        <v>243</v>
      </c>
      <c r="AK654" s="76" t="s">
        <v>244</v>
      </c>
      <c r="AL654" s="76" t="s">
        <v>262</v>
      </c>
      <c r="AM654" s="76" t="s">
        <v>362</v>
      </c>
      <c r="AN654" s="242" t="s">
        <v>408</v>
      </c>
      <c r="AO654" s="242" t="s">
        <v>409</v>
      </c>
    </row>
    <row r="655" spans="1:41" ht="15.75" x14ac:dyDescent="0.25">
      <c r="A655" s="159">
        <v>1</v>
      </c>
      <c r="B655" s="159" t="s">
        <v>186</v>
      </c>
      <c r="C655" s="74" t="s">
        <v>186</v>
      </c>
      <c r="D655" s="80" t="s">
        <v>245</v>
      </c>
      <c r="E655" s="80">
        <v>0</v>
      </c>
      <c r="F655" s="80">
        <v>0</v>
      </c>
      <c r="G655" s="80">
        <v>0</v>
      </c>
      <c r="H655" s="80">
        <v>1</v>
      </c>
      <c r="I655" s="80">
        <v>1</v>
      </c>
      <c r="J655" s="80">
        <v>1</v>
      </c>
      <c r="K655" s="80">
        <v>0</v>
      </c>
      <c r="L655" s="80">
        <v>0</v>
      </c>
      <c r="M655" s="80">
        <v>0</v>
      </c>
      <c r="N655" s="80">
        <v>0</v>
      </c>
      <c r="O655" s="80">
        <v>1</v>
      </c>
      <c r="P655" s="80">
        <v>0</v>
      </c>
      <c r="Q655" s="80">
        <v>1</v>
      </c>
      <c r="R655" s="80">
        <v>1</v>
      </c>
      <c r="S655" s="80">
        <v>0</v>
      </c>
      <c r="T655" s="80">
        <v>0</v>
      </c>
      <c r="U655" s="80">
        <v>1</v>
      </c>
      <c r="V655" s="80">
        <v>2</v>
      </c>
      <c r="W655" s="80">
        <v>0</v>
      </c>
      <c r="X655" s="80">
        <v>0</v>
      </c>
      <c r="Y655" s="80">
        <v>0</v>
      </c>
      <c r="Z655" s="80">
        <v>0</v>
      </c>
      <c r="AA655" s="80">
        <v>0</v>
      </c>
      <c r="AB655" s="80">
        <v>1</v>
      </c>
      <c r="AC655" s="80">
        <v>0</v>
      </c>
      <c r="AD655" s="80">
        <v>2</v>
      </c>
      <c r="AE655" s="80">
        <v>1</v>
      </c>
      <c r="AF655" s="80">
        <v>0</v>
      </c>
      <c r="AG655" s="80">
        <v>1</v>
      </c>
      <c r="AH655" s="80">
        <v>1</v>
      </c>
      <c r="AI655" s="80">
        <v>0</v>
      </c>
      <c r="AJ655" s="80">
        <v>0</v>
      </c>
      <c r="AK655" s="80">
        <v>0</v>
      </c>
      <c r="AL655" s="80">
        <v>0</v>
      </c>
      <c r="AM655" s="80">
        <v>0</v>
      </c>
      <c r="AN655" s="80">
        <v>0</v>
      </c>
      <c r="AO655" s="80">
        <v>0</v>
      </c>
    </row>
    <row r="656" spans="1:41" ht="15.75" x14ac:dyDescent="0.25">
      <c r="A656" s="159"/>
      <c r="B656" s="159"/>
      <c r="C656" s="74"/>
      <c r="D656" s="80" t="s">
        <v>246</v>
      </c>
      <c r="E656" s="80">
        <v>1</v>
      </c>
      <c r="F656" s="80">
        <v>0</v>
      </c>
      <c r="G656" s="80">
        <v>0</v>
      </c>
      <c r="H656" s="80">
        <v>1</v>
      </c>
      <c r="I656" s="80">
        <v>1</v>
      </c>
      <c r="J656" s="80">
        <v>1</v>
      </c>
      <c r="K656" s="80">
        <v>0</v>
      </c>
      <c r="L656" s="80">
        <v>0</v>
      </c>
      <c r="M656" s="80">
        <v>0</v>
      </c>
      <c r="N656" s="80">
        <v>0</v>
      </c>
      <c r="O656" s="80">
        <v>1</v>
      </c>
      <c r="P656" s="80">
        <v>0</v>
      </c>
      <c r="Q656" s="80">
        <v>1</v>
      </c>
      <c r="R656" s="80">
        <v>1</v>
      </c>
      <c r="S656" s="80">
        <v>0</v>
      </c>
      <c r="T656" s="80">
        <v>0</v>
      </c>
      <c r="U656" s="80">
        <v>1</v>
      </c>
      <c r="V656" s="80">
        <v>2</v>
      </c>
      <c r="W656" s="80">
        <v>0</v>
      </c>
      <c r="X656" s="80">
        <v>0</v>
      </c>
      <c r="Y656" s="80">
        <v>0</v>
      </c>
      <c r="Z656" s="80">
        <v>0</v>
      </c>
      <c r="AA656" s="80">
        <v>0</v>
      </c>
      <c r="AB656" s="80">
        <v>1</v>
      </c>
      <c r="AC656" s="80">
        <v>0</v>
      </c>
      <c r="AD656" s="80">
        <v>2</v>
      </c>
      <c r="AE656" s="80">
        <v>1</v>
      </c>
      <c r="AF656" s="80">
        <v>0</v>
      </c>
      <c r="AG656" s="81">
        <v>1</v>
      </c>
      <c r="AH656" s="80">
        <v>1</v>
      </c>
      <c r="AI656" s="81">
        <v>0</v>
      </c>
      <c r="AJ656" s="81">
        <v>0</v>
      </c>
      <c r="AK656" s="81">
        <v>0</v>
      </c>
      <c r="AL656" s="81">
        <v>0</v>
      </c>
      <c r="AM656" s="80">
        <v>0</v>
      </c>
      <c r="AN656" s="80">
        <v>0</v>
      </c>
      <c r="AO656" s="80">
        <v>0</v>
      </c>
    </row>
    <row r="657" spans="1:41" ht="15.75" x14ac:dyDescent="0.25">
      <c r="A657" s="159"/>
      <c r="B657" s="159"/>
      <c r="C657" s="74"/>
      <c r="D657" s="80" t="s">
        <v>247</v>
      </c>
      <c r="E657" s="80">
        <v>0</v>
      </c>
      <c r="F657" s="80">
        <v>0</v>
      </c>
      <c r="G657" s="80">
        <v>0</v>
      </c>
      <c r="H657" s="80">
        <v>0</v>
      </c>
      <c r="I657" s="80">
        <v>0</v>
      </c>
      <c r="J657" s="80">
        <v>0</v>
      </c>
      <c r="K657" s="80">
        <v>0</v>
      </c>
      <c r="L657" s="80">
        <v>0</v>
      </c>
      <c r="M657" s="80">
        <v>0</v>
      </c>
      <c r="N657" s="80">
        <v>0</v>
      </c>
      <c r="O657" s="80">
        <v>0</v>
      </c>
      <c r="P657" s="80">
        <v>0</v>
      </c>
      <c r="Q657" s="80">
        <v>0</v>
      </c>
      <c r="R657" s="80">
        <v>0</v>
      </c>
      <c r="S657" s="80">
        <v>0</v>
      </c>
      <c r="T657" s="80">
        <v>0</v>
      </c>
      <c r="U657" s="80">
        <v>0</v>
      </c>
      <c r="V657" s="80">
        <v>0</v>
      </c>
      <c r="W657" s="80">
        <v>0</v>
      </c>
      <c r="X657" s="80">
        <v>0</v>
      </c>
      <c r="Y657" s="80">
        <v>0</v>
      </c>
      <c r="Z657" s="80">
        <v>0</v>
      </c>
      <c r="AA657" s="80">
        <v>0</v>
      </c>
      <c r="AB657" s="80">
        <v>0</v>
      </c>
      <c r="AC657" s="80">
        <v>0</v>
      </c>
      <c r="AD657" s="80">
        <v>0</v>
      </c>
      <c r="AE657" s="80">
        <v>0</v>
      </c>
      <c r="AF657" s="80">
        <v>0</v>
      </c>
      <c r="AG657" s="81">
        <v>0</v>
      </c>
      <c r="AH657" s="80">
        <v>0</v>
      </c>
      <c r="AI657" s="81">
        <v>0</v>
      </c>
      <c r="AJ657" s="81">
        <v>0</v>
      </c>
      <c r="AK657" s="81">
        <v>0</v>
      </c>
      <c r="AL657" s="81">
        <v>0</v>
      </c>
      <c r="AM657" s="80">
        <v>0</v>
      </c>
      <c r="AN657" s="80">
        <v>0</v>
      </c>
      <c r="AO657" s="80">
        <v>0</v>
      </c>
    </row>
    <row r="658" spans="1:41" ht="15.75" x14ac:dyDescent="0.25">
      <c r="A658" s="159"/>
      <c r="B658" s="159"/>
      <c r="C658" s="74"/>
      <c r="D658" s="80" t="s">
        <v>248</v>
      </c>
      <c r="E658" s="80">
        <v>1</v>
      </c>
      <c r="F658" s="80">
        <v>0</v>
      </c>
      <c r="G658" s="80">
        <v>0</v>
      </c>
      <c r="H658" s="80">
        <v>1</v>
      </c>
      <c r="I658" s="80">
        <v>1</v>
      </c>
      <c r="J658" s="80">
        <v>1</v>
      </c>
      <c r="K658" s="80">
        <v>0</v>
      </c>
      <c r="L658" s="80">
        <v>0</v>
      </c>
      <c r="M658" s="80">
        <v>0</v>
      </c>
      <c r="N658" s="80">
        <v>0</v>
      </c>
      <c r="O658" s="80">
        <v>1</v>
      </c>
      <c r="P658" s="80">
        <v>0</v>
      </c>
      <c r="Q658" s="80">
        <v>0</v>
      </c>
      <c r="R658" s="80">
        <v>1</v>
      </c>
      <c r="S658" s="80">
        <v>0</v>
      </c>
      <c r="T658" s="80">
        <v>0</v>
      </c>
      <c r="U658" s="80">
        <v>1</v>
      </c>
      <c r="V658" s="80">
        <v>2</v>
      </c>
      <c r="W658" s="80">
        <v>0</v>
      </c>
      <c r="X658" s="80">
        <v>0</v>
      </c>
      <c r="Y658" s="80">
        <v>0</v>
      </c>
      <c r="Z658" s="80">
        <v>0</v>
      </c>
      <c r="AA658" s="80">
        <v>0</v>
      </c>
      <c r="AB658" s="80">
        <v>1</v>
      </c>
      <c r="AC658" s="80">
        <v>0</v>
      </c>
      <c r="AD658" s="80">
        <v>2</v>
      </c>
      <c r="AE658" s="80">
        <v>1</v>
      </c>
      <c r="AF658" s="80">
        <v>0</v>
      </c>
      <c r="AG658" s="80">
        <v>1</v>
      </c>
      <c r="AH658" s="80">
        <v>1</v>
      </c>
      <c r="AI658" s="80">
        <v>0</v>
      </c>
      <c r="AJ658" s="80">
        <v>0</v>
      </c>
      <c r="AK658" s="80">
        <v>0</v>
      </c>
      <c r="AL658" s="80">
        <v>0</v>
      </c>
      <c r="AM658" s="80">
        <v>0</v>
      </c>
      <c r="AN658" s="80">
        <v>0</v>
      </c>
      <c r="AO658" s="80">
        <v>0</v>
      </c>
    </row>
    <row r="659" spans="1:41" ht="15.75" x14ac:dyDescent="0.25">
      <c r="A659" s="159"/>
      <c r="B659" s="159"/>
      <c r="C659" s="74"/>
      <c r="D659" s="80" t="s">
        <v>258</v>
      </c>
      <c r="E659" s="80">
        <v>0</v>
      </c>
      <c r="F659" s="80">
        <v>0</v>
      </c>
      <c r="G659" s="80">
        <v>0</v>
      </c>
      <c r="H659" s="80">
        <v>0</v>
      </c>
      <c r="I659" s="80">
        <v>0</v>
      </c>
      <c r="J659" s="80">
        <v>0</v>
      </c>
      <c r="K659" s="80">
        <v>0</v>
      </c>
      <c r="L659" s="80">
        <v>0</v>
      </c>
      <c r="M659" s="80">
        <v>0</v>
      </c>
      <c r="N659" s="80">
        <v>0</v>
      </c>
      <c r="O659" s="80">
        <v>0</v>
      </c>
      <c r="P659" s="80">
        <v>0</v>
      </c>
      <c r="Q659" s="80">
        <v>1</v>
      </c>
      <c r="R659" s="80">
        <v>0</v>
      </c>
      <c r="S659" s="80">
        <v>0</v>
      </c>
      <c r="T659" s="80">
        <v>0</v>
      </c>
      <c r="U659" s="80">
        <v>0</v>
      </c>
      <c r="V659" s="80">
        <v>0</v>
      </c>
      <c r="W659" s="80">
        <v>0</v>
      </c>
      <c r="X659" s="80">
        <v>0</v>
      </c>
      <c r="Y659" s="80">
        <v>0</v>
      </c>
      <c r="Z659" s="80">
        <v>0</v>
      </c>
      <c r="AA659" s="80">
        <v>0</v>
      </c>
      <c r="AB659" s="80">
        <v>0</v>
      </c>
      <c r="AC659" s="80">
        <v>0</v>
      </c>
      <c r="AD659" s="80">
        <v>0</v>
      </c>
      <c r="AE659" s="80">
        <v>0</v>
      </c>
      <c r="AF659" s="80">
        <v>0</v>
      </c>
      <c r="AG659" s="80">
        <v>0</v>
      </c>
      <c r="AH659" s="80">
        <v>0</v>
      </c>
      <c r="AI659" s="80">
        <v>0</v>
      </c>
      <c r="AJ659" s="80">
        <v>0</v>
      </c>
      <c r="AK659" s="80">
        <v>0</v>
      </c>
      <c r="AL659" s="80">
        <v>0</v>
      </c>
      <c r="AM659" s="80">
        <v>0</v>
      </c>
      <c r="AN659" s="80">
        <v>0</v>
      </c>
      <c r="AO659" s="80">
        <v>0</v>
      </c>
    </row>
    <row r="660" spans="1:41" ht="15.75" x14ac:dyDescent="0.25">
      <c r="A660" s="159">
        <v>2</v>
      </c>
      <c r="B660" s="159"/>
      <c r="C660" s="74" t="s">
        <v>39</v>
      </c>
      <c r="D660" s="80" t="s">
        <v>245</v>
      </c>
      <c r="E660" s="80">
        <v>0</v>
      </c>
      <c r="F660" s="80">
        <v>0</v>
      </c>
      <c r="G660" s="80">
        <v>0</v>
      </c>
      <c r="H660" s="80">
        <v>0</v>
      </c>
      <c r="I660" s="80">
        <v>1</v>
      </c>
      <c r="J660" s="80">
        <v>1</v>
      </c>
      <c r="K660" s="80">
        <v>0</v>
      </c>
      <c r="L660" s="80">
        <v>0</v>
      </c>
      <c r="M660" s="80">
        <v>0</v>
      </c>
      <c r="N660" s="80">
        <v>1</v>
      </c>
      <c r="O660" s="80">
        <v>1</v>
      </c>
      <c r="P660" s="80">
        <v>0</v>
      </c>
      <c r="Q660" s="80">
        <v>1</v>
      </c>
      <c r="R660" s="80">
        <v>1</v>
      </c>
      <c r="S660" s="80">
        <v>0</v>
      </c>
      <c r="T660" s="80">
        <v>0</v>
      </c>
      <c r="U660" s="80">
        <v>1</v>
      </c>
      <c r="V660" s="80">
        <v>2</v>
      </c>
      <c r="W660" s="80">
        <v>0</v>
      </c>
      <c r="X660" s="80">
        <v>0</v>
      </c>
      <c r="Y660" s="80">
        <v>0</v>
      </c>
      <c r="Z660" s="80">
        <v>0</v>
      </c>
      <c r="AA660" s="80">
        <v>0</v>
      </c>
      <c r="AB660" s="80">
        <v>0</v>
      </c>
      <c r="AC660" s="80">
        <v>0</v>
      </c>
      <c r="AD660" s="80">
        <v>0</v>
      </c>
      <c r="AE660" s="80">
        <v>0</v>
      </c>
      <c r="AF660" s="80">
        <v>0</v>
      </c>
      <c r="AG660" s="81">
        <v>1</v>
      </c>
      <c r="AH660" s="80">
        <v>0</v>
      </c>
      <c r="AI660" s="81">
        <v>0</v>
      </c>
      <c r="AJ660" s="81">
        <v>0</v>
      </c>
      <c r="AK660" s="81">
        <v>0</v>
      </c>
      <c r="AL660" s="81">
        <v>0</v>
      </c>
      <c r="AM660" s="81">
        <v>2</v>
      </c>
      <c r="AN660" s="81">
        <v>1</v>
      </c>
      <c r="AO660" s="80">
        <v>0</v>
      </c>
    </row>
    <row r="661" spans="1:41" ht="15.75" x14ac:dyDescent="0.25">
      <c r="A661" s="159"/>
      <c r="B661" s="159"/>
      <c r="C661" s="74"/>
      <c r="D661" s="80" t="s">
        <v>246</v>
      </c>
      <c r="E661" s="80">
        <v>0</v>
      </c>
      <c r="F661" s="80">
        <v>0</v>
      </c>
      <c r="G661" s="80">
        <v>0</v>
      </c>
      <c r="H661" s="80">
        <v>0</v>
      </c>
      <c r="I661" s="80">
        <v>1</v>
      </c>
      <c r="J661" s="80">
        <v>1</v>
      </c>
      <c r="K661" s="80">
        <v>0</v>
      </c>
      <c r="L661" s="80">
        <v>0</v>
      </c>
      <c r="M661" s="80">
        <v>0</v>
      </c>
      <c r="N661" s="80">
        <v>1</v>
      </c>
      <c r="O661" s="80">
        <v>1</v>
      </c>
      <c r="P661" s="80">
        <v>0</v>
      </c>
      <c r="Q661" s="80">
        <v>1</v>
      </c>
      <c r="R661" s="80">
        <v>1</v>
      </c>
      <c r="S661" s="80">
        <v>0</v>
      </c>
      <c r="T661" s="80">
        <v>0</v>
      </c>
      <c r="U661" s="80">
        <v>1</v>
      </c>
      <c r="V661" s="80">
        <v>2</v>
      </c>
      <c r="W661" s="80">
        <v>0</v>
      </c>
      <c r="X661" s="80">
        <v>0</v>
      </c>
      <c r="Y661" s="80">
        <v>0</v>
      </c>
      <c r="Z661" s="80">
        <v>0</v>
      </c>
      <c r="AA661" s="80">
        <v>0</v>
      </c>
      <c r="AB661" s="80">
        <v>0</v>
      </c>
      <c r="AC661" s="80">
        <v>0</v>
      </c>
      <c r="AD661" s="80">
        <v>0</v>
      </c>
      <c r="AE661" s="80">
        <v>0</v>
      </c>
      <c r="AF661" s="80">
        <v>0</v>
      </c>
      <c r="AG661" s="81">
        <v>1</v>
      </c>
      <c r="AH661" s="80">
        <v>0</v>
      </c>
      <c r="AI661" s="81">
        <v>0</v>
      </c>
      <c r="AJ661" s="81">
        <v>0</v>
      </c>
      <c r="AK661" s="81">
        <v>0</v>
      </c>
      <c r="AL661" s="81">
        <v>0</v>
      </c>
      <c r="AM661" s="81">
        <v>2</v>
      </c>
      <c r="AN661" s="81">
        <v>1</v>
      </c>
      <c r="AO661" s="80">
        <v>0</v>
      </c>
    </row>
    <row r="662" spans="1:41" ht="15.75" x14ac:dyDescent="0.25">
      <c r="A662" s="159"/>
      <c r="B662" s="159"/>
      <c r="C662" s="74"/>
      <c r="D662" s="80" t="s">
        <v>247</v>
      </c>
      <c r="E662" s="80">
        <v>0</v>
      </c>
      <c r="F662" s="80">
        <v>0</v>
      </c>
      <c r="G662" s="80">
        <v>0</v>
      </c>
      <c r="H662" s="80">
        <v>0</v>
      </c>
      <c r="I662" s="80">
        <v>0</v>
      </c>
      <c r="J662" s="80">
        <v>0</v>
      </c>
      <c r="K662" s="80">
        <v>0</v>
      </c>
      <c r="L662" s="80">
        <v>0</v>
      </c>
      <c r="M662" s="80">
        <v>0</v>
      </c>
      <c r="N662" s="80">
        <v>0</v>
      </c>
      <c r="O662" s="80">
        <v>0</v>
      </c>
      <c r="P662" s="80">
        <v>0</v>
      </c>
      <c r="Q662" s="80">
        <v>0</v>
      </c>
      <c r="R662" s="80">
        <v>0</v>
      </c>
      <c r="S662" s="80">
        <v>0</v>
      </c>
      <c r="T662" s="80">
        <v>0</v>
      </c>
      <c r="U662" s="80">
        <v>0</v>
      </c>
      <c r="V662" s="80">
        <v>0</v>
      </c>
      <c r="W662" s="80">
        <v>0</v>
      </c>
      <c r="X662" s="80">
        <v>0</v>
      </c>
      <c r="Y662" s="80">
        <v>0</v>
      </c>
      <c r="Z662" s="80">
        <v>0</v>
      </c>
      <c r="AA662" s="80">
        <v>0</v>
      </c>
      <c r="AB662" s="80">
        <v>0</v>
      </c>
      <c r="AC662" s="80">
        <v>0</v>
      </c>
      <c r="AD662" s="80">
        <v>0</v>
      </c>
      <c r="AE662" s="80">
        <v>0</v>
      </c>
      <c r="AF662" s="80">
        <v>0</v>
      </c>
      <c r="AG662" s="81">
        <v>0</v>
      </c>
      <c r="AH662" s="80">
        <v>0</v>
      </c>
      <c r="AI662" s="81">
        <v>0</v>
      </c>
      <c r="AJ662" s="81">
        <v>0</v>
      </c>
      <c r="AK662" s="81">
        <v>0</v>
      </c>
      <c r="AL662" s="81">
        <v>0</v>
      </c>
      <c r="AM662" s="81">
        <v>0</v>
      </c>
      <c r="AN662" s="81">
        <v>0</v>
      </c>
      <c r="AO662" s="80">
        <v>0</v>
      </c>
    </row>
    <row r="663" spans="1:41" ht="15.75" x14ac:dyDescent="0.25">
      <c r="A663" s="159"/>
      <c r="B663" s="159"/>
      <c r="C663" s="74"/>
      <c r="D663" s="80" t="s">
        <v>248</v>
      </c>
      <c r="E663" s="80">
        <v>0</v>
      </c>
      <c r="F663" s="80">
        <v>0</v>
      </c>
      <c r="G663" s="80">
        <v>0</v>
      </c>
      <c r="H663" s="80">
        <v>0</v>
      </c>
      <c r="I663" s="80">
        <v>1</v>
      </c>
      <c r="J663" s="80">
        <v>1</v>
      </c>
      <c r="K663" s="80">
        <v>0</v>
      </c>
      <c r="L663" s="80">
        <v>0</v>
      </c>
      <c r="M663" s="80">
        <v>0</v>
      </c>
      <c r="N663" s="80">
        <v>1</v>
      </c>
      <c r="O663" s="80">
        <v>1</v>
      </c>
      <c r="P663" s="80">
        <v>0</v>
      </c>
      <c r="Q663" s="80">
        <v>0</v>
      </c>
      <c r="R663" s="80">
        <v>0</v>
      </c>
      <c r="S663" s="80">
        <v>0</v>
      </c>
      <c r="T663" s="80">
        <v>0</v>
      </c>
      <c r="U663" s="80">
        <v>1</v>
      </c>
      <c r="V663" s="80">
        <v>2</v>
      </c>
      <c r="W663" s="80">
        <v>0</v>
      </c>
      <c r="X663" s="80">
        <v>0</v>
      </c>
      <c r="Y663" s="80">
        <v>0</v>
      </c>
      <c r="Z663" s="80">
        <v>0</v>
      </c>
      <c r="AA663" s="80">
        <v>0</v>
      </c>
      <c r="AB663" s="80">
        <v>0</v>
      </c>
      <c r="AC663" s="80">
        <v>0</v>
      </c>
      <c r="AD663" s="80">
        <v>0</v>
      </c>
      <c r="AE663" s="80">
        <v>0</v>
      </c>
      <c r="AF663" s="80">
        <v>0</v>
      </c>
      <c r="AG663" s="81">
        <v>1</v>
      </c>
      <c r="AH663" s="80">
        <v>0</v>
      </c>
      <c r="AI663" s="81">
        <v>0</v>
      </c>
      <c r="AJ663" s="81">
        <v>0</v>
      </c>
      <c r="AK663" s="81">
        <v>0</v>
      </c>
      <c r="AL663" s="81">
        <v>0</v>
      </c>
      <c r="AM663" s="81">
        <v>1</v>
      </c>
      <c r="AN663" s="81">
        <v>1</v>
      </c>
      <c r="AO663" s="80">
        <v>0</v>
      </c>
    </row>
    <row r="664" spans="1:41" ht="15.75" x14ac:dyDescent="0.25">
      <c r="A664" s="159"/>
      <c r="B664" s="159"/>
      <c r="C664" s="74"/>
      <c r="D664" s="80" t="s">
        <v>258</v>
      </c>
      <c r="E664" s="80">
        <v>0</v>
      </c>
      <c r="F664" s="80">
        <v>0</v>
      </c>
      <c r="G664" s="80">
        <v>0</v>
      </c>
      <c r="H664" s="80">
        <v>0</v>
      </c>
      <c r="I664" s="80">
        <v>0</v>
      </c>
      <c r="J664" s="80">
        <v>0</v>
      </c>
      <c r="K664" s="80">
        <v>0</v>
      </c>
      <c r="L664" s="80">
        <v>0</v>
      </c>
      <c r="M664" s="80">
        <v>0</v>
      </c>
      <c r="N664" s="80">
        <v>0</v>
      </c>
      <c r="O664" s="80">
        <v>0</v>
      </c>
      <c r="P664" s="80">
        <v>0</v>
      </c>
      <c r="Q664" s="80">
        <v>1</v>
      </c>
      <c r="R664" s="80">
        <v>1</v>
      </c>
      <c r="S664" s="80">
        <v>0</v>
      </c>
      <c r="T664" s="80">
        <v>0</v>
      </c>
      <c r="U664" s="80">
        <v>0</v>
      </c>
      <c r="V664" s="80">
        <v>0</v>
      </c>
      <c r="W664" s="80">
        <v>0</v>
      </c>
      <c r="X664" s="80">
        <v>0</v>
      </c>
      <c r="Y664" s="80">
        <v>0</v>
      </c>
      <c r="Z664" s="80">
        <v>0</v>
      </c>
      <c r="AA664" s="80">
        <v>0</v>
      </c>
      <c r="AB664" s="80">
        <v>0</v>
      </c>
      <c r="AC664" s="80">
        <v>0</v>
      </c>
      <c r="AD664" s="80">
        <v>0</v>
      </c>
      <c r="AE664" s="80">
        <v>0</v>
      </c>
      <c r="AF664" s="80">
        <v>0</v>
      </c>
      <c r="AG664" s="80">
        <v>0</v>
      </c>
      <c r="AH664" s="80">
        <v>0</v>
      </c>
      <c r="AI664" s="80">
        <v>0</v>
      </c>
      <c r="AJ664" s="80">
        <v>0</v>
      </c>
      <c r="AK664" s="80">
        <v>0</v>
      </c>
      <c r="AL664" s="80">
        <v>0</v>
      </c>
      <c r="AM664" s="81">
        <v>1</v>
      </c>
      <c r="AN664" s="81">
        <v>0</v>
      </c>
      <c r="AO664" s="80">
        <v>0</v>
      </c>
    </row>
    <row r="665" spans="1:41" ht="15.75" x14ac:dyDescent="0.25">
      <c r="A665" s="74">
        <v>3</v>
      </c>
      <c r="B665" s="74" t="s">
        <v>167</v>
      </c>
      <c r="C665" s="629" t="s">
        <v>167</v>
      </c>
      <c r="D665" s="80" t="s">
        <v>245</v>
      </c>
      <c r="E665" s="80">
        <v>0</v>
      </c>
      <c r="F665" s="80">
        <v>0</v>
      </c>
      <c r="G665" s="80">
        <v>0</v>
      </c>
      <c r="H665" s="80">
        <v>3</v>
      </c>
      <c r="I665" s="80">
        <v>2</v>
      </c>
      <c r="J665" s="80">
        <v>1</v>
      </c>
      <c r="K665" s="80">
        <v>1</v>
      </c>
      <c r="L665" s="80">
        <v>0</v>
      </c>
      <c r="M665" s="80">
        <v>1</v>
      </c>
      <c r="N665" s="80">
        <v>1</v>
      </c>
      <c r="O665" s="80">
        <v>1</v>
      </c>
      <c r="P665" s="80">
        <v>0</v>
      </c>
      <c r="Q665" s="80">
        <v>2</v>
      </c>
      <c r="R665" s="80">
        <v>1</v>
      </c>
      <c r="S665" s="80">
        <v>0</v>
      </c>
      <c r="T665" s="80">
        <v>0</v>
      </c>
      <c r="U665" s="80">
        <v>2</v>
      </c>
      <c r="V665" s="80">
        <v>2</v>
      </c>
      <c r="W665" s="80">
        <v>2</v>
      </c>
      <c r="X665" s="80">
        <v>1</v>
      </c>
      <c r="Y665" s="80">
        <v>0</v>
      </c>
      <c r="Z665" s="80">
        <v>2</v>
      </c>
      <c r="AA665" s="80">
        <v>2</v>
      </c>
      <c r="AB665" s="80">
        <v>1</v>
      </c>
      <c r="AC665" s="80">
        <v>1</v>
      </c>
      <c r="AD665" s="80">
        <v>0</v>
      </c>
      <c r="AE665" s="80">
        <v>0</v>
      </c>
      <c r="AF665" s="80">
        <v>1</v>
      </c>
      <c r="AG665" s="81">
        <v>1</v>
      </c>
      <c r="AH665" s="81">
        <v>1</v>
      </c>
      <c r="AI665" s="81">
        <v>0</v>
      </c>
      <c r="AJ665" s="81">
        <v>0</v>
      </c>
      <c r="AK665" s="81">
        <v>0</v>
      </c>
      <c r="AL665" s="81">
        <v>0</v>
      </c>
      <c r="AM665" s="81">
        <v>0</v>
      </c>
      <c r="AN665" s="81">
        <v>0</v>
      </c>
      <c r="AO665" s="80">
        <v>0</v>
      </c>
    </row>
    <row r="666" spans="1:41" ht="15.75" x14ac:dyDescent="0.25">
      <c r="A666" s="74"/>
      <c r="B666" s="74"/>
      <c r="C666" s="630"/>
      <c r="D666" s="80" t="s">
        <v>246</v>
      </c>
      <c r="E666" s="80">
        <v>1</v>
      </c>
      <c r="F666" s="80">
        <v>0</v>
      </c>
      <c r="G666" s="80">
        <v>0</v>
      </c>
      <c r="H666" s="80">
        <v>3</v>
      </c>
      <c r="I666" s="80">
        <v>1</v>
      </c>
      <c r="J666" s="80">
        <v>1</v>
      </c>
      <c r="K666" s="80">
        <v>0</v>
      </c>
      <c r="L666" s="80">
        <v>0</v>
      </c>
      <c r="M666" s="80">
        <v>1</v>
      </c>
      <c r="N666" s="80">
        <v>2</v>
      </c>
      <c r="O666" s="80">
        <v>1</v>
      </c>
      <c r="P666" s="80">
        <v>0</v>
      </c>
      <c r="Q666" s="80">
        <v>2</v>
      </c>
      <c r="R666" s="80">
        <v>1</v>
      </c>
      <c r="S666" s="80">
        <v>0</v>
      </c>
      <c r="T666" s="80">
        <v>0</v>
      </c>
      <c r="U666" s="80">
        <v>2</v>
      </c>
      <c r="V666" s="80">
        <v>2</v>
      </c>
      <c r="W666" s="80">
        <v>2</v>
      </c>
      <c r="X666" s="80">
        <v>1</v>
      </c>
      <c r="Y666" s="80">
        <v>0</v>
      </c>
      <c r="Z666" s="80">
        <v>2</v>
      </c>
      <c r="AA666" s="80">
        <v>1</v>
      </c>
      <c r="AB666" s="80">
        <v>1</v>
      </c>
      <c r="AC666" s="80">
        <v>0</v>
      </c>
      <c r="AD666" s="80">
        <v>0</v>
      </c>
      <c r="AE666" s="80">
        <v>0</v>
      </c>
      <c r="AF666" s="80">
        <v>0</v>
      </c>
      <c r="AG666" s="81">
        <v>1</v>
      </c>
      <c r="AH666" s="81">
        <v>0</v>
      </c>
      <c r="AI666" s="81">
        <v>0</v>
      </c>
      <c r="AJ666" s="81">
        <v>0</v>
      </c>
      <c r="AK666" s="81">
        <v>0</v>
      </c>
      <c r="AL666" s="81">
        <v>0</v>
      </c>
      <c r="AM666" s="81">
        <v>0</v>
      </c>
      <c r="AN666" s="81">
        <v>0</v>
      </c>
      <c r="AO666" s="80">
        <v>0</v>
      </c>
    </row>
    <row r="667" spans="1:41" ht="15.75" x14ac:dyDescent="0.25">
      <c r="A667" s="74"/>
      <c r="B667" s="74"/>
      <c r="C667" s="630"/>
      <c r="D667" s="80" t="s">
        <v>247</v>
      </c>
      <c r="E667" s="80">
        <v>0</v>
      </c>
      <c r="F667" s="80">
        <v>0</v>
      </c>
      <c r="G667" s="80">
        <v>0</v>
      </c>
      <c r="H667" s="80">
        <v>0</v>
      </c>
      <c r="I667" s="80">
        <v>1</v>
      </c>
      <c r="J667" s="80">
        <v>0</v>
      </c>
      <c r="K667" s="80">
        <v>1</v>
      </c>
      <c r="L667" s="80">
        <v>0</v>
      </c>
      <c r="M667" s="80">
        <v>0</v>
      </c>
      <c r="N667" s="80">
        <v>0</v>
      </c>
      <c r="O667" s="80">
        <v>0</v>
      </c>
      <c r="P667" s="80">
        <v>0</v>
      </c>
      <c r="Q667" s="80">
        <v>0</v>
      </c>
      <c r="R667" s="80">
        <v>0</v>
      </c>
      <c r="S667" s="80">
        <v>0</v>
      </c>
      <c r="T667" s="80">
        <v>0</v>
      </c>
      <c r="U667" s="80">
        <v>0</v>
      </c>
      <c r="V667" s="80">
        <v>0</v>
      </c>
      <c r="W667" s="80">
        <v>0</v>
      </c>
      <c r="X667" s="80">
        <v>0</v>
      </c>
      <c r="Y667" s="80">
        <v>0</v>
      </c>
      <c r="Z667" s="80">
        <v>0</v>
      </c>
      <c r="AA667" s="80">
        <v>1</v>
      </c>
      <c r="AB667" s="80">
        <v>0</v>
      </c>
      <c r="AC667" s="80">
        <v>1</v>
      </c>
      <c r="AD667" s="80">
        <v>0</v>
      </c>
      <c r="AE667" s="80">
        <v>0</v>
      </c>
      <c r="AF667" s="80">
        <v>1</v>
      </c>
      <c r="AG667" s="81">
        <v>0</v>
      </c>
      <c r="AH667" s="81">
        <v>1</v>
      </c>
      <c r="AI667" s="81">
        <v>0</v>
      </c>
      <c r="AJ667" s="81">
        <v>0</v>
      </c>
      <c r="AK667" s="81">
        <v>0</v>
      </c>
      <c r="AL667" s="81">
        <v>0</v>
      </c>
      <c r="AM667" s="81">
        <v>0</v>
      </c>
      <c r="AN667" s="81">
        <v>0</v>
      </c>
      <c r="AO667" s="80">
        <v>0</v>
      </c>
    </row>
    <row r="668" spans="1:41" ht="15.75" x14ac:dyDescent="0.25">
      <c r="A668" s="74"/>
      <c r="B668" s="74"/>
      <c r="C668" s="630"/>
      <c r="D668" s="80" t="s">
        <v>248</v>
      </c>
      <c r="E668" s="80">
        <v>1</v>
      </c>
      <c r="F668" s="80">
        <v>0</v>
      </c>
      <c r="G668" s="80">
        <v>0</v>
      </c>
      <c r="H668" s="80">
        <v>3</v>
      </c>
      <c r="I668" s="80">
        <v>1</v>
      </c>
      <c r="J668" s="80">
        <v>1</v>
      </c>
      <c r="K668" s="80">
        <v>0</v>
      </c>
      <c r="L668" s="80">
        <v>0</v>
      </c>
      <c r="M668" s="80">
        <v>1</v>
      </c>
      <c r="N668" s="80">
        <v>2</v>
      </c>
      <c r="O668" s="80">
        <v>1</v>
      </c>
      <c r="P668" s="80">
        <v>0</v>
      </c>
      <c r="Q668" s="80">
        <v>2</v>
      </c>
      <c r="R668" s="80">
        <v>1</v>
      </c>
      <c r="S668" s="80">
        <v>0</v>
      </c>
      <c r="T668" s="80">
        <v>0</v>
      </c>
      <c r="U668" s="80">
        <v>2</v>
      </c>
      <c r="V668" s="80">
        <v>2</v>
      </c>
      <c r="W668" s="80">
        <v>0</v>
      </c>
      <c r="X668" s="80">
        <v>1</v>
      </c>
      <c r="Y668" s="80">
        <v>0</v>
      </c>
      <c r="Z668" s="80">
        <v>2</v>
      </c>
      <c r="AA668" s="80">
        <v>1</v>
      </c>
      <c r="AB668" s="80">
        <v>1</v>
      </c>
      <c r="AC668" s="80">
        <v>0</v>
      </c>
      <c r="AD668" s="80">
        <v>0</v>
      </c>
      <c r="AE668" s="80">
        <v>0</v>
      </c>
      <c r="AF668" s="80">
        <v>0</v>
      </c>
      <c r="AG668" s="81">
        <v>1</v>
      </c>
      <c r="AH668" s="81">
        <v>0</v>
      </c>
      <c r="AI668" s="81">
        <v>0</v>
      </c>
      <c r="AJ668" s="81">
        <v>0</v>
      </c>
      <c r="AK668" s="81">
        <v>0</v>
      </c>
      <c r="AL668" s="81">
        <v>0</v>
      </c>
      <c r="AM668" s="81">
        <v>0</v>
      </c>
      <c r="AN668" s="81">
        <v>0</v>
      </c>
      <c r="AO668" s="80">
        <v>0</v>
      </c>
    </row>
    <row r="669" spans="1:41" ht="15.75" x14ac:dyDescent="0.25">
      <c r="A669" s="74"/>
      <c r="B669" s="74"/>
      <c r="C669" s="631"/>
      <c r="D669" s="80" t="s">
        <v>258</v>
      </c>
      <c r="E669" s="80">
        <v>0</v>
      </c>
      <c r="F669" s="80">
        <v>0</v>
      </c>
      <c r="G669" s="80">
        <v>0</v>
      </c>
      <c r="H669" s="80">
        <v>0</v>
      </c>
      <c r="I669" s="80">
        <v>0</v>
      </c>
      <c r="J669" s="80">
        <v>0</v>
      </c>
      <c r="K669" s="80">
        <v>0</v>
      </c>
      <c r="L669" s="80">
        <v>0</v>
      </c>
      <c r="M669" s="80">
        <v>0</v>
      </c>
      <c r="N669" s="80">
        <v>0</v>
      </c>
      <c r="O669" s="80">
        <v>0</v>
      </c>
      <c r="P669" s="80">
        <v>0</v>
      </c>
      <c r="Q669" s="80">
        <v>0</v>
      </c>
      <c r="R669" s="80">
        <v>0</v>
      </c>
      <c r="S669" s="80">
        <v>0</v>
      </c>
      <c r="T669" s="80">
        <v>0</v>
      </c>
      <c r="U669" s="80">
        <v>0</v>
      </c>
      <c r="V669" s="80">
        <v>0</v>
      </c>
      <c r="W669" s="80">
        <v>2</v>
      </c>
      <c r="X669" s="80">
        <v>0</v>
      </c>
      <c r="Y669" s="80">
        <v>0</v>
      </c>
      <c r="Z669" s="80">
        <v>0</v>
      </c>
      <c r="AA669" s="80">
        <v>0</v>
      </c>
      <c r="AB669" s="80">
        <v>0</v>
      </c>
      <c r="AC669" s="80">
        <v>0</v>
      </c>
      <c r="AD669" s="80">
        <v>0</v>
      </c>
      <c r="AE669" s="80">
        <v>0</v>
      </c>
      <c r="AF669" s="80">
        <v>0</v>
      </c>
      <c r="AG669" s="80">
        <v>0</v>
      </c>
      <c r="AH669" s="80">
        <v>0</v>
      </c>
      <c r="AI669" s="80">
        <v>0</v>
      </c>
      <c r="AJ669" s="80">
        <v>0</v>
      </c>
      <c r="AK669" s="80">
        <v>0</v>
      </c>
      <c r="AL669" s="80">
        <v>0</v>
      </c>
      <c r="AM669" s="81">
        <v>0</v>
      </c>
      <c r="AN669" s="81">
        <v>0</v>
      </c>
      <c r="AO669" s="80">
        <v>0</v>
      </c>
    </row>
    <row r="670" spans="1:41" ht="15.75" x14ac:dyDescent="0.25">
      <c r="A670" s="74">
        <v>4</v>
      </c>
      <c r="B670" s="74"/>
      <c r="C670" s="627" t="s">
        <v>249</v>
      </c>
      <c r="D670" s="80" t="s">
        <v>245</v>
      </c>
      <c r="E670" s="80">
        <v>0</v>
      </c>
      <c r="F670" s="80">
        <v>0</v>
      </c>
      <c r="G670" s="80">
        <v>0</v>
      </c>
      <c r="H670" s="80">
        <v>0</v>
      </c>
      <c r="I670" s="80">
        <v>3</v>
      </c>
      <c r="J670" s="80">
        <v>2</v>
      </c>
      <c r="K670" s="80">
        <v>0</v>
      </c>
      <c r="L670" s="80">
        <v>0</v>
      </c>
      <c r="M670" s="80">
        <v>0</v>
      </c>
      <c r="N670" s="80">
        <v>1</v>
      </c>
      <c r="O670" s="80">
        <v>1</v>
      </c>
      <c r="P670" s="80">
        <v>0</v>
      </c>
      <c r="Q670" s="80">
        <v>2</v>
      </c>
      <c r="R670" s="80">
        <v>2</v>
      </c>
      <c r="S670" s="80">
        <v>0</v>
      </c>
      <c r="T670" s="80">
        <v>0</v>
      </c>
      <c r="U670" s="80">
        <v>2</v>
      </c>
      <c r="V670" s="80">
        <v>0</v>
      </c>
      <c r="W670" s="80">
        <v>0</v>
      </c>
      <c r="X670" s="80">
        <v>2</v>
      </c>
      <c r="Y670" s="80">
        <v>0</v>
      </c>
      <c r="Z670" s="80">
        <v>4</v>
      </c>
      <c r="AA670" s="80">
        <v>1</v>
      </c>
      <c r="AB670" s="80">
        <v>1</v>
      </c>
      <c r="AC670" s="80">
        <v>0</v>
      </c>
      <c r="AD670" s="80">
        <v>0</v>
      </c>
      <c r="AE670" s="80">
        <v>0</v>
      </c>
      <c r="AF670" s="80">
        <v>0</v>
      </c>
      <c r="AG670" s="80">
        <v>2</v>
      </c>
      <c r="AH670" s="80">
        <v>0</v>
      </c>
      <c r="AI670" s="80">
        <v>0</v>
      </c>
      <c r="AJ670" s="80">
        <v>0</v>
      </c>
      <c r="AK670" s="80">
        <v>0</v>
      </c>
      <c r="AL670" s="80">
        <v>0</v>
      </c>
      <c r="AM670" s="81">
        <v>0</v>
      </c>
      <c r="AN670" s="81">
        <v>0</v>
      </c>
      <c r="AO670" s="80">
        <v>0</v>
      </c>
    </row>
    <row r="671" spans="1:41" ht="15.75" x14ac:dyDescent="0.25">
      <c r="A671" s="74"/>
      <c r="B671" s="74"/>
      <c r="C671" s="627"/>
      <c r="D671" s="80" t="s">
        <v>246</v>
      </c>
      <c r="E671" s="80">
        <v>0</v>
      </c>
      <c r="F671" s="80">
        <v>0</v>
      </c>
      <c r="G671" s="80">
        <v>0</v>
      </c>
      <c r="H671" s="80">
        <v>0</v>
      </c>
      <c r="I671" s="80">
        <v>3</v>
      </c>
      <c r="J671" s="80">
        <v>2</v>
      </c>
      <c r="K671" s="80">
        <v>0</v>
      </c>
      <c r="L671" s="80">
        <v>0</v>
      </c>
      <c r="M671" s="80">
        <v>0</v>
      </c>
      <c r="N671" s="80">
        <v>0</v>
      </c>
      <c r="O671" s="80">
        <v>1</v>
      </c>
      <c r="P671" s="80">
        <v>0</v>
      </c>
      <c r="Q671" s="80">
        <v>2</v>
      </c>
      <c r="R671" s="80">
        <v>2</v>
      </c>
      <c r="S671" s="80">
        <v>0</v>
      </c>
      <c r="T671" s="80">
        <v>0</v>
      </c>
      <c r="U671" s="80">
        <v>2</v>
      </c>
      <c r="V671" s="80">
        <v>0</v>
      </c>
      <c r="W671" s="80">
        <v>0</v>
      </c>
      <c r="X671" s="80">
        <v>2</v>
      </c>
      <c r="Y671" s="80">
        <v>0</v>
      </c>
      <c r="Z671" s="80">
        <v>4</v>
      </c>
      <c r="AA671" s="80">
        <v>1</v>
      </c>
      <c r="AB671" s="80">
        <v>1</v>
      </c>
      <c r="AC671" s="80">
        <v>0</v>
      </c>
      <c r="AD671" s="80">
        <v>0</v>
      </c>
      <c r="AE671" s="80">
        <v>0</v>
      </c>
      <c r="AF671" s="80">
        <v>0</v>
      </c>
      <c r="AG671" s="81">
        <v>2</v>
      </c>
      <c r="AH671" s="80">
        <v>0</v>
      </c>
      <c r="AI671" s="81">
        <v>0</v>
      </c>
      <c r="AJ671" s="81">
        <v>0</v>
      </c>
      <c r="AK671" s="81">
        <v>0</v>
      </c>
      <c r="AL671" s="81">
        <v>0</v>
      </c>
      <c r="AM671" s="81">
        <v>0</v>
      </c>
      <c r="AN671" s="81">
        <v>0</v>
      </c>
      <c r="AO671" s="80">
        <v>0</v>
      </c>
    </row>
    <row r="672" spans="1:41" ht="15.75" x14ac:dyDescent="0.25">
      <c r="A672" s="74"/>
      <c r="B672" s="74"/>
      <c r="C672" s="627"/>
      <c r="D672" s="80" t="s">
        <v>247</v>
      </c>
      <c r="E672" s="80">
        <v>0</v>
      </c>
      <c r="F672" s="80">
        <v>0</v>
      </c>
      <c r="G672" s="80">
        <v>0</v>
      </c>
      <c r="H672" s="80">
        <v>0</v>
      </c>
      <c r="I672" s="80">
        <v>0</v>
      </c>
      <c r="J672" s="80">
        <v>0</v>
      </c>
      <c r="K672" s="80">
        <v>0</v>
      </c>
      <c r="L672" s="80">
        <v>0</v>
      </c>
      <c r="M672" s="80">
        <v>0</v>
      </c>
      <c r="N672" s="80">
        <v>0</v>
      </c>
      <c r="O672" s="80">
        <v>0</v>
      </c>
      <c r="P672" s="80">
        <v>0</v>
      </c>
      <c r="Q672" s="80">
        <v>0</v>
      </c>
      <c r="R672" s="80">
        <v>0</v>
      </c>
      <c r="S672" s="80">
        <v>0</v>
      </c>
      <c r="T672" s="80">
        <v>0</v>
      </c>
      <c r="U672" s="80">
        <v>0</v>
      </c>
      <c r="V672" s="80">
        <v>0</v>
      </c>
      <c r="W672" s="80">
        <v>0</v>
      </c>
      <c r="X672" s="80">
        <v>0</v>
      </c>
      <c r="Y672" s="80">
        <v>0</v>
      </c>
      <c r="Z672" s="80">
        <v>0</v>
      </c>
      <c r="AA672" s="80">
        <v>0</v>
      </c>
      <c r="AB672" s="80">
        <v>0</v>
      </c>
      <c r="AC672" s="80">
        <v>0</v>
      </c>
      <c r="AD672" s="80">
        <v>0</v>
      </c>
      <c r="AE672" s="80">
        <v>0</v>
      </c>
      <c r="AF672" s="80">
        <v>0</v>
      </c>
      <c r="AG672" s="81">
        <v>0</v>
      </c>
      <c r="AH672" s="80">
        <v>0</v>
      </c>
      <c r="AI672" s="81">
        <v>0</v>
      </c>
      <c r="AJ672" s="81">
        <v>0</v>
      </c>
      <c r="AK672" s="81">
        <v>0</v>
      </c>
      <c r="AL672" s="81">
        <v>0</v>
      </c>
      <c r="AM672" s="81">
        <v>0</v>
      </c>
      <c r="AN672" s="81">
        <v>0</v>
      </c>
      <c r="AO672" s="80">
        <v>0</v>
      </c>
    </row>
    <row r="673" spans="1:41" ht="18.75" x14ac:dyDescent="0.3">
      <c r="A673" s="74"/>
      <c r="B673" s="74"/>
      <c r="C673" s="627"/>
      <c r="D673" s="80" t="s">
        <v>248</v>
      </c>
      <c r="E673" s="80">
        <v>0</v>
      </c>
      <c r="F673" s="80">
        <v>0</v>
      </c>
      <c r="G673" s="80">
        <v>0</v>
      </c>
      <c r="H673" s="80">
        <v>0</v>
      </c>
      <c r="I673" s="80">
        <v>3</v>
      </c>
      <c r="J673" s="160">
        <v>2</v>
      </c>
      <c r="K673" s="80">
        <v>0</v>
      </c>
      <c r="L673" s="80">
        <v>0</v>
      </c>
      <c r="M673" s="80">
        <v>0</v>
      </c>
      <c r="N673" s="80">
        <v>0</v>
      </c>
      <c r="O673" s="80">
        <v>1</v>
      </c>
      <c r="P673" s="80">
        <v>0</v>
      </c>
      <c r="Q673" s="80">
        <v>2</v>
      </c>
      <c r="R673" s="80">
        <v>2</v>
      </c>
      <c r="S673" s="80">
        <v>0</v>
      </c>
      <c r="T673" s="80">
        <v>0</v>
      </c>
      <c r="U673" s="80">
        <v>2</v>
      </c>
      <c r="V673" s="80">
        <v>0</v>
      </c>
      <c r="W673" s="80">
        <v>0</v>
      </c>
      <c r="X673" s="80">
        <v>2</v>
      </c>
      <c r="Y673" s="80">
        <v>0</v>
      </c>
      <c r="Z673" s="80">
        <v>4</v>
      </c>
      <c r="AA673" s="80">
        <v>0</v>
      </c>
      <c r="AB673" s="80">
        <v>1</v>
      </c>
      <c r="AC673" s="80">
        <v>0</v>
      </c>
      <c r="AD673" s="80">
        <v>0</v>
      </c>
      <c r="AE673" s="80">
        <v>0</v>
      </c>
      <c r="AF673" s="80">
        <v>0</v>
      </c>
      <c r="AG673" s="81">
        <v>2</v>
      </c>
      <c r="AH673" s="80">
        <v>0</v>
      </c>
      <c r="AI673" s="81">
        <v>0</v>
      </c>
      <c r="AJ673" s="81">
        <v>0</v>
      </c>
      <c r="AK673" s="81">
        <v>0</v>
      </c>
      <c r="AL673" s="81">
        <v>0</v>
      </c>
      <c r="AM673" s="81">
        <v>0</v>
      </c>
      <c r="AN673" s="81">
        <v>0</v>
      </c>
      <c r="AO673" s="80">
        <v>0</v>
      </c>
    </row>
    <row r="674" spans="1:41" ht="15.75" x14ac:dyDescent="0.25">
      <c r="A674" s="74"/>
      <c r="B674" s="74"/>
      <c r="C674" s="627"/>
      <c r="D674" s="80" t="s">
        <v>258</v>
      </c>
      <c r="E674" s="80">
        <v>0</v>
      </c>
      <c r="F674" s="80">
        <v>0</v>
      </c>
      <c r="G674" s="80">
        <v>0</v>
      </c>
      <c r="H674" s="80">
        <v>0</v>
      </c>
      <c r="I674" s="80">
        <v>0</v>
      </c>
      <c r="J674" s="80">
        <v>0</v>
      </c>
      <c r="K674" s="80">
        <v>0</v>
      </c>
      <c r="L674" s="80">
        <v>0</v>
      </c>
      <c r="M674" s="80">
        <v>0</v>
      </c>
      <c r="N674" s="80">
        <v>0</v>
      </c>
      <c r="O674" s="80">
        <v>0</v>
      </c>
      <c r="P674" s="80">
        <v>0</v>
      </c>
      <c r="Q674" s="80">
        <v>0</v>
      </c>
      <c r="R674" s="80">
        <v>0</v>
      </c>
      <c r="S674" s="80">
        <v>0</v>
      </c>
      <c r="T674" s="80">
        <v>0</v>
      </c>
      <c r="U674" s="80">
        <v>0</v>
      </c>
      <c r="V674" s="80">
        <v>0</v>
      </c>
      <c r="W674" s="80">
        <v>0</v>
      </c>
      <c r="X674" s="80">
        <v>0</v>
      </c>
      <c r="Y674" s="80">
        <v>0</v>
      </c>
      <c r="Z674" s="80">
        <v>0</v>
      </c>
      <c r="AA674" s="80">
        <v>0</v>
      </c>
      <c r="AB674" s="80">
        <v>0</v>
      </c>
      <c r="AC674" s="80">
        <v>0</v>
      </c>
      <c r="AD674" s="80">
        <v>0</v>
      </c>
      <c r="AE674" s="80">
        <v>0</v>
      </c>
      <c r="AF674" s="80">
        <v>0</v>
      </c>
      <c r="AG674" s="80">
        <v>0</v>
      </c>
      <c r="AH674" s="80">
        <v>0</v>
      </c>
      <c r="AI674" s="80">
        <v>0</v>
      </c>
      <c r="AJ674" s="80">
        <v>0</v>
      </c>
      <c r="AK674" s="80">
        <v>0</v>
      </c>
      <c r="AL674" s="80">
        <v>0</v>
      </c>
      <c r="AM674" s="81">
        <v>0</v>
      </c>
      <c r="AN674" s="81">
        <v>0</v>
      </c>
      <c r="AO674" s="80">
        <v>0</v>
      </c>
    </row>
    <row r="675" spans="1:41" ht="15.75" x14ac:dyDescent="0.25">
      <c r="A675" s="159">
        <v>5</v>
      </c>
      <c r="B675" s="159" t="s">
        <v>20</v>
      </c>
      <c r="C675" s="159" t="s">
        <v>20</v>
      </c>
      <c r="D675" s="80" t="s">
        <v>245</v>
      </c>
      <c r="E675" s="80">
        <v>0</v>
      </c>
      <c r="F675" s="80">
        <v>0</v>
      </c>
      <c r="G675" s="80">
        <v>0</v>
      </c>
      <c r="H675" s="80">
        <v>2</v>
      </c>
      <c r="I675" s="80">
        <v>1</v>
      </c>
      <c r="J675" s="80">
        <v>1</v>
      </c>
      <c r="K675" s="80">
        <v>0</v>
      </c>
      <c r="L675" s="80">
        <v>0</v>
      </c>
      <c r="M675" s="80">
        <v>1</v>
      </c>
      <c r="N675" s="80">
        <v>1</v>
      </c>
      <c r="O675" s="80">
        <v>1</v>
      </c>
      <c r="P675" s="80">
        <v>0</v>
      </c>
      <c r="Q675" s="80">
        <v>1</v>
      </c>
      <c r="R675" s="80">
        <v>0</v>
      </c>
      <c r="S675" s="80">
        <v>0</v>
      </c>
      <c r="T675" s="80">
        <v>0</v>
      </c>
      <c r="U675" s="80">
        <v>2</v>
      </c>
      <c r="V675" s="80">
        <v>1</v>
      </c>
      <c r="W675" s="80">
        <v>1</v>
      </c>
      <c r="X675" s="80">
        <v>0</v>
      </c>
      <c r="Y675" s="80">
        <v>0</v>
      </c>
      <c r="Z675" s="80">
        <v>1</v>
      </c>
      <c r="AA675" s="80">
        <v>1</v>
      </c>
      <c r="AB675" s="80">
        <v>1</v>
      </c>
      <c r="AC675" s="80">
        <v>0</v>
      </c>
      <c r="AD675" s="80">
        <v>1</v>
      </c>
      <c r="AE675" s="80">
        <v>1</v>
      </c>
      <c r="AF675" s="80">
        <v>0</v>
      </c>
      <c r="AG675" s="81">
        <v>1</v>
      </c>
      <c r="AH675" s="80">
        <v>0</v>
      </c>
      <c r="AI675" s="81">
        <v>0</v>
      </c>
      <c r="AJ675" s="81">
        <v>0</v>
      </c>
      <c r="AK675" s="81">
        <v>0</v>
      </c>
      <c r="AL675" s="81">
        <v>0</v>
      </c>
      <c r="AM675" s="81">
        <v>0</v>
      </c>
      <c r="AN675" s="81">
        <v>0</v>
      </c>
      <c r="AO675" s="80">
        <v>0</v>
      </c>
    </row>
    <row r="676" spans="1:41" ht="15.75" x14ac:dyDescent="0.25">
      <c r="A676" s="159"/>
      <c r="B676" s="159"/>
      <c r="C676" s="159"/>
      <c r="D676" s="80" t="s">
        <v>246</v>
      </c>
      <c r="E676" s="80">
        <v>0</v>
      </c>
      <c r="F676" s="80">
        <v>0</v>
      </c>
      <c r="G676" s="80">
        <v>0</v>
      </c>
      <c r="H676" s="80">
        <v>2</v>
      </c>
      <c r="I676" s="80">
        <v>1</v>
      </c>
      <c r="J676" s="80">
        <v>1</v>
      </c>
      <c r="K676" s="80">
        <v>0</v>
      </c>
      <c r="L676" s="80">
        <v>0</v>
      </c>
      <c r="M676" s="80">
        <v>1</v>
      </c>
      <c r="N676" s="80">
        <v>1</v>
      </c>
      <c r="O676" s="80">
        <v>1</v>
      </c>
      <c r="P676" s="80">
        <v>0</v>
      </c>
      <c r="Q676" s="80">
        <v>1</v>
      </c>
      <c r="R676" s="80">
        <v>0</v>
      </c>
      <c r="S676" s="80">
        <v>0</v>
      </c>
      <c r="T676" s="80">
        <v>0</v>
      </c>
      <c r="U676" s="80">
        <v>2</v>
      </c>
      <c r="V676" s="80">
        <v>1</v>
      </c>
      <c r="W676" s="80">
        <v>1</v>
      </c>
      <c r="X676" s="80">
        <v>0</v>
      </c>
      <c r="Y676" s="80">
        <v>0</v>
      </c>
      <c r="Z676" s="80">
        <v>1</v>
      </c>
      <c r="AA676" s="80">
        <v>1</v>
      </c>
      <c r="AB676" s="80">
        <v>1</v>
      </c>
      <c r="AC676" s="80">
        <v>0</v>
      </c>
      <c r="AD676" s="80">
        <v>1</v>
      </c>
      <c r="AE676" s="80">
        <v>1</v>
      </c>
      <c r="AF676" s="80">
        <v>0</v>
      </c>
      <c r="AG676" s="81">
        <v>1</v>
      </c>
      <c r="AH676" s="80">
        <v>0</v>
      </c>
      <c r="AI676" s="81">
        <v>0</v>
      </c>
      <c r="AJ676" s="81">
        <v>0</v>
      </c>
      <c r="AK676" s="81">
        <v>0</v>
      </c>
      <c r="AL676" s="81">
        <v>0</v>
      </c>
      <c r="AM676" s="81">
        <v>0</v>
      </c>
      <c r="AN676" s="81">
        <v>0</v>
      </c>
      <c r="AO676" s="80">
        <v>0</v>
      </c>
    </row>
    <row r="677" spans="1:41" ht="15.75" x14ac:dyDescent="0.25">
      <c r="A677" s="159"/>
      <c r="B677" s="159"/>
      <c r="C677" s="159"/>
      <c r="D677" s="80" t="s">
        <v>247</v>
      </c>
      <c r="E677" s="80">
        <v>0</v>
      </c>
      <c r="F677" s="80">
        <v>0</v>
      </c>
      <c r="G677" s="80">
        <v>0</v>
      </c>
      <c r="H677" s="80">
        <v>0</v>
      </c>
      <c r="I677" s="80">
        <v>0</v>
      </c>
      <c r="J677" s="80">
        <v>0</v>
      </c>
      <c r="K677" s="80">
        <v>0</v>
      </c>
      <c r="L677" s="80">
        <v>0</v>
      </c>
      <c r="M677" s="80">
        <v>0</v>
      </c>
      <c r="N677" s="80">
        <v>0</v>
      </c>
      <c r="O677" s="80">
        <v>0</v>
      </c>
      <c r="P677" s="80">
        <v>0</v>
      </c>
      <c r="Q677" s="80">
        <v>0</v>
      </c>
      <c r="R677" s="80">
        <v>0</v>
      </c>
      <c r="S677" s="80">
        <v>0</v>
      </c>
      <c r="T677" s="80">
        <v>0</v>
      </c>
      <c r="U677" s="80">
        <v>0</v>
      </c>
      <c r="V677" s="80">
        <v>0</v>
      </c>
      <c r="W677" s="80">
        <v>0</v>
      </c>
      <c r="X677" s="80">
        <v>0</v>
      </c>
      <c r="Y677" s="80">
        <v>0</v>
      </c>
      <c r="Z677" s="80">
        <v>0</v>
      </c>
      <c r="AA677" s="80">
        <v>0</v>
      </c>
      <c r="AB677" s="80">
        <v>0</v>
      </c>
      <c r="AC677" s="80">
        <v>0</v>
      </c>
      <c r="AD677" s="80">
        <v>0</v>
      </c>
      <c r="AE677" s="80">
        <v>0</v>
      </c>
      <c r="AF677" s="80">
        <v>0</v>
      </c>
      <c r="AG677" s="81">
        <v>0</v>
      </c>
      <c r="AH677" s="80">
        <v>0</v>
      </c>
      <c r="AI677" s="81">
        <v>0</v>
      </c>
      <c r="AJ677" s="81">
        <v>0</v>
      </c>
      <c r="AK677" s="81">
        <v>0</v>
      </c>
      <c r="AL677" s="81">
        <v>0</v>
      </c>
      <c r="AM677" s="81">
        <v>0</v>
      </c>
      <c r="AN677" s="81">
        <v>0</v>
      </c>
      <c r="AO677" s="80">
        <v>0</v>
      </c>
    </row>
    <row r="678" spans="1:41" ht="15.75" x14ac:dyDescent="0.25">
      <c r="A678" s="159"/>
      <c r="B678" s="159"/>
      <c r="C678" s="159"/>
      <c r="D678" s="80" t="s">
        <v>248</v>
      </c>
      <c r="E678" s="80">
        <v>0</v>
      </c>
      <c r="F678" s="80">
        <v>0</v>
      </c>
      <c r="G678" s="80">
        <v>0</v>
      </c>
      <c r="H678" s="80">
        <v>2</v>
      </c>
      <c r="I678" s="80">
        <v>1</v>
      </c>
      <c r="J678" s="80">
        <v>1</v>
      </c>
      <c r="K678" s="80">
        <v>0</v>
      </c>
      <c r="L678" s="80">
        <v>0</v>
      </c>
      <c r="M678" s="80">
        <v>1</v>
      </c>
      <c r="N678" s="80">
        <v>1</v>
      </c>
      <c r="O678" s="80">
        <v>1</v>
      </c>
      <c r="P678" s="80">
        <v>0</v>
      </c>
      <c r="Q678" s="80">
        <v>1</v>
      </c>
      <c r="R678" s="80">
        <v>0</v>
      </c>
      <c r="S678" s="80">
        <v>0</v>
      </c>
      <c r="T678" s="80">
        <v>0</v>
      </c>
      <c r="U678" s="80">
        <v>2</v>
      </c>
      <c r="V678" s="80">
        <v>1</v>
      </c>
      <c r="W678" s="80">
        <v>1</v>
      </c>
      <c r="X678" s="80">
        <v>0</v>
      </c>
      <c r="Y678" s="80">
        <v>0</v>
      </c>
      <c r="Z678" s="80">
        <v>1</v>
      </c>
      <c r="AA678" s="80">
        <v>1</v>
      </c>
      <c r="AB678" s="80">
        <v>1</v>
      </c>
      <c r="AC678" s="80">
        <v>0</v>
      </c>
      <c r="AD678" s="80">
        <v>1</v>
      </c>
      <c r="AE678" s="80">
        <v>1</v>
      </c>
      <c r="AF678" s="80">
        <v>0</v>
      </c>
      <c r="AG678" s="81">
        <v>1</v>
      </c>
      <c r="AH678" s="80">
        <v>0</v>
      </c>
      <c r="AI678" s="81">
        <v>0</v>
      </c>
      <c r="AJ678" s="81">
        <v>0</v>
      </c>
      <c r="AK678" s="81">
        <v>0</v>
      </c>
      <c r="AL678" s="81">
        <v>0</v>
      </c>
      <c r="AM678" s="81">
        <v>0</v>
      </c>
      <c r="AN678" s="81">
        <v>0</v>
      </c>
      <c r="AO678" s="80">
        <v>0</v>
      </c>
    </row>
    <row r="679" spans="1:41" ht="15.75" x14ac:dyDescent="0.25">
      <c r="A679" s="159"/>
      <c r="B679" s="159"/>
      <c r="C679" s="159"/>
      <c r="D679" s="80" t="s">
        <v>258</v>
      </c>
      <c r="E679" s="80">
        <v>0</v>
      </c>
      <c r="F679" s="80">
        <v>0</v>
      </c>
      <c r="G679" s="80">
        <v>0</v>
      </c>
      <c r="H679" s="80">
        <v>0</v>
      </c>
      <c r="I679" s="80">
        <v>0</v>
      </c>
      <c r="J679" s="80">
        <v>0</v>
      </c>
      <c r="K679" s="80">
        <v>0</v>
      </c>
      <c r="L679" s="80">
        <v>0</v>
      </c>
      <c r="M679" s="80">
        <v>0</v>
      </c>
      <c r="N679" s="80">
        <v>0</v>
      </c>
      <c r="O679" s="80">
        <v>0</v>
      </c>
      <c r="P679" s="80">
        <v>0</v>
      </c>
      <c r="Q679" s="80">
        <v>0</v>
      </c>
      <c r="R679" s="80">
        <v>0</v>
      </c>
      <c r="S679" s="80">
        <v>0</v>
      </c>
      <c r="T679" s="80">
        <v>0</v>
      </c>
      <c r="U679" s="80">
        <v>0</v>
      </c>
      <c r="V679" s="80">
        <v>0</v>
      </c>
      <c r="W679" s="80">
        <v>0</v>
      </c>
      <c r="X679" s="80">
        <v>0</v>
      </c>
      <c r="Y679" s="80">
        <v>0</v>
      </c>
      <c r="Z679" s="80">
        <v>0</v>
      </c>
      <c r="AA679" s="80">
        <v>0</v>
      </c>
      <c r="AB679" s="80">
        <v>0</v>
      </c>
      <c r="AC679" s="80">
        <v>0</v>
      </c>
      <c r="AD679" s="80">
        <v>0</v>
      </c>
      <c r="AE679" s="80">
        <v>0</v>
      </c>
      <c r="AF679" s="80">
        <v>0</v>
      </c>
      <c r="AG679" s="80">
        <v>0</v>
      </c>
      <c r="AH679" s="80">
        <v>0</v>
      </c>
      <c r="AI679" s="80">
        <v>0</v>
      </c>
      <c r="AJ679" s="80">
        <v>0</v>
      </c>
      <c r="AK679" s="80">
        <v>0</v>
      </c>
      <c r="AL679" s="80">
        <v>0</v>
      </c>
      <c r="AM679" s="81">
        <v>0</v>
      </c>
      <c r="AN679" s="81">
        <v>0</v>
      </c>
      <c r="AO679" s="80">
        <v>0</v>
      </c>
    </row>
    <row r="680" spans="1:41" ht="15.75" x14ac:dyDescent="0.25">
      <c r="A680" s="84">
        <v>6</v>
      </c>
      <c r="B680" s="84" t="s">
        <v>127</v>
      </c>
      <c r="C680" s="84" t="s">
        <v>127</v>
      </c>
      <c r="D680" s="80" t="s">
        <v>245</v>
      </c>
      <c r="E680" s="80">
        <v>0</v>
      </c>
      <c r="F680" s="80">
        <v>1</v>
      </c>
      <c r="G680" s="80">
        <v>1</v>
      </c>
      <c r="H680" s="80">
        <v>1</v>
      </c>
      <c r="I680" s="80">
        <v>7</v>
      </c>
      <c r="J680" s="80">
        <v>2</v>
      </c>
      <c r="K680" s="80">
        <v>0</v>
      </c>
      <c r="L680" s="80">
        <v>0</v>
      </c>
      <c r="M680" s="80">
        <v>1</v>
      </c>
      <c r="N680" s="80">
        <v>1</v>
      </c>
      <c r="O680" s="80">
        <v>4</v>
      </c>
      <c r="P680" s="80">
        <v>0</v>
      </c>
      <c r="Q680" s="80">
        <v>1</v>
      </c>
      <c r="R680" s="80">
        <v>1</v>
      </c>
      <c r="S680" s="80">
        <v>0</v>
      </c>
      <c r="T680" s="80">
        <v>1</v>
      </c>
      <c r="U680" s="80">
        <v>2</v>
      </c>
      <c r="V680" s="80">
        <v>3</v>
      </c>
      <c r="W680" s="80">
        <v>1</v>
      </c>
      <c r="X680" s="80">
        <v>1</v>
      </c>
      <c r="Y680" s="80">
        <v>1</v>
      </c>
      <c r="Z680" s="80">
        <v>1</v>
      </c>
      <c r="AA680" s="80">
        <v>2</v>
      </c>
      <c r="AB680" s="80">
        <v>1</v>
      </c>
      <c r="AC680" s="80">
        <v>0</v>
      </c>
      <c r="AD680" s="80">
        <v>0</v>
      </c>
      <c r="AE680" s="80">
        <v>1</v>
      </c>
      <c r="AF680" s="80">
        <v>1</v>
      </c>
      <c r="AG680" s="80">
        <v>0</v>
      </c>
      <c r="AH680" s="80">
        <v>5</v>
      </c>
      <c r="AI680" s="81">
        <v>0</v>
      </c>
      <c r="AJ680" s="81">
        <v>0</v>
      </c>
      <c r="AK680" s="81">
        <v>0</v>
      </c>
      <c r="AL680" s="81">
        <v>1</v>
      </c>
      <c r="AM680" s="81">
        <v>0</v>
      </c>
      <c r="AN680" s="81">
        <v>1</v>
      </c>
      <c r="AO680" s="80">
        <v>0</v>
      </c>
    </row>
    <row r="681" spans="1:41" ht="15.75" x14ac:dyDescent="0.25">
      <c r="A681" s="84"/>
      <c r="B681" s="84"/>
      <c r="C681" s="84"/>
      <c r="D681" s="80" t="s">
        <v>246</v>
      </c>
      <c r="E681" s="80">
        <v>1</v>
      </c>
      <c r="F681" s="80">
        <v>1</v>
      </c>
      <c r="G681" s="80">
        <v>1</v>
      </c>
      <c r="H681" s="80">
        <v>1</v>
      </c>
      <c r="I681" s="80">
        <v>7</v>
      </c>
      <c r="J681" s="80">
        <v>2</v>
      </c>
      <c r="K681" s="80">
        <v>0</v>
      </c>
      <c r="L681" s="80">
        <v>0</v>
      </c>
      <c r="M681" s="80">
        <v>1</v>
      </c>
      <c r="N681" s="80">
        <v>1</v>
      </c>
      <c r="O681" s="80">
        <v>4</v>
      </c>
      <c r="P681" s="80">
        <v>0</v>
      </c>
      <c r="Q681" s="80">
        <v>1</v>
      </c>
      <c r="R681" s="80">
        <v>1</v>
      </c>
      <c r="S681" s="80">
        <v>0</v>
      </c>
      <c r="T681" s="80">
        <v>1</v>
      </c>
      <c r="U681" s="80">
        <v>2</v>
      </c>
      <c r="V681" s="80">
        <v>3</v>
      </c>
      <c r="W681" s="80">
        <v>1</v>
      </c>
      <c r="X681" s="80">
        <v>1</v>
      </c>
      <c r="Y681" s="80">
        <v>1</v>
      </c>
      <c r="Z681" s="80">
        <v>1</v>
      </c>
      <c r="AA681" s="80">
        <v>2</v>
      </c>
      <c r="AB681" s="80">
        <v>1</v>
      </c>
      <c r="AC681" s="80">
        <v>0</v>
      </c>
      <c r="AD681" s="80">
        <v>0</v>
      </c>
      <c r="AE681" s="80">
        <v>1</v>
      </c>
      <c r="AF681" s="80">
        <v>1</v>
      </c>
      <c r="AG681" s="80">
        <v>0</v>
      </c>
      <c r="AH681" s="80">
        <v>5</v>
      </c>
      <c r="AI681" s="81">
        <v>0</v>
      </c>
      <c r="AJ681" s="81">
        <v>0</v>
      </c>
      <c r="AK681" s="81">
        <v>0</v>
      </c>
      <c r="AL681" s="81">
        <v>1</v>
      </c>
      <c r="AM681" s="81">
        <v>0</v>
      </c>
      <c r="AN681" s="81">
        <v>1</v>
      </c>
      <c r="AO681" s="80">
        <v>0</v>
      </c>
    </row>
    <row r="682" spans="1:41" ht="15.75" x14ac:dyDescent="0.25">
      <c r="A682" s="84"/>
      <c r="B682" s="84"/>
      <c r="C682" s="84"/>
      <c r="D682" s="80" t="s">
        <v>247</v>
      </c>
      <c r="E682" s="80">
        <v>0</v>
      </c>
      <c r="F682" s="80">
        <v>0</v>
      </c>
      <c r="G682" s="80">
        <v>0</v>
      </c>
      <c r="H682" s="80">
        <v>0</v>
      </c>
      <c r="I682" s="80">
        <v>0</v>
      </c>
      <c r="J682" s="80">
        <v>0</v>
      </c>
      <c r="K682" s="80">
        <v>0</v>
      </c>
      <c r="L682" s="80">
        <v>0</v>
      </c>
      <c r="M682" s="80">
        <v>0</v>
      </c>
      <c r="N682" s="80">
        <v>0</v>
      </c>
      <c r="O682" s="80">
        <v>0</v>
      </c>
      <c r="P682" s="80">
        <v>0</v>
      </c>
      <c r="Q682" s="80">
        <v>0</v>
      </c>
      <c r="R682" s="80">
        <v>0</v>
      </c>
      <c r="S682" s="80">
        <v>0</v>
      </c>
      <c r="T682" s="80">
        <v>0</v>
      </c>
      <c r="U682" s="80">
        <v>0</v>
      </c>
      <c r="V682" s="80">
        <v>0</v>
      </c>
      <c r="W682" s="80">
        <v>0</v>
      </c>
      <c r="X682" s="80">
        <v>0</v>
      </c>
      <c r="Y682" s="80">
        <v>0</v>
      </c>
      <c r="Z682" s="80">
        <v>0</v>
      </c>
      <c r="AA682" s="80">
        <v>0</v>
      </c>
      <c r="AB682" s="80">
        <v>0</v>
      </c>
      <c r="AC682" s="80">
        <v>0</v>
      </c>
      <c r="AD682" s="80">
        <v>0</v>
      </c>
      <c r="AE682" s="80">
        <v>0</v>
      </c>
      <c r="AF682" s="80">
        <v>0</v>
      </c>
      <c r="AG682" s="80">
        <v>0</v>
      </c>
      <c r="AH682" s="80">
        <v>0</v>
      </c>
      <c r="AI682" s="81">
        <v>0</v>
      </c>
      <c r="AJ682" s="81">
        <v>0</v>
      </c>
      <c r="AK682" s="81">
        <v>0</v>
      </c>
      <c r="AL682" s="81">
        <v>0</v>
      </c>
      <c r="AM682" s="81">
        <v>0</v>
      </c>
      <c r="AN682" s="81">
        <v>0</v>
      </c>
      <c r="AO682" s="80">
        <v>0</v>
      </c>
    </row>
    <row r="683" spans="1:41" ht="15.75" x14ac:dyDescent="0.25">
      <c r="A683" s="84"/>
      <c r="B683" s="84"/>
      <c r="C683" s="84"/>
      <c r="D683" s="80" t="s">
        <v>248</v>
      </c>
      <c r="E683" s="80">
        <v>1</v>
      </c>
      <c r="F683" s="80">
        <v>1</v>
      </c>
      <c r="G683" s="80">
        <v>1</v>
      </c>
      <c r="H683" s="80">
        <v>1</v>
      </c>
      <c r="I683" s="80">
        <v>7</v>
      </c>
      <c r="J683" s="80">
        <v>2</v>
      </c>
      <c r="K683" s="80">
        <v>0</v>
      </c>
      <c r="L683" s="80">
        <v>0</v>
      </c>
      <c r="M683" s="80">
        <v>1</v>
      </c>
      <c r="N683" s="80">
        <v>1</v>
      </c>
      <c r="O683" s="80">
        <v>4</v>
      </c>
      <c r="P683" s="80">
        <v>0</v>
      </c>
      <c r="Q683" s="80">
        <v>1</v>
      </c>
      <c r="R683" s="80">
        <v>0</v>
      </c>
      <c r="S683" s="80">
        <v>0</v>
      </c>
      <c r="T683" s="80">
        <v>0</v>
      </c>
      <c r="U683" s="80">
        <v>2</v>
      </c>
      <c r="V683" s="80">
        <v>3</v>
      </c>
      <c r="W683" s="80">
        <v>1</v>
      </c>
      <c r="X683" s="80">
        <v>1</v>
      </c>
      <c r="Y683" s="80">
        <v>1</v>
      </c>
      <c r="Z683" s="80">
        <v>0</v>
      </c>
      <c r="AA683" s="80">
        <v>2</v>
      </c>
      <c r="AB683" s="80">
        <v>1</v>
      </c>
      <c r="AC683" s="80">
        <v>0</v>
      </c>
      <c r="AD683" s="80">
        <v>0</v>
      </c>
      <c r="AE683" s="80">
        <v>1</v>
      </c>
      <c r="AF683" s="80">
        <v>1</v>
      </c>
      <c r="AG683" s="80">
        <v>0</v>
      </c>
      <c r="AH683" s="80">
        <v>5</v>
      </c>
      <c r="AI683" s="81">
        <v>0</v>
      </c>
      <c r="AJ683" s="81">
        <v>0</v>
      </c>
      <c r="AK683" s="81">
        <v>0</v>
      </c>
      <c r="AL683" s="81">
        <v>1</v>
      </c>
      <c r="AM683" s="81">
        <v>0</v>
      </c>
      <c r="AN683" s="81">
        <v>1</v>
      </c>
      <c r="AO683" s="80">
        <v>0</v>
      </c>
    </row>
    <row r="684" spans="1:41" ht="15.75" x14ac:dyDescent="0.25">
      <c r="A684" s="84"/>
      <c r="B684" s="84"/>
      <c r="C684" s="84"/>
      <c r="D684" s="80" t="s">
        <v>258</v>
      </c>
      <c r="E684" s="80">
        <v>0</v>
      </c>
      <c r="F684" s="80">
        <v>0</v>
      </c>
      <c r="G684" s="80">
        <v>0</v>
      </c>
      <c r="H684" s="80">
        <v>0</v>
      </c>
      <c r="I684" s="80">
        <v>0</v>
      </c>
      <c r="J684" s="80">
        <v>0</v>
      </c>
      <c r="K684" s="80">
        <v>0</v>
      </c>
      <c r="L684" s="80">
        <v>0</v>
      </c>
      <c r="M684" s="80">
        <v>0</v>
      </c>
      <c r="N684" s="80">
        <v>0</v>
      </c>
      <c r="O684" s="80">
        <v>0</v>
      </c>
      <c r="P684" s="80">
        <v>0</v>
      </c>
      <c r="Q684" s="80">
        <v>0</v>
      </c>
      <c r="R684" s="80">
        <v>1</v>
      </c>
      <c r="S684" s="80">
        <v>0</v>
      </c>
      <c r="T684" s="80">
        <v>1</v>
      </c>
      <c r="U684" s="80">
        <v>0</v>
      </c>
      <c r="V684" s="80">
        <v>0</v>
      </c>
      <c r="W684" s="80">
        <v>0</v>
      </c>
      <c r="X684" s="80">
        <v>0</v>
      </c>
      <c r="Y684" s="80">
        <v>0</v>
      </c>
      <c r="Z684" s="80">
        <v>1</v>
      </c>
      <c r="AA684" s="80">
        <v>0</v>
      </c>
      <c r="AB684" s="80">
        <v>0</v>
      </c>
      <c r="AC684" s="80">
        <v>0</v>
      </c>
      <c r="AD684" s="80">
        <v>0</v>
      </c>
      <c r="AE684" s="80">
        <v>0</v>
      </c>
      <c r="AF684" s="80">
        <v>0</v>
      </c>
      <c r="AG684" s="81">
        <v>0</v>
      </c>
      <c r="AH684" s="80">
        <v>0</v>
      </c>
      <c r="AI684" s="80">
        <v>0</v>
      </c>
      <c r="AJ684" s="80">
        <v>0</v>
      </c>
      <c r="AK684" s="80">
        <v>0</v>
      </c>
      <c r="AL684" s="80">
        <v>0</v>
      </c>
      <c r="AM684" s="81">
        <v>0</v>
      </c>
      <c r="AN684" s="81">
        <v>0</v>
      </c>
      <c r="AO684" s="80">
        <v>0</v>
      </c>
    </row>
    <row r="685" spans="1:41" ht="15.75" x14ac:dyDescent="0.25">
      <c r="A685" s="84">
        <v>7</v>
      </c>
      <c r="B685" s="84"/>
      <c r="C685" s="84" t="s">
        <v>172</v>
      </c>
      <c r="D685" s="80" t="s">
        <v>245</v>
      </c>
      <c r="E685" s="80">
        <v>0</v>
      </c>
      <c r="F685" s="80">
        <v>0</v>
      </c>
      <c r="G685" s="80">
        <v>0</v>
      </c>
      <c r="H685" s="80">
        <v>1</v>
      </c>
      <c r="I685" s="80">
        <v>2</v>
      </c>
      <c r="J685" s="80">
        <v>1</v>
      </c>
      <c r="K685" s="80">
        <v>0</v>
      </c>
      <c r="L685" s="80">
        <v>1</v>
      </c>
      <c r="M685" s="80">
        <v>0</v>
      </c>
      <c r="N685" s="80">
        <v>0</v>
      </c>
      <c r="O685" s="80">
        <v>1</v>
      </c>
      <c r="P685" s="80">
        <v>0</v>
      </c>
      <c r="Q685" s="80">
        <v>1</v>
      </c>
      <c r="R685" s="80">
        <v>1</v>
      </c>
      <c r="S685" s="80">
        <v>0</v>
      </c>
      <c r="T685" s="80">
        <v>1</v>
      </c>
      <c r="U685" s="80">
        <v>2</v>
      </c>
      <c r="V685" s="80">
        <v>1</v>
      </c>
      <c r="W685" s="80">
        <v>1</v>
      </c>
      <c r="X685" s="80">
        <v>0</v>
      </c>
      <c r="Y685" s="80">
        <v>0</v>
      </c>
      <c r="Z685" s="80">
        <v>1</v>
      </c>
      <c r="AA685" s="80">
        <v>2</v>
      </c>
      <c r="AB685" s="80">
        <v>1</v>
      </c>
      <c r="AC685" s="80">
        <v>1</v>
      </c>
      <c r="AD685" s="80">
        <v>0</v>
      </c>
      <c r="AE685" s="80">
        <v>1</v>
      </c>
      <c r="AF685" s="80">
        <v>1</v>
      </c>
      <c r="AG685" s="81">
        <v>1</v>
      </c>
      <c r="AH685" s="80">
        <v>1</v>
      </c>
      <c r="AI685" s="81">
        <v>0</v>
      </c>
      <c r="AJ685" s="81">
        <v>0</v>
      </c>
      <c r="AK685" s="81">
        <v>0</v>
      </c>
      <c r="AL685" s="81">
        <v>0</v>
      </c>
      <c r="AM685" s="81">
        <v>2</v>
      </c>
      <c r="AN685" s="81">
        <v>1</v>
      </c>
      <c r="AO685" s="81">
        <v>1</v>
      </c>
    </row>
    <row r="686" spans="1:41" ht="15.75" x14ac:dyDescent="0.25">
      <c r="A686" s="84"/>
      <c r="B686" s="84"/>
      <c r="C686" s="84"/>
      <c r="D686" s="80" t="s">
        <v>246</v>
      </c>
      <c r="E686" s="80">
        <v>0</v>
      </c>
      <c r="F686" s="80">
        <v>0</v>
      </c>
      <c r="G686" s="80">
        <v>0</v>
      </c>
      <c r="H686" s="80">
        <v>1</v>
      </c>
      <c r="I686" s="80">
        <v>2</v>
      </c>
      <c r="J686" s="80">
        <v>1</v>
      </c>
      <c r="K686" s="80">
        <v>0</v>
      </c>
      <c r="L686" s="80">
        <v>1</v>
      </c>
      <c r="M686" s="80">
        <v>0</v>
      </c>
      <c r="N686" s="80">
        <v>0</v>
      </c>
      <c r="O686" s="80">
        <v>1</v>
      </c>
      <c r="P686" s="80">
        <v>0</v>
      </c>
      <c r="Q686" s="80">
        <v>1</v>
      </c>
      <c r="R686" s="80">
        <v>1</v>
      </c>
      <c r="S686" s="80">
        <v>0</v>
      </c>
      <c r="T686" s="80">
        <v>1</v>
      </c>
      <c r="U686" s="80">
        <v>2</v>
      </c>
      <c r="V686" s="80">
        <v>1</v>
      </c>
      <c r="W686" s="80">
        <v>1</v>
      </c>
      <c r="X686" s="80">
        <v>0</v>
      </c>
      <c r="Y686" s="80">
        <v>0</v>
      </c>
      <c r="Z686" s="80">
        <v>1</v>
      </c>
      <c r="AA686" s="80">
        <v>2</v>
      </c>
      <c r="AB686" s="80">
        <v>1</v>
      </c>
      <c r="AC686" s="80">
        <v>1</v>
      </c>
      <c r="AD686" s="80">
        <v>0</v>
      </c>
      <c r="AE686" s="80">
        <v>1</v>
      </c>
      <c r="AF686" s="80">
        <v>1</v>
      </c>
      <c r="AG686" s="81">
        <v>1</v>
      </c>
      <c r="AH686" s="80">
        <v>1</v>
      </c>
      <c r="AI686" s="81">
        <v>0</v>
      </c>
      <c r="AJ686" s="81">
        <v>0</v>
      </c>
      <c r="AK686" s="81">
        <v>0</v>
      </c>
      <c r="AL686" s="81">
        <v>0</v>
      </c>
      <c r="AM686" s="81">
        <v>2</v>
      </c>
      <c r="AN686" s="81">
        <v>1</v>
      </c>
      <c r="AO686" s="81">
        <v>1</v>
      </c>
    </row>
    <row r="687" spans="1:41" ht="15.75" x14ac:dyDescent="0.25">
      <c r="A687" s="84"/>
      <c r="B687" s="84"/>
      <c r="C687" s="84"/>
      <c r="D687" s="80" t="s">
        <v>247</v>
      </c>
      <c r="E687" s="80">
        <v>0</v>
      </c>
      <c r="F687" s="80">
        <v>0</v>
      </c>
      <c r="G687" s="80">
        <v>0</v>
      </c>
      <c r="H687" s="80">
        <v>0</v>
      </c>
      <c r="I687" s="80">
        <v>0</v>
      </c>
      <c r="J687" s="80">
        <v>0</v>
      </c>
      <c r="K687" s="80">
        <v>0</v>
      </c>
      <c r="L687" s="80">
        <v>0</v>
      </c>
      <c r="M687" s="80">
        <v>0</v>
      </c>
      <c r="N687" s="80">
        <v>0</v>
      </c>
      <c r="O687" s="80">
        <v>0</v>
      </c>
      <c r="P687" s="80">
        <v>0</v>
      </c>
      <c r="Q687" s="80">
        <v>0</v>
      </c>
      <c r="R687" s="80">
        <v>0</v>
      </c>
      <c r="S687" s="80">
        <v>0</v>
      </c>
      <c r="T687" s="80">
        <v>0</v>
      </c>
      <c r="U687" s="80">
        <v>0</v>
      </c>
      <c r="V687" s="80">
        <v>0</v>
      </c>
      <c r="W687" s="80">
        <v>0</v>
      </c>
      <c r="X687" s="80">
        <v>0</v>
      </c>
      <c r="Y687" s="80">
        <v>0</v>
      </c>
      <c r="Z687" s="80">
        <v>0</v>
      </c>
      <c r="AA687" s="80">
        <v>0</v>
      </c>
      <c r="AB687" s="80">
        <v>0</v>
      </c>
      <c r="AC687" s="80">
        <v>0</v>
      </c>
      <c r="AD687" s="80">
        <v>0</v>
      </c>
      <c r="AE687" s="80">
        <v>0</v>
      </c>
      <c r="AF687" s="80">
        <v>0</v>
      </c>
      <c r="AG687" s="81">
        <v>0</v>
      </c>
      <c r="AH687" s="80">
        <v>0</v>
      </c>
      <c r="AI687" s="81">
        <v>0</v>
      </c>
      <c r="AJ687" s="81">
        <v>0</v>
      </c>
      <c r="AK687" s="81">
        <v>0</v>
      </c>
      <c r="AL687" s="81">
        <v>0</v>
      </c>
      <c r="AM687" s="81">
        <v>0</v>
      </c>
      <c r="AN687" s="81">
        <v>0</v>
      </c>
      <c r="AO687" s="81">
        <v>0</v>
      </c>
    </row>
    <row r="688" spans="1:41" ht="15.75" x14ac:dyDescent="0.25">
      <c r="A688" s="84"/>
      <c r="B688" s="84"/>
      <c r="C688" s="84"/>
      <c r="D688" s="80" t="s">
        <v>248</v>
      </c>
      <c r="E688" s="80">
        <v>0</v>
      </c>
      <c r="F688" s="80">
        <v>0</v>
      </c>
      <c r="G688" s="80">
        <v>0</v>
      </c>
      <c r="H688" s="80">
        <v>1</v>
      </c>
      <c r="I688" s="80">
        <v>1</v>
      </c>
      <c r="J688" s="80">
        <v>1</v>
      </c>
      <c r="K688" s="80">
        <v>0</v>
      </c>
      <c r="L688" s="80">
        <v>1</v>
      </c>
      <c r="M688" s="80">
        <v>0</v>
      </c>
      <c r="N688" s="80">
        <v>0</v>
      </c>
      <c r="O688" s="80">
        <v>1</v>
      </c>
      <c r="P688" s="80">
        <v>0</v>
      </c>
      <c r="Q688" s="80">
        <v>0</v>
      </c>
      <c r="R688" s="80">
        <v>1</v>
      </c>
      <c r="S688" s="80">
        <v>0</v>
      </c>
      <c r="T688" s="80">
        <v>1</v>
      </c>
      <c r="U688" s="80">
        <v>2</v>
      </c>
      <c r="V688" s="80">
        <v>1</v>
      </c>
      <c r="W688" s="80">
        <v>1</v>
      </c>
      <c r="X688" s="80">
        <v>0</v>
      </c>
      <c r="Y688" s="80">
        <v>0</v>
      </c>
      <c r="Z688" s="80">
        <v>1</v>
      </c>
      <c r="AA688" s="80">
        <v>2</v>
      </c>
      <c r="AB688" s="80">
        <v>0</v>
      </c>
      <c r="AC688" s="80">
        <v>0</v>
      </c>
      <c r="AD688" s="80">
        <v>0</v>
      </c>
      <c r="AE688" s="80">
        <v>0</v>
      </c>
      <c r="AF688" s="80">
        <v>0</v>
      </c>
      <c r="AG688" s="81">
        <v>1</v>
      </c>
      <c r="AH688" s="80">
        <v>0</v>
      </c>
      <c r="AI688" s="81">
        <v>0</v>
      </c>
      <c r="AJ688" s="81">
        <v>0</v>
      </c>
      <c r="AK688" s="81">
        <v>0</v>
      </c>
      <c r="AL688" s="81">
        <v>0</v>
      </c>
      <c r="AM688" s="81">
        <v>2</v>
      </c>
      <c r="AN688" s="81">
        <v>1</v>
      </c>
      <c r="AO688" s="81">
        <v>1</v>
      </c>
    </row>
    <row r="689" spans="1:41" ht="15.75" x14ac:dyDescent="0.25">
      <c r="A689" s="84"/>
      <c r="B689" s="84"/>
      <c r="C689" s="84"/>
      <c r="D689" s="80" t="s">
        <v>258</v>
      </c>
      <c r="E689" s="80">
        <v>0</v>
      </c>
      <c r="F689" s="80">
        <v>0</v>
      </c>
      <c r="G689" s="80">
        <v>0</v>
      </c>
      <c r="H689" s="80">
        <v>0</v>
      </c>
      <c r="I689" s="80">
        <v>1</v>
      </c>
      <c r="J689" s="80">
        <v>0</v>
      </c>
      <c r="K689" s="80">
        <v>0</v>
      </c>
      <c r="L689" s="80">
        <v>0</v>
      </c>
      <c r="M689" s="80">
        <v>0</v>
      </c>
      <c r="N689" s="80">
        <v>0</v>
      </c>
      <c r="O689" s="80">
        <v>0</v>
      </c>
      <c r="P689" s="80">
        <v>0</v>
      </c>
      <c r="Q689" s="80">
        <v>1</v>
      </c>
      <c r="R689" s="80">
        <v>0</v>
      </c>
      <c r="S689" s="80">
        <v>0</v>
      </c>
      <c r="T689" s="80">
        <v>0</v>
      </c>
      <c r="U689" s="80">
        <v>0</v>
      </c>
      <c r="V689" s="80">
        <v>0</v>
      </c>
      <c r="W689" s="80">
        <v>0</v>
      </c>
      <c r="X689" s="80">
        <v>0</v>
      </c>
      <c r="Y689" s="80">
        <v>0</v>
      </c>
      <c r="Z689" s="80">
        <v>0</v>
      </c>
      <c r="AA689" s="80">
        <v>0</v>
      </c>
      <c r="AB689" s="80">
        <v>1</v>
      </c>
      <c r="AC689" s="80">
        <v>1</v>
      </c>
      <c r="AD689" s="80">
        <v>0</v>
      </c>
      <c r="AE689" s="80">
        <v>1</v>
      </c>
      <c r="AF689" s="80">
        <v>1</v>
      </c>
      <c r="AG689" s="80">
        <v>0</v>
      </c>
      <c r="AH689" s="80">
        <v>1</v>
      </c>
      <c r="AI689" s="80">
        <v>0</v>
      </c>
      <c r="AJ689" s="80">
        <v>0</v>
      </c>
      <c r="AK689" s="80">
        <v>0</v>
      </c>
      <c r="AL689" s="80">
        <v>0</v>
      </c>
      <c r="AM689" s="81">
        <v>0</v>
      </c>
      <c r="AN689" s="81">
        <v>0</v>
      </c>
      <c r="AO689" s="81">
        <v>0</v>
      </c>
    </row>
    <row r="690" spans="1:41" ht="15.75" x14ac:dyDescent="0.25">
      <c r="A690" s="84">
        <v>8</v>
      </c>
      <c r="B690" s="84"/>
      <c r="C690" s="84" t="s">
        <v>250</v>
      </c>
      <c r="D690" s="80" t="s">
        <v>245</v>
      </c>
      <c r="E690" s="80">
        <v>0</v>
      </c>
      <c r="F690" s="80">
        <v>0</v>
      </c>
      <c r="G690" s="80">
        <v>0</v>
      </c>
      <c r="H690" s="80">
        <v>1</v>
      </c>
      <c r="I690" s="80">
        <v>0</v>
      </c>
      <c r="J690" s="80">
        <v>1</v>
      </c>
      <c r="K690" s="80">
        <v>0</v>
      </c>
      <c r="L690" s="80">
        <v>0</v>
      </c>
      <c r="M690" s="80">
        <v>0</v>
      </c>
      <c r="N690" s="80">
        <v>0</v>
      </c>
      <c r="O690" s="80">
        <v>1</v>
      </c>
      <c r="P690" s="80">
        <v>0</v>
      </c>
      <c r="Q690" s="80">
        <v>1</v>
      </c>
      <c r="R690" s="80">
        <v>0</v>
      </c>
      <c r="S690" s="80">
        <v>0</v>
      </c>
      <c r="T690" s="80">
        <v>0</v>
      </c>
      <c r="U690" s="80">
        <v>1</v>
      </c>
      <c r="V690" s="80">
        <v>1</v>
      </c>
      <c r="W690" s="80">
        <v>1</v>
      </c>
      <c r="X690" s="80">
        <v>0</v>
      </c>
      <c r="Y690" s="80">
        <v>0</v>
      </c>
      <c r="Z690" s="80">
        <v>0</v>
      </c>
      <c r="AA690" s="80">
        <v>2</v>
      </c>
      <c r="AB690" s="80">
        <v>2</v>
      </c>
      <c r="AC690" s="80">
        <v>0</v>
      </c>
      <c r="AD690" s="80">
        <v>0</v>
      </c>
      <c r="AE690" s="80">
        <v>0</v>
      </c>
      <c r="AF690" s="80">
        <v>0</v>
      </c>
      <c r="AG690" s="81">
        <v>1</v>
      </c>
      <c r="AH690" s="80">
        <v>0</v>
      </c>
      <c r="AI690" s="81">
        <v>0</v>
      </c>
      <c r="AJ690" s="81">
        <v>0</v>
      </c>
      <c r="AK690" s="81">
        <v>0</v>
      </c>
      <c r="AL690" s="81">
        <v>0</v>
      </c>
      <c r="AM690" s="81">
        <v>3</v>
      </c>
      <c r="AN690" s="81">
        <v>0</v>
      </c>
      <c r="AO690" s="81">
        <v>0</v>
      </c>
    </row>
    <row r="691" spans="1:41" ht="15.75" x14ac:dyDescent="0.25">
      <c r="A691" s="84"/>
      <c r="B691" s="84"/>
      <c r="C691" s="84"/>
      <c r="D691" s="80" t="s">
        <v>246</v>
      </c>
      <c r="E691" s="80">
        <v>0</v>
      </c>
      <c r="F691" s="80">
        <v>0</v>
      </c>
      <c r="G691" s="80">
        <v>0</v>
      </c>
      <c r="H691" s="80">
        <v>1</v>
      </c>
      <c r="I691" s="80">
        <v>0</v>
      </c>
      <c r="J691" s="80">
        <v>1</v>
      </c>
      <c r="K691" s="80">
        <v>0</v>
      </c>
      <c r="L691" s="80">
        <v>0</v>
      </c>
      <c r="M691" s="80">
        <v>0</v>
      </c>
      <c r="N691" s="80">
        <v>0</v>
      </c>
      <c r="O691" s="80">
        <v>1</v>
      </c>
      <c r="P691" s="80">
        <v>0</v>
      </c>
      <c r="Q691" s="80">
        <v>1</v>
      </c>
      <c r="R691" s="80">
        <v>0</v>
      </c>
      <c r="S691" s="80">
        <v>0</v>
      </c>
      <c r="T691" s="80">
        <v>0</v>
      </c>
      <c r="U691" s="80">
        <v>1</v>
      </c>
      <c r="V691" s="80">
        <v>1</v>
      </c>
      <c r="W691" s="80">
        <v>1</v>
      </c>
      <c r="X691" s="80">
        <v>0</v>
      </c>
      <c r="Y691" s="80">
        <v>0</v>
      </c>
      <c r="Z691" s="80">
        <v>0</v>
      </c>
      <c r="AA691" s="80">
        <v>2</v>
      </c>
      <c r="AB691" s="80">
        <v>2</v>
      </c>
      <c r="AC691" s="80">
        <v>0</v>
      </c>
      <c r="AD691" s="80">
        <v>0</v>
      </c>
      <c r="AE691" s="80">
        <v>0</v>
      </c>
      <c r="AF691" s="80">
        <v>0</v>
      </c>
      <c r="AG691" s="81">
        <v>1</v>
      </c>
      <c r="AH691" s="80">
        <v>0</v>
      </c>
      <c r="AI691" s="81">
        <v>0</v>
      </c>
      <c r="AJ691" s="81">
        <v>0</v>
      </c>
      <c r="AK691" s="81">
        <v>0</v>
      </c>
      <c r="AL691" s="81">
        <v>0</v>
      </c>
      <c r="AM691" s="81">
        <v>3</v>
      </c>
      <c r="AN691" s="81">
        <v>0</v>
      </c>
      <c r="AO691" s="81">
        <v>0</v>
      </c>
    </row>
    <row r="692" spans="1:41" ht="15.75" x14ac:dyDescent="0.25">
      <c r="A692" s="84"/>
      <c r="B692" s="84"/>
      <c r="C692" s="84"/>
      <c r="D692" s="80" t="s">
        <v>247</v>
      </c>
      <c r="E692" s="80">
        <v>0</v>
      </c>
      <c r="F692" s="80">
        <v>0</v>
      </c>
      <c r="G692" s="80">
        <v>0</v>
      </c>
      <c r="H692" s="80">
        <v>0</v>
      </c>
      <c r="I692" s="80">
        <v>0</v>
      </c>
      <c r="J692" s="80">
        <v>0</v>
      </c>
      <c r="K692" s="80">
        <v>0</v>
      </c>
      <c r="L692" s="80">
        <v>0</v>
      </c>
      <c r="M692" s="80">
        <v>0</v>
      </c>
      <c r="N692" s="80">
        <v>0</v>
      </c>
      <c r="O692" s="80">
        <v>0</v>
      </c>
      <c r="P692" s="80">
        <v>0</v>
      </c>
      <c r="Q692" s="80">
        <v>0</v>
      </c>
      <c r="R692" s="80">
        <v>0</v>
      </c>
      <c r="S692" s="80">
        <v>0</v>
      </c>
      <c r="T692" s="80">
        <v>0</v>
      </c>
      <c r="U692" s="80">
        <v>0</v>
      </c>
      <c r="V692" s="80">
        <v>0</v>
      </c>
      <c r="W692" s="80">
        <v>0</v>
      </c>
      <c r="X692" s="80">
        <v>0</v>
      </c>
      <c r="Y692" s="80">
        <v>0</v>
      </c>
      <c r="Z692" s="80">
        <v>0</v>
      </c>
      <c r="AA692" s="80">
        <v>0</v>
      </c>
      <c r="AB692" s="80">
        <v>0</v>
      </c>
      <c r="AC692" s="80">
        <v>0</v>
      </c>
      <c r="AD692" s="80">
        <v>0</v>
      </c>
      <c r="AE692" s="80">
        <v>0</v>
      </c>
      <c r="AF692" s="80">
        <v>0</v>
      </c>
      <c r="AG692" s="81">
        <v>0</v>
      </c>
      <c r="AH692" s="80">
        <v>0</v>
      </c>
      <c r="AI692" s="81">
        <v>0</v>
      </c>
      <c r="AJ692" s="81">
        <v>0</v>
      </c>
      <c r="AK692" s="81">
        <v>0</v>
      </c>
      <c r="AL692" s="81">
        <v>0</v>
      </c>
      <c r="AM692" s="81">
        <v>0</v>
      </c>
      <c r="AN692" s="81">
        <v>0</v>
      </c>
      <c r="AO692" s="81">
        <v>0</v>
      </c>
    </row>
    <row r="693" spans="1:41" ht="15.75" x14ac:dyDescent="0.25">
      <c r="A693" s="84"/>
      <c r="B693" s="84"/>
      <c r="C693" s="84"/>
      <c r="D693" s="80" t="s">
        <v>248</v>
      </c>
      <c r="E693" s="80">
        <v>0</v>
      </c>
      <c r="F693" s="80">
        <v>0</v>
      </c>
      <c r="G693" s="80">
        <v>0</v>
      </c>
      <c r="H693" s="80">
        <v>1</v>
      </c>
      <c r="I693" s="80">
        <v>0</v>
      </c>
      <c r="J693" s="80">
        <v>1</v>
      </c>
      <c r="K693" s="80">
        <v>0</v>
      </c>
      <c r="L693" s="80">
        <v>0</v>
      </c>
      <c r="M693" s="80">
        <v>0</v>
      </c>
      <c r="N693" s="80">
        <v>0</v>
      </c>
      <c r="O693" s="80">
        <v>1</v>
      </c>
      <c r="P693" s="80">
        <v>0</v>
      </c>
      <c r="Q693" s="80">
        <v>1</v>
      </c>
      <c r="R693" s="80">
        <v>0</v>
      </c>
      <c r="S693" s="80">
        <v>0</v>
      </c>
      <c r="T693" s="80">
        <v>0</v>
      </c>
      <c r="U693" s="80">
        <v>1</v>
      </c>
      <c r="V693" s="80">
        <v>1</v>
      </c>
      <c r="W693" s="80">
        <v>1</v>
      </c>
      <c r="X693" s="80">
        <v>0</v>
      </c>
      <c r="Y693" s="80">
        <v>0</v>
      </c>
      <c r="Z693" s="80">
        <v>0</v>
      </c>
      <c r="AA693" s="80">
        <v>2</v>
      </c>
      <c r="AB693" s="80">
        <v>2</v>
      </c>
      <c r="AC693" s="80">
        <v>0</v>
      </c>
      <c r="AD693" s="80">
        <v>0</v>
      </c>
      <c r="AE693" s="80">
        <v>0</v>
      </c>
      <c r="AF693" s="80">
        <v>0</v>
      </c>
      <c r="AG693" s="81">
        <v>1</v>
      </c>
      <c r="AH693" s="80">
        <v>0</v>
      </c>
      <c r="AI693" s="81">
        <v>0</v>
      </c>
      <c r="AJ693" s="81">
        <v>0</v>
      </c>
      <c r="AK693" s="81">
        <v>0</v>
      </c>
      <c r="AL693" s="81">
        <v>0</v>
      </c>
      <c r="AM693" s="81">
        <v>2</v>
      </c>
      <c r="AN693" s="81">
        <v>0</v>
      </c>
      <c r="AO693" s="81">
        <v>0</v>
      </c>
    </row>
    <row r="694" spans="1:41" ht="15.75" x14ac:dyDescent="0.25">
      <c r="A694" s="84"/>
      <c r="B694" s="84"/>
      <c r="C694" s="84"/>
      <c r="D694" s="80" t="s">
        <v>258</v>
      </c>
      <c r="E694" s="80">
        <v>0</v>
      </c>
      <c r="F694" s="80">
        <v>0</v>
      </c>
      <c r="G694" s="80">
        <v>0</v>
      </c>
      <c r="H694" s="80">
        <v>0</v>
      </c>
      <c r="I694" s="80">
        <v>0</v>
      </c>
      <c r="J694" s="80">
        <v>0</v>
      </c>
      <c r="K694" s="80">
        <v>0</v>
      </c>
      <c r="L694" s="80">
        <v>0</v>
      </c>
      <c r="M694" s="80">
        <v>0</v>
      </c>
      <c r="N694" s="80">
        <v>0</v>
      </c>
      <c r="O694" s="80">
        <v>0</v>
      </c>
      <c r="P694" s="80">
        <v>0</v>
      </c>
      <c r="Q694" s="80">
        <v>0</v>
      </c>
      <c r="R694" s="80">
        <v>0</v>
      </c>
      <c r="S694" s="80">
        <v>0</v>
      </c>
      <c r="T694" s="80">
        <v>0</v>
      </c>
      <c r="U694" s="80">
        <v>0</v>
      </c>
      <c r="V694" s="80">
        <v>0</v>
      </c>
      <c r="W694" s="80">
        <v>0</v>
      </c>
      <c r="X694" s="80">
        <v>0</v>
      </c>
      <c r="Y694" s="80">
        <v>0</v>
      </c>
      <c r="Z694" s="80">
        <v>0</v>
      </c>
      <c r="AA694" s="80">
        <v>0</v>
      </c>
      <c r="AB694" s="80">
        <v>0</v>
      </c>
      <c r="AC694" s="80">
        <v>0</v>
      </c>
      <c r="AD694" s="80">
        <v>0</v>
      </c>
      <c r="AE694" s="80">
        <v>0</v>
      </c>
      <c r="AF694" s="80">
        <v>0</v>
      </c>
      <c r="AG694" s="80">
        <v>0</v>
      </c>
      <c r="AH694" s="80">
        <v>0</v>
      </c>
      <c r="AI694" s="80">
        <v>0</v>
      </c>
      <c r="AJ694" s="80">
        <v>0</v>
      </c>
      <c r="AK694" s="80">
        <v>0</v>
      </c>
      <c r="AL694" s="80">
        <v>0</v>
      </c>
      <c r="AM694" s="81">
        <v>1</v>
      </c>
      <c r="AN694" s="81">
        <v>0</v>
      </c>
      <c r="AO694" s="81">
        <v>0</v>
      </c>
    </row>
    <row r="695" spans="1:41" ht="15.75" x14ac:dyDescent="0.25">
      <c r="A695" s="84">
        <v>9</v>
      </c>
      <c r="B695" s="84"/>
      <c r="C695" s="84" t="s">
        <v>173</v>
      </c>
      <c r="D695" s="80" t="s">
        <v>245</v>
      </c>
      <c r="E695" s="80">
        <v>0</v>
      </c>
      <c r="F695" s="80">
        <v>0</v>
      </c>
      <c r="G695" s="80">
        <v>0</v>
      </c>
      <c r="H695" s="80">
        <v>0</v>
      </c>
      <c r="I695" s="80">
        <v>2</v>
      </c>
      <c r="J695" s="80">
        <v>1</v>
      </c>
      <c r="K695" s="80">
        <v>0</v>
      </c>
      <c r="L695" s="80">
        <v>0</v>
      </c>
      <c r="M695" s="80">
        <v>0</v>
      </c>
      <c r="N695" s="80">
        <v>1</v>
      </c>
      <c r="O695" s="80">
        <v>1</v>
      </c>
      <c r="P695" s="80">
        <v>0</v>
      </c>
      <c r="Q695" s="80">
        <v>1</v>
      </c>
      <c r="R695" s="80">
        <v>0</v>
      </c>
      <c r="S695" s="80">
        <v>0</v>
      </c>
      <c r="T695" s="80">
        <v>0</v>
      </c>
      <c r="U695" s="80">
        <v>1</v>
      </c>
      <c r="V695" s="80">
        <v>1</v>
      </c>
      <c r="W695" s="80">
        <v>0</v>
      </c>
      <c r="X695" s="80">
        <v>1</v>
      </c>
      <c r="Y695" s="80">
        <v>0</v>
      </c>
      <c r="Z695" s="80">
        <v>3</v>
      </c>
      <c r="AA695" s="80">
        <v>1</v>
      </c>
      <c r="AB695" s="80">
        <v>0</v>
      </c>
      <c r="AC695" s="80">
        <v>0</v>
      </c>
      <c r="AD695" s="80">
        <v>1</v>
      </c>
      <c r="AE695" s="80">
        <v>0</v>
      </c>
      <c r="AF695" s="80">
        <v>0</v>
      </c>
      <c r="AG695" s="80">
        <v>0</v>
      </c>
      <c r="AH695" s="80">
        <v>0</v>
      </c>
      <c r="AI695" s="80">
        <v>1</v>
      </c>
      <c r="AJ695" s="80">
        <v>0</v>
      </c>
      <c r="AK695" s="80">
        <v>0</v>
      </c>
      <c r="AL695" s="80">
        <v>0</v>
      </c>
      <c r="AM695" s="80">
        <v>0</v>
      </c>
      <c r="AN695" s="80">
        <v>0</v>
      </c>
      <c r="AO695" s="80">
        <v>0</v>
      </c>
    </row>
    <row r="696" spans="1:41" ht="15.75" x14ac:dyDescent="0.25">
      <c r="A696" s="84"/>
      <c r="B696" s="84"/>
      <c r="C696" s="84"/>
      <c r="D696" s="80" t="s">
        <v>246</v>
      </c>
      <c r="E696" s="80">
        <v>0</v>
      </c>
      <c r="F696" s="80">
        <v>0</v>
      </c>
      <c r="G696" s="80">
        <v>0</v>
      </c>
      <c r="H696" s="80">
        <v>0</v>
      </c>
      <c r="I696" s="80">
        <v>2</v>
      </c>
      <c r="J696" s="80">
        <v>1</v>
      </c>
      <c r="K696" s="80">
        <v>0</v>
      </c>
      <c r="L696" s="80">
        <v>0</v>
      </c>
      <c r="M696" s="80">
        <v>0</v>
      </c>
      <c r="N696" s="80">
        <v>1</v>
      </c>
      <c r="O696" s="80">
        <v>1</v>
      </c>
      <c r="P696" s="80">
        <v>0</v>
      </c>
      <c r="Q696" s="80">
        <v>1</v>
      </c>
      <c r="R696" s="80">
        <v>0</v>
      </c>
      <c r="S696" s="80">
        <v>0</v>
      </c>
      <c r="T696" s="80">
        <v>0</v>
      </c>
      <c r="U696" s="80">
        <v>1</v>
      </c>
      <c r="V696" s="80">
        <v>1</v>
      </c>
      <c r="W696" s="80">
        <v>0</v>
      </c>
      <c r="X696" s="80">
        <v>1</v>
      </c>
      <c r="Y696" s="80">
        <v>0</v>
      </c>
      <c r="Z696" s="80">
        <v>3</v>
      </c>
      <c r="AA696" s="80">
        <v>1</v>
      </c>
      <c r="AB696" s="80">
        <v>0</v>
      </c>
      <c r="AC696" s="80">
        <v>0</v>
      </c>
      <c r="AD696" s="80">
        <v>1</v>
      </c>
      <c r="AE696" s="80">
        <v>0</v>
      </c>
      <c r="AF696" s="80">
        <v>0</v>
      </c>
      <c r="AG696" s="81">
        <v>0</v>
      </c>
      <c r="AH696" s="80">
        <v>0</v>
      </c>
      <c r="AI696" s="81">
        <v>1</v>
      </c>
      <c r="AJ696" s="81">
        <v>0</v>
      </c>
      <c r="AK696" s="81">
        <v>0</v>
      </c>
      <c r="AL696" s="81">
        <v>0</v>
      </c>
      <c r="AM696" s="81">
        <v>0</v>
      </c>
      <c r="AN696" s="81">
        <v>0</v>
      </c>
      <c r="AO696" s="81">
        <v>0</v>
      </c>
    </row>
    <row r="697" spans="1:41" ht="15.75" x14ac:dyDescent="0.25">
      <c r="A697" s="84"/>
      <c r="B697" s="84"/>
      <c r="C697" s="84"/>
      <c r="D697" s="80" t="s">
        <v>247</v>
      </c>
      <c r="E697" s="80">
        <v>0</v>
      </c>
      <c r="F697" s="80">
        <v>0</v>
      </c>
      <c r="G697" s="80">
        <v>0</v>
      </c>
      <c r="H697" s="80">
        <v>0</v>
      </c>
      <c r="I697" s="80">
        <v>0</v>
      </c>
      <c r="J697" s="80">
        <v>0</v>
      </c>
      <c r="K697" s="80">
        <v>0</v>
      </c>
      <c r="L697" s="80">
        <v>0</v>
      </c>
      <c r="M697" s="80">
        <v>0</v>
      </c>
      <c r="N697" s="80">
        <v>0</v>
      </c>
      <c r="O697" s="80">
        <v>0</v>
      </c>
      <c r="P697" s="80">
        <v>0</v>
      </c>
      <c r="Q697" s="80">
        <v>0</v>
      </c>
      <c r="R697" s="80">
        <v>0</v>
      </c>
      <c r="S697" s="80">
        <v>0</v>
      </c>
      <c r="T697" s="80">
        <v>0</v>
      </c>
      <c r="U697" s="80">
        <v>0</v>
      </c>
      <c r="V697" s="80">
        <v>0</v>
      </c>
      <c r="W697" s="80">
        <v>0</v>
      </c>
      <c r="X697" s="80">
        <v>0</v>
      </c>
      <c r="Y697" s="80">
        <v>0</v>
      </c>
      <c r="Z697" s="80">
        <v>0</v>
      </c>
      <c r="AA697" s="80">
        <v>0</v>
      </c>
      <c r="AB697" s="80">
        <v>0</v>
      </c>
      <c r="AC697" s="80">
        <v>0</v>
      </c>
      <c r="AD697" s="80">
        <v>0</v>
      </c>
      <c r="AE697" s="80">
        <v>0</v>
      </c>
      <c r="AF697" s="80">
        <v>0</v>
      </c>
      <c r="AG697" s="81">
        <v>0</v>
      </c>
      <c r="AH697" s="80">
        <v>0</v>
      </c>
      <c r="AI697" s="81">
        <v>0</v>
      </c>
      <c r="AJ697" s="81">
        <v>0</v>
      </c>
      <c r="AK697" s="81">
        <v>0</v>
      </c>
      <c r="AL697" s="81">
        <v>0</v>
      </c>
      <c r="AM697" s="81">
        <v>0</v>
      </c>
      <c r="AN697" s="81">
        <v>0</v>
      </c>
      <c r="AO697" s="81">
        <v>0</v>
      </c>
    </row>
    <row r="698" spans="1:41" ht="15.75" x14ac:dyDescent="0.25">
      <c r="A698" s="84"/>
      <c r="B698" s="84"/>
      <c r="C698" s="84"/>
      <c r="D698" s="80" t="s">
        <v>248</v>
      </c>
      <c r="E698" s="80">
        <v>0</v>
      </c>
      <c r="F698" s="80">
        <v>0</v>
      </c>
      <c r="G698" s="80">
        <v>0</v>
      </c>
      <c r="H698" s="80">
        <v>0</v>
      </c>
      <c r="I698" s="80">
        <v>2</v>
      </c>
      <c r="J698" s="80">
        <v>1</v>
      </c>
      <c r="K698" s="80">
        <v>0</v>
      </c>
      <c r="L698" s="80">
        <v>0</v>
      </c>
      <c r="M698" s="80">
        <v>0</v>
      </c>
      <c r="N698" s="80">
        <v>0</v>
      </c>
      <c r="O698" s="80">
        <v>1</v>
      </c>
      <c r="P698" s="80">
        <v>0</v>
      </c>
      <c r="Q698" s="80">
        <v>1</v>
      </c>
      <c r="R698" s="80">
        <v>0</v>
      </c>
      <c r="S698" s="80">
        <v>0</v>
      </c>
      <c r="T698" s="80">
        <v>0</v>
      </c>
      <c r="U698" s="80">
        <v>1</v>
      </c>
      <c r="V698" s="80">
        <v>1</v>
      </c>
      <c r="W698" s="80">
        <v>0</v>
      </c>
      <c r="X698" s="80">
        <v>1</v>
      </c>
      <c r="Y698" s="80">
        <v>0</v>
      </c>
      <c r="Z698" s="80">
        <v>3</v>
      </c>
      <c r="AA698" s="80">
        <v>1</v>
      </c>
      <c r="AB698" s="80">
        <v>0</v>
      </c>
      <c r="AC698" s="80">
        <v>0</v>
      </c>
      <c r="AD698" s="80">
        <v>1</v>
      </c>
      <c r="AE698" s="80">
        <v>0</v>
      </c>
      <c r="AF698" s="80">
        <v>0</v>
      </c>
      <c r="AG698" s="81">
        <v>0</v>
      </c>
      <c r="AH698" s="80">
        <v>0</v>
      </c>
      <c r="AI698" s="81">
        <v>1</v>
      </c>
      <c r="AJ698" s="81">
        <v>0</v>
      </c>
      <c r="AK698" s="81">
        <v>0</v>
      </c>
      <c r="AL698" s="81">
        <v>0</v>
      </c>
      <c r="AM698" s="81">
        <v>0</v>
      </c>
      <c r="AN698" s="81">
        <v>0</v>
      </c>
      <c r="AO698" s="81">
        <v>0</v>
      </c>
    </row>
    <row r="699" spans="1:41" ht="15.75" x14ac:dyDescent="0.25">
      <c r="A699" s="84"/>
      <c r="B699" s="84"/>
      <c r="C699" s="84"/>
      <c r="D699" s="80" t="s">
        <v>258</v>
      </c>
      <c r="E699" s="80">
        <v>0</v>
      </c>
      <c r="F699" s="80">
        <v>0</v>
      </c>
      <c r="G699" s="80">
        <v>0</v>
      </c>
      <c r="H699" s="80">
        <v>0</v>
      </c>
      <c r="I699" s="80">
        <v>0</v>
      </c>
      <c r="J699" s="80">
        <v>0</v>
      </c>
      <c r="K699" s="80">
        <v>0</v>
      </c>
      <c r="L699" s="80">
        <v>0</v>
      </c>
      <c r="M699" s="80">
        <v>0</v>
      </c>
      <c r="N699" s="80">
        <v>1</v>
      </c>
      <c r="O699" s="80">
        <v>0</v>
      </c>
      <c r="P699" s="80">
        <v>0</v>
      </c>
      <c r="Q699" s="80">
        <v>0</v>
      </c>
      <c r="R699" s="80">
        <v>0</v>
      </c>
      <c r="S699" s="80">
        <v>0</v>
      </c>
      <c r="T699" s="80">
        <v>0</v>
      </c>
      <c r="U699" s="80">
        <v>0</v>
      </c>
      <c r="V699" s="80">
        <v>0</v>
      </c>
      <c r="W699" s="80">
        <v>0</v>
      </c>
      <c r="X699" s="80">
        <v>0</v>
      </c>
      <c r="Y699" s="80">
        <v>0</v>
      </c>
      <c r="Z699" s="80">
        <v>0</v>
      </c>
      <c r="AA699" s="80">
        <v>0</v>
      </c>
      <c r="AB699" s="80">
        <v>0</v>
      </c>
      <c r="AC699" s="80">
        <v>0</v>
      </c>
      <c r="AD699" s="80">
        <v>0</v>
      </c>
      <c r="AE699" s="80">
        <v>0</v>
      </c>
      <c r="AF699" s="80">
        <v>0</v>
      </c>
      <c r="AG699" s="80">
        <v>0</v>
      </c>
      <c r="AH699" s="80">
        <v>0</v>
      </c>
      <c r="AI699" s="80">
        <v>0</v>
      </c>
      <c r="AJ699" s="80">
        <v>0</v>
      </c>
      <c r="AK699" s="80">
        <v>0</v>
      </c>
      <c r="AL699" s="80">
        <v>0</v>
      </c>
      <c r="AM699" s="81">
        <v>0</v>
      </c>
      <c r="AN699" s="81">
        <v>0</v>
      </c>
      <c r="AO699" s="81">
        <v>0</v>
      </c>
    </row>
    <row r="700" spans="1:41" ht="15.75" x14ac:dyDescent="0.25">
      <c r="A700" s="84">
        <v>10</v>
      </c>
      <c r="B700" s="84"/>
      <c r="C700" s="84" t="s">
        <v>174</v>
      </c>
      <c r="D700" s="80" t="s">
        <v>245</v>
      </c>
      <c r="E700" s="80">
        <v>0</v>
      </c>
      <c r="F700" s="80">
        <v>0</v>
      </c>
      <c r="G700" s="80">
        <v>0</v>
      </c>
      <c r="H700" s="80">
        <v>2</v>
      </c>
      <c r="I700" s="80">
        <v>2</v>
      </c>
      <c r="J700" s="80">
        <v>1</v>
      </c>
      <c r="K700" s="80">
        <v>1</v>
      </c>
      <c r="L700" s="80">
        <v>1</v>
      </c>
      <c r="M700" s="80">
        <v>0</v>
      </c>
      <c r="N700" s="80">
        <v>1</v>
      </c>
      <c r="O700" s="80">
        <v>1</v>
      </c>
      <c r="P700" s="80">
        <v>0</v>
      </c>
      <c r="Q700" s="80">
        <v>1</v>
      </c>
      <c r="R700" s="80">
        <v>0</v>
      </c>
      <c r="S700" s="80">
        <v>0</v>
      </c>
      <c r="T700" s="80">
        <v>0</v>
      </c>
      <c r="U700" s="80">
        <v>1</v>
      </c>
      <c r="V700" s="80">
        <v>1</v>
      </c>
      <c r="W700" s="80">
        <v>1</v>
      </c>
      <c r="X700" s="80">
        <v>1</v>
      </c>
      <c r="Y700" s="80">
        <v>0</v>
      </c>
      <c r="Z700" s="80">
        <v>2</v>
      </c>
      <c r="AA700" s="80">
        <v>2</v>
      </c>
      <c r="AB700" s="80">
        <v>0</v>
      </c>
      <c r="AC700" s="80">
        <v>0</v>
      </c>
      <c r="AD700" s="80">
        <v>0</v>
      </c>
      <c r="AE700" s="80">
        <v>1</v>
      </c>
      <c r="AF700" s="80">
        <v>0</v>
      </c>
      <c r="AG700" s="81">
        <v>1</v>
      </c>
      <c r="AH700" s="80">
        <v>0</v>
      </c>
      <c r="AI700" s="81">
        <v>0</v>
      </c>
      <c r="AJ700" s="81">
        <v>0</v>
      </c>
      <c r="AK700" s="81">
        <v>0</v>
      </c>
      <c r="AL700" s="81">
        <v>0</v>
      </c>
      <c r="AM700" s="81">
        <v>0</v>
      </c>
      <c r="AN700" s="81">
        <v>0</v>
      </c>
      <c r="AO700" s="81">
        <v>0</v>
      </c>
    </row>
    <row r="701" spans="1:41" ht="15.75" x14ac:dyDescent="0.25">
      <c r="A701" s="84"/>
      <c r="B701" s="84"/>
      <c r="C701" s="84"/>
      <c r="D701" s="80" t="s">
        <v>246</v>
      </c>
      <c r="E701" s="80">
        <v>0</v>
      </c>
      <c r="F701" s="80">
        <v>0</v>
      </c>
      <c r="G701" s="80">
        <v>0</v>
      </c>
      <c r="H701" s="80">
        <v>1</v>
      </c>
      <c r="I701" s="80">
        <v>2</v>
      </c>
      <c r="J701" s="80">
        <v>1</v>
      </c>
      <c r="K701" s="80">
        <v>1</v>
      </c>
      <c r="L701" s="80">
        <v>1</v>
      </c>
      <c r="M701" s="80">
        <v>0</v>
      </c>
      <c r="N701" s="80">
        <v>1</v>
      </c>
      <c r="O701" s="80">
        <v>1</v>
      </c>
      <c r="P701" s="80">
        <v>0</v>
      </c>
      <c r="Q701" s="80">
        <v>1</v>
      </c>
      <c r="R701" s="80">
        <v>0</v>
      </c>
      <c r="S701" s="80">
        <v>0</v>
      </c>
      <c r="T701" s="80">
        <v>0</v>
      </c>
      <c r="U701" s="80">
        <v>1</v>
      </c>
      <c r="V701" s="80">
        <v>1</v>
      </c>
      <c r="W701" s="80">
        <v>1</v>
      </c>
      <c r="X701" s="80">
        <v>1</v>
      </c>
      <c r="Y701" s="80">
        <v>0</v>
      </c>
      <c r="Z701" s="80">
        <v>2</v>
      </c>
      <c r="AA701" s="80">
        <v>2</v>
      </c>
      <c r="AB701" s="80">
        <v>0</v>
      </c>
      <c r="AC701" s="80">
        <v>0</v>
      </c>
      <c r="AD701" s="80">
        <v>0</v>
      </c>
      <c r="AE701" s="80">
        <v>1</v>
      </c>
      <c r="AF701" s="80">
        <v>0</v>
      </c>
      <c r="AG701" s="81">
        <v>1</v>
      </c>
      <c r="AH701" s="80">
        <v>0</v>
      </c>
      <c r="AI701" s="81">
        <v>0</v>
      </c>
      <c r="AJ701" s="81">
        <v>0</v>
      </c>
      <c r="AK701" s="81">
        <v>0</v>
      </c>
      <c r="AL701" s="81">
        <v>0</v>
      </c>
      <c r="AM701" s="81">
        <v>0</v>
      </c>
      <c r="AN701" s="81">
        <v>0</v>
      </c>
      <c r="AO701" s="81">
        <v>0</v>
      </c>
    </row>
    <row r="702" spans="1:41" ht="15.75" x14ac:dyDescent="0.25">
      <c r="A702" s="84"/>
      <c r="B702" s="84"/>
      <c r="C702" s="84"/>
      <c r="D702" s="80" t="s">
        <v>247</v>
      </c>
      <c r="E702" s="80">
        <v>0</v>
      </c>
      <c r="F702" s="80">
        <v>0</v>
      </c>
      <c r="G702" s="80">
        <v>0</v>
      </c>
      <c r="H702" s="80">
        <v>1</v>
      </c>
      <c r="I702" s="80">
        <v>0</v>
      </c>
      <c r="J702" s="80">
        <v>0</v>
      </c>
      <c r="K702" s="80">
        <v>0</v>
      </c>
      <c r="L702" s="80">
        <v>0</v>
      </c>
      <c r="M702" s="80">
        <v>0</v>
      </c>
      <c r="N702" s="80">
        <v>0</v>
      </c>
      <c r="O702" s="80">
        <v>0</v>
      </c>
      <c r="P702" s="80">
        <v>0</v>
      </c>
      <c r="Q702" s="80">
        <v>0</v>
      </c>
      <c r="R702" s="80">
        <v>0</v>
      </c>
      <c r="S702" s="80">
        <v>0</v>
      </c>
      <c r="T702" s="80">
        <v>0</v>
      </c>
      <c r="U702" s="80">
        <v>0</v>
      </c>
      <c r="V702" s="80">
        <v>0</v>
      </c>
      <c r="W702" s="80">
        <v>0</v>
      </c>
      <c r="X702" s="80">
        <v>0</v>
      </c>
      <c r="Y702" s="80">
        <v>0</v>
      </c>
      <c r="Z702" s="80">
        <v>0</v>
      </c>
      <c r="AA702" s="80">
        <v>0</v>
      </c>
      <c r="AB702" s="80">
        <v>0</v>
      </c>
      <c r="AC702" s="80">
        <v>0</v>
      </c>
      <c r="AD702" s="80">
        <v>0</v>
      </c>
      <c r="AE702" s="80">
        <v>0</v>
      </c>
      <c r="AF702" s="80">
        <v>0</v>
      </c>
      <c r="AG702" s="81">
        <v>0</v>
      </c>
      <c r="AH702" s="80">
        <v>0</v>
      </c>
      <c r="AI702" s="81">
        <v>0</v>
      </c>
      <c r="AJ702" s="81">
        <v>0</v>
      </c>
      <c r="AK702" s="81">
        <v>0</v>
      </c>
      <c r="AL702" s="81">
        <v>0</v>
      </c>
      <c r="AM702" s="81">
        <v>0</v>
      </c>
      <c r="AN702" s="81">
        <v>0</v>
      </c>
      <c r="AO702" s="81">
        <v>0</v>
      </c>
    </row>
    <row r="703" spans="1:41" ht="15.75" x14ac:dyDescent="0.25">
      <c r="A703" s="84"/>
      <c r="B703" s="84"/>
      <c r="C703" s="84"/>
      <c r="D703" s="80" t="s">
        <v>248</v>
      </c>
      <c r="E703" s="80">
        <v>0</v>
      </c>
      <c r="F703" s="80">
        <v>0</v>
      </c>
      <c r="G703" s="80">
        <v>0</v>
      </c>
      <c r="H703" s="80">
        <v>1</v>
      </c>
      <c r="I703" s="80">
        <v>1</v>
      </c>
      <c r="J703" s="80">
        <v>1</v>
      </c>
      <c r="K703" s="80">
        <v>0</v>
      </c>
      <c r="L703" s="80">
        <v>0</v>
      </c>
      <c r="M703" s="80">
        <v>0</v>
      </c>
      <c r="N703" s="80">
        <v>1</v>
      </c>
      <c r="O703" s="80">
        <v>1</v>
      </c>
      <c r="P703" s="80">
        <v>0</v>
      </c>
      <c r="Q703" s="80">
        <v>1</v>
      </c>
      <c r="R703" s="80">
        <v>0</v>
      </c>
      <c r="S703" s="80">
        <v>0</v>
      </c>
      <c r="T703" s="80">
        <v>0</v>
      </c>
      <c r="U703" s="80">
        <v>1</v>
      </c>
      <c r="V703" s="80">
        <v>1</v>
      </c>
      <c r="W703" s="80">
        <v>1</v>
      </c>
      <c r="X703" s="80">
        <v>1</v>
      </c>
      <c r="Y703" s="80">
        <v>0</v>
      </c>
      <c r="Z703" s="80">
        <v>2</v>
      </c>
      <c r="AA703" s="80">
        <v>2</v>
      </c>
      <c r="AB703" s="80">
        <v>0</v>
      </c>
      <c r="AC703" s="80">
        <v>0</v>
      </c>
      <c r="AD703" s="80">
        <v>0</v>
      </c>
      <c r="AE703" s="80">
        <v>1</v>
      </c>
      <c r="AF703" s="80">
        <v>0</v>
      </c>
      <c r="AG703" s="81">
        <v>1</v>
      </c>
      <c r="AH703" s="80">
        <v>0</v>
      </c>
      <c r="AI703" s="81">
        <v>0</v>
      </c>
      <c r="AJ703" s="81">
        <v>0</v>
      </c>
      <c r="AK703" s="81">
        <v>0</v>
      </c>
      <c r="AL703" s="81">
        <v>0</v>
      </c>
      <c r="AM703" s="81">
        <v>0</v>
      </c>
      <c r="AN703" s="81">
        <v>0</v>
      </c>
      <c r="AO703" s="81">
        <v>0</v>
      </c>
    </row>
    <row r="704" spans="1:41" ht="15.75" x14ac:dyDescent="0.25">
      <c r="A704" s="84"/>
      <c r="B704" s="84"/>
      <c r="C704" s="84"/>
      <c r="D704" s="80" t="s">
        <v>258</v>
      </c>
      <c r="E704" s="80">
        <v>0</v>
      </c>
      <c r="F704" s="80">
        <v>0</v>
      </c>
      <c r="G704" s="80">
        <v>0</v>
      </c>
      <c r="H704" s="80">
        <v>0</v>
      </c>
      <c r="I704" s="80">
        <v>1</v>
      </c>
      <c r="J704" s="80">
        <v>0</v>
      </c>
      <c r="K704" s="80">
        <v>1</v>
      </c>
      <c r="L704" s="80">
        <v>1</v>
      </c>
      <c r="M704" s="80">
        <v>0</v>
      </c>
      <c r="N704" s="80">
        <v>0</v>
      </c>
      <c r="O704" s="80">
        <v>0</v>
      </c>
      <c r="P704" s="80">
        <v>0</v>
      </c>
      <c r="Q704" s="80">
        <v>0</v>
      </c>
      <c r="R704" s="80">
        <v>0</v>
      </c>
      <c r="S704" s="80">
        <v>0</v>
      </c>
      <c r="T704" s="80">
        <v>0</v>
      </c>
      <c r="U704" s="80">
        <v>0</v>
      </c>
      <c r="V704" s="80">
        <v>0</v>
      </c>
      <c r="W704" s="80">
        <v>0</v>
      </c>
      <c r="X704" s="80">
        <v>0</v>
      </c>
      <c r="Y704" s="80">
        <v>0</v>
      </c>
      <c r="Z704" s="80">
        <v>0</v>
      </c>
      <c r="AA704" s="80">
        <v>0</v>
      </c>
      <c r="AB704" s="80">
        <v>0</v>
      </c>
      <c r="AC704" s="80">
        <v>0</v>
      </c>
      <c r="AD704" s="80">
        <v>0</v>
      </c>
      <c r="AE704" s="80">
        <v>0</v>
      </c>
      <c r="AF704" s="80">
        <v>0</v>
      </c>
      <c r="AG704" s="80">
        <v>0</v>
      </c>
      <c r="AH704" s="80">
        <v>0</v>
      </c>
      <c r="AI704" s="80">
        <v>0</v>
      </c>
      <c r="AJ704" s="80">
        <v>0</v>
      </c>
      <c r="AK704" s="80">
        <v>0</v>
      </c>
      <c r="AL704" s="80">
        <v>0</v>
      </c>
      <c r="AM704" s="81">
        <v>0</v>
      </c>
      <c r="AN704" s="81">
        <v>0</v>
      </c>
      <c r="AO704" s="81">
        <v>0</v>
      </c>
    </row>
    <row r="705" spans="1:41" ht="15.75" x14ac:dyDescent="0.25">
      <c r="A705" s="84">
        <v>11</v>
      </c>
      <c r="B705" s="147"/>
      <c r="C705" s="84" t="s">
        <v>141</v>
      </c>
      <c r="D705" s="80" t="s">
        <v>245</v>
      </c>
      <c r="E705" s="80">
        <v>0</v>
      </c>
      <c r="F705" s="80">
        <v>0</v>
      </c>
      <c r="G705" s="80">
        <v>0</v>
      </c>
      <c r="H705" s="80">
        <v>2</v>
      </c>
      <c r="I705" s="80">
        <v>1</v>
      </c>
      <c r="J705" s="80">
        <v>0</v>
      </c>
      <c r="K705" s="80">
        <v>0</v>
      </c>
      <c r="L705" s="80">
        <v>0</v>
      </c>
      <c r="M705" s="80">
        <v>0</v>
      </c>
      <c r="N705" s="80">
        <v>0</v>
      </c>
      <c r="O705" s="80">
        <v>1</v>
      </c>
      <c r="P705" s="80">
        <v>1</v>
      </c>
      <c r="Q705" s="80">
        <v>1</v>
      </c>
      <c r="R705" s="80">
        <v>0</v>
      </c>
      <c r="S705" s="80">
        <v>0</v>
      </c>
      <c r="T705" s="80">
        <v>0</v>
      </c>
      <c r="U705" s="80">
        <v>1</v>
      </c>
      <c r="V705" s="80">
        <v>1</v>
      </c>
      <c r="W705" s="80">
        <v>0</v>
      </c>
      <c r="X705" s="80">
        <v>0</v>
      </c>
      <c r="Y705" s="80">
        <v>0</v>
      </c>
      <c r="Z705" s="80">
        <v>0</v>
      </c>
      <c r="AA705" s="80">
        <v>1</v>
      </c>
      <c r="AB705" s="80">
        <v>0</v>
      </c>
      <c r="AC705" s="80">
        <v>0</v>
      </c>
      <c r="AD705" s="80">
        <v>0</v>
      </c>
      <c r="AE705" s="80">
        <v>0</v>
      </c>
      <c r="AF705" s="80">
        <v>0</v>
      </c>
      <c r="AG705" s="80">
        <v>0</v>
      </c>
      <c r="AH705" s="80">
        <v>0</v>
      </c>
      <c r="AI705" s="80">
        <v>0</v>
      </c>
      <c r="AJ705" s="80">
        <v>0</v>
      </c>
      <c r="AK705" s="80">
        <v>0</v>
      </c>
      <c r="AL705" s="80">
        <v>0</v>
      </c>
      <c r="AM705" s="80">
        <v>1</v>
      </c>
      <c r="AN705" s="80">
        <v>0</v>
      </c>
      <c r="AO705" s="80">
        <v>0</v>
      </c>
    </row>
    <row r="706" spans="1:41" ht="15.75" x14ac:dyDescent="0.25">
      <c r="A706" s="84"/>
      <c r="B706" s="147"/>
      <c r="C706" s="84"/>
      <c r="D706" s="80" t="s">
        <v>246</v>
      </c>
      <c r="E706" s="80">
        <v>0</v>
      </c>
      <c r="F706" s="80">
        <v>0</v>
      </c>
      <c r="G706" s="80">
        <v>0</v>
      </c>
      <c r="H706" s="80">
        <v>2</v>
      </c>
      <c r="I706" s="80">
        <v>1</v>
      </c>
      <c r="J706" s="80">
        <v>0</v>
      </c>
      <c r="K706" s="80">
        <v>0</v>
      </c>
      <c r="L706" s="80">
        <v>0</v>
      </c>
      <c r="M706" s="80">
        <v>0</v>
      </c>
      <c r="N706" s="80">
        <v>0</v>
      </c>
      <c r="O706" s="80">
        <v>1</v>
      </c>
      <c r="P706" s="80">
        <v>1</v>
      </c>
      <c r="Q706" s="80">
        <v>1</v>
      </c>
      <c r="R706" s="80">
        <v>0</v>
      </c>
      <c r="S706" s="80">
        <v>0</v>
      </c>
      <c r="T706" s="80">
        <v>0</v>
      </c>
      <c r="U706" s="80">
        <v>1</v>
      </c>
      <c r="V706" s="80">
        <v>1</v>
      </c>
      <c r="W706" s="80">
        <v>0</v>
      </c>
      <c r="X706" s="80">
        <v>0</v>
      </c>
      <c r="Y706" s="80">
        <v>0</v>
      </c>
      <c r="Z706" s="80">
        <v>0</v>
      </c>
      <c r="AA706" s="80">
        <v>1</v>
      </c>
      <c r="AB706" s="80">
        <v>0</v>
      </c>
      <c r="AC706" s="80">
        <v>0</v>
      </c>
      <c r="AD706" s="80">
        <v>0</v>
      </c>
      <c r="AE706" s="80">
        <v>0</v>
      </c>
      <c r="AF706" s="80">
        <v>0</v>
      </c>
      <c r="AG706" s="80">
        <v>0</v>
      </c>
      <c r="AH706" s="80">
        <v>0</v>
      </c>
      <c r="AI706" s="80">
        <v>0</v>
      </c>
      <c r="AJ706" s="80">
        <v>0</v>
      </c>
      <c r="AK706" s="80">
        <v>0</v>
      </c>
      <c r="AL706" s="80">
        <v>0</v>
      </c>
      <c r="AM706" s="80">
        <v>1</v>
      </c>
      <c r="AN706" s="80">
        <v>0</v>
      </c>
      <c r="AO706" s="80">
        <v>0</v>
      </c>
    </row>
    <row r="707" spans="1:41" ht="15.75" x14ac:dyDescent="0.25">
      <c r="A707" s="84"/>
      <c r="B707" s="147"/>
      <c r="C707" s="84"/>
      <c r="D707" s="80" t="s">
        <v>247</v>
      </c>
      <c r="E707" s="80">
        <v>0</v>
      </c>
      <c r="F707" s="80">
        <v>0</v>
      </c>
      <c r="G707" s="80">
        <v>0</v>
      </c>
      <c r="H707" s="80">
        <v>0</v>
      </c>
      <c r="I707" s="80">
        <v>0</v>
      </c>
      <c r="J707" s="80">
        <v>0</v>
      </c>
      <c r="K707" s="80">
        <v>0</v>
      </c>
      <c r="L707" s="80">
        <v>0</v>
      </c>
      <c r="M707" s="80">
        <v>0</v>
      </c>
      <c r="N707" s="80">
        <v>0</v>
      </c>
      <c r="O707" s="80">
        <v>0</v>
      </c>
      <c r="P707" s="80">
        <v>0</v>
      </c>
      <c r="Q707" s="80">
        <v>0</v>
      </c>
      <c r="R707" s="80">
        <v>0</v>
      </c>
      <c r="S707" s="80">
        <v>0</v>
      </c>
      <c r="T707" s="80">
        <v>0</v>
      </c>
      <c r="U707" s="80">
        <v>0</v>
      </c>
      <c r="V707" s="80">
        <v>0</v>
      </c>
      <c r="W707" s="80">
        <v>0</v>
      </c>
      <c r="X707" s="80">
        <v>0</v>
      </c>
      <c r="Y707" s="80">
        <v>0</v>
      </c>
      <c r="Z707" s="80">
        <v>0</v>
      </c>
      <c r="AA707" s="80">
        <v>0</v>
      </c>
      <c r="AB707" s="80">
        <v>0</v>
      </c>
      <c r="AC707" s="80">
        <v>0</v>
      </c>
      <c r="AD707" s="80">
        <v>0</v>
      </c>
      <c r="AE707" s="80">
        <v>0</v>
      </c>
      <c r="AF707" s="80">
        <v>0</v>
      </c>
      <c r="AG707" s="80">
        <v>0</v>
      </c>
      <c r="AH707" s="80">
        <v>0</v>
      </c>
      <c r="AI707" s="80">
        <v>0</v>
      </c>
      <c r="AJ707" s="80">
        <v>0</v>
      </c>
      <c r="AK707" s="80">
        <v>0</v>
      </c>
      <c r="AL707" s="80">
        <v>0</v>
      </c>
      <c r="AM707" s="80">
        <v>0</v>
      </c>
      <c r="AN707" s="80">
        <v>0</v>
      </c>
      <c r="AO707" s="80">
        <v>0</v>
      </c>
    </row>
    <row r="708" spans="1:41" ht="15.75" x14ac:dyDescent="0.25">
      <c r="A708" s="84"/>
      <c r="B708" s="147"/>
      <c r="C708" s="84"/>
      <c r="D708" s="80" t="s">
        <v>248</v>
      </c>
      <c r="E708" s="80">
        <v>0</v>
      </c>
      <c r="F708" s="80">
        <v>0</v>
      </c>
      <c r="G708" s="80">
        <v>0</v>
      </c>
      <c r="H708" s="80">
        <v>2</v>
      </c>
      <c r="I708" s="80">
        <v>1</v>
      </c>
      <c r="J708" s="80">
        <v>0</v>
      </c>
      <c r="K708" s="80">
        <v>0</v>
      </c>
      <c r="L708" s="80">
        <v>0</v>
      </c>
      <c r="M708" s="80">
        <v>0</v>
      </c>
      <c r="N708" s="80">
        <v>0</v>
      </c>
      <c r="O708" s="80">
        <v>1</v>
      </c>
      <c r="P708" s="80">
        <v>1</v>
      </c>
      <c r="Q708" s="80">
        <v>1</v>
      </c>
      <c r="R708" s="80">
        <v>0</v>
      </c>
      <c r="S708" s="80">
        <v>0</v>
      </c>
      <c r="T708" s="80">
        <v>0</v>
      </c>
      <c r="U708" s="80">
        <v>1</v>
      </c>
      <c r="V708" s="80">
        <v>1</v>
      </c>
      <c r="W708" s="80">
        <v>0</v>
      </c>
      <c r="X708" s="80">
        <v>0</v>
      </c>
      <c r="Y708" s="80">
        <v>0</v>
      </c>
      <c r="Z708" s="80">
        <v>0</v>
      </c>
      <c r="AA708" s="80">
        <v>1</v>
      </c>
      <c r="AB708" s="80">
        <v>0</v>
      </c>
      <c r="AC708" s="80">
        <v>0</v>
      </c>
      <c r="AD708" s="80">
        <v>0</v>
      </c>
      <c r="AE708" s="80">
        <v>0</v>
      </c>
      <c r="AF708" s="80">
        <v>0</v>
      </c>
      <c r="AG708" s="80">
        <v>0</v>
      </c>
      <c r="AH708" s="80">
        <v>0</v>
      </c>
      <c r="AI708" s="80">
        <v>0</v>
      </c>
      <c r="AJ708" s="80">
        <v>0</v>
      </c>
      <c r="AK708" s="80">
        <v>0</v>
      </c>
      <c r="AL708" s="80">
        <v>0</v>
      </c>
      <c r="AM708" s="80">
        <v>1</v>
      </c>
      <c r="AN708" s="80">
        <v>0</v>
      </c>
      <c r="AO708" s="80">
        <v>0</v>
      </c>
    </row>
    <row r="709" spans="1:41" ht="15.75" x14ac:dyDescent="0.25">
      <c r="A709" s="84"/>
      <c r="B709" s="147"/>
      <c r="C709" s="84"/>
      <c r="D709" s="80" t="s">
        <v>258</v>
      </c>
      <c r="E709" s="80">
        <v>0</v>
      </c>
      <c r="F709" s="80">
        <v>0</v>
      </c>
      <c r="G709" s="80">
        <v>0</v>
      </c>
      <c r="H709" s="80">
        <v>0</v>
      </c>
      <c r="I709" s="80">
        <v>0</v>
      </c>
      <c r="J709" s="80">
        <v>0</v>
      </c>
      <c r="K709" s="80">
        <v>0</v>
      </c>
      <c r="L709" s="80">
        <v>0</v>
      </c>
      <c r="M709" s="80">
        <v>0</v>
      </c>
      <c r="N709" s="80">
        <v>0</v>
      </c>
      <c r="O709" s="80">
        <v>0</v>
      </c>
      <c r="P709" s="80">
        <v>0</v>
      </c>
      <c r="Q709" s="80">
        <v>0</v>
      </c>
      <c r="R709" s="80">
        <v>0</v>
      </c>
      <c r="S709" s="80">
        <v>0</v>
      </c>
      <c r="T709" s="80">
        <v>0</v>
      </c>
      <c r="U709" s="80">
        <v>0</v>
      </c>
      <c r="V709" s="80">
        <v>0</v>
      </c>
      <c r="W709" s="80">
        <v>0</v>
      </c>
      <c r="X709" s="80">
        <v>0</v>
      </c>
      <c r="Y709" s="80">
        <v>0</v>
      </c>
      <c r="Z709" s="80">
        <v>0</v>
      </c>
      <c r="AA709" s="80">
        <v>0</v>
      </c>
      <c r="AB709" s="80">
        <v>0</v>
      </c>
      <c r="AC709" s="80">
        <v>0</v>
      </c>
      <c r="AD709" s="80">
        <v>0</v>
      </c>
      <c r="AE709" s="80">
        <v>0</v>
      </c>
      <c r="AF709" s="80">
        <v>0</v>
      </c>
      <c r="AG709" s="80">
        <v>0</v>
      </c>
      <c r="AH709" s="80">
        <v>0</v>
      </c>
      <c r="AI709" s="80">
        <v>0</v>
      </c>
      <c r="AJ709" s="80">
        <v>0</v>
      </c>
      <c r="AK709" s="80">
        <v>0</v>
      </c>
      <c r="AL709" s="80">
        <v>0</v>
      </c>
      <c r="AM709" s="80">
        <v>0</v>
      </c>
      <c r="AN709" s="80">
        <v>0</v>
      </c>
      <c r="AO709" s="80">
        <v>0</v>
      </c>
    </row>
    <row r="710" spans="1:41" ht="15.75" x14ac:dyDescent="0.25">
      <c r="A710" s="84">
        <v>12</v>
      </c>
      <c r="B710" s="84" t="s">
        <v>191</v>
      </c>
      <c r="C710" s="84" t="s">
        <v>251</v>
      </c>
      <c r="D710" s="80" t="s">
        <v>245</v>
      </c>
      <c r="E710" s="80">
        <v>0</v>
      </c>
      <c r="F710" s="80">
        <v>0</v>
      </c>
      <c r="G710" s="80">
        <v>0</v>
      </c>
      <c r="H710" s="80">
        <v>2</v>
      </c>
      <c r="I710" s="80">
        <v>3</v>
      </c>
      <c r="J710" s="80">
        <v>3</v>
      </c>
      <c r="K710" s="80">
        <v>0</v>
      </c>
      <c r="L710" s="80">
        <v>0</v>
      </c>
      <c r="M710" s="80">
        <v>0</v>
      </c>
      <c r="N710" s="80">
        <v>0</v>
      </c>
      <c r="O710" s="80">
        <v>1</v>
      </c>
      <c r="P710" s="80">
        <v>1</v>
      </c>
      <c r="Q710" s="80">
        <v>0</v>
      </c>
      <c r="R710" s="80">
        <v>0</v>
      </c>
      <c r="S710" s="80">
        <v>0</v>
      </c>
      <c r="T710" s="80">
        <v>0</v>
      </c>
      <c r="U710" s="80">
        <v>4</v>
      </c>
      <c r="V710" s="80">
        <v>5</v>
      </c>
      <c r="W710" s="80">
        <v>1</v>
      </c>
      <c r="X710" s="80">
        <v>1</v>
      </c>
      <c r="Y710" s="80">
        <v>0</v>
      </c>
      <c r="Z710" s="80">
        <v>0</v>
      </c>
      <c r="AA710" s="80">
        <v>1</v>
      </c>
      <c r="AB710" s="80">
        <v>3</v>
      </c>
      <c r="AC710" s="80">
        <v>0</v>
      </c>
      <c r="AD710" s="80">
        <v>0</v>
      </c>
      <c r="AE710" s="80">
        <v>0</v>
      </c>
      <c r="AF710" s="80">
        <v>0</v>
      </c>
      <c r="AG710" s="81">
        <v>2</v>
      </c>
      <c r="AH710" s="80">
        <v>1</v>
      </c>
      <c r="AI710" s="81">
        <v>0</v>
      </c>
      <c r="AJ710" s="81">
        <v>0</v>
      </c>
      <c r="AK710" s="81">
        <v>0</v>
      </c>
      <c r="AL710" s="81">
        <v>0</v>
      </c>
      <c r="AM710" s="81">
        <v>0</v>
      </c>
      <c r="AN710" s="81">
        <v>0</v>
      </c>
      <c r="AO710" s="81">
        <v>0</v>
      </c>
    </row>
    <row r="711" spans="1:41" ht="15.75" x14ac:dyDescent="0.25">
      <c r="A711" s="84">
        <v>13</v>
      </c>
      <c r="B711" s="84"/>
      <c r="C711" s="84" t="s">
        <v>376</v>
      </c>
      <c r="D711" s="80" t="s">
        <v>246</v>
      </c>
      <c r="E711" s="80">
        <v>1</v>
      </c>
      <c r="F711" s="80">
        <v>0</v>
      </c>
      <c r="G711" s="80">
        <v>0</v>
      </c>
      <c r="H711" s="80">
        <v>1</v>
      </c>
      <c r="I711" s="80">
        <v>3</v>
      </c>
      <c r="J711" s="80">
        <v>1</v>
      </c>
      <c r="K711" s="80">
        <v>0</v>
      </c>
      <c r="L711" s="80">
        <v>0</v>
      </c>
      <c r="M711" s="80">
        <v>0</v>
      </c>
      <c r="N711" s="80">
        <v>0</v>
      </c>
      <c r="O711" s="80">
        <v>1</v>
      </c>
      <c r="P711" s="80">
        <v>1</v>
      </c>
      <c r="Q711" s="80">
        <v>0</v>
      </c>
      <c r="R711" s="80">
        <v>0</v>
      </c>
      <c r="S711" s="80">
        <v>0</v>
      </c>
      <c r="T711" s="80">
        <v>0</v>
      </c>
      <c r="U711" s="80">
        <v>4</v>
      </c>
      <c r="V711" s="80">
        <v>5</v>
      </c>
      <c r="W711" s="80">
        <v>1</v>
      </c>
      <c r="X711" s="80">
        <v>1</v>
      </c>
      <c r="Y711" s="80">
        <v>0</v>
      </c>
      <c r="Z711" s="80">
        <v>0</v>
      </c>
      <c r="AA711" s="80">
        <v>1</v>
      </c>
      <c r="AB711" s="80">
        <v>3</v>
      </c>
      <c r="AC711" s="80">
        <v>0</v>
      </c>
      <c r="AD711" s="80">
        <v>0</v>
      </c>
      <c r="AE711" s="80">
        <v>0</v>
      </c>
      <c r="AF711" s="80">
        <v>0</v>
      </c>
      <c r="AG711" s="81">
        <v>1</v>
      </c>
      <c r="AH711" s="80">
        <v>1</v>
      </c>
      <c r="AI711" s="81">
        <v>0</v>
      </c>
      <c r="AJ711" s="81">
        <v>0</v>
      </c>
      <c r="AK711" s="81">
        <v>0</v>
      </c>
      <c r="AL711" s="81">
        <v>0</v>
      </c>
      <c r="AM711" s="81">
        <v>0</v>
      </c>
      <c r="AN711" s="81">
        <v>0</v>
      </c>
      <c r="AO711" s="81">
        <v>0</v>
      </c>
    </row>
    <row r="712" spans="1:41" ht="15.75" x14ac:dyDescent="0.25">
      <c r="A712" s="84">
        <v>14</v>
      </c>
      <c r="B712" s="84"/>
      <c r="C712" s="84" t="s">
        <v>163</v>
      </c>
      <c r="D712" s="80" t="s">
        <v>247</v>
      </c>
      <c r="E712" s="80">
        <v>0</v>
      </c>
      <c r="F712" s="80">
        <v>0</v>
      </c>
      <c r="G712" s="80">
        <v>0</v>
      </c>
      <c r="H712" s="80">
        <v>1</v>
      </c>
      <c r="I712" s="80">
        <v>0</v>
      </c>
      <c r="J712" s="80">
        <v>2</v>
      </c>
      <c r="K712" s="80">
        <v>0</v>
      </c>
      <c r="L712" s="80">
        <v>0</v>
      </c>
      <c r="M712" s="80">
        <v>0</v>
      </c>
      <c r="N712" s="80">
        <v>0</v>
      </c>
      <c r="O712" s="80">
        <v>0</v>
      </c>
      <c r="P712" s="80">
        <v>0</v>
      </c>
      <c r="Q712" s="80">
        <v>0</v>
      </c>
      <c r="R712" s="80">
        <v>0</v>
      </c>
      <c r="S712" s="80">
        <v>0</v>
      </c>
      <c r="T712" s="80">
        <v>0</v>
      </c>
      <c r="U712" s="80">
        <v>0</v>
      </c>
      <c r="V712" s="80">
        <v>0</v>
      </c>
      <c r="W712" s="80">
        <v>0</v>
      </c>
      <c r="X712" s="80">
        <v>0</v>
      </c>
      <c r="Y712" s="80">
        <v>0</v>
      </c>
      <c r="Z712" s="80">
        <v>0</v>
      </c>
      <c r="AA712" s="80">
        <v>0</v>
      </c>
      <c r="AB712" s="80">
        <v>0</v>
      </c>
      <c r="AC712" s="80">
        <v>0</v>
      </c>
      <c r="AD712" s="80">
        <v>0</v>
      </c>
      <c r="AE712" s="80">
        <v>0</v>
      </c>
      <c r="AF712" s="80">
        <v>0</v>
      </c>
      <c r="AG712" s="81">
        <v>1</v>
      </c>
      <c r="AH712" s="80">
        <v>0</v>
      </c>
      <c r="AI712" s="81">
        <v>0</v>
      </c>
      <c r="AJ712" s="81">
        <v>0</v>
      </c>
      <c r="AK712" s="81">
        <v>0</v>
      </c>
      <c r="AL712" s="81">
        <v>0</v>
      </c>
      <c r="AM712" s="81">
        <v>0</v>
      </c>
      <c r="AN712" s="81">
        <v>0</v>
      </c>
      <c r="AO712" s="81">
        <v>0</v>
      </c>
    </row>
    <row r="713" spans="1:41" ht="15.75" x14ac:dyDescent="0.25">
      <c r="A713" s="84"/>
      <c r="B713" s="84"/>
      <c r="C713" s="84"/>
      <c r="D713" s="80" t="s">
        <v>248</v>
      </c>
      <c r="E713" s="80">
        <v>1</v>
      </c>
      <c r="F713" s="80">
        <v>0</v>
      </c>
      <c r="G713" s="80">
        <v>0</v>
      </c>
      <c r="H713" s="80">
        <v>1</v>
      </c>
      <c r="I713" s="80">
        <v>3</v>
      </c>
      <c r="J713" s="80">
        <v>1</v>
      </c>
      <c r="K713" s="80">
        <v>0</v>
      </c>
      <c r="L713" s="80">
        <v>0</v>
      </c>
      <c r="M713" s="80">
        <v>0</v>
      </c>
      <c r="N713" s="80">
        <v>0</v>
      </c>
      <c r="O713" s="80">
        <v>1</v>
      </c>
      <c r="P713" s="80">
        <v>1</v>
      </c>
      <c r="Q713" s="80">
        <v>0</v>
      </c>
      <c r="R713" s="80">
        <v>0</v>
      </c>
      <c r="S713" s="80">
        <v>0</v>
      </c>
      <c r="T713" s="80">
        <v>0</v>
      </c>
      <c r="U713" s="80">
        <v>4</v>
      </c>
      <c r="V713" s="80">
        <v>5</v>
      </c>
      <c r="W713" s="80">
        <v>1</v>
      </c>
      <c r="X713" s="80">
        <v>1</v>
      </c>
      <c r="Y713" s="80">
        <v>0</v>
      </c>
      <c r="Z713" s="80">
        <v>0</v>
      </c>
      <c r="AA713" s="80">
        <v>1</v>
      </c>
      <c r="AB713" s="80">
        <v>3</v>
      </c>
      <c r="AC713" s="80">
        <v>0</v>
      </c>
      <c r="AD713" s="80">
        <v>0</v>
      </c>
      <c r="AE713" s="80">
        <v>0</v>
      </c>
      <c r="AF713" s="80">
        <v>0</v>
      </c>
      <c r="AG713" s="81">
        <v>1</v>
      </c>
      <c r="AH713" s="80">
        <v>1</v>
      </c>
      <c r="AI713" s="81">
        <v>0</v>
      </c>
      <c r="AJ713" s="81">
        <v>0</v>
      </c>
      <c r="AK713" s="81">
        <v>0</v>
      </c>
      <c r="AL713" s="81">
        <v>0</v>
      </c>
      <c r="AM713" s="81">
        <v>0</v>
      </c>
      <c r="AN713" s="81">
        <v>0</v>
      </c>
      <c r="AO713" s="81">
        <v>0</v>
      </c>
    </row>
    <row r="714" spans="1:41" ht="15.75" x14ac:dyDescent="0.25">
      <c r="A714" s="84"/>
      <c r="B714" s="84"/>
      <c r="C714" s="84"/>
      <c r="D714" s="80" t="s">
        <v>258</v>
      </c>
      <c r="E714" s="80">
        <v>0</v>
      </c>
      <c r="F714" s="80">
        <v>0</v>
      </c>
      <c r="G714" s="80">
        <v>0</v>
      </c>
      <c r="H714" s="80">
        <v>0</v>
      </c>
      <c r="I714" s="80">
        <v>0</v>
      </c>
      <c r="J714" s="80">
        <v>0</v>
      </c>
      <c r="K714" s="80">
        <v>0</v>
      </c>
      <c r="L714" s="80">
        <v>0</v>
      </c>
      <c r="M714" s="80">
        <v>0</v>
      </c>
      <c r="N714" s="80">
        <v>0</v>
      </c>
      <c r="O714" s="80">
        <v>0</v>
      </c>
      <c r="P714" s="80">
        <v>0</v>
      </c>
      <c r="Q714" s="80">
        <v>0</v>
      </c>
      <c r="R714" s="80">
        <v>0</v>
      </c>
      <c r="S714" s="80">
        <v>0</v>
      </c>
      <c r="T714" s="80">
        <v>0</v>
      </c>
      <c r="U714" s="80">
        <v>0</v>
      </c>
      <c r="V714" s="80">
        <v>0</v>
      </c>
      <c r="W714" s="80">
        <v>0</v>
      </c>
      <c r="X714" s="80">
        <v>0</v>
      </c>
      <c r="Y714" s="80">
        <v>0</v>
      </c>
      <c r="Z714" s="80">
        <v>0</v>
      </c>
      <c r="AA714" s="80">
        <v>0</v>
      </c>
      <c r="AB714" s="80">
        <v>0</v>
      </c>
      <c r="AC714" s="80">
        <v>0</v>
      </c>
      <c r="AD714" s="80">
        <v>0</v>
      </c>
      <c r="AE714" s="80">
        <v>0</v>
      </c>
      <c r="AF714" s="80">
        <v>0</v>
      </c>
      <c r="AG714" s="80">
        <v>0</v>
      </c>
      <c r="AH714" s="80">
        <v>0</v>
      </c>
      <c r="AI714" s="80">
        <v>0</v>
      </c>
      <c r="AJ714" s="80">
        <v>0</v>
      </c>
      <c r="AK714" s="80">
        <v>0</v>
      </c>
      <c r="AL714" s="80">
        <v>0</v>
      </c>
      <c r="AM714" s="81">
        <v>0</v>
      </c>
      <c r="AN714" s="81">
        <v>0</v>
      </c>
      <c r="AO714" s="81">
        <v>0</v>
      </c>
    </row>
    <row r="715" spans="1:41" ht="15.75" x14ac:dyDescent="0.25">
      <c r="A715" s="84">
        <v>15</v>
      </c>
      <c r="B715" s="84"/>
      <c r="C715" s="84" t="s">
        <v>164</v>
      </c>
      <c r="D715" s="80" t="s">
        <v>245</v>
      </c>
      <c r="E715" s="80">
        <v>0</v>
      </c>
      <c r="F715" s="80">
        <v>0</v>
      </c>
      <c r="G715" s="80">
        <v>0</v>
      </c>
      <c r="H715" s="80">
        <v>1</v>
      </c>
      <c r="I715" s="80">
        <v>3</v>
      </c>
      <c r="J715" s="80">
        <v>2</v>
      </c>
      <c r="K715" s="80">
        <v>0</v>
      </c>
      <c r="L715" s="80">
        <v>0</v>
      </c>
      <c r="M715" s="80">
        <v>0</v>
      </c>
      <c r="N715" s="80">
        <v>0</v>
      </c>
      <c r="O715" s="80">
        <v>2</v>
      </c>
      <c r="P715" s="80">
        <v>1</v>
      </c>
      <c r="Q715" s="80">
        <v>1</v>
      </c>
      <c r="R715" s="80">
        <v>1</v>
      </c>
      <c r="S715" s="80">
        <v>0</v>
      </c>
      <c r="T715" s="80">
        <v>0</v>
      </c>
      <c r="U715" s="80">
        <v>1</v>
      </c>
      <c r="V715" s="80">
        <v>1</v>
      </c>
      <c r="W715" s="80">
        <v>0</v>
      </c>
      <c r="X715" s="80">
        <v>0</v>
      </c>
      <c r="Y715" s="80">
        <v>0</v>
      </c>
      <c r="Z715" s="80">
        <v>0</v>
      </c>
      <c r="AA715" s="80">
        <v>0</v>
      </c>
      <c r="AB715" s="80">
        <v>0</v>
      </c>
      <c r="AC715" s="80">
        <v>0</v>
      </c>
      <c r="AD715" s="80">
        <v>0</v>
      </c>
      <c r="AE715" s="80">
        <v>1</v>
      </c>
      <c r="AF715" s="80">
        <v>0</v>
      </c>
      <c r="AG715" s="81">
        <v>2</v>
      </c>
      <c r="AH715" s="80">
        <v>1</v>
      </c>
      <c r="AI715" s="81">
        <v>0</v>
      </c>
      <c r="AJ715" s="81">
        <v>0</v>
      </c>
      <c r="AK715" s="81">
        <v>0</v>
      </c>
      <c r="AL715" s="81">
        <v>0</v>
      </c>
      <c r="AM715" s="81">
        <v>1</v>
      </c>
      <c r="AN715" s="81">
        <v>0</v>
      </c>
      <c r="AO715" s="81">
        <v>1</v>
      </c>
    </row>
    <row r="716" spans="1:41" ht="15.75" x14ac:dyDescent="0.25">
      <c r="A716" s="84"/>
      <c r="B716" s="84"/>
      <c r="C716" s="84" t="s">
        <v>410</v>
      </c>
      <c r="D716" s="80" t="s">
        <v>246</v>
      </c>
      <c r="E716" s="80">
        <v>0</v>
      </c>
      <c r="F716" s="80">
        <v>0</v>
      </c>
      <c r="G716" s="80">
        <v>0</v>
      </c>
      <c r="H716" s="80">
        <v>1</v>
      </c>
      <c r="I716" s="80">
        <v>2</v>
      </c>
      <c r="J716" s="80">
        <v>2</v>
      </c>
      <c r="K716" s="80">
        <v>0</v>
      </c>
      <c r="L716" s="80">
        <v>0</v>
      </c>
      <c r="M716" s="80">
        <v>0</v>
      </c>
      <c r="N716" s="80">
        <v>0</v>
      </c>
      <c r="O716" s="80">
        <v>2</v>
      </c>
      <c r="P716" s="80">
        <v>0</v>
      </c>
      <c r="Q716" s="80">
        <v>0</v>
      </c>
      <c r="R716" s="80">
        <v>0</v>
      </c>
      <c r="S716" s="80">
        <v>0</v>
      </c>
      <c r="T716" s="80">
        <v>0</v>
      </c>
      <c r="U716" s="80">
        <v>1</v>
      </c>
      <c r="V716" s="80">
        <v>1</v>
      </c>
      <c r="W716" s="80">
        <v>0</v>
      </c>
      <c r="X716" s="80">
        <v>0</v>
      </c>
      <c r="Y716" s="80">
        <v>0</v>
      </c>
      <c r="Z716" s="80">
        <v>0</v>
      </c>
      <c r="AA716" s="80">
        <v>0</v>
      </c>
      <c r="AB716" s="80">
        <v>0</v>
      </c>
      <c r="AC716" s="80">
        <v>0</v>
      </c>
      <c r="AD716" s="80">
        <v>0</v>
      </c>
      <c r="AE716" s="80">
        <v>1</v>
      </c>
      <c r="AF716" s="80">
        <v>0</v>
      </c>
      <c r="AG716" s="81">
        <v>2</v>
      </c>
      <c r="AH716" s="80">
        <v>1</v>
      </c>
      <c r="AI716" s="81">
        <v>0</v>
      </c>
      <c r="AJ716" s="81">
        <v>0</v>
      </c>
      <c r="AK716" s="81">
        <v>0</v>
      </c>
      <c r="AL716" s="81">
        <v>0</v>
      </c>
      <c r="AM716" s="81">
        <v>1</v>
      </c>
      <c r="AN716" s="81">
        <v>0</v>
      </c>
      <c r="AO716" s="81">
        <v>1</v>
      </c>
    </row>
    <row r="717" spans="1:41" ht="15.75" x14ac:dyDescent="0.25">
      <c r="A717" s="84"/>
      <c r="B717" s="84"/>
      <c r="C717" s="84"/>
      <c r="D717" s="80" t="s">
        <v>247</v>
      </c>
      <c r="E717" s="80">
        <v>0</v>
      </c>
      <c r="F717" s="80">
        <v>0</v>
      </c>
      <c r="G717" s="80">
        <v>0</v>
      </c>
      <c r="H717" s="80">
        <v>0</v>
      </c>
      <c r="I717" s="80">
        <v>1</v>
      </c>
      <c r="J717" s="80">
        <v>0</v>
      </c>
      <c r="K717" s="80">
        <v>0</v>
      </c>
      <c r="L717" s="80">
        <v>0</v>
      </c>
      <c r="M717" s="80">
        <v>0</v>
      </c>
      <c r="N717" s="80">
        <v>0</v>
      </c>
      <c r="O717" s="80">
        <v>0</v>
      </c>
      <c r="P717" s="80">
        <v>1</v>
      </c>
      <c r="Q717" s="80">
        <v>1</v>
      </c>
      <c r="R717" s="80">
        <v>1</v>
      </c>
      <c r="S717" s="80">
        <v>0</v>
      </c>
      <c r="T717" s="80">
        <v>0</v>
      </c>
      <c r="U717" s="80">
        <v>0</v>
      </c>
      <c r="V717" s="80">
        <v>0</v>
      </c>
      <c r="W717" s="80">
        <v>0</v>
      </c>
      <c r="X717" s="80">
        <v>0</v>
      </c>
      <c r="Y717" s="80">
        <v>0</v>
      </c>
      <c r="Z717" s="80">
        <v>0</v>
      </c>
      <c r="AA717" s="80">
        <v>0</v>
      </c>
      <c r="AB717" s="80">
        <v>0</v>
      </c>
      <c r="AC717" s="80">
        <v>0</v>
      </c>
      <c r="AD717" s="80">
        <v>0</v>
      </c>
      <c r="AE717" s="80">
        <v>0</v>
      </c>
      <c r="AF717" s="80">
        <v>0</v>
      </c>
      <c r="AG717" s="81">
        <v>0</v>
      </c>
      <c r="AH717" s="80">
        <v>0</v>
      </c>
      <c r="AI717" s="81">
        <v>0</v>
      </c>
      <c r="AJ717" s="81">
        <v>0</v>
      </c>
      <c r="AK717" s="81">
        <v>0</v>
      </c>
      <c r="AL717" s="81">
        <v>0</v>
      </c>
      <c r="AM717" s="81">
        <v>0</v>
      </c>
      <c r="AN717" s="81">
        <v>0</v>
      </c>
      <c r="AO717" s="81">
        <v>0</v>
      </c>
    </row>
    <row r="718" spans="1:41" ht="15.75" x14ac:dyDescent="0.25">
      <c r="A718" s="84"/>
      <c r="B718" s="84"/>
      <c r="C718" s="84"/>
      <c r="D718" s="80" t="s">
        <v>248</v>
      </c>
      <c r="E718" s="80">
        <v>0</v>
      </c>
      <c r="F718" s="80">
        <v>0</v>
      </c>
      <c r="G718" s="80">
        <v>0</v>
      </c>
      <c r="H718" s="80">
        <v>1</v>
      </c>
      <c r="I718" s="80">
        <v>2</v>
      </c>
      <c r="J718" s="80">
        <v>2</v>
      </c>
      <c r="K718" s="80">
        <v>0</v>
      </c>
      <c r="L718" s="80">
        <v>0</v>
      </c>
      <c r="M718" s="80">
        <v>0</v>
      </c>
      <c r="N718" s="80">
        <v>0</v>
      </c>
      <c r="O718" s="80">
        <v>2</v>
      </c>
      <c r="P718" s="80">
        <v>0</v>
      </c>
      <c r="Q718" s="80">
        <v>0</v>
      </c>
      <c r="R718" s="80">
        <v>0</v>
      </c>
      <c r="S718" s="80">
        <v>0</v>
      </c>
      <c r="T718" s="80">
        <v>0</v>
      </c>
      <c r="U718" s="80">
        <v>1</v>
      </c>
      <c r="V718" s="80">
        <v>1</v>
      </c>
      <c r="W718" s="80">
        <v>0</v>
      </c>
      <c r="X718" s="80">
        <v>0</v>
      </c>
      <c r="Y718" s="80">
        <v>0</v>
      </c>
      <c r="Z718" s="80">
        <v>0</v>
      </c>
      <c r="AA718" s="80">
        <v>0</v>
      </c>
      <c r="AB718" s="80">
        <v>0</v>
      </c>
      <c r="AC718" s="80">
        <v>0</v>
      </c>
      <c r="AD718" s="80">
        <v>0</v>
      </c>
      <c r="AE718" s="80">
        <v>1</v>
      </c>
      <c r="AF718" s="80">
        <v>0</v>
      </c>
      <c r="AG718" s="81">
        <v>2</v>
      </c>
      <c r="AH718" s="80">
        <v>1</v>
      </c>
      <c r="AI718" s="81">
        <v>0</v>
      </c>
      <c r="AJ718" s="81">
        <v>0</v>
      </c>
      <c r="AK718" s="81">
        <v>0</v>
      </c>
      <c r="AL718" s="81">
        <v>0</v>
      </c>
      <c r="AM718" s="81">
        <v>1</v>
      </c>
      <c r="AN718" s="81">
        <v>0</v>
      </c>
      <c r="AO718" s="81">
        <v>1</v>
      </c>
    </row>
    <row r="719" spans="1:41" ht="15.75" x14ac:dyDescent="0.25">
      <c r="A719" s="84"/>
      <c r="B719" s="84"/>
      <c r="C719" s="84"/>
      <c r="D719" s="80" t="s">
        <v>258</v>
      </c>
      <c r="E719" s="80">
        <v>0</v>
      </c>
      <c r="F719" s="80">
        <v>0</v>
      </c>
      <c r="G719" s="80">
        <v>0</v>
      </c>
      <c r="H719" s="80">
        <v>0</v>
      </c>
      <c r="I719" s="80">
        <v>0</v>
      </c>
      <c r="J719" s="80">
        <v>0</v>
      </c>
      <c r="K719" s="80">
        <v>0</v>
      </c>
      <c r="L719" s="80">
        <v>0</v>
      </c>
      <c r="M719" s="80">
        <v>0</v>
      </c>
      <c r="N719" s="80">
        <v>0</v>
      </c>
      <c r="O719" s="80">
        <v>0</v>
      </c>
      <c r="P719" s="80">
        <v>0</v>
      </c>
      <c r="Q719" s="80">
        <v>0</v>
      </c>
      <c r="R719" s="80">
        <v>0</v>
      </c>
      <c r="S719" s="80">
        <v>0</v>
      </c>
      <c r="T719" s="80">
        <v>0</v>
      </c>
      <c r="U719" s="80">
        <v>0</v>
      </c>
      <c r="V719" s="80">
        <v>0</v>
      </c>
      <c r="W719" s="80">
        <v>0</v>
      </c>
      <c r="X719" s="80">
        <v>0</v>
      </c>
      <c r="Y719" s="80">
        <v>0</v>
      </c>
      <c r="Z719" s="80">
        <v>0</v>
      </c>
      <c r="AA719" s="80">
        <v>0</v>
      </c>
      <c r="AB719" s="80">
        <v>0</v>
      </c>
      <c r="AC719" s="80">
        <v>0</v>
      </c>
      <c r="AD719" s="80">
        <v>0</v>
      </c>
      <c r="AE719" s="80">
        <v>0</v>
      </c>
      <c r="AF719" s="80">
        <v>0</v>
      </c>
      <c r="AG719" s="80">
        <v>0</v>
      </c>
      <c r="AH719" s="80">
        <v>0</v>
      </c>
      <c r="AI719" s="80">
        <v>0</v>
      </c>
      <c r="AJ719" s="80">
        <v>0</v>
      </c>
      <c r="AK719" s="80">
        <v>0</v>
      </c>
      <c r="AL719" s="80">
        <v>0</v>
      </c>
      <c r="AM719" s="81">
        <v>0</v>
      </c>
      <c r="AN719" s="81">
        <v>0</v>
      </c>
      <c r="AO719" s="81">
        <v>0</v>
      </c>
    </row>
    <row r="720" spans="1:41" ht="15.75" x14ac:dyDescent="0.25">
      <c r="A720" s="84">
        <v>16</v>
      </c>
      <c r="B720" s="84" t="s">
        <v>267</v>
      </c>
      <c r="C720" s="84" t="s">
        <v>177</v>
      </c>
      <c r="D720" s="80" t="s">
        <v>245</v>
      </c>
      <c r="E720" s="80">
        <v>0</v>
      </c>
      <c r="F720" s="80">
        <v>0</v>
      </c>
      <c r="G720" s="80">
        <v>1</v>
      </c>
      <c r="H720" s="80">
        <v>1</v>
      </c>
      <c r="I720" s="80">
        <v>3</v>
      </c>
      <c r="J720" s="80">
        <v>3</v>
      </c>
      <c r="K720" s="80">
        <v>0</v>
      </c>
      <c r="L720" s="80">
        <v>1</v>
      </c>
      <c r="M720" s="80">
        <v>0</v>
      </c>
      <c r="N720" s="80">
        <v>0</v>
      </c>
      <c r="O720" s="80">
        <v>1</v>
      </c>
      <c r="P720" s="80">
        <v>0</v>
      </c>
      <c r="Q720" s="80">
        <v>0</v>
      </c>
      <c r="R720" s="80">
        <v>0</v>
      </c>
      <c r="S720" s="80">
        <v>0</v>
      </c>
      <c r="T720" s="80">
        <v>1</v>
      </c>
      <c r="U720" s="80">
        <v>2</v>
      </c>
      <c r="V720" s="80">
        <v>1</v>
      </c>
      <c r="W720" s="80">
        <v>0</v>
      </c>
      <c r="X720" s="80">
        <v>0</v>
      </c>
      <c r="Y720" s="80">
        <v>1</v>
      </c>
      <c r="Z720" s="80">
        <v>1</v>
      </c>
      <c r="AA720" s="80">
        <v>0</v>
      </c>
      <c r="AB720" s="80">
        <v>1</v>
      </c>
      <c r="AC720" s="80">
        <v>1</v>
      </c>
      <c r="AD720" s="80">
        <v>0</v>
      </c>
      <c r="AE720" s="80">
        <v>1</v>
      </c>
      <c r="AF720" s="80">
        <v>0</v>
      </c>
      <c r="AG720" s="81">
        <v>0</v>
      </c>
      <c r="AH720" s="80">
        <v>2</v>
      </c>
      <c r="AI720" s="81">
        <v>0</v>
      </c>
      <c r="AJ720" s="81">
        <v>0</v>
      </c>
      <c r="AK720" s="81">
        <v>0</v>
      </c>
      <c r="AL720" s="81">
        <v>0</v>
      </c>
      <c r="AM720" s="81">
        <v>0</v>
      </c>
      <c r="AN720" s="81">
        <v>0</v>
      </c>
      <c r="AO720" s="81">
        <v>0</v>
      </c>
    </row>
    <row r="721" spans="1:41" ht="15.75" x14ac:dyDescent="0.25">
      <c r="A721" s="84"/>
      <c r="B721" s="84"/>
      <c r="C721" s="84"/>
      <c r="D721" s="80" t="s">
        <v>246</v>
      </c>
      <c r="E721" s="80">
        <v>0</v>
      </c>
      <c r="F721" s="80">
        <v>0</v>
      </c>
      <c r="G721" s="80">
        <v>1</v>
      </c>
      <c r="H721" s="80">
        <v>1</v>
      </c>
      <c r="I721" s="80">
        <v>2</v>
      </c>
      <c r="J721" s="80">
        <v>2</v>
      </c>
      <c r="K721" s="80">
        <v>0</v>
      </c>
      <c r="L721" s="80">
        <v>1</v>
      </c>
      <c r="M721" s="80">
        <v>0</v>
      </c>
      <c r="N721" s="80">
        <v>0</v>
      </c>
      <c r="O721" s="80">
        <v>1</v>
      </c>
      <c r="P721" s="80">
        <v>0</v>
      </c>
      <c r="Q721" s="80">
        <v>0</v>
      </c>
      <c r="R721" s="80">
        <v>0</v>
      </c>
      <c r="S721" s="80">
        <v>0</v>
      </c>
      <c r="T721" s="80">
        <v>1</v>
      </c>
      <c r="U721" s="80">
        <v>2</v>
      </c>
      <c r="V721" s="80">
        <v>1</v>
      </c>
      <c r="W721" s="80">
        <v>0</v>
      </c>
      <c r="X721" s="80">
        <v>0</v>
      </c>
      <c r="Y721" s="80">
        <v>1</v>
      </c>
      <c r="Z721" s="80">
        <v>1</v>
      </c>
      <c r="AA721" s="80">
        <v>0</v>
      </c>
      <c r="AB721" s="80">
        <v>1</v>
      </c>
      <c r="AC721" s="80">
        <v>1</v>
      </c>
      <c r="AD721" s="80">
        <v>0</v>
      </c>
      <c r="AE721" s="80">
        <v>1</v>
      </c>
      <c r="AF721" s="80">
        <v>0</v>
      </c>
      <c r="AG721" s="81">
        <v>0</v>
      </c>
      <c r="AH721" s="80">
        <v>2</v>
      </c>
      <c r="AI721" s="81">
        <v>0</v>
      </c>
      <c r="AJ721" s="81">
        <v>0</v>
      </c>
      <c r="AK721" s="81">
        <v>0</v>
      </c>
      <c r="AL721" s="81">
        <v>0</v>
      </c>
      <c r="AM721" s="81">
        <v>0</v>
      </c>
      <c r="AN721" s="81">
        <v>0</v>
      </c>
      <c r="AO721" s="81">
        <v>0</v>
      </c>
    </row>
    <row r="722" spans="1:41" ht="15.75" x14ac:dyDescent="0.25">
      <c r="A722" s="84"/>
      <c r="B722" s="84"/>
      <c r="C722" s="84"/>
      <c r="D722" s="80" t="s">
        <v>247</v>
      </c>
      <c r="E722" s="80">
        <v>0</v>
      </c>
      <c r="F722" s="80">
        <v>0</v>
      </c>
      <c r="G722" s="80">
        <v>0</v>
      </c>
      <c r="H722" s="80">
        <v>0</v>
      </c>
      <c r="I722" s="80">
        <v>1</v>
      </c>
      <c r="J722" s="80">
        <v>1</v>
      </c>
      <c r="K722" s="80">
        <v>0</v>
      </c>
      <c r="L722" s="80">
        <v>0</v>
      </c>
      <c r="M722" s="80">
        <v>0</v>
      </c>
      <c r="N722" s="80">
        <v>0</v>
      </c>
      <c r="O722" s="80">
        <v>0</v>
      </c>
      <c r="P722" s="80">
        <v>0</v>
      </c>
      <c r="Q722" s="80">
        <v>0</v>
      </c>
      <c r="R722" s="80">
        <v>0</v>
      </c>
      <c r="S722" s="80">
        <v>0</v>
      </c>
      <c r="T722" s="80">
        <v>0</v>
      </c>
      <c r="U722" s="80">
        <v>0</v>
      </c>
      <c r="V722" s="80">
        <v>0</v>
      </c>
      <c r="W722" s="80">
        <v>0</v>
      </c>
      <c r="X722" s="80">
        <v>0</v>
      </c>
      <c r="Y722" s="80">
        <v>0</v>
      </c>
      <c r="Z722" s="80">
        <v>0</v>
      </c>
      <c r="AA722" s="80">
        <v>0</v>
      </c>
      <c r="AB722" s="80">
        <v>0</v>
      </c>
      <c r="AC722" s="80">
        <v>0</v>
      </c>
      <c r="AD722" s="80">
        <v>0</v>
      </c>
      <c r="AE722" s="80">
        <v>0</v>
      </c>
      <c r="AF722" s="80">
        <v>0</v>
      </c>
      <c r="AG722" s="81">
        <v>0</v>
      </c>
      <c r="AH722" s="80">
        <v>0</v>
      </c>
      <c r="AI722" s="81">
        <v>0</v>
      </c>
      <c r="AJ722" s="81">
        <v>0</v>
      </c>
      <c r="AK722" s="81">
        <v>0</v>
      </c>
      <c r="AL722" s="81">
        <v>0</v>
      </c>
      <c r="AM722" s="81">
        <v>0</v>
      </c>
      <c r="AN722" s="81">
        <v>0</v>
      </c>
      <c r="AO722" s="81">
        <v>0</v>
      </c>
    </row>
    <row r="723" spans="1:41" ht="15.75" x14ac:dyDescent="0.25">
      <c r="A723" s="84"/>
      <c r="B723" s="84"/>
      <c r="C723" s="84"/>
      <c r="D723" s="80" t="s">
        <v>248</v>
      </c>
      <c r="E723" s="80">
        <v>0</v>
      </c>
      <c r="F723" s="80">
        <v>0</v>
      </c>
      <c r="G723" s="80">
        <v>1</v>
      </c>
      <c r="H723" s="80">
        <v>1</v>
      </c>
      <c r="I723" s="80">
        <v>2</v>
      </c>
      <c r="J723" s="80">
        <v>2</v>
      </c>
      <c r="K723" s="80">
        <v>0</v>
      </c>
      <c r="L723" s="80">
        <v>0</v>
      </c>
      <c r="M723" s="80">
        <v>0</v>
      </c>
      <c r="N723" s="80">
        <v>0</v>
      </c>
      <c r="O723" s="80">
        <v>1</v>
      </c>
      <c r="P723" s="80">
        <v>0</v>
      </c>
      <c r="Q723" s="80">
        <v>0</v>
      </c>
      <c r="R723" s="80">
        <v>0</v>
      </c>
      <c r="S723" s="80">
        <v>0</v>
      </c>
      <c r="T723" s="80">
        <v>1</v>
      </c>
      <c r="U723" s="80">
        <v>2</v>
      </c>
      <c r="V723" s="80">
        <v>1</v>
      </c>
      <c r="W723" s="80">
        <v>0</v>
      </c>
      <c r="X723" s="80">
        <v>0</v>
      </c>
      <c r="Y723" s="80">
        <v>1</v>
      </c>
      <c r="Z723" s="80">
        <v>1</v>
      </c>
      <c r="AA723" s="80">
        <v>0</v>
      </c>
      <c r="AB723" s="80">
        <v>1</v>
      </c>
      <c r="AC723" s="80">
        <v>1</v>
      </c>
      <c r="AD723" s="80">
        <v>0</v>
      </c>
      <c r="AE723" s="80">
        <v>1</v>
      </c>
      <c r="AF723" s="80">
        <v>0</v>
      </c>
      <c r="AG723" s="81">
        <v>0</v>
      </c>
      <c r="AH723" s="80">
        <v>2</v>
      </c>
      <c r="AI723" s="81">
        <v>0</v>
      </c>
      <c r="AJ723" s="81">
        <v>0</v>
      </c>
      <c r="AK723" s="81">
        <v>0</v>
      </c>
      <c r="AL723" s="81">
        <v>0</v>
      </c>
      <c r="AM723" s="81">
        <v>0</v>
      </c>
      <c r="AN723" s="81">
        <v>0</v>
      </c>
      <c r="AO723" s="81">
        <v>0</v>
      </c>
    </row>
    <row r="724" spans="1:41" ht="15.75" x14ac:dyDescent="0.25">
      <c r="A724" s="84"/>
      <c r="B724" s="84"/>
      <c r="C724" s="84"/>
      <c r="D724" s="80" t="s">
        <v>258</v>
      </c>
      <c r="E724" s="80">
        <v>0</v>
      </c>
      <c r="F724" s="80">
        <v>0</v>
      </c>
      <c r="G724" s="80">
        <v>0</v>
      </c>
      <c r="H724" s="80">
        <v>0</v>
      </c>
      <c r="I724" s="80">
        <v>0</v>
      </c>
      <c r="J724" s="80">
        <v>0</v>
      </c>
      <c r="K724" s="80">
        <v>0</v>
      </c>
      <c r="L724" s="80">
        <v>1</v>
      </c>
      <c r="M724" s="80">
        <v>0</v>
      </c>
      <c r="N724" s="80">
        <v>0</v>
      </c>
      <c r="O724" s="80">
        <v>0</v>
      </c>
      <c r="P724" s="80">
        <v>0</v>
      </c>
      <c r="Q724" s="80">
        <v>0</v>
      </c>
      <c r="R724" s="80">
        <v>0</v>
      </c>
      <c r="S724" s="80">
        <v>0</v>
      </c>
      <c r="T724" s="80">
        <v>0</v>
      </c>
      <c r="U724" s="80">
        <v>0</v>
      </c>
      <c r="V724" s="80">
        <v>0</v>
      </c>
      <c r="W724" s="80">
        <v>0</v>
      </c>
      <c r="X724" s="80">
        <v>0</v>
      </c>
      <c r="Y724" s="80">
        <v>0</v>
      </c>
      <c r="Z724" s="80">
        <v>0</v>
      </c>
      <c r="AA724" s="80">
        <v>0</v>
      </c>
      <c r="AB724" s="80">
        <v>0</v>
      </c>
      <c r="AC724" s="80">
        <v>0</v>
      </c>
      <c r="AD724" s="80">
        <v>0</v>
      </c>
      <c r="AE724" s="80">
        <v>0</v>
      </c>
      <c r="AF724" s="80">
        <v>0</v>
      </c>
      <c r="AG724" s="80">
        <v>0</v>
      </c>
      <c r="AH724" s="80">
        <v>0</v>
      </c>
      <c r="AI724" s="80">
        <v>0</v>
      </c>
      <c r="AJ724" s="80">
        <v>0</v>
      </c>
      <c r="AK724" s="80">
        <v>0</v>
      </c>
      <c r="AL724" s="80">
        <v>0</v>
      </c>
      <c r="AM724" s="81">
        <v>0</v>
      </c>
      <c r="AN724" s="81">
        <v>0</v>
      </c>
      <c r="AO724" s="81">
        <v>0</v>
      </c>
    </row>
    <row r="725" spans="1:41" ht="15.75" x14ac:dyDescent="0.25">
      <c r="A725" s="84">
        <v>17</v>
      </c>
      <c r="B725" s="84"/>
      <c r="C725" s="84" t="s">
        <v>179</v>
      </c>
      <c r="D725" s="80" t="s">
        <v>245</v>
      </c>
      <c r="E725" s="80">
        <v>0</v>
      </c>
      <c r="F725" s="80">
        <v>0</v>
      </c>
      <c r="G725" s="80">
        <v>0</v>
      </c>
      <c r="H725" s="80">
        <v>2</v>
      </c>
      <c r="I725" s="80">
        <v>2</v>
      </c>
      <c r="J725" s="80">
        <v>1</v>
      </c>
      <c r="K725" s="80">
        <v>0</v>
      </c>
      <c r="L725" s="80">
        <v>0</v>
      </c>
      <c r="M725" s="80">
        <v>0</v>
      </c>
      <c r="N725" s="80">
        <v>0</v>
      </c>
      <c r="O725" s="80">
        <v>1</v>
      </c>
      <c r="P725" s="80">
        <v>0</v>
      </c>
      <c r="Q725" s="80">
        <v>1</v>
      </c>
      <c r="R725" s="80">
        <v>2</v>
      </c>
      <c r="S725" s="80">
        <v>0</v>
      </c>
      <c r="T725" s="80">
        <v>0</v>
      </c>
      <c r="U725" s="80">
        <v>2</v>
      </c>
      <c r="V725" s="80">
        <v>1</v>
      </c>
      <c r="W725" s="80">
        <v>1</v>
      </c>
      <c r="X725" s="80">
        <v>1</v>
      </c>
      <c r="Y725" s="80">
        <v>0</v>
      </c>
      <c r="Z725" s="80">
        <v>1</v>
      </c>
      <c r="AA725" s="80">
        <v>1</v>
      </c>
      <c r="AB725" s="80">
        <v>2</v>
      </c>
      <c r="AC725" s="80">
        <v>0</v>
      </c>
      <c r="AD725" s="80">
        <v>0</v>
      </c>
      <c r="AE725" s="80">
        <v>0</v>
      </c>
      <c r="AF725" s="80">
        <v>0</v>
      </c>
      <c r="AG725" s="81">
        <v>1</v>
      </c>
      <c r="AH725" s="80">
        <v>0</v>
      </c>
      <c r="AI725" s="81">
        <v>0</v>
      </c>
      <c r="AJ725" s="81">
        <v>0</v>
      </c>
      <c r="AK725" s="81">
        <v>0</v>
      </c>
      <c r="AL725" s="81">
        <v>0</v>
      </c>
      <c r="AM725" s="81">
        <v>0</v>
      </c>
      <c r="AN725" s="81">
        <v>0</v>
      </c>
      <c r="AO725" s="81">
        <v>0</v>
      </c>
    </row>
    <row r="726" spans="1:41" ht="15.75" x14ac:dyDescent="0.25">
      <c r="A726" s="84"/>
      <c r="B726" s="84"/>
      <c r="C726" s="84"/>
      <c r="D726" s="80" t="s">
        <v>246</v>
      </c>
      <c r="E726" s="80">
        <v>0</v>
      </c>
      <c r="F726" s="80">
        <v>0</v>
      </c>
      <c r="G726" s="80">
        <v>0</v>
      </c>
      <c r="H726" s="80">
        <v>2</v>
      </c>
      <c r="I726" s="80">
        <v>0</v>
      </c>
      <c r="J726" s="80">
        <v>1</v>
      </c>
      <c r="K726" s="80">
        <v>0</v>
      </c>
      <c r="L726" s="80">
        <v>0</v>
      </c>
      <c r="M726" s="80">
        <v>0</v>
      </c>
      <c r="N726" s="80">
        <v>0</v>
      </c>
      <c r="O726" s="80">
        <v>1</v>
      </c>
      <c r="P726" s="80">
        <v>0</v>
      </c>
      <c r="Q726" s="80">
        <v>1</v>
      </c>
      <c r="R726" s="80">
        <v>2</v>
      </c>
      <c r="S726" s="80">
        <v>0</v>
      </c>
      <c r="T726" s="80">
        <v>0</v>
      </c>
      <c r="U726" s="80">
        <v>2</v>
      </c>
      <c r="V726" s="80">
        <v>1</v>
      </c>
      <c r="W726" s="80">
        <v>1</v>
      </c>
      <c r="X726" s="80">
        <v>1</v>
      </c>
      <c r="Y726" s="80">
        <v>0</v>
      </c>
      <c r="Z726" s="80">
        <v>1</v>
      </c>
      <c r="AA726" s="80">
        <v>1</v>
      </c>
      <c r="AB726" s="80">
        <v>2</v>
      </c>
      <c r="AC726" s="80">
        <v>0</v>
      </c>
      <c r="AD726" s="80">
        <v>0</v>
      </c>
      <c r="AE726" s="80">
        <v>0</v>
      </c>
      <c r="AF726" s="80">
        <v>0</v>
      </c>
      <c r="AG726" s="81">
        <v>1</v>
      </c>
      <c r="AH726" s="80">
        <v>0</v>
      </c>
      <c r="AI726" s="81">
        <v>0</v>
      </c>
      <c r="AJ726" s="81">
        <v>0</v>
      </c>
      <c r="AK726" s="81">
        <v>0</v>
      </c>
      <c r="AL726" s="81">
        <v>0</v>
      </c>
      <c r="AM726" s="81">
        <v>0</v>
      </c>
      <c r="AN726" s="81">
        <v>0</v>
      </c>
      <c r="AO726" s="81">
        <v>0</v>
      </c>
    </row>
    <row r="727" spans="1:41" ht="15.75" x14ac:dyDescent="0.25">
      <c r="A727" s="84"/>
      <c r="B727" s="84"/>
      <c r="C727" s="84"/>
      <c r="D727" s="80" t="s">
        <v>247</v>
      </c>
      <c r="E727" s="80">
        <v>0</v>
      </c>
      <c r="F727" s="80">
        <v>0</v>
      </c>
      <c r="G727" s="80">
        <v>0</v>
      </c>
      <c r="H727" s="80">
        <v>0</v>
      </c>
      <c r="I727" s="80">
        <v>2</v>
      </c>
      <c r="J727" s="80">
        <v>0</v>
      </c>
      <c r="K727" s="80">
        <v>0</v>
      </c>
      <c r="L727" s="80">
        <v>0</v>
      </c>
      <c r="M727" s="80">
        <v>0</v>
      </c>
      <c r="N727" s="80">
        <v>0</v>
      </c>
      <c r="O727" s="80">
        <v>0</v>
      </c>
      <c r="P727" s="80">
        <v>0</v>
      </c>
      <c r="Q727" s="80">
        <v>0</v>
      </c>
      <c r="R727" s="80">
        <v>0</v>
      </c>
      <c r="S727" s="80">
        <v>0</v>
      </c>
      <c r="T727" s="80">
        <v>0</v>
      </c>
      <c r="U727" s="80">
        <v>0</v>
      </c>
      <c r="V727" s="80">
        <v>0</v>
      </c>
      <c r="W727" s="80">
        <v>0</v>
      </c>
      <c r="X727" s="80">
        <v>0</v>
      </c>
      <c r="Y727" s="80">
        <v>0</v>
      </c>
      <c r="Z727" s="80">
        <v>0</v>
      </c>
      <c r="AA727" s="80">
        <v>0</v>
      </c>
      <c r="AB727" s="80">
        <v>0</v>
      </c>
      <c r="AC727" s="80">
        <v>0</v>
      </c>
      <c r="AD727" s="80">
        <v>0</v>
      </c>
      <c r="AE727" s="80">
        <v>0</v>
      </c>
      <c r="AF727" s="80">
        <v>0</v>
      </c>
      <c r="AG727" s="81">
        <v>0</v>
      </c>
      <c r="AH727" s="80">
        <v>0</v>
      </c>
      <c r="AI727" s="81">
        <v>0</v>
      </c>
      <c r="AJ727" s="81">
        <v>0</v>
      </c>
      <c r="AK727" s="81">
        <v>0</v>
      </c>
      <c r="AL727" s="81">
        <v>0</v>
      </c>
      <c r="AM727" s="81">
        <v>0</v>
      </c>
      <c r="AN727" s="81">
        <v>0</v>
      </c>
      <c r="AO727" s="81">
        <v>0</v>
      </c>
    </row>
    <row r="728" spans="1:41" ht="15.75" x14ac:dyDescent="0.25">
      <c r="A728" s="84"/>
      <c r="B728" s="84"/>
      <c r="C728" s="84"/>
      <c r="D728" s="80" t="s">
        <v>248</v>
      </c>
      <c r="E728" s="80">
        <v>0</v>
      </c>
      <c r="F728" s="80">
        <v>0</v>
      </c>
      <c r="G728" s="80">
        <v>0</v>
      </c>
      <c r="H728" s="80">
        <v>2</v>
      </c>
      <c r="I728" s="80">
        <v>0</v>
      </c>
      <c r="J728" s="80">
        <v>1</v>
      </c>
      <c r="K728" s="80">
        <v>0</v>
      </c>
      <c r="L728" s="80">
        <v>0</v>
      </c>
      <c r="M728" s="80">
        <v>0</v>
      </c>
      <c r="N728" s="80">
        <v>0</v>
      </c>
      <c r="O728" s="80">
        <v>1</v>
      </c>
      <c r="P728" s="80">
        <v>0</v>
      </c>
      <c r="Q728" s="80">
        <v>1</v>
      </c>
      <c r="R728" s="80">
        <v>1</v>
      </c>
      <c r="S728" s="80">
        <v>0</v>
      </c>
      <c r="T728" s="80">
        <v>0</v>
      </c>
      <c r="U728" s="80">
        <v>2</v>
      </c>
      <c r="V728" s="80">
        <v>1</v>
      </c>
      <c r="W728" s="80">
        <v>0</v>
      </c>
      <c r="X728" s="80">
        <v>1</v>
      </c>
      <c r="Y728" s="80">
        <v>0</v>
      </c>
      <c r="Z728" s="80">
        <v>1</v>
      </c>
      <c r="AA728" s="80">
        <v>1</v>
      </c>
      <c r="AB728" s="80">
        <v>2</v>
      </c>
      <c r="AC728" s="80">
        <v>0</v>
      </c>
      <c r="AD728" s="80">
        <v>0</v>
      </c>
      <c r="AE728" s="80">
        <v>0</v>
      </c>
      <c r="AF728" s="80">
        <v>0</v>
      </c>
      <c r="AG728" s="81">
        <v>1</v>
      </c>
      <c r="AH728" s="80">
        <v>0</v>
      </c>
      <c r="AI728" s="81">
        <v>0</v>
      </c>
      <c r="AJ728" s="81">
        <v>0</v>
      </c>
      <c r="AK728" s="81">
        <v>0</v>
      </c>
      <c r="AL728" s="81">
        <v>0</v>
      </c>
      <c r="AM728" s="81">
        <v>0</v>
      </c>
      <c r="AN728" s="81">
        <v>0</v>
      </c>
      <c r="AO728" s="81">
        <v>0</v>
      </c>
    </row>
    <row r="729" spans="1:41" ht="15.75" x14ac:dyDescent="0.25">
      <c r="A729" s="84"/>
      <c r="B729" s="84"/>
      <c r="C729" s="84"/>
      <c r="D729" s="80" t="s">
        <v>258</v>
      </c>
      <c r="E729" s="80">
        <v>0</v>
      </c>
      <c r="F729" s="80">
        <v>0</v>
      </c>
      <c r="G729" s="80">
        <v>0</v>
      </c>
      <c r="H729" s="80">
        <v>0</v>
      </c>
      <c r="I729" s="80">
        <v>0</v>
      </c>
      <c r="J729" s="80">
        <v>0</v>
      </c>
      <c r="K729" s="80">
        <v>0</v>
      </c>
      <c r="L729" s="80">
        <v>0</v>
      </c>
      <c r="M729" s="80">
        <v>0</v>
      </c>
      <c r="N729" s="80">
        <v>0</v>
      </c>
      <c r="O729" s="80">
        <v>0</v>
      </c>
      <c r="P729" s="80">
        <v>0</v>
      </c>
      <c r="Q729" s="80">
        <v>0</v>
      </c>
      <c r="R729" s="80">
        <v>1</v>
      </c>
      <c r="S729" s="80">
        <v>0</v>
      </c>
      <c r="T729" s="80">
        <v>0</v>
      </c>
      <c r="U729" s="80">
        <v>0</v>
      </c>
      <c r="V729" s="80">
        <v>0</v>
      </c>
      <c r="W729" s="80">
        <v>1</v>
      </c>
      <c r="X729" s="80">
        <v>0</v>
      </c>
      <c r="Y729" s="80">
        <v>0</v>
      </c>
      <c r="Z729" s="80">
        <v>0</v>
      </c>
      <c r="AA729" s="80">
        <v>0</v>
      </c>
      <c r="AB729" s="80">
        <v>0</v>
      </c>
      <c r="AC729" s="80"/>
      <c r="AD729" s="80">
        <v>0</v>
      </c>
      <c r="AE729" s="80">
        <v>0</v>
      </c>
      <c r="AF729" s="80">
        <v>0</v>
      </c>
      <c r="AG729" s="80">
        <v>0</v>
      </c>
      <c r="AH729" s="80">
        <v>0</v>
      </c>
      <c r="AI729" s="80">
        <v>0</v>
      </c>
      <c r="AJ729" s="80">
        <v>0</v>
      </c>
      <c r="AK729" s="80">
        <v>0</v>
      </c>
      <c r="AL729" s="80">
        <v>0</v>
      </c>
      <c r="AM729" s="81">
        <v>0</v>
      </c>
      <c r="AN729" s="81">
        <v>0</v>
      </c>
      <c r="AO729" s="81">
        <v>0</v>
      </c>
    </row>
    <row r="730" spans="1:41" ht="18.75" customHeight="1" x14ac:dyDescent="0.25">
      <c r="A730" s="84">
        <v>18</v>
      </c>
      <c r="B730" s="84"/>
      <c r="C730" s="84" t="s">
        <v>178</v>
      </c>
      <c r="D730" s="80" t="s">
        <v>245</v>
      </c>
      <c r="E730" s="80">
        <v>0</v>
      </c>
      <c r="F730" s="80">
        <v>0</v>
      </c>
      <c r="G730" s="80">
        <v>0</v>
      </c>
      <c r="H730" s="80">
        <v>1</v>
      </c>
      <c r="I730" s="80">
        <v>2</v>
      </c>
      <c r="J730" s="266">
        <v>2</v>
      </c>
      <c r="K730" s="80">
        <v>0</v>
      </c>
      <c r="L730" s="80">
        <v>0</v>
      </c>
      <c r="M730" s="80">
        <v>0</v>
      </c>
      <c r="N730" s="80">
        <v>0</v>
      </c>
      <c r="O730" s="80">
        <v>1</v>
      </c>
      <c r="P730" s="80">
        <v>0</v>
      </c>
      <c r="Q730" s="80">
        <v>1</v>
      </c>
      <c r="R730" s="80">
        <v>0</v>
      </c>
      <c r="S730" s="80">
        <v>0</v>
      </c>
      <c r="T730" s="80">
        <v>0</v>
      </c>
      <c r="U730" s="80">
        <v>2</v>
      </c>
      <c r="V730" s="80">
        <v>1</v>
      </c>
      <c r="W730" s="80">
        <v>0</v>
      </c>
      <c r="X730" s="80">
        <v>0</v>
      </c>
      <c r="Y730" s="80">
        <v>0</v>
      </c>
      <c r="Z730" s="80">
        <v>0</v>
      </c>
      <c r="AA730" s="80">
        <v>1</v>
      </c>
      <c r="AB730" s="80">
        <v>0</v>
      </c>
      <c r="AC730" s="80">
        <v>1</v>
      </c>
      <c r="AD730" s="80">
        <v>0</v>
      </c>
      <c r="AE730" s="80">
        <v>0</v>
      </c>
      <c r="AF730" s="80">
        <v>0</v>
      </c>
      <c r="AG730" s="80">
        <v>2</v>
      </c>
      <c r="AH730" s="80">
        <v>0</v>
      </c>
      <c r="AI730" s="80">
        <v>0</v>
      </c>
      <c r="AJ730" s="80">
        <v>0</v>
      </c>
      <c r="AK730" s="80">
        <v>0</v>
      </c>
      <c r="AL730" s="80">
        <v>0</v>
      </c>
      <c r="AM730" s="80">
        <v>0</v>
      </c>
      <c r="AN730" s="80">
        <v>0</v>
      </c>
      <c r="AO730" s="80">
        <v>0</v>
      </c>
    </row>
    <row r="731" spans="1:41" ht="15.75" x14ac:dyDescent="0.25">
      <c r="A731" s="84"/>
      <c r="B731" s="84"/>
      <c r="C731" s="84"/>
      <c r="D731" s="80" t="s">
        <v>246</v>
      </c>
      <c r="E731" s="80">
        <v>0</v>
      </c>
      <c r="F731" s="80">
        <v>0</v>
      </c>
      <c r="G731" s="80">
        <v>0</v>
      </c>
      <c r="H731" s="80">
        <v>0</v>
      </c>
      <c r="I731" s="80">
        <v>1</v>
      </c>
      <c r="J731" s="80">
        <v>2</v>
      </c>
      <c r="K731" s="80">
        <v>0</v>
      </c>
      <c r="L731" s="80">
        <v>0</v>
      </c>
      <c r="M731" s="80">
        <v>0</v>
      </c>
      <c r="N731" s="80">
        <v>0</v>
      </c>
      <c r="O731" s="80">
        <v>1</v>
      </c>
      <c r="P731" s="80">
        <v>0</v>
      </c>
      <c r="Q731" s="80">
        <v>1</v>
      </c>
      <c r="R731" s="80">
        <v>0</v>
      </c>
      <c r="S731" s="80">
        <v>0</v>
      </c>
      <c r="T731" s="80">
        <v>0</v>
      </c>
      <c r="U731" s="80">
        <v>2</v>
      </c>
      <c r="V731" s="80">
        <v>1</v>
      </c>
      <c r="W731" s="80">
        <v>0</v>
      </c>
      <c r="X731" s="80">
        <v>0</v>
      </c>
      <c r="Y731" s="80">
        <v>0</v>
      </c>
      <c r="Z731" s="80">
        <v>0</v>
      </c>
      <c r="AA731" s="80">
        <v>1</v>
      </c>
      <c r="AB731" s="80">
        <v>0</v>
      </c>
      <c r="AC731" s="80">
        <v>1</v>
      </c>
      <c r="AD731" s="80">
        <v>0</v>
      </c>
      <c r="AE731" s="80">
        <v>0</v>
      </c>
      <c r="AF731" s="80">
        <v>0</v>
      </c>
      <c r="AG731" s="81">
        <v>2</v>
      </c>
      <c r="AH731" s="80">
        <v>0</v>
      </c>
      <c r="AI731" s="81">
        <v>0</v>
      </c>
      <c r="AJ731" s="81">
        <v>0</v>
      </c>
      <c r="AK731" s="81">
        <v>0</v>
      </c>
      <c r="AL731" s="81">
        <v>0</v>
      </c>
      <c r="AM731" s="81">
        <v>0</v>
      </c>
      <c r="AN731" s="81">
        <v>0</v>
      </c>
      <c r="AO731" s="81">
        <v>0</v>
      </c>
    </row>
    <row r="732" spans="1:41" ht="15.75" x14ac:dyDescent="0.25">
      <c r="A732" s="84"/>
      <c r="B732" s="84"/>
      <c r="C732" s="84"/>
      <c r="D732" s="80" t="s">
        <v>247</v>
      </c>
      <c r="E732" s="80">
        <v>0</v>
      </c>
      <c r="F732" s="80">
        <v>0</v>
      </c>
      <c r="G732" s="80">
        <v>0</v>
      </c>
      <c r="H732" s="80">
        <v>1</v>
      </c>
      <c r="I732" s="80">
        <v>1</v>
      </c>
      <c r="J732" s="80">
        <v>0</v>
      </c>
      <c r="K732" s="80">
        <v>0</v>
      </c>
      <c r="L732" s="80">
        <v>0</v>
      </c>
      <c r="M732" s="80">
        <v>0</v>
      </c>
      <c r="N732" s="80">
        <v>0</v>
      </c>
      <c r="O732" s="80">
        <v>0</v>
      </c>
      <c r="P732" s="80">
        <v>0</v>
      </c>
      <c r="Q732" s="80">
        <v>0</v>
      </c>
      <c r="R732" s="80">
        <v>0</v>
      </c>
      <c r="S732" s="80">
        <v>0</v>
      </c>
      <c r="T732" s="80">
        <v>0</v>
      </c>
      <c r="U732" s="80">
        <v>0</v>
      </c>
      <c r="V732" s="80">
        <v>0</v>
      </c>
      <c r="W732" s="80">
        <v>0</v>
      </c>
      <c r="X732" s="80">
        <v>0</v>
      </c>
      <c r="Y732" s="80">
        <v>0</v>
      </c>
      <c r="Z732" s="80">
        <v>0</v>
      </c>
      <c r="AA732" s="80">
        <v>0</v>
      </c>
      <c r="AB732" s="80">
        <v>0</v>
      </c>
      <c r="AC732" s="80">
        <v>0</v>
      </c>
      <c r="AD732" s="80">
        <v>0</v>
      </c>
      <c r="AE732" s="80">
        <v>0</v>
      </c>
      <c r="AF732" s="80">
        <v>0</v>
      </c>
      <c r="AG732" s="81">
        <v>0</v>
      </c>
      <c r="AH732" s="80">
        <v>0</v>
      </c>
      <c r="AI732" s="81">
        <v>0</v>
      </c>
      <c r="AJ732" s="81">
        <v>0</v>
      </c>
      <c r="AK732" s="81">
        <v>0</v>
      </c>
      <c r="AL732" s="81">
        <v>0</v>
      </c>
      <c r="AM732" s="81">
        <v>0</v>
      </c>
      <c r="AN732" s="81">
        <v>0</v>
      </c>
      <c r="AO732" s="81">
        <v>0</v>
      </c>
    </row>
    <row r="733" spans="1:41" ht="15.75" x14ac:dyDescent="0.25">
      <c r="A733" s="84"/>
      <c r="B733" s="84"/>
      <c r="C733" s="84"/>
      <c r="D733" s="80" t="s">
        <v>248</v>
      </c>
      <c r="E733" s="80">
        <v>0</v>
      </c>
      <c r="F733" s="80">
        <v>0</v>
      </c>
      <c r="G733" s="80">
        <v>0</v>
      </c>
      <c r="H733" s="80">
        <v>0</v>
      </c>
      <c r="I733" s="80">
        <v>1</v>
      </c>
      <c r="J733" s="80">
        <v>2</v>
      </c>
      <c r="K733" s="80">
        <v>0</v>
      </c>
      <c r="L733" s="80">
        <v>0</v>
      </c>
      <c r="M733" s="80">
        <v>0</v>
      </c>
      <c r="N733" s="80">
        <v>0</v>
      </c>
      <c r="O733" s="80">
        <v>1</v>
      </c>
      <c r="P733" s="80">
        <v>0</v>
      </c>
      <c r="Q733" s="80">
        <v>1</v>
      </c>
      <c r="R733" s="80">
        <v>0</v>
      </c>
      <c r="S733" s="80">
        <v>0</v>
      </c>
      <c r="T733" s="80">
        <v>0</v>
      </c>
      <c r="U733" s="80">
        <v>2</v>
      </c>
      <c r="V733" s="80">
        <v>0</v>
      </c>
      <c r="W733" s="80">
        <v>0</v>
      </c>
      <c r="X733" s="80">
        <v>0</v>
      </c>
      <c r="Y733" s="80">
        <v>0</v>
      </c>
      <c r="Z733" s="80">
        <v>0</v>
      </c>
      <c r="AA733" s="80">
        <v>1</v>
      </c>
      <c r="AB733" s="80">
        <v>0</v>
      </c>
      <c r="AC733" s="80">
        <v>1</v>
      </c>
      <c r="AD733" s="80">
        <v>0</v>
      </c>
      <c r="AE733" s="80">
        <v>0</v>
      </c>
      <c r="AF733" s="80">
        <v>0</v>
      </c>
      <c r="AG733" s="81">
        <v>1</v>
      </c>
      <c r="AH733" s="80">
        <v>0</v>
      </c>
      <c r="AI733" s="81">
        <v>0</v>
      </c>
      <c r="AJ733" s="81">
        <v>0</v>
      </c>
      <c r="AK733" s="81">
        <v>0</v>
      </c>
      <c r="AL733" s="81">
        <v>0</v>
      </c>
      <c r="AM733" s="81">
        <v>0</v>
      </c>
      <c r="AN733" s="81">
        <v>0</v>
      </c>
      <c r="AO733" s="81">
        <v>0</v>
      </c>
    </row>
    <row r="734" spans="1:41" ht="15.75" x14ac:dyDescent="0.25">
      <c r="A734" s="84"/>
      <c r="B734" s="84"/>
      <c r="C734" s="84"/>
      <c r="D734" s="80" t="s">
        <v>258</v>
      </c>
      <c r="E734" s="80">
        <v>0</v>
      </c>
      <c r="F734" s="80">
        <v>0</v>
      </c>
      <c r="G734" s="80">
        <v>0</v>
      </c>
      <c r="H734" s="80">
        <v>0</v>
      </c>
      <c r="I734" s="80">
        <v>0</v>
      </c>
      <c r="J734" s="80">
        <v>0</v>
      </c>
      <c r="K734" s="80">
        <v>0</v>
      </c>
      <c r="L734" s="80">
        <v>0</v>
      </c>
      <c r="M734" s="80">
        <v>0</v>
      </c>
      <c r="N734" s="80">
        <v>0</v>
      </c>
      <c r="O734" s="80">
        <v>0</v>
      </c>
      <c r="P734" s="80">
        <v>0</v>
      </c>
      <c r="Q734" s="80">
        <v>0</v>
      </c>
      <c r="R734" s="80">
        <v>0</v>
      </c>
      <c r="S734" s="80">
        <v>0</v>
      </c>
      <c r="T734" s="80">
        <v>0</v>
      </c>
      <c r="U734" s="80">
        <v>0</v>
      </c>
      <c r="V734" s="80">
        <v>1</v>
      </c>
      <c r="W734" s="80">
        <v>0</v>
      </c>
      <c r="X734" s="80">
        <v>0</v>
      </c>
      <c r="Y734" s="80">
        <v>0</v>
      </c>
      <c r="Z734" s="80">
        <v>0</v>
      </c>
      <c r="AA734" s="80">
        <v>0</v>
      </c>
      <c r="AB734" s="80">
        <v>0</v>
      </c>
      <c r="AC734" s="80">
        <v>0</v>
      </c>
      <c r="AD734" s="80">
        <v>0</v>
      </c>
      <c r="AE734" s="80">
        <v>0</v>
      </c>
      <c r="AF734" s="80">
        <v>0</v>
      </c>
      <c r="AG734" s="80">
        <v>1</v>
      </c>
      <c r="AH734" s="80">
        <v>0</v>
      </c>
      <c r="AI734" s="80">
        <v>0</v>
      </c>
      <c r="AJ734" s="80">
        <v>0</v>
      </c>
      <c r="AK734" s="80">
        <v>0</v>
      </c>
      <c r="AL734" s="80">
        <v>0</v>
      </c>
      <c r="AM734" s="81">
        <v>0</v>
      </c>
      <c r="AN734" s="81">
        <v>0</v>
      </c>
      <c r="AO734" s="81">
        <v>0</v>
      </c>
    </row>
    <row r="735" spans="1:41" ht="15.75" x14ac:dyDescent="0.25">
      <c r="A735" s="84">
        <v>19</v>
      </c>
      <c r="B735" s="84"/>
      <c r="C735" s="84" t="s">
        <v>58</v>
      </c>
      <c r="D735" s="80" t="s">
        <v>245</v>
      </c>
      <c r="E735" s="80">
        <v>0</v>
      </c>
      <c r="F735" s="80">
        <v>0</v>
      </c>
      <c r="G735" s="80">
        <v>0</v>
      </c>
      <c r="H735" s="80">
        <v>0</v>
      </c>
      <c r="I735" s="80">
        <v>2</v>
      </c>
      <c r="J735" s="80">
        <v>1</v>
      </c>
      <c r="K735" s="80">
        <v>0</v>
      </c>
      <c r="L735" s="80">
        <v>0</v>
      </c>
      <c r="M735" s="80">
        <v>0</v>
      </c>
      <c r="N735" s="80">
        <v>0</v>
      </c>
      <c r="O735" s="80">
        <v>1</v>
      </c>
      <c r="P735" s="80">
        <v>0</v>
      </c>
      <c r="Q735" s="80">
        <v>1</v>
      </c>
      <c r="R735" s="80">
        <v>0</v>
      </c>
      <c r="S735" s="80">
        <v>0</v>
      </c>
      <c r="T735" s="80">
        <v>0</v>
      </c>
      <c r="U735" s="80">
        <v>2</v>
      </c>
      <c r="V735" s="80">
        <v>2</v>
      </c>
      <c r="W735" s="80">
        <v>1</v>
      </c>
      <c r="X735" s="80">
        <v>0</v>
      </c>
      <c r="Y735" s="80">
        <v>0</v>
      </c>
      <c r="Z735" s="80">
        <v>2</v>
      </c>
      <c r="AA735" s="80">
        <v>1</v>
      </c>
      <c r="AB735" s="80">
        <v>2</v>
      </c>
      <c r="AC735" s="80">
        <v>0</v>
      </c>
      <c r="AD735" s="80">
        <v>0</v>
      </c>
      <c r="AE735" s="80">
        <v>0</v>
      </c>
      <c r="AF735" s="80">
        <v>0</v>
      </c>
      <c r="AG735" s="81">
        <v>1</v>
      </c>
      <c r="AH735" s="80">
        <v>0</v>
      </c>
      <c r="AI735" s="81">
        <v>0</v>
      </c>
      <c r="AJ735" s="81">
        <v>0</v>
      </c>
      <c r="AK735" s="81">
        <v>0</v>
      </c>
      <c r="AL735" s="81">
        <v>0</v>
      </c>
      <c r="AM735" s="81">
        <v>0</v>
      </c>
      <c r="AN735" s="81">
        <v>0</v>
      </c>
      <c r="AO735" s="81">
        <v>0</v>
      </c>
    </row>
    <row r="736" spans="1:41" ht="15.75" x14ac:dyDescent="0.25">
      <c r="A736" s="84"/>
      <c r="B736" s="84"/>
      <c r="C736" s="84"/>
      <c r="D736" s="80" t="s">
        <v>246</v>
      </c>
      <c r="E736" s="80">
        <v>0</v>
      </c>
      <c r="F736" s="80">
        <v>0</v>
      </c>
      <c r="G736" s="80">
        <v>0</v>
      </c>
      <c r="H736" s="80">
        <v>0</v>
      </c>
      <c r="I736" s="80">
        <v>1</v>
      </c>
      <c r="J736" s="80">
        <v>1</v>
      </c>
      <c r="K736" s="80">
        <v>0</v>
      </c>
      <c r="L736" s="80">
        <v>0</v>
      </c>
      <c r="M736" s="80">
        <v>0</v>
      </c>
      <c r="N736" s="80">
        <v>0</v>
      </c>
      <c r="O736" s="80">
        <v>1</v>
      </c>
      <c r="P736" s="80">
        <v>0</v>
      </c>
      <c r="Q736" s="80">
        <v>1</v>
      </c>
      <c r="R736" s="80">
        <v>0</v>
      </c>
      <c r="S736" s="80">
        <v>0</v>
      </c>
      <c r="T736" s="80">
        <v>0</v>
      </c>
      <c r="U736" s="80">
        <v>2</v>
      </c>
      <c r="V736" s="80">
        <v>2</v>
      </c>
      <c r="W736" s="80">
        <v>1</v>
      </c>
      <c r="X736" s="80">
        <v>0</v>
      </c>
      <c r="Y736" s="80">
        <v>0</v>
      </c>
      <c r="Z736" s="80">
        <v>2</v>
      </c>
      <c r="AA736" s="80">
        <v>1</v>
      </c>
      <c r="AB736" s="80">
        <v>2</v>
      </c>
      <c r="AC736" s="80">
        <v>0</v>
      </c>
      <c r="AD736" s="80">
        <v>0</v>
      </c>
      <c r="AE736" s="80">
        <v>0</v>
      </c>
      <c r="AF736" s="80">
        <v>0</v>
      </c>
      <c r="AG736" s="81">
        <v>1</v>
      </c>
      <c r="AH736" s="80">
        <v>0</v>
      </c>
      <c r="AI736" s="81">
        <v>0</v>
      </c>
      <c r="AJ736" s="81">
        <v>0</v>
      </c>
      <c r="AK736" s="81">
        <v>0</v>
      </c>
      <c r="AL736" s="81">
        <v>0</v>
      </c>
      <c r="AM736" s="81">
        <v>0</v>
      </c>
      <c r="AN736" s="81">
        <v>0</v>
      </c>
      <c r="AO736" s="81">
        <v>0</v>
      </c>
    </row>
    <row r="737" spans="1:41" ht="15.75" x14ac:dyDescent="0.25">
      <c r="A737" s="84"/>
      <c r="B737" s="84"/>
      <c r="C737" s="84"/>
      <c r="D737" s="80" t="s">
        <v>247</v>
      </c>
      <c r="E737" s="80">
        <v>0</v>
      </c>
      <c r="F737" s="80">
        <v>0</v>
      </c>
      <c r="G737" s="80">
        <v>0</v>
      </c>
      <c r="H737" s="80">
        <v>0</v>
      </c>
      <c r="I737" s="80">
        <v>1</v>
      </c>
      <c r="J737" s="80">
        <v>0</v>
      </c>
      <c r="K737" s="80">
        <v>0</v>
      </c>
      <c r="L737" s="80">
        <v>0</v>
      </c>
      <c r="M737" s="80">
        <v>0</v>
      </c>
      <c r="N737" s="80">
        <v>0</v>
      </c>
      <c r="O737" s="80">
        <v>0</v>
      </c>
      <c r="P737" s="80">
        <v>0</v>
      </c>
      <c r="Q737" s="80">
        <v>0</v>
      </c>
      <c r="R737" s="80">
        <v>0</v>
      </c>
      <c r="S737" s="80">
        <v>0</v>
      </c>
      <c r="T737" s="80">
        <v>0</v>
      </c>
      <c r="U737" s="80">
        <v>0</v>
      </c>
      <c r="V737" s="80">
        <v>0</v>
      </c>
      <c r="W737" s="80">
        <v>0</v>
      </c>
      <c r="X737" s="80">
        <v>0</v>
      </c>
      <c r="Y737" s="80">
        <v>0</v>
      </c>
      <c r="Z737" s="80">
        <v>0</v>
      </c>
      <c r="AA737" s="80">
        <v>0</v>
      </c>
      <c r="AB737" s="80">
        <v>0</v>
      </c>
      <c r="AC737" s="80">
        <v>0</v>
      </c>
      <c r="AD737" s="80">
        <v>0</v>
      </c>
      <c r="AE737" s="80">
        <v>0</v>
      </c>
      <c r="AF737" s="80">
        <v>0</v>
      </c>
      <c r="AG737" s="81">
        <v>0</v>
      </c>
      <c r="AH737" s="80">
        <v>0</v>
      </c>
      <c r="AI737" s="81">
        <v>0</v>
      </c>
      <c r="AJ737" s="81">
        <v>0</v>
      </c>
      <c r="AK737" s="81">
        <v>0</v>
      </c>
      <c r="AL737" s="81">
        <v>0</v>
      </c>
      <c r="AM737" s="81">
        <v>0</v>
      </c>
      <c r="AN737" s="81">
        <v>0</v>
      </c>
      <c r="AO737" s="81">
        <v>0</v>
      </c>
    </row>
    <row r="738" spans="1:41" ht="15.75" x14ac:dyDescent="0.25">
      <c r="A738" s="84"/>
      <c r="B738" s="84"/>
      <c r="C738" s="84"/>
      <c r="D738" s="80" t="s">
        <v>248</v>
      </c>
      <c r="E738" s="80">
        <v>0</v>
      </c>
      <c r="F738" s="80">
        <v>0</v>
      </c>
      <c r="G738" s="80">
        <v>0</v>
      </c>
      <c r="H738" s="80">
        <v>0</v>
      </c>
      <c r="I738" s="80">
        <v>1</v>
      </c>
      <c r="J738" s="80">
        <v>1</v>
      </c>
      <c r="K738" s="80">
        <v>0</v>
      </c>
      <c r="L738" s="80">
        <v>0</v>
      </c>
      <c r="M738" s="80">
        <v>0</v>
      </c>
      <c r="N738" s="80">
        <v>0</v>
      </c>
      <c r="O738" s="80">
        <v>1</v>
      </c>
      <c r="P738" s="80">
        <v>0</v>
      </c>
      <c r="Q738" s="80">
        <v>1</v>
      </c>
      <c r="R738" s="80">
        <v>0</v>
      </c>
      <c r="S738" s="80">
        <v>0</v>
      </c>
      <c r="T738" s="80">
        <v>0</v>
      </c>
      <c r="U738" s="80">
        <v>2</v>
      </c>
      <c r="V738" s="80">
        <v>1</v>
      </c>
      <c r="W738" s="80">
        <v>0</v>
      </c>
      <c r="X738" s="80">
        <v>0</v>
      </c>
      <c r="Y738" s="80">
        <v>0</v>
      </c>
      <c r="Z738" s="80">
        <v>1</v>
      </c>
      <c r="AA738" s="80">
        <v>1</v>
      </c>
      <c r="AB738" s="80">
        <v>2</v>
      </c>
      <c r="AC738" s="80">
        <v>0</v>
      </c>
      <c r="AD738" s="80">
        <v>0</v>
      </c>
      <c r="AE738" s="80">
        <v>0</v>
      </c>
      <c r="AF738" s="80">
        <v>0</v>
      </c>
      <c r="AG738" s="81">
        <v>1</v>
      </c>
      <c r="AH738" s="80">
        <v>0</v>
      </c>
      <c r="AI738" s="81">
        <v>0</v>
      </c>
      <c r="AJ738" s="81">
        <v>0</v>
      </c>
      <c r="AK738" s="81">
        <v>0</v>
      </c>
      <c r="AL738" s="81">
        <v>0</v>
      </c>
      <c r="AM738" s="81">
        <v>0</v>
      </c>
      <c r="AN738" s="81">
        <v>0</v>
      </c>
      <c r="AO738" s="81">
        <v>0</v>
      </c>
    </row>
    <row r="739" spans="1:41" ht="15.75" x14ac:dyDescent="0.25">
      <c r="A739" s="84"/>
      <c r="B739" s="84"/>
      <c r="C739" s="84"/>
      <c r="D739" s="80" t="s">
        <v>258</v>
      </c>
      <c r="E739" s="80">
        <v>0</v>
      </c>
      <c r="F739" s="80">
        <v>0</v>
      </c>
      <c r="G739" s="80">
        <v>0</v>
      </c>
      <c r="H739" s="80">
        <v>0</v>
      </c>
      <c r="I739" s="80">
        <v>0</v>
      </c>
      <c r="J739" s="80">
        <v>0</v>
      </c>
      <c r="K739" s="80">
        <v>0</v>
      </c>
      <c r="L739" s="80">
        <v>0</v>
      </c>
      <c r="M739" s="80">
        <v>0</v>
      </c>
      <c r="N739" s="80">
        <v>0</v>
      </c>
      <c r="O739" s="80">
        <v>0</v>
      </c>
      <c r="P739" s="80">
        <v>0</v>
      </c>
      <c r="Q739" s="80">
        <v>0</v>
      </c>
      <c r="R739" s="80">
        <v>0</v>
      </c>
      <c r="S739" s="80">
        <v>0</v>
      </c>
      <c r="T739" s="80">
        <v>0</v>
      </c>
      <c r="U739" s="80">
        <v>0</v>
      </c>
      <c r="V739" s="80">
        <v>1</v>
      </c>
      <c r="W739" s="80">
        <v>1</v>
      </c>
      <c r="X739" s="80">
        <v>0</v>
      </c>
      <c r="Y739" s="80">
        <v>0</v>
      </c>
      <c r="Z739" s="80">
        <v>1</v>
      </c>
      <c r="AA739" s="80">
        <v>0</v>
      </c>
      <c r="AB739" s="80">
        <v>0</v>
      </c>
      <c r="AC739" s="80">
        <v>0</v>
      </c>
      <c r="AD739" s="80">
        <v>0</v>
      </c>
      <c r="AE739" s="80">
        <v>0</v>
      </c>
      <c r="AF739" s="80">
        <v>0</v>
      </c>
      <c r="AG739" s="80">
        <v>0</v>
      </c>
      <c r="AH739" s="80">
        <v>0</v>
      </c>
      <c r="AI739" s="80">
        <v>0</v>
      </c>
      <c r="AJ739" s="80">
        <v>0</v>
      </c>
      <c r="AK739" s="80">
        <v>0</v>
      </c>
      <c r="AL739" s="80">
        <v>0</v>
      </c>
      <c r="AM739" s="81">
        <v>0</v>
      </c>
      <c r="AN739" s="81">
        <v>0</v>
      </c>
      <c r="AO739" s="81">
        <v>0</v>
      </c>
    </row>
    <row r="740" spans="1:41" ht="15.75" x14ac:dyDescent="0.25">
      <c r="A740" s="84">
        <v>20</v>
      </c>
      <c r="B740" s="84"/>
      <c r="C740" s="84" t="s">
        <v>188</v>
      </c>
      <c r="D740" s="80" t="s">
        <v>245</v>
      </c>
      <c r="E740" s="80">
        <v>0</v>
      </c>
      <c r="F740" s="80">
        <v>0</v>
      </c>
      <c r="G740" s="80">
        <v>0</v>
      </c>
      <c r="H740" s="80">
        <v>1</v>
      </c>
      <c r="I740" s="80">
        <v>2</v>
      </c>
      <c r="J740" s="80">
        <v>1</v>
      </c>
      <c r="K740" s="80">
        <v>1</v>
      </c>
      <c r="L740" s="80">
        <v>0</v>
      </c>
      <c r="M740" s="80">
        <v>0</v>
      </c>
      <c r="N740" s="80">
        <v>0</v>
      </c>
      <c r="O740" s="80">
        <v>1</v>
      </c>
      <c r="P740" s="80">
        <v>0</v>
      </c>
      <c r="Q740" s="80">
        <v>1</v>
      </c>
      <c r="R740" s="80">
        <v>0</v>
      </c>
      <c r="S740" s="80">
        <v>0</v>
      </c>
      <c r="T740" s="80">
        <v>0</v>
      </c>
      <c r="U740" s="80">
        <v>2</v>
      </c>
      <c r="V740" s="80">
        <v>0</v>
      </c>
      <c r="W740" s="80">
        <v>1</v>
      </c>
      <c r="X740" s="80">
        <v>0</v>
      </c>
      <c r="Y740" s="80">
        <v>0</v>
      </c>
      <c r="Z740" s="80">
        <v>0</v>
      </c>
      <c r="AA740" s="80">
        <v>1</v>
      </c>
      <c r="AB740" s="80">
        <v>0</v>
      </c>
      <c r="AC740" s="80">
        <v>0</v>
      </c>
      <c r="AD740" s="80">
        <v>0</v>
      </c>
      <c r="AE740" s="80">
        <v>1</v>
      </c>
      <c r="AF740" s="80">
        <v>0</v>
      </c>
      <c r="AG740" s="81">
        <v>0</v>
      </c>
      <c r="AH740" s="80">
        <v>1</v>
      </c>
      <c r="AI740" s="81">
        <v>0</v>
      </c>
      <c r="AJ740" s="81">
        <v>0</v>
      </c>
      <c r="AK740" s="81">
        <v>0</v>
      </c>
      <c r="AL740" s="81">
        <v>0</v>
      </c>
      <c r="AM740" s="81">
        <v>0</v>
      </c>
      <c r="AN740" s="81">
        <v>0</v>
      </c>
      <c r="AO740" s="81">
        <v>0</v>
      </c>
    </row>
    <row r="741" spans="1:41" ht="15.75" x14ac:dyDescent="0.25">
      <c r="A741" s="84"/>
      <c r="B741" s="84"/>
      <c r="C741" s="84"/>
      <c r="D741" s="80" t="s">
        <v>246</v>
      </c>
      <c r="E741" s="80">
        <v>0</v>
      </c>
      <c r="F741" s="80">
        <v>0</v>
      </c>
      <c r="G741" s="80">
        <v>0</v>
      </c>
      <c r="H741" s="80">
        <v>1</v>
      </c>
      <c r="I741" s="80">
        <v>2</v>
      </c>
      <c r="J741" s="80">
        <v>1</v>
      </c>
      <c r="K741" s="80">
        <v>1</v>
      </c>
      <c r="L741" s="80">
        <v>0</v>
      </c>
      <c r="M741" s="80">
        <v>0</v>
      </c>
      <c r="N741" s="80">
        <v>0</v>
      </c>
      <c r="O741" s="80">
        <v>1</v>
      </c>
      <c r="P741" s="80">
        <v>0</v>
      </c>
      <c r="Q741" s="80">
        <v>1</v>
      </c>
      <c r="R741" s="80">
        <v>0</v>
      </c>
      <c r="S741" s="80">
        <v>0</v>
      </c>
      <c r="T741" s="80">
        <v>0</v>
      </c>
      <c r="U741" s="80">
        <v>2</v>
      </c>
      <c r="V741" s="80">
        <v>0</v>
      </c>
      <c r="W741" s="80">
        <v>1</v>
      </c>
      <c r="X741" s="80">
        <v>0</v>
      </c>
      <c r="Y741" s="80">
        <v>0</v>
      </c>
      <c r="Z741" s="80">
        <v>0</v>
      </c>
      <c r="AA741" s="80">
        <v>1</v>
      </c>
      <c r="AB741" s="80">
        <v>0</v>
      </c>
      <c r="AC741" s="80">
        <v>0</v>
      </c>
      <c r="AD741" s="80">
        <v>0</v>
      </c>
      <c r="AE741" s="80">
        <v>1</v>
      </c>
      <c r="AF741" s="80">
        <v>0</v>
      </c>
      <c r="AG741" s="81">
        <v>0</v>
      </c>
      <c r="AH741" s="80">
        <v>1</v>
      </c>
      <c r="AI741" s="81">
        <v>0</v>
      </c>
      <c r="AJ741" s="81">
        <v>0</v>
      </c>
      <c r="AK741" s="81">
        <v>0</v>
      </c>
      <c r="AL741" s="81">
        <v>0</v>
      </c>
      <c r="AM741" s="81">
        <v>0</v>
      </c>
      <c r="AN741" s="81">
        <v>0</v>
      </c>
      <c r="AO741" s="81">
        <v>0</v>
      </c>
    </row>
    <row r="742" spans="1:41" ht="15.75" x14ac:dyDescent="0.25">
      <c r="A742" s="84"/>
      <c r="B742" s="84"/>
      <c r="C742" s="84"/>
      <c r="D742" s="80" t="s">
        <v>247</v>
      </c>
      <c r="E742" s="80">
        <v>0</v>
      </c>
      <c r="F742" s="80">
        <v>0</v>
      </c>
      <c r="G742" s="80">
        <v>0</v>
      </c>
      <c r="H742" s="80">
        <v>0</v>
      </c>
      <c r="I742" s="80">
        <v>0</v>
      </c>
      <c r="J742" s="80">
        <v>0</v>
      </c>
      <c r="K742" s="80">
        <v>0</v>
      </c>
      <c r="L742" s="80">
        <v>0</v>
      </c>
      <c r="M742" s="80">
        <v>0</v>
      </c>
      <c r="N742" s="80">
        <v>0</v>
      </c>
      <c r="O742" s="80">
        <v>0</v>
      </c>
      <c r="P742" s="80">
        <v>0</v>
      </c>
      <c r="Q742" s="80">
        <v>0</v>
      </c>
      <c r="R742" s="80">
        <v>0</v>
      </c>
      <c r="S742" s="80">
        <v>0</v>
      </c>
      <c r="T742" s="80">
        <v>0</v>
      </c>
      <c r="U742" s="80">
        <v>0</v>
      </c>
      <c r="V742" s="80">
        <v>0</v>
      </c>
      <c r="W742" s="80">
        <v>0</v>
      </c>
      <c r="X742" s="80">
        <v>0</v>
      </c>
      <c r="Y742" s="80">
        <v>0</v>
      </c>
      <c r="Z742" s="80">
        <v>0</v>
      </c>
      <c r="AA742" s="80">
        <v>0</v>
      </c>
      <c r="AB742" s="80">
        <v>0</v>
      </c>
      <c r="AC742" s="80">
        <v>0</v>
      </c>
      <c r="AD742" s="80">
        <v>0</v>
      </c>
      <c r="AE742" s="80">
        <v>0</v>
      </c>
      <c r="AF742" s="80">
        <v>0</v>
      </c>
      <c r="AG742" s="81">
        <v>0</v>
      </c>
      <c r="AH742" s="80">
        <v>0</v>
      </c>
      <c r="AI742" s="81">
        <v>0</v>
      </c>
      <c r="AJ742" s="81">
        <v>0</v>
      </c>
      <c r="AK742" s="81">
        <v>0</v>
      </c>
      <c r="AL742" s="81">
        <v>0</v>
      </c>
      <c r="AM742" s="81">
        <v>0</v>
      </c>
      <c r="AN742" s="81">
        <v>0</v>
      </c>
      <c r="AO742" s="81">
        <v>0</v>
      </c>
    </row>
    <row r="743" spans="1:41" ht="15.75" x14ac:dyDescent="0.25">
      <c r="A743" s="84"/>
      <c r="B743" s="84"/>
      <c r="C743" s="84"/>
      <c r="D743" s="80" t="s">
        <v>248</v>
      </c>
      <c r="E743" s="80">
        <v>0</v>
      </c>
      <c r="F743" s="80">
        <v>0</v>
      </c>
      <c r="G743" s="80">
        <v>0</v>
      </c>
      <c r="H743" s="80">
        <v>1</v>
      </c>
      <c r="I743" s="80">
        <v>2</v>
      </c>
      <c r="J743" s="80">
        <v>1</v>
      </c>
      <c r="K743" s="80">
        <v>1</v>
      </c>
      <c r="L743" s="80">
        <v>0</v>
      </c>
      <c r="M743" s="80">
        <v>0</v>
      </c>
      <c r="N743" s="80">
        <v>0</v>
      </c>
      <c r="O743" s="80">
        <v>1</v>
      </c>
      <c r="P743" s="80">
        <v>0</v>
      </c>
      <c r="Q743" s="80">
        <v>1</v>
      </c>
      <c r="R743" s="80">
        <v>0</v>
      </c>
      <c r="S743" s="80">
        <v>0</v>
      </c>
      <c r="T743" s="80">
        <v>0</v>
      </c>
      <c r="U743" s="80">
        <v>2</v>
      </c>
      <c r="V743" s="80">
        <v>0</v>
      </c>
      <c r="W743" s="80">
        <v>0</v>
      </c>
      <c r="X743" s="80">
        <v>0</v>
      </c>
      <c r="Y743" s="80">
        <v>0</v>
      </c>
      <c r="Z743" s="80">
        <v>0</v>
      </c>
      <c r="AA743" s="80">
        <v>0</v>
      </c>
      <c r="AB743" s="80">
        <v>0</v>
      </c>
      <c r="AC743" s="80">
        <v>0</v>
      </c>
      <c r="AD743" s="80">
        <v>0</v>
      </c>
      <c r="AE743" s="80">
        <v>1</v>
      </c>
      <c r="AF743" s="80">
        <v>0</v>
      </c>
      <c r="AG743" s="81">
        <v>0</v>
      </c>
      <c r="AH743" s="80">
        <v>1</v>
      </c>
      <c r="AI743" s="81">
        <v>0</v>
      </c>
      <c r="AJ743" s="81">
        <v>0</v>
      </c>
      <c r="AK743" s="81">
        <v>0</v>
      </c>
      <c r="AL743" s="81">
        <v>0</v>
      </c>
      <c r="AM743" s="81">
        <v>0</v>
      </c>
      <c r="AN743" s="81">
        <v>0</v>
      </c>
      <c r="AO743" s="81">
        <v>0</v>
      </c>
    </row>
    <row r="744" spans="1:41" ht="15.75" x14ac:dyDescent="0.25">
      <c r="A744" s="84"/>
      <c r="B744" s="84"/>
      <c r="C744" s="84"/>
      <c r="D744" s="80" t="s">
        <v>258</v>
      </c>
      <c r="E744" s="80">
        <v>0</v>
      </c>
      <c r="F744" s="80">
        <v>0</v>
      </c>
      <c r="G744" s="80">
        <v>0</v>
      </c>
      <c r="H744" s="80">
        <v>0</v>
      </c>
      <c r="I744" s="80">
        <v>0</v>
      </c>
      <c r="J744" s="80">
        <v>0</v>
      </c>
      <c r="K744" s="80">
        <v>0</v>
      </c>
      <c r="L744" s="80">
        <v>0</v>
      </c>
      <c r="M744" s="80">
        <v>0</v>
      </c>
      <c r="N744" s="80">
        <v>0</v>
      </c>
      <c r="O744" s="80">
        <v>0</v>
      </c>
      <c r="P744" s="80">
        <v>0</v>
      </c>
      <c r="Q744" s="80">
        <v>0</v>
      </c>
      <c r="R744" s="80">
        <v>0</v>
      </c>
      <c r="S744" s="80">
        <v>0</v>
      </c>
      <c r="T744" s="80">
        <v>0</v>
      </c>
      <c r="U744" s="80">
        <v>0</v>
      </c>
      <c r="V744" s="80">
        <v>0</v>
      </c>
      <c r="W744" s="80">
        <v>1</v>
      </c>
      <c r="X744" s="80">
        <v>0</v>
      </c>
      <c r="Y744" s="80">
        <v>0</v>
      </c>
      <c r="Z744" s="80">
        <v>0</v>
      </c>
      <c r="AA744" s="80">
        <v>1</v>
      </c>
      <c r="AB744" s="80">
        <v>0</v>
      </c>
      <c r="AC744" s="80">
        <v>0</v>
      </c>
      <c r="AD744" s="80">
        <v>0</v>
      </c>
      <c r="AE744" s="80">
        <v>0</v>
      </c>
      <c r="AF744" s="80">
        <v>0</v>
      </c>
      <c r="AG744" s="80">
        <v>0</v>
      </c>
      <c r="AH744" s="80">
        <v>0</v>
      </c>
      <c r="AI744" s="80">
        <v>0</v>
      </c>
      <c r="AJ744" s="80">
        <v>0</v>
      </c>
      <c r="AK744" s="80">
        <v>0</v>
      </c>
      <c r="AL744" s="80">
        <v>0</v>
      </c>
      <c r="AM744" s="81">
        <v>0</v>
      </c>
      <c r="AN744" s="81">
        <v>0</v>
      </c>
      <c r="AO744" s="81">
        <v>0</v>
      </c>
    </row>
    <row r="745" spans="1:41" ht="15.75" x14ac:dyDescent="0.25">
      <c r="A745" s="84">
        <v>21</v>
      </c>
      <c r="B745" s="84"/>
      <c r="C745" s="84" t="s">
        <v>252</v>
      </c>
      <c r="D745" s="80" t="s">
        <v>245</v>
      </c>
      <c r="E745" s="80">
        <v>0</v>
      </c>
      <c r="F745" s="80">
        <v>0</v>
      </c>
      <c r="G745" s="80">
        <v>0</v>
      </c>
      <c r="H745" s="80">
        <v>2</v>
      </c>
      <c r="I745" s="80">
        <v>1</v>
      </c>
      <c r="J745" s="80">
        <v>0</v>
      </c>
      <c r="K745" s="80">
        <v>1</v>
      </c>
      <c r="L745" s="80">
        <v>0</v>
      </c>
      <c r="M745" s="80">
        <v>1</v>
      </c>
      <c r="N745" s="80">
        <v>1</v>
      </c>
      <c r="O745" s="80">
        <v>1</v>
      </c>
      <c r="P745" s="80">
        <v>0</v>
      </c>
      <c r="Q745" s="80">
        <v>1</v>
      </c>
      <c r="R745" s="80">
        <v>1</v>
      </c>
      <c r="S745" s="80">
        <v>0</v>
      </c>
      <c r="T745" s="80">
        <v>0</v>
      </c>
      <c r="U745" s="80">
        <v>2</v>
      </c>
      <c r="V745" s="80">
        <v>1</v>
      </c>
      <c r="W745" s="80">
        <v>1</v>
      </c>
      <c r="X745" s="80">
        <v>1</v>
      </c>
      <c r="Y745" s="80">
        <v>0</v>
      </c>
      <c r="Z745" s="80">
        <v>0</v>
      </c>
      <c r="AA745" s="80">
        <v>0</v>
      </c>
      <c r="AB745" s="80">
        <v>0</v>
      </c>
      <c r="AC745" s="80">
        <v>0</v>
      </c>
      <c r="AD745" s="80">
        <v>0</v>
      </c>
      <c r="AE745" s="80">
        <v>0</v>
      </c>
      <c r="AF745" s="80">
        <v>0</v>
      </c>
      <c r="AG745" s="81">
        <v>1</v>
      </c>
      <c r="AH745" s="80">
        <v>0</v>
      </c>
      <c r="AI745" s="81">
        <v>0</v>
      </c>
      <c r="AJ745" s="81">
        <v>0</v>
      </c>
      <c r="AK745" s="81">
        <v>0</v>
      </c>
      <c r="AL745" s="81">
        <v>0</v>
      </c>
      <c r="AM745" s="81">
        <v>0</v>
      </c>
      <c r="AN745" s="81">
        <v>0</v>
      </c>
      <c r="AO745" s="81">
        <v>0</v>
      </c>
    </row>
    <row r="746" spans="1:41" ht="15.75" x14ac:dyDescent="0.25">
      <c r="A746" s="84"/>
      <c r="B746" s="84"/>
      <c r="C746" s="84"/>
      <c r="D746" s="80" t="s">
        <v>246</v>
      </c>
      <c r="E746" s="80">
        <v>0</v>
      </c>
      <c r="F746" s="80">
        <v>0</v>
      </c>
      <c r="G746" s="80">
        <v>0</v>
      </c>
      <c r="H746" s="80">
        <v>2</v>
      </c>
      <c r="I746" s="80">
        <v>1</v>
      </c>
      <c r="J746" s="80">
        <v>0</v>
      </c>
      <c r="K746" s="80">
        <v>1</v>
      </c>
      <c r="L746" s="80">
        <v>0</v>
      </c>
      <c r="M746" s="80">
        <v>1</v>
      </c>
      <c r="N746" s="80">
        <v>1</v>
      </c>
      <c r="O746" s="80">
        <v>1</v>
      </c>
      <c r="P746" s="80">
        <v>0</v>
      </c>
      <c r="Q746" s="80">
        <v>1</v>
      </c>
      <c r="R746" s="80">
        <v>1</v>
      </c>
      <c r="S746" s="80">
        <v>0</v>
      </c>
      <c r="T746" s="80">
        <v>0</v>
      </c>
      <c r="U746" s="80">
        <v>2</v>
      </c>
      <c r="V746" s="80">
        <v>1</v>
      </c>
      <c r="W746" s="80">
        <v>1</v>
      </c>
      <c r="X746" s="80">
        <v>1</v>
      </c>
      <c r="Y746" s="80">
        <v>0</v>
      </c>
      <c r="Z746" s="80">
        <v>0</v>
      </c>
      <c r="AA746" s="80">
        <v>0</v>
      </c>
      <c r="AB746" s="80">
        <v>0</v>
      </c>
      <c r="AC746" s="80">
        <v>0</v>
      </c>
      <c r="AD746" s="80">
        <v>0</v>
      </c>
      <c r="AE746" s="80">
        <v>0</v>
      </c>
      <c r="AF746" s="80">
        <v>0</v>
      </c>
      <c r="AG746" s="81">
        <v>1</v>
      </c>
      <c r="AH746" s="80">
        <v>0</v>
      </c>
      <c r="AI746" s="81">
        <v>0</v>
      </c>
      <c r="AJ746" s="81">
        <v>0</v>
      </c>
      <c r="AK746" s="81">
        <v>0</v>
      </c>
      <c r="AL746" s="81">
        <v>0</v>
      </c>
      <c r="AM746" s="81">
        <v>0</v>
      </c>
      <c r="AN746" s="81">
        <v>0</v>
      </c>
      <c r="AO746" s="81">
        <v>0</v>
      </c>
    </row>
    <row r="747" spans="1:41" ht="15.75" x14ac:dyDescent="0.25">
      <c r="A747" s="84"/>
      <c r="B747" s="84"/>
      <c r="C747" s="84"/>
      <c r="D747" s="80" t="s">
        <v>247</v>
      </c>
      <c r="E747" s="80">
        <v>0</v>
      </c>
      <c r="F747" s="80">
        <v>0</v>
      </c>
      <c r="G747" s="80">
        <v>0</v>
      </c>
      <c r="H747" s="80">
        <v>0</v>
      </c>
      <c r="I747" s="80">
        <v>0</v>
      </c>
      <c r="J747" s="80">
        <v>0</v>
      </c>
      <c r="K747" s="80">
        <v>0</v>
      </c>
      <c r="L747" s="80">
        <v>1</v>
      </c>
      <c r="M747" s="80">
        <v>0</v>
      </c>
      <c r="N747" s="80">
        <v>0</v>
      </c>
      <c r="O747" s="80">
        <v>0</v>
      </c>
      <c r="P747" s="80">
        <v>0</v>
      </c>
      <c r="Q747" s="80">
        <v>0</v>
      </c>
      <c r="R747" s="80">
        <v>0</v>
      </c>
      <c r="S747" s="80">
        <v>1</v>
      </c>
      <c r="T747" s="80">
        <v>1</v>
      </c>
      <c r="U747" s="80">
        <v>0</v>
      </c>
      <c r="V747" s="80">
        <v>0</v>
      </c>
      <c r="W747" s="80">
        <v>0</v>
      </c>
      <c r="X747" s="80">
        <v>0</v>
      </c>
      <c r="Y747" s="80">
        <v>0</v>
      </c>
      <c r="Z747" s="80">
        <v>0</v>
      </c>
      <c r="AA747" s="80">
        <v>0</v>
      </c>
      <c r="AB747" s="80">
        <v>0</v>
      </c>
      <c r="AC747" s="80">
        <v>0</v>
      </c>
      <c r="AD747" s="80">
        <v>0</v>
      </c>
      <c r="AE747" s="80">
        <v>0</v>
      </c>
      <c r="AF747" s="80">
        <v>0</v>
      </c>
      <c r="AG747" s="81">
        <v>0</v>
      </c>
      <c r="AH747" s="80">
        <v>0</v>
      </c>
      <c r="AI747" s="80">
        <v>0</v>
      </c>
      <c r="AJ747" s="80">
        <v>0</v>
      </c>
      <c r="AK747" s="80">
        <v>0</v>
      </c>
      <c r="AL747" s="81">
        <v>0</v>
      </c>
      <c r="AM747" s="81">
        <v>0</v>
      </c>
      <c r="AN747" s="81">
        <v>0</v>
      </c>
      <c r="AO747" s="81">
        <v>0</v>
      </c>
    </row>
    <row r="748" spans="1:41" ht="15.75" x14ac:dyDescent="0.25">
      <c r="A748" s="84"/>
      <c r="B748" s="84"/>
      <c r="C748" s="84"/>
      <c r="D748" s="80" t="s">
        <v>248</v>
      </c>
      <c r="E748" s="80">
        <v>0</v>
      </c>
      <c r="F748" s="80">
        <v>0</v>
      </c>
      <c r="G748" s="80">
        <v>0</v>
      </c>
      <c r="H748" s="80">
        <v>2</v>
      </c>
      <c r="I748" s="80">
        <v>1</v>
      </c>
      <c r="J748" s="80">
        <v>0</v>
      </c>
      <c r="K748" s="80">
        <v>1</v>
      </c>
      <c r="L748" s="80">
        <v>0</v>
      </c>
      <c r="M748" s="80">
        <v>1</v>
      </c>
      <c r="N748" s="80">
        <v>1</v>
      </c>
      <c r="O748" s="80">
        <v>1</v>
      </c>
      <c r="P748" s="80">
        <v>0</v>
      </c>
      <c r="Q748" s="80">
        <v>0</v>
      </c>
      <c r="R748" s="80">
        <v>1</v>
      </c>
      <c r="S748" s="80">
        <v>0</v>
      </c>
      <c r="T748" s="80">
        <v>0</v>
      </c>
      <c r="U748" s="80">
        <v>2</v>
      </c>
      <c r="V748" s="80">
        <v>1</v>
      </c>
      <c r="W748" s="80">
        <v>1</v>
      </c>
      <c r="X748" s="80">
        <v>1</v>
      </c>
      <c r="Y748" s="80">
        <v>0</v>
      </c>
      <c r="Z748" s="80">
        <v>0</v>
      </c>
      <c r="AA748" s="80">
        <v>0</v>
      </c>
      <c r="AB748" s="80">
        <v>0</v>
      </c>
      <c r="AC748" s="80">
        <v>0</v>
      </c>
      <c r="AD748" s="80">
        <v>0</v>
      </c>
      <c r="AE748" s="80">
        <v>0</v>
      </c>
      <c r="AF748" s="80">
        <v>0</v>
      </c>
      <c r="AG748" s="80">
        <v>1</v>
      </c>
      <c r="AH748" s="80">
        <v>0</v>
      </c>
      <c r="AI748" s="80">
        <v>0</v>
      </c>
      <c r="AJ748" s="80">
        <v>0</v>
      </c>
      <c r="AK748" s="80">
        <v>0</v>
      </c>
      <c r="AL748" s="80">
        <v>0</v>
      </c>
      <c r="AM748" s="81">
        <v>0</v>
      </c>
      <c r="AN748" s="81">
        <v>0</v>
      </c>
      <c r="AO748" s="81">
        <v>0</v>
      </c>
    </row>
    <row r="749" spans="1:41" ht="15.75" x14ac:dyDescent="0.25">
      <c r="A749" s="84"/>
      <c r="B749" s="84"/>
      <c r="C749" s="84"/>
      <c r="D749" s="80" t="s">
        <v>258</v>
      </c>
      <c r="E749" s="80">
        <v>0</v>
      </c>
      <c r="F749" s="80">
        <v>0</v>
      </c>
      <c r="G749" s="80">
        <v>0</v>
      </c>
      <c r="H749" s="80">
        <v>0</v>
      </c>
      <c r="I749" s="80">
        <v>0</v>
      </c>
      <c r="J749" s="80">
        <v>0</v>
      </c>
      <c r="K749" s="80">
        <v>0</v>
      </c>
      <c r="L749" s="80">
        <v>0</v>
      </c>
      <c r="M749" s="80">
        <v>0</v>
      </c>
      <c r="N749" s="80">
        <v>0</v>
      </c>
      <c r="O749" s="80">
        <v>0</v>
      </c>
      <c r="P749" s="80">
        <v>0</v>
      </c>
      <c r="Q749" s="80">
        <v>1</v>
      </c>
      <c r="R749" s="80">
        <v>0</v>
      </c>
      <c r="S749" s="80">
        <v>0</v>
      </c>
      <c r="T749" s="80">
        <v>0</v>
      </c>
      <c r="U749" s="80">
        <v>0</v>
      </c>
      <c r="V749" s="80">
        <v>0</v>
      </c>
      <c r="W749" s="80">
        <v>0</v>
      </c>
      <c r="X749" s="80">
        <v>0</v>
      </c>
      <c r="Y749" s="80">
        <v>0</v>
      </c>
      <c r="Z749" s="80">
        <v>0</v>
      </c>
      <c r="AA749" s="80">
        <v>0</v>
      </c>
      <c r="AB749" s="80">
        <v>0</v>
      </c>
      <c r="AC749" s="80">
        <v>0</v>
      </c>
      <c r="AD749" s="80">
        <v>0</v>
      </c>
      <c r="AE749" s="80">
        <v>0</v>
      </c>
      <c r="AF749" s="80">
        <v>0</v>
      </c>
      <c r="AG749" s="81">
        <v>0</v>
      </c>
      <c r="AH749" s="80">
        <v>0</v>
      </c>
      <c r="AI749" s="81">
        <v>0</v>
      </c>
      <c r="AJ749" s="81">
        <v>0</v>
      </c>
      <c r="AK749" s="81">
        <v>0</v>
      </c>
      <c r="AL749" s="81">
        <v>0</v>
      </c>
      <c r="AM749" s="81">
        <v>0</v>
      </c>
      <c r="AN749" s="81">
        <v>0</v>
      </c>
      <c r="AO749" s="81">
        <v>0</v>
      </c>
    </row>
    <row r="750" spans="1:41" ht="15.75" x14ac:dyDescent="0.25">
      <c r="A750" s="84">
        <v>22</v>
      </c>
      <c r="B750" s="84"/>
      <c r="C750" s="84" t="s">
        <v>187</v>
      </c>
      <c r="D750" s="80" t="s">
        <v>245</v>
      </c>
      <c r="E750" s="80">
        <v>0</v>
      </c>
      <c r="F750" s="80">
        <v>0</v>
      </c>
      <c r="G750" s="80">
        <v>0</v>
      </c>
      <c r="H750" s="80">
        <v>1</v>
      </c>
      <c r="I750" s="80">
        <v>0</v>
      </c>
      <c r="J750" s="80">
        <v>0</v>
      </c>
      <c r="K750" s="80">
        <v>0</v>
      </c>
      <c r="L750" s="80">
        <v>0</v>
      </c>
      <c r="M750" s="80">
        <v>0</v>
      </c>
      <c r="N750" s="80">
        <v>0</v>
      </c>
      <c r="O750" s="80">
        <v>0</v>
      </c>
      <c r="P750" s="80">
        <v>0</v>
      </c>
      <c r="Q750" s="80">
        <v>0</v>
      </c>
      <c r="R750" s="80">
        <v>0</v>
      </c>
      <c r="S750" s="80">
        <v>0</v>
      </c>
      <c r="T750" s="80">
        <v>0</v>
      </c>
      <c r="U750" s="80">
        <v>0</v>
      </c>
      <c r="V750" s="80">
        <v>0</v>
      </c>
      <c r="W750" s="80">
        <v>0</v>
      </c>
      <c r="X750" s="80">
        <v>0</v>
      </c>
      <c r="Y750" s="80">
        <v>0</v>
      </c>
      <c r="Z750" s="80">
        <v>0</v>
      </c>
      <c r="AA750" s="80">
        <v>0</v>
      </c>
      <c r="AB750" s="80">
        <v>0</v>
      </c>
      <c r="AC750" s="80">
        <v>0</v>
      </c>
      <c r="AD750" s="80">
        <v>0</v>
      </c>
      <c r="AE750" s="80">
        <v>0</v>
      </c>
      <c r="AF750" s="80">
        <v>0</v>
      </c>
      <c r="AG750" s="80">
        <v>0</v>
      </c>
      <c r="AH750" s="80">
        <v>0</v>
      </c>
      <c r="AI750" s="80">
        <v>0</v>
      </c>
      <c r="AJ750" s="80">
        <v>0</v>
      </c>
      <c r="AK750" s="80">
        <v>0</v>
      </c>
      <c r="AL750" s="80">
        <v>0</v>
      </c>
      <c r="AM750" s="81">
        <v>0</v>
      </c>
      <c r="AN750" s="81">
        <v>0</v>
      </c>
      <c r="AO750" s="81">
        <v>0</v>
      </c>
    </row>
    <row r="751" spans="1:41" ht="15.75" x14ac:dyDescent="0.25">
      <c r="A751" s="84"/>
      <c r="B751" s="84"/>
      <c r="C751" s="84"/>
      <c r="D751" s="80" t="s">
        <v>246</v>
      </c>
      <c r="E751" s="80">
        <v>0</v>
      </c>
      <c r="F751" s="80">
        <v>0</v>
      </c>
      <c r="G751" s="80">
        <v>0</v>
      </c>
      <c r="H751" s="80">
        <v>1</v>
      </c>
      <c r="I751" s="80">
        <v>0</v>
      </c>
      <c r="J751" s="80">
        <v>0</v>
      </c>
      <c r="K751" s="80">
        <v>0</v>
      </c>
      <c r="L751" s="80">
        <v>0</v>
      </c>
      <c r="M751" s="80">
        <v>0</v>
      </c>
      <c r="N751" s="80">
        <v>0</v>
      </c>
      <c r="O751" s="80">
        <v>0</v>
      </c>
      <c r="P751" s="80">
        <v>0</v>
      </c>
      <c r="Q751" s="80">
        <v>0</v>
      </c>
      <c r="R751" s="80">
        <v>0</v>
      </c>
      <c r="S751" s="80">
        <v>0</v>
      </c>
      <c r="T751" s="80">
        <v>0</v>
      </c>
      <c r="U751" s="80">
        <v>0</v>
      </c>
      <c r="V751" s="80">
        <v>0</v>
      </c>
      <c r="W751" s="80">
        <v>0</v>
      </c>
      <c r="X751" s="80">
        <v>0</v>
      </c>
      <c r="Y751" s="80">
        <v>0</v>
      </c>
      <c r="Z751" s="80">
        <v>0</v>
      </c>
      <c r="AA751" s="80">
        <v>0</v>
      </c>
      <c r="AB751" s="80">
        <v>0</v>
      </c>
      <c r="AC751" s="80">
        <v>0</v>
      </c>
      <c r="AD751" s="80">
        <v>0</v>
      </c>
      <c r="AE751" s="80">
        <v>0</v>
      </c>
      <c r="AF751" s="80">
        <v>0</v>
      </c>
      <c r="AG751" s="80">
        <v>0</v>
      </c>
      <c r="AH751" s="80">
        <v>0</v>
      </c>
      <c r="AI751" s="80">
        <v>0</v>
      </c>
      <c r="AJ751" s="80">
        <v>0</v>
      </c>
      <c r="AK751" s="80">
        <v>0</v>
      </c>
      <c r="AL751" s="80">
        <v>0</v>
      </c>
      <c r="AM751" s="81">
        <v>0</v>
      </c>
      <c r="AN751" s="81">
        <v>0</v>
      </c>
      <c r="AO751" s="81">
        <v>0</v>
      </c>
    </row>
    <row r="752" spans="1:41" ht="15.75" x14ac:dyDescent="0.25">
      <c r="A752" s="84"/>
      <c r="B752" s="84"/>
      <c r="C752" s="84"/>
      <c r="D752" s="80" t="s">
        <v>247</v>
      </c>
      <c r="E752" s="80">
        <v>0</v>
      </c>
      <c r="F752" s="80">
        <v>0</v>
      </c>
      <c r="G752" s="80">
        <v>0</v>
      </c>
      <c r="H752" s="80">
        <v>0</v>
      </c>
      <c r="I752" s="80">
        <v>0</v>
      </c>
      <c r="J752" s="80">
        <v>0</v>
      </c>
      <c r="K752" s="80">
        <v>0</v>
      </c>
      <c r="L752" s="80">
        <v>0</v>
      </c>
      <c r="M752" s="80">
        <v>0</v>
      </c>
      <c r="N752" s="80">
        <v>0</v>
      </c>
      <c r="O752" s="80">
        <v>0</v>
      </c>
      <c r="P752" s="80">
        <v>0</v>
      </c>
      <c r="Q752" s="80">
        <v>0</v>
      </c>
      <c r="R752" s="80">
        <v>0</v>
      </c>
      <c r="S752" s="80">
        <v>0</v>
      </c>
      <c r="T752" s="80">
        <v>0</v>
      </c>
      <c r="U752" s="80">
        <v>0</v>
      </c>
      <c r="V752" s="80">
        <v>0</v>
      </c>
      <c r="W752" s="80">
        <v>0</v>
      </c>
      <c r="X752" s="80">
        <v>0</v>
      </c>
      <c r="Y752" s="80">
        <v>0</v>
      </c>
      <c r="Z752" s="80">
        <v>0</v>
      </c>
      <c r="AA752" s="80">
        <v>0</v>
      </c>
      <c r="AB752" s="80">
        <v>0</v>
      </c>
      <c r="AC752" s="80">
        <v>0</v>
      </c>
      <c r="AD752" s="80">
        <v>0</v>
      </c>
      <c r="AE752" s="80">
        <v>0</v>
      </c>
      <c r="AF752" s="80">
        <v>0</v>
      </c>
      <c r="AG752" s="80">
        <v>0</v>
      </c>
      <c r="AH752" s="80">
        <v>0</v>
      </c>
      <c r="AI752" s="80">
        <v>0</v>
      </c>
      <c r="AJ752" s="80">
        <v>0</v>
      </c>
      <c r="AK752" s="80">
        <v>0</v>
      </c>
      <c r="AL752" s="80">
        <v>0</v>
      </c>
      <c r="AM752" s="81">
        <v>0</v>
      </c>
      <c r="AN752" s="81">
        <v>0</v>
      </c>
      <c r="AO752" s="81">
        <v>0</v>
      </c>
    </row>
    <row r="753" spans="1:41" ht="15.75" x14ac:dyDescent="0.25">
      <c r="A753" s="84"/>
      <c r="B753" s="84"/>
      <c r="C753" s="84"/>
      <c r="D753" s="80" t="s">
        <v>248</v>
      </c>
      <c r="E753" s="80">
        <v>0</v>
      </c>
      <c r="F753" s="80">
        <v>0</v>
      </c>
      <c r="G753" s="80">
        <v>0</v>
      </c>
      <c r="H753" s="80">
        <v>1</v>
      </c>
      <c r="I753" s="80">
        <v>0</v>
      </c>
      <c r="J753" s="80">
        <v>0</v>
      </c>
      <c r="K753" s="80">
        <v>0</v>
      </c>
      <c r="L753" s="80">
        <v>0</v>
      </c>
      <c r="M753" s="80">
        <v>0</v>
      </c>
      <c r="N753" s="80">
        <v>0</v>
      </c>
      <c r="O753" s="80">
        <v>0</v>
      </c>
      <c r="P753" s="80">
        <v>0</v>
      </c>
      <c r="Q753" s="80">
        <v>0</v>
      </c>
      <c r="R753" s="80">
        <v>0</v>
      </c>
      <c r="S753" s="80">
        <v>0</v>
      </c>
      <c r="T753" s="80">
        <v>0</v>
      </c>
      <c r="U753" s="80">
        <v>0</v>
      </c>
      <c r="V753" s="80">
        <v>0</v>
      </c>
      <c r="W753" s="80">
        <v>0</v>
      </c>
      <c r="X753" s="80">
        <v>0</v>
      </c>
      <c r="Y753" s="80">
        <v>0</v>
      </c>
      <c r="Z753" s="80">
        <v>0</v>
      </c>
      <c r="AA753" s="80">
        <v>0</v>
      </c>
      <c r="AB753" s="80">
        <v>0</v>
      </c>
      <c r="AC753" s="80">
        <v>0</v>
      </c>
      <c r="AD753" s="80">
        <v>0</v>
      </c>
      <c r="AE753" s="80">
        <v>0</v>
      </c>
      <c r="AF753" s="80">
        <v>0</v>
      </c>
      <c r="AG753" s="80">
        <v>0</v>
      </c>
      <c r="AH753" s="80">
        <v>0</v>
      </c>
      <c r="AI753" s="80">
        <v>0</v>
      </c>
      <c r="AJ753" s="80">
        <v>0</v>
      </c>
      <c r="AK753" s="80">
        <v>0</v>
      </c>
      <c r="AL753" s="80">
        <v>0</v>
      </c>
      <c r="AM753" s="81">
        <v>0</v>
      </c>
      <c r="AN753" s="81">
        <v>0</v>
      </c>
      <c r="AO753" s="81">
        <v>0</v>
      </c>
    </row>
    <row r="754" spans="1:41" ht="15.75" x14ac:dyDescent="0.25">
      <c r="A754" s="84"/>
      <c r="B754" s="84"/>
      <c r="C754" s="84"/>
      <c r="D754" s="80" t="s">
        <v>258</v>
      </c>
      <c r="E754" s="80">
        <v>0</v>
      </c>
      <c r="F754" s="80">
        <v>0</v>
      </c>
      <c r="G754" s="80">
        <v>0</v>
      </c>
      <c r="H754" s="80">
        <v>0</v>
      </c>
      <c r="I754" s="80">
        <v>0</v>
      </c>
      <c r="J754" s="80">
        <v>0</v>
      </c>
      <c r="K754" s="80">
        <v>0</v>
      </c>
      <c r="L754" s="80">
        <v>0</v>
      </c>
      <c r="M754" s="80">
        <v>0</v>
      </c>
      <c r="N754" s="80">
        <v>0</v>
      </c>
      <c r="O754" s="80">
        <v>0</v>
      </c>
      <c r="P754" s="80">
        <v>0</v>
      </c>
      <c r="Q754" s="80">
        <v>0</v>
      </c>
      <c r="R754" s="80">
        <v>0</v>
      </c>
      <c r="S754" s="80">
        <v>0</v>
      </c>
      <c r="T754" s="80">
        <v>0</v>
      </c>
      <c r="U754" s="80">
        <v>0</v>
      </c>
      <c r="V754" s="80">
        <v>0</v>
      </c>
      <c r="W754" s="80">
        <v>0</v>
      </c>
      <c r="X754" s="80">
        <v>0</v>
      </c>
      <c r="Y754" s="80">
        <v>0</v>
      </c>
      <c r="Z754" s="80">
        <v>0</v>
      </c>
      <c r="AA754" s="80">
        <v>0</v>
      </c>
      <c r="AB754" s="80">
        <v>0</v>
      </c>
      <c r="AC754" s="80">
        <v>0</v>
      </c>
      <c r="AD754" s="80">
        <v>0</v>
      </c>
      <c r="AE754" s="80">
        <v>0</v>
      </c>
      <c r="AF754" s="80">
        <v>0</v>
      </c>
      <c r="AG754" s="80">
        <v>0</v>
      </c>
      <c r="AH754" s="80">
        <v>0</v>
      </c>
      <c r="AI754" s="80">
        <v>0</v>
      </c>
      <c r="AJ754" s="80">
        <v>0</v>
      </c>
      <c r="AK754" s="80">
        <v>0</v>
      </c>
      <c r="AL754" s="80">
        <v>0</v>
      </c>
      <c r="AM754" s="81">
        <v>0</v>
      </c>
      <c r="AN754" s="81">
        <v>0</v>
      </c>
      <c r="AO754" s="81">
        <v>0</v>
      </c>
    </row>
    <row r="755" spans="1:41" ht="15.75" x14ac:dyDescent="0.25">
      <c r="A755" s="84">
        <v>23</v>
      </c>
      <c r="B755" s="84" t="s">
        <v>83</v>
      </c>
      <c r="C755" s="84" t="s">
        <v>170</v>
      </c>
      <c r="D755" s="80" t="s">
        <v>245</v>
      </c>
      <c r="E755" s="80">
        <v>0</v>
      </c>
      <c r="F755" s="80">
        <v>0</v>
      </c>
      <c r="G755" s="80">
        <v>0</v>
      </c>
      <c r="H755" s="80">
        <v>2</v>
      </c>
      <c r="I755" s="80">
        <v>0</v>
      </c>
      <c r="J755" s="80">
        <v>2</v>
      </c>
      <c r="K755" s="80">
        <v>0</v>
      </c>
      <c r="L755" s="80">
        <v>0</v>
      </c>
      <c r="M755" s="80">
        <v>0</v>
      </c>
      <c r="N755" s="80">
        <v>0</v>
      </c>
      <c r="O755" s="80">
        <v>1</v>
      </c>
      <c r="P755" s="80">
        <v>0</v>
      </c>
      <c r="Q755" s="80">
        <v>1</v>
      </c>
      <c r="R755" s="80">
        <v>2</v>
      </c>
      <c r="S755" s="80">
        <v>0</v>
      </c>
      <c r="T755" s="80">
        <v>0</v>
      </c>
      <c r="U755" s="80">
        <v>2</v>
      </c>
      <c r="V755" s="80">
        <v>2</v>
      </c>
      <c r="W755" s="80">
        <v>1</v>
      </c>
      <c r="X755" s="80">
        <v>0</v>
      </c>
      <c r="Y755" s="80">
        <v>0</v>
      </c>
      <c r="Z755" s="80">
        <v>0</v>
      </c>
      <c r="AA755" s="80">
        <v>0</v>
      </c>
      <c r="AB755" s="80">
        <v>0</v>
      </c>
      <c r="AC755" s="80">
        <v>0</v>
      </c>
      <c r="AD755" s="80">
        <v>0</v>
      </c>
      <c r="AE755" s="80">
        <v>1</v>
      </c>
      <c r="AF755" s="80">
        <v>0</v>
      </c>
      <c r="AG755" s="81">
        <v>2</v>
      </c>
      <c r="AH755" s="80">
        <v>0</v>
      </c>
      <c r="AI755" s="81">
        <v>0</v>
      </c>
      <c r="AJ755" s="81">
        <v>0</v>
      </c>
      <c r="AK755" s="81">
        <v>0</v>
      </c>
      <c r="AL755" s="81">
        <v>0</v>
      </c>
      <c r="AM755" s="81">
        <v>0</v>
      </c>
      <c r="AN755" s="81">
        <v>0</v>
      </c>
      <c r="AO755" s="81">
        <v>0</v>
      </c>
    </row>
    <row r="756" spans="1:41" ht="15.75" x14ac:dyDescent="0.25">
      <c r="A756" s="84"/>
      <c r="B756" s="84"/>
      <c r="C756" s="84"/>
      <c r="D756" s="80" t="s">
        <v>246</v>
      </c>
      <c r="E756" s="80">
        <v>1</v>
      </c>
      <c r="F756" s="80">
        <v>0</v>
      </c>
      <c r="G756" s="80">
        <v>0</v>
      </c>
      <c r="H756" s="80">
        <v>1</v>
      </c>
      <c r="I756" s="80">
        <v>0</v>
      </c>
      <c r="J756" s="80">
        <v>2</v>
      </c>
      <c r="K756" s="80">
        <v>0</v>
      </c>
      <c r="L756" s="80">
        <v>0</v>
      </c>
      <c r="M756" s="80">
        <v>0</v>
      </c>
      <c r="N756" s="80">
        <v>0</v>
      </c>
      <c r="O756" s="80">
        <v>1</v>
      </c>
      <c r="P756" s="80">
        <v>0</v>
      </c>
      <c r="Q756" s="80">
        <v>1</v>
      </c>
      <c r="R756" s="80">
        <v>2</v>
      </c>
      <c r="S756" s="80">
        <v>0</v>
      </c>
      <c r="T756" s="80">
        <v>0</v>
      </c>
      <c r="U756" s="80">
        <v>2</v>
      </c>
      <c r="V756" s="80">
        <v>2</v>
      </c>
      <c r="W756" s="80">
        <v>1</v>
      </c>
      <c r="X756" s="80">
        <v>0</v>
      </c>
      <c r="Y756" s="80">
        <v>0</v>
      </c>
      <c r="Z756" s="80">
        <v>0</v>
      </c>
      <c r="AA756" s="80">
        <v>0</v>
      </c>
      <c r="AB756" s="80">
        <v>0</v>
      </c>
      <c r="AC756" s="80">
        <v>0</v>
      </c>
      <c r="AD756" s="80">
        <v>0</v>
      </c>
      <c r="AE756" s="80">
        <v>1</v>
      </c>
      <c r="AF756" s="80">
        <v>0</v>
      </c>
      <c r="AG756" s="81">
        <v>2</v>
      </c>
      <c r="AH756" s="80">
        <v>0</v>
      </c>
      <c r="AI756" s="81">
        <v>0</v>
      </c>
      <c r="AJ756" s="81">
        <v>0</v>
      </c>
      <c r="AK756" s="81">
        <v>0</v>
      </c>
      <c r="AL756" s="81">
        <v>0</v>
      </c>
      <c r="AM756" s="81">
        <v>0</v>
      </c>
      <c r="AN756" s="81">
        <v>0</v>
      </c>
      <c r="AO756" s="81">
        <v>0</v>
      </c>
    </row>
    <row r="757" spans="1:41" ht="15.75" x14ac:dyDescent="0.25">
      <c r="A757" s="84"/>
      <c r="B757" s="84"/>
      <c r="C757" s="84"/>
      <c r="D757" s="80" t="s">
        <v>247</v>
      </c>
      <c r="E757" s="80">
        <v>0</v>
      </c>
      <c r="F757" s="80">
        <v>0</v>
      </c>
      <c r="G757" s="80">
        <v>0</v>
      </c>
      <c r="H757" s="80">
        <v>1</v>
      </c>
      <c r="I757" s="80">
        <v>0</v>
      </c>
      <c r="J757" s="80">
        <v>0</v>
      </c>
      <c r="K757" s="80">
        <v>0</v>
      </c>
      <c r="L757" s="80">
        <v>0</v>
      </c>
      <c r="M757" s="80">
        <v>0</v>
      </c>
      <c r="N757" s="80">
        <v>0</v>
      </c>
      <c r="O757" s="80">
        <v>0</v>
      </c>
      <c r="P757" s="80">
        <v>0</v>
      </c>
      <c r="Q757" s="80">
        <v>0</v>
      </c>
      <c r="R757" s="80">
        <v>0</v>
      </c>
      <c r="S757" s="80">
        <v>0</v>
      </c>
      <c r="T757" s="80">
        <v>0</v>
      </c>
      <c r="U757" s="80">
        <v>0</v>
      </c>
      <c r="V757" s="80">
        <v>0</v>
      </c>
      <c r="W757" s="80">
        <v>0</v>
      </c>
      <c r="X757" s="80">
        <v>0</v>
      </c>
      <c r="Y757" s="80">
        <v>0</v>
      </c>
      <c r="Z757" s="80">
        <v>0</v>
      </c>
      <c r="AA757" s="80">
        <v>0</v>
      </c>
      <c r="AB757" s="80">
        <v>0</v>
      </c>
      <c r="AC757" s="80">
        <v>0</v>
      </c>
      <c r="AD757" s="80">
        <v>0</v>
      </c>
      <c r="AE757" s="80">
        <v>0</v>
      </c>
      <c r="AF757" s="80">
        <v>0</v>
      </c>
      <c r="AG757" s="81">
        <v>0</v>
      </c>
      <c r="AH757" s="80">
        <v>0</v>
      </c>
      <c r="AI757" s="81">
        <v>0</v>
      </c>
      <c r="AJ757" s="81">
        <v>0</v>
      </c>
      <c r="AK757" s="81">
        <v>0</v>
      </c>
      <c r="AL757" s="81">
        <v>0</v>
      </c>
      <c r="AM757" s="81">
        <v>0</v>
      </c>
      <c r="AN757" s="81">
        <v>0</v>
      </c>
      <c r="AO757" s="81">
        <v>0</v>
      </c>
    </row>
    <row r="758" spans="1:41" ht="15.75" x14ac:dyDescent="0.25">
      <c r="A758" s="84"/>
      <c r="B758" s="84"/>
      <c r="C758" s="84"/>
      <c r="D758" s="80" t="s">
        <v>248</v>
      </c>
      <c r="E758" s="80">
        <v>1</v>
      </c>
      <c r="F758" s="80">
        <v>0</v>
      </c>
      <c r="G758" s="80">
        <v>0</v>
      </c>
      <c r="H758" s="80">
        <v>1</v>
      </c>
      <c r="I758" s="80">
        <v>0</v>
      </c>
      <c r="J758" s="80">
        <v>2</v>
      </c>
      <c r="K758" s="80">
        <v>0</v>
      </c>
      <c r="L758" s="80">
        <v>0</v>
      </c>
      <c r="M758" s="80">
        <v>0</v>
      </c>
      <c r="N758" s="80">
        <v>0</v>
      </c>
      <c r="O758" s="80">
        <v>1</v>
      </c>
      <c r="P758" s="80">
        <v>0</v>
      </c>
      <c r="Q758" s="80">
        <v>1</v>
      </c>
      <c r="R758" s="80">
        <v>0</v>
      </c>
      <c r="S758" s="80">
        <v>0</v>
      </c>
      <c r="T758" s="80">
        <v>0</v>
      </c>
      <c r="U758" s="80">
        <v>2</v>
      </c>
      <c r="V758" s="80">
        <v>2</v>
      </c>
      <c r="W758" s="80">
        <v>1</v>
      </c>
      <c r="X758" s="80">
        <v>0</v>
      </c>
      <c r="Y758" s="80">
        <v>0</v>
      </c>
      <c r="Z758" s="80">
        <v>0</v>
      </c>
      <c r="AA758" s="80">
        <v>0</v>
      </c>
      <c r="AB758" s="80">
        <v>0</v>
      </c>
      <c r="AC758" s="80">
        <v>0</v>
      </c>
      <c r="AD758" s="80">
        <v>0</v>
      </c>
      <c r="AE758" s="80">
        <v>1</v>
      </c>
      <c r="AF758" s="80">
        <v>0</v>
      </c>
      <c r="AG758" s="81">
        <v>2</v>
      </c>
      <c r="AH758" s="80">
        <v>0</v>
      </c>
      <c r="AI758" s="81">
        <v>0</v>
      </c>
      <c r="AJ758" s="81">
        <v>0</v>
      </c>
      <c r="AK758" s="81">
        <v>0</v>
      </c>
      <c r="AL758" s="81">
        <v>0</v>
      </c>
      <c r="AM758" s="81">
        <v>0</v>
      </c>
      <c r="AN758" s="81">
        <v>0</v>
      </c>
      <c r="AO758" s="81">
        <v>0</v>
      </c>
    </row>
    <row r="759" spans="1:41" ht="15.75" x14ac:dyDescent="0.25">
      <c r="A759" s="84"/>
      <c r="B759" s="84"/>
      <c r="C759" s="84"/>
      <c r="D759" s="80" t="s">
        <v>258</v>
      </c>
      <c r="E759" s="80">
        <v>0</v>
      </c>
      <c r="F759" s="80">
        <v>0</v>
      </c>
      <c r="G759" s="80">
        <v>0</v>
      </c>
      <c r="H759" s="80">
        <v>0</v>
      </c>
      <c r="I759" s="80">
        <v>0</v>
      </c>
      <c r="J759" s="80">
        <v>0</v>
      </c>
      <c r="K759" s="80">
        <v>0</v>
      </c>
      <c r="L759" s="80">
        <v>0</v>
      </c>
      <c r="M759" s="80">
        <v>0</v>
      </c>
      <c r="N759" s="80">
        <v>0</v>
      </c>
      <c r="O759" s="80">
        <v>0</v>
      </c>
      <c r="P759" s="80">
        <v>0</v>
      </c>
      <c r="Q759" s="80">
        <v>0</v>
      </c>
      <c r="R759" s="80">
        <v>2</v>
      </c>
      <c r="S759" s="80">
        <v>0</v>
      </c>
      <c r="T759" s="80">
        <v>0</v>
      </c>
      <c r="U759" s="80">
        <v>0</v>
      </c>
      <c r="V759" s="80">
        <v>0</v>
      </c>
      <c r="W759" s="80">
        <v>0</v>
      </c>
      <c r="X759" s="80">
        <v>0</v>
      </c>
      <c r="Y759" s="80">
        <v>0</v>
      </c>
      <c r="Z759" s="80">
        <v>0</v>
      </c>
      <c r="AA759" s="80">
        <v>0</v>
      </c>
      <c r="AB759" s="80">
        <v>0</v>
      </c>
      <c r="AC759" s="80">
        <v>0</v>
      </c>
      <c r="AD759" s="80">
        <v>0</v>
      </c>
      <c r="AE759" s="80">
        <v>0</v>
      </c>
      <c r="AF759" s="80">
        <v>0</v>
      </c>
      <c r="AG759" s="80">
        <v>0</v>
      </c>
      <c r="AH759" s="80">
        <v>0</v>
      </c>
      <c r="AI759" s="80">
        <v>0</v>
      </c>
      <c r="AJ759" s="80">
        <v>0</v>
      </c>
      <c r="AK759" s="80">
        <v>0</v>
      </c>
      <c r="AL759" s="80">
        <v>0</v>
      </c>
      <c r="AM759" s="81">
        <v>0</v>
      </c>
      <c r="AN759" s="81">
        <v>0</v>
      </c>
      <c r="AO759" s="81">
        <v>0</v>
      </c>
    </row>
    <row r="760" spans="1:41" ht="15.75" x14ac:dyDescent="0.25">
      <c r="A760" s="84">
        <v>24</v>
      </c>
      <c r="B760" s="84"/>
      <c r="C760" s="84" t="s">
        <v>19</v>
      </c>
      <c r="D760" s="80" t="s">
        <v>245</v>
      </c>
      <c r="E760" s="80">
        <v>0</v>
      </c>
      <c r="F760" s="80">
        <v>0</v>
      </c>
      <c r="G760" s="80">
        <v>0</v>
      </c>
      <c r="H760" s="80">
        <v>1</v>
      </c>
      <c r="I760" s="80">
        <v>2</v>
      </c>
      <c r="J760" s="80">
        <v>1</v>
      </c>
      <c r="K760" s="80">
        <v>0</v>
      </c>
      <c r="L760" s="80">
        <v>0</v>
      </c>
      <c r="M760" s="80">
        <v>0</v>
      </c>
      <c r="N760" s="80">
        <v>1</v>
      </c>
      <c r="O760" s="80">
        <v>1</v>
      </c>
      <c r="P760" s="80">
        <v>0</v>
      </c>
      <c r="Q760" s="80">
        <v>1</v>
      </c>
      <c r="R760" s="80">
        <v>0</v>
      </c>
      <c r="S760" s="80">
        <v>0</v>
      </c>
      <c r="T760" s="80">
        <v>0</v>
      </c>
      <c r="U760" s="80">
        <v>2</v>
      </c>
      <c r="V760" s="80">
        <v>1</v>
      </c>
      <c r="W760" s="80">
        <v>0</v>
      </c>
      <c r="X760" s="80">
        <v>0</v>
      </c>
      <c r="Y760" s="80">
        <v>0</v>
      </c>
      <c r="Z760" s="80">
        <v>1</v>
      </c>
      <c r="AA760" s="80">
        <v>0</v>
      </c>
      <c r="AB760" s="80">
        <v>0</v>
      </c>
      <c r="AC760" s="80">
        <v>0</v>
      </c>
      <c r="AD760" s="80">
        <v>0</v>
      </c>
      <c r="AE760" s="80">
        <v>1</v>
      </c>
      <c r="AF760" s="80">
        <v>0</v>
      </c>
      <c r="AG760" s="81">
        <v>1</v>
      </c>
      <c r="AH760" s="80">
        <v>0</v>
      </c>
      <c r="AI760" s="81">
        <v>0</v>
      </c>
      <c r="AJ760" s="81">
        <v>0</v>
      </c>
      <c r="AK760" s="81">
        <v>0</v>
      </c>
      <c r="AL760" s="81">
        <v>0</v>
      </c>
      <c r="AM760" s="81">
        <v>0</v>
      </c>
      <c r="AN760" s="81">
        <v>0</v>
      </c>
      <c r="AO760" s="81">
        <v>0</v>
      </c>
    </row>
    <row r="761" spans="1:41" ht="15.75" x14ac:dyDescent="0.25">
      <c r="A761" s="84"/>
      <c r="B761" s="84"/>
      <c r="C761" s="84"/>
      <c r="D761" s="80" t="s">
        <v>246</v>
      </c>
      <c r="E761" s="80">
        <v>0</v>
      </c>
      <c r="F761" s="80">
        <v>0</v>
      </c>
      <c r="G761" s="80">
        <v>0</v>
      </c>
      <c r="H761" s="80">
        <v>1</v>
      </c>
      <c r="I761" s="80">
        <v>1</v>
      </c>
      <c r="J761" s="80">
        <v>1</v>
      </c>
      <c r="K761" s="80">
        <v>0</v>
      </c>
      <c r="L761" s="80">
        <v>0</v>
      </c>
      <c r="M761" s="80">
        <v>0</v>
      </c>
      <c r="N761" s="80">
        <v>1</v>
      </c>
      <c r="O761" s="80">
        <v>1</v>
      </c>
      <c r="P761" s="80">
        <v>0</v>
      </c>
      <c r="Q761" s="80">
        <v>1</v>
      </c>
      <c r="R761" s="80">
        <v>0</v>
      </c>
      <c r="S761" s="80">
        <v>0</v>
      </c>
      <c r="T761" s="80">
        <v>0</v>
      </c>
      <c r="U761" s="80">
        <v>2</v>
      </c>
      <c r="V761" s="80">
        <v>1</v>
      </c>
      <c r="W761" s="80">
        <v>0</v>
      </c>
      <c r="X761" s="80">
        <v>0</v>
      </c>
      <c r="Y761" s="80">
        <v>0</v>
      </c>
      <c r="Z761" s="80">
        <v>1</v>
      </c>
      <c r="AA761" s="80">
        <v>0</v>
      </c>
      <c r="AB761" s="80">
        <v>0</v>
      </c>
      <c r="AC761" s="80">
        <v>0</v>
      </c>
      <c r="AD761" s="80">
        <v>0</v>
      </c>
      <c r="AE761" s="80">
        <v>1</v>
      </c>
      <c r="AF761" s="80">
        <v>0</v>
      </c>
      <c r="AG761" s="81">
        <v>1</v>
      </c>
      <c r="AH761" s="80">
        <v>0</v>
      </c>
      <c r="AI761" s="81">
        <v>0</v>
      </c>
      <c r="AJ761" s="81">
        <v>0</v>
      </c>
      <c r="AK761" s="81">
        <v>0</v>
      </c>
      <c r="AL761" s="81">
        <v>0</v>
      </c>
      <c r="AM761" s="81">
        <v>0</v>
      </c>
      <c r="AN761" s="81">
        <v>0</v>
      </c>
      <c r="AO761" s="81">
        <v>0</v>
      </c>
    </row>
    <row r="762" spans="1:41" ht="15.75" x14ac:dyDescent="0.25">
      <c r="A762" s="84"/>
      <c r="B762" s="84"/>
      <c r="C762" s="84"/>
      <c r="D762" s="80" t="s">
        <v>247</v>
      </c>
      <c r="E762" s="80">
        <v>0</v>
      </c>
      <c r="F762" s="80">
        <v>0</v>
      </c>
      <c r="G762" s="80">
        <v>0</v>
      </c>
      <c r="H762" s="80">
        <v>0</v>
      </c>
      <c r="I762" s="80">
        <v>1</v>
      </c>
      <c r="J762" s="80">
        <v>0</v>
      </c>
      <c r="K762" s="80">
        <v>0</v>
      </c>
      <c r="L762" s="80">
        <v>0</v>
      </c>
      <c r="M762" s="80">
        <v>0</v>
      </c>
      <c r="N762" s="80">
        <v>0</v>
      </c>
      <c r="O762" s="80">
        <v>0</v>
      </c>
      <c r="P762" s="80">
        <v>0</v>
      </c>
      <c r="Q762" s="80">
        <v>0</v>
      </c>
      <c r="R762" s="80">
        <v>0</v>
      </c>
      <c r="S762" s="80">
        <v>0</v>
      </c>
      <c r="T762" s="80">
        <v>0</v>
      </c>
      <c r="U762" s="80">
        <v>0</v>
      </c>
      <c r="V762" s="80">
        <v>0</v>
      </c>
      <c r="W762" s="80">
        <v>0</v>
      </c>
      <c r="X762" s="80">
        <v>0</v>
      </c>
      <c r="Y762" s="80">
        <v>0</v>
      </c>
      <c r="Z762" s="80">
        <v>0</v>
      </c>
      <c r="AA762" s="80">
        <v>0</v>
      </c>
      <c r="AB762" s="80">
        <v>0</v>
      </c>
      <c r="AC762" s="80">
        <v>0</v>
      </c>
      <c r="AD762" s="80">
        <v>0</v>
      </c>
      <c r="AE762" s="80">
        <v>0</v>
      </c>
      <c r="AF762" s="80">
        <v>0</v>
      </c>
      <c r="AG762" s="81">
        <v>0</v>
      </c>
      <c r="AH762" s="80">
        <v>0</v>
      </c>
      <c r="AI762" s="81">
        <v>0</v>
      </c>
      <c r="AJ762" s="81">
        <v>0</v>
      </c>
      <c r="AK762" s="81">
        <v>0</v>
      </c>
      <c r="AL762" s="81">
        <v>0</v>
      </c>
      <c r="AM762" s="81">
        <v>0</v>
      </c>
      <c r="AN762" s="81">
        <v>0</v>
      </c>
      <c r="AO762" s="81">
        <v>0</v>
      </c>
    </row>
    <row r="763" spans="1:41" ht="15.75" x14ac:dyDescent="0.25">
      <c r="A763" s="84"/>
      <c r="B763" s="84"/>
      <c r="C763" s="84"/>
      <c r="D763" s="80" t="s">
        <v>248</v>
      </c>
      <c r="E763" s="80">
        <v>0</v>
      </c>
      <c r="F763" s="80">
        <v>0</v>
      </c>
      <c r="G763" s="80">
        <v>0</v>
      </c>
      <c r="H763" s="80">
        <v>1</v>
      </c>
      <c r="I763" s="80">
        <v>1</v>
      </c>
      <c r="J763" s="80">
        <v>1</v>
      </c>
      <c r="K763" s="80">
        <v>0</v>
      </c>
      <c r="L763" s="80">
        <v>0</v>
      </c>
      <c r="M763" s="80">
        <v>0</v>
      </c>
      <c r="N763" s="80">
        <v>1</v>
      </c>
      <c r="O763" s="80">
        <v>1</v>
      </c>
      <c r="P763" s="80">
        <v>0</v>
      </c>
      <c r="Q763" s="80">
        <v>1</v>
      </c>
      <c r="R763" s="80">
        <v>0</v>
      </c>
      <c r="S763" s="80">
        <v>0</v>
      </c>
      <c r="T763" s="80">
        <v>0</v>
      </c>
      <c r="U763" s="80">
        <v>2</v>
      </c>
      <c r="V763" s="80">
        <v>0</v>
      </c>
      <c r="W763" s="80">
        <v>0</v>
      </c>
      <c r="X763" s="80">
        <v>0</v>
      </c>
      <c r="Y763" s="80">
        <v>0</v>
      </c>
      <c r="Z763" s="80">
        <v>1</v>
      </c>
      <c r="AA763" s="80">
        <v>0</v>
      </c>
      <c r="AB763" s="80">
        <v>0</v>
      </c>
      <c r="AC763" s="80">
        <v>0</v>
      </c>
      <c r="AD763" s="80">
        <v>0</v>
      </c>
      <c r="AE763" s="80">
        <v>1</v>
      </c>
      <c r="AF763" s="80">
        <v>0</v>
      </c>
      <c r="AG763" s="81">
        <v>1</v>
      </c>
      <c r="AH763" s="80">
        <v>0</v>
      </c>
      <c r="AI763" s="81">
        <v>0</v>
      </c>
      <c r="AJ763" s="81">
        <v>0</v>
      </c>
      <c r="AK763" s="81">
        <v>0</v>
      </c>
      <c r="AL763" s="81">
        <v>0</v>
      </c>
      <c r="AM763" s="81">
        <v>0</v>
      </c>
      <c r="AN763" s="81">
        <v>0</v>
      </c>
      <c r="AO763" s="81">
        <v>0</v>
      </c>
    </row>
    <row r="764" spans="1:41" ht="15.75" x14ac:dyDescent="0.25">
      <c r="A764" s="84"/>
      <c r="B764" s="84"/>
      <c r="C764" s="84"/>
      <c r="D764" s="80" t="s">
        <v>258</v>
      </c>
      <c r="E764" s="80">
        <v>0</v>
      </c>
      <c r="F764" s="80">
        <v>0</v>
      </c>
      <c r="G764" s="80">
        <v>0</v>
      </c>
      <c r="H764" s="80">
        <v>0</v>
      </c>
      <c r="I764" s="80">
        <v>0</v>
      </c>
      <c r="J764" s="80">
        <v>0</v>
      </c>
      <c r="K764" s="80">
        <v>0</v>
      </c>
      <c r="L764" s="80">
        <v>0</v>
      </c>
      <c r="M764" s="80">
        <v>0</v>
      </c>
      <c r="N764" s="80">
        <v>0</v>
      </c>
      <c r="O764" s="80">
        <v>0</v>
      </c>
      <c r="P764" s="80">
        <v>0</v>
      </c>
      <c r="Q764" s="80">
        <v>0</v>
      </c>
      <c r="R764" s="80">
        <v>0</v>
      </c>
      <c r="S764" s="80">
        <v>0</v>
      </c>
      <c r="T764" s="80">
        <v>0</v>
      </c>
      <c r="U764" s="80">
        <v>0</v>
      </c>
      <c r="V764" s="80">
        <v>1</v>
      </c>
      <c r="W764" s="80">
        <v>0</v>
      </c>
      <c r="X764" s="80">
        <v>0</v>
      </c>
      <c r="Y764" s="80">
        <v>0</v>
      </c>
      <c r="Z764" s="80">
        <v>0</v>
      </c>
      <c r="AA764" s="80">
        <v>0</v>
      </c>
      <c r="AB764" s="80">
        <v>0</v>
      </c>
      <c r="AC764" s="80">
        <v>0</v>
      </c>
      <c r="AD764" s="80">
        <v>0</v>
      </c>
      <c r="AE764" s="80">
        <v>0</v>
      </c>
      <c r="AF764" s="80">
        <v>0</v>
      </c>
      <c r="AG764" s="80">
        <v>0</v>
      </c>
      <c r="AH764" s="80">
        <v>0</v>
      </c>
      <c r="AI764" s="80">
        <v>0</v>
      </c>
      <c r="AJ764" s="80">
        <v>0</v>
      </c>
      <c r="AK764" s="80">
        <v>0</v>
      </c>
      <c r="AL764" s="80">
        <v>0</v>
      </c>
      <c r="AM764" s="81">
        <v>0</v>
      </c>
      <c r="AN764" s="81">
        <v>0</v>
      </c>
      <c r="AO764" s="81">
        <v>0</v>
      </c>
    </row>
    <row r="765" spans="1:41" ht="15.75" x14ac:dyDescent="0.25">
      <c r="A765" s="84">
        <v>25</v>
      </c>
      <c r="B765" s="84" t="s">
        <v>90</v>
      </c>
      <c r="C765" s="84" t="s">
        <v>90</v>
      </c>
      <c r="D765" s="80" t="s">
        <v>245</v>
      </c>
      <c r="E765" s="80">
        <v>0</v>
      </c>
      <c r="F765" s="80">
        <v>0</v>
      </c>
      <c r="G765" s="80">
        <v>0</v>
      </c>
      <c r="H765" s="80">
        <v>3</v>
      </c>
      <c r="I765" s="80">
        <v>3</v>
      </c>
      <c r="J765" s="80">
        <v>3</v>
      </c>
      <c r="K765" s="80">
        <v>0</v>
      </c>
      <c r="L765" s="80">
        <v>2</v>
      </c>
      <c r="M765" s="80">
        <v>0</v>
      </c>
      <c r="N765" s="80">
        <v>0</v>
      </c>
      <c r="O765" s="80">
        <v>1</v>
      </c>
      <c r="P765" s="80">
        <v>0</v>
      </c>
      <c r="Q765" s="80">
        <v>2</v>
      </c>
      <c r="R765" s="80">
        <v>0</v>
      </c>
      <c r="S765" s="80">
        <v>0</v>
      </c>
      <c r="T765" s="80">
        <v>1</v>
      </c>
      <c r="U765" s="80">
        <v>3</v>
      </c>
      <c r="V765" s="80">
        <v>2</v>
      </c>
      <c r="W765" s="80">
        <v>1</v>
      </c>
      <c r="X765" s="80">
        <v>0</v>
      </c>
      <c r="Y765" s="80">
        <v>0</v>
      </c>
      <c r="Z765" s="80">
        <v>0</v>
      </c>
      <c r="AA765" s="80">
        <v>1</v>
      </c>
      <c r="AB765" s="80">
        <v>1</v>
      </c>
      <c r="AC765" s="80">
        <v>2</v>
      </c>
      <c r="AD765" s="80">
        <v>1</v>
      </c>
      <c r="AE765" s="80">
        <v>1</v>
      </c>
      <c r="AF765" s="80">
        <v>0</v>
      </c>
      <c r="AG765" s="81">
        <v>0</v>
      </c>
      <c r="AH765" s="80">
        <v>1</v>
      </c>
      <c r="AI765" s="81">
        <v>0</v>
      </c>
      <c r="AJ765" s="81">
        <v>0</v>
      </c>
      <c r="AK765" s="81">
        <v>0</v>
      </c>
      <c r="AL765" s="81">
        <v>0</v>
      </c>
      <c r="AM765" s="81">
        <v>0</v>
      </c>
      <c r="AN765" s="81">
        <v>0</v>
      </c>
      <c r="AO765" s="81">
        <v>0</v>
      </c>
    </row>
    <row r="766" spans="1:41" ht="15.75" x14ac:dyDescent="0.25">
      <c r="A766" s="84">
        <v>26</v>
      </c>
      <c r="B766" s="84"/>
      <c r="C766" s="84" t="s">
        <v>142</v>
      </c>
      <c r="D766" s="80" t="s">
        <v>246</v>
      </c>
      <c r="E766" s="80">
        <v>0</v>
      </c>
      <c r="F766" s="80">
        <v>0</v>
      </c>
      <c r="G766" s="80">
        <v>0</v>
      </c>
      <c r="H766" s="80">
        <v>2</v>
      </c>
      <c r="I766" s="80">
        <v>2</v>
      </c>
      <c r="J766" s="80">
        <v>3</v>
      </c>
      <c r="K766" s="80">
        <v>0</v>
      </c>
      <c r="L766" s="80">
        <v>1</v>
      </c>
      <c r="M766" s="80">
        <v>0</v>
      </c>
      <c r="N766" s="80">
        <v>0</v>
      </c>
      <c r="O766" s="80">
        <v>1</v>
      </c>
      <c r="P766" s="80">
        <v>0</v>
      </c>
      <c r="Q766" s="80">
        <v>2</v>
      </c>
      <c r="R766" s="80">
        <v>0</v>
      </c>
      <c r="S766" s="80">
        <v>0</v>
      </c>
      <c r="T766" s="80">
        <v>1</v>
      </c>
      <c r="U766" s="80">
        <v>3</v>
      </c>
      <c r="V766" s="80">
        <v>2</v>
      </c>
      <c r="W766" s="80">
        <v>1</v>
      </c>
      <c r="X766" s="80">
        <v>0</v>
      </c>
      <c r="Y766" s="80">
        <v>0</v>
      </c>
      <c r="Z766" s="80">
        <v>0</v>
      </c>
      <c r="AA766" s="80">
        <v>1</v>
      </c>
      <c r="AB766" s="80">
        <v>1</v>
      </c>
      <c r="AC766" s="80">
        <v>2</v>
      </c>
      <c r="AD766" s="80">
        <v>1</v>
      </c>
      <c r="AE766" s="80">
        <v>1</v>
      </c>
      <c r="AF766" s="80">
        <v>0</v>
      </c>
      <c r="AG766" s="81">
        <v>0</v>
      </c>
      <c r="AH766" s="80">
        <v>1</v>
      </c>
      <c r="AI766" s="81">
        <v>0</v>
      </c>
      <c r="AJ766" s="81">
        <v>0</v>
      </c>
      <c r="AK766" s="81">
        <v>0</v>
      </c>
      <c r="AL766" s="81">
        <v>0</v>
      </c>
      <c r="AM766" s="81">
        <v>0</v>
      </c>
      <c r="AN766" s="81">
        <v>0</v>
      </c>
      <c r="AO766" s="81">
        <v>0</v>
      </c>
    </row>
    <row r="767" spans="1:41" ht="15.75" x14ac:dyDescent="0.25">
      <c r="A767" s="84">
        <v>27</v>
      </c>
      <c r="B767" s="84"/>
      <c r="C767" s="84" t="s">
        <v>411</v>
      </c>
      <c r="D767" s="80" t="s">
        <v>247</v>
      </c>
      <c r="E767" s="80">
        <v>0</v>
      </c>
      <c r="F767" s="80">
        <v>0</v>
      </c>
      <c r="G767" s="80">
        <v>0</v>
      </c>
      <c r="H767" s="80">
        <v>1</v>
      </c>
      <c r="I767" s="80">
        <v>1</v>
      </c>
      <c r="J767" s="80">
        <v>0</v>
      </c>
      <c r="K767" s="80">
        <v>0</v>
      </c>
      <c r="L767" s="80">
        <v>0</v>
      </c>
      <c r="M767" s="80">
        <v>0</v>
      </c>
      <c r="N767" s="80">
        <v>0</v>
      </c>
      <c r="O767" s="80">
        <v>0</v>
      </c>
      <c r="P767" s="80">
        <v>0</v>
      </c>
      <c r="Q767" s="80">
        <v>0</v>
      </c>
      <c r="R767" s="80">
        <v>0</v>
      </c>
      <c r="S767" s="80">
        <v>0</v>
      </c>
      <c r="T767" s="80">
        <v>0</v>
      </c>
      <c r="U767" s="80">
        <v>0</v>
      </c>
      <c r="V767" s="80">
        <v>0</v>
      </c>
      <c r="W767" s="80">
        <v>0</v>
      </c>
      <c r="X767" s="80">
        <v>0</v>
      </c>
      <c r="Y767" s="80">
        <v>0</v>
      </c>
      <c r="Z767" s="80">
        <v>0</v>
      </c>
      <c r="AA767" s="80">
        <v>0</v>
      </c>
      <c r="AB767" s="80">
        <v>0</v>
      </c>
      <c r="AC767" s="80">
        <v>0</v>
      </c>
      <c r="AD767" s="80">
        <v>0</v>
      </c>
      <c r="AE767" s="80">
        <v>0</v>
      </c>
      <c r="AF767" s="80">
        <v>0</v>
      </c>
      <c r="AG767" s="81">
        <v>0</v>
      </c>
      <c r="AH767" s="80">
        <v>0</v>
      </c>
      <c r="AI767" s="81">
        <v>0</v>
      </c>
      <c r="AJ767" s="81">
        <v>0</v>
      </c>
      <c r="AK767" s="81">
        <v>0</v>
      </c>
      <c r="AL767" s="81">
        <v>0</v>
      </c>
      <c r="AM767" s="81">
        <v>0</v>
      </c>
      <c r="AN767" s="81">
        <v>0</v>
      </c>
      <c r="AO767" s="81">
        <v>0</v>
      </c>
    </row>
    <row r="768" spans="1:41" ht="15.75" x14ac:dyDescent="0.25">
      <c r="A768" s="84"/>
      <c r="B768" s="84"/>
      <c r="C768" s="84"/>
      <c r="D768" s="80" t="s">
        <v>248</v>
      </c>
      <c r="E768" s="80">
        <v>0</v>
      </c>
      <c r="F768" s="80">
        <v>0</v>
      </c>
      <c r="G768" s="80">
        <v>0</v>
      </c>
      <c r="H768" s="80">
        <v>2</v>
      </c>
      <c r="I768" s="80">
        <v>2</v>
      </c>
      <c r="J768" s="80">
        <v>3</v>
      </c>
      <c r="K768" s="80">
        <v>0</v>
      </c>
      <c r="L768" s="80">
        <v>0</v>
      </c>
      <c r="M768" s="80">
        <v>0</v>
      </c>
      <c r="N768" s="80">
        <v>0</v>
      </c>
      <c r="O768" s="80">
        <v>1</v>
      </c>
      <c r="P768" s="80">
        <v>0</v>
      </c>
      <c r="Q768" s="80">
        <v>1</v>
      </c>
      <c r="R768" s="80">
        <v>0</v>
      </c>
      <c r="S768" s="80">
        <v>0</v>
      </c>
      <c r="T768" s="80">
        <v>1</v>
      </c>
      <c r="U768" s="80">
        <v>2</v>
      </c>
      <c r="V768" s="80">
        <v>2</v>
      </c>
      <c r="W768" s="80">
        <v>1</v>
      </c>
      <c r="X768" s="80">
        <v>0</v>
      </c>
      <c r="Y768" s="80">
        <v>0</v>
      </c>
      <c r="Z768" s="80">
        <v>0</v>
      </c>
      <c r="AA768" s="80">
        <v>1</v>
      </c>
      <c r="AB768" s="80">
        <v>1</v>
      </c>
      <c r="AC768" s="80">
        <v>1</v>
      </c>
      <c r="AD768" s="80">
        <v>1</v>
      </c>
      <c r="AE768" s="80">
        <v>1</v>
      </c>
      <c r="AF768" s="80">
        <v>0</v>
      </c>
      <c r="AG768" s="81">
        <v>0</v>
      </c>
      <c r="AH768" s="80">
        <v>1</v>
      </c>
      <c r="AI768" s="81">
        <v>0</v>
      </c>
      <c r="AJ768" s="81">
        <v>0</v>
      </c>
      <c r="AK768" s="81">
        <v>0</v>
      </c>
      <c r="AL768" s="81">
        <v>0</v>
      </c>
      <c r="AM768" s="81">
        <v>0</v>
      </c>
      <c r="AN768" s="81">
        <v>0</v>
      </c>
      <c r="AO768" s="81">
        <v>0</v>
      </c>
    </row>
    <row r="769" spans="1:41" ht="15.75" x14ac:dyDescent="0.25">
      <c r="A769" s="84"/>
      <c r="B769" s="84"/>
      <c r="C769" s="84"/>
      <c r="D769" s="80" t="s">
        <v>258</v>
      </c>
      <c r="E769" s="80">
        <v>0</v>
      </c>
      <c r="F769" s="80">
        <v>0</v>
      </c>
      <c r="G769" s="80">
        <v>0</v>
      </c>
      <c r="H769" s="80">
        <v>0</v>
      </c>
      <c r="I769" s="80">
        <v>0</v>
      </c>
      <c r="J769" s="80">
        <v>0</v>
      </c>
      <c r="K769" s="80">
        <v>0</v>
      </c>
      <c r="L769" s="80">
        <v>1</v>
      </c>
      <c r="M769" s="80">
        <v>0</v>
      </c>
      <c r="N769" s="80">
        <v>0</v>
      </c>
      <c r="O769" s="80">
        <v>0</v>
      </c>
      <c r="P769" s="80">
        <v>0</v>
      </c>
      <c r="Q769" s="80">
        <v>1</v>
      </c>
      <c r="R769" s="80">
        <v>0</v>
      </c>
      <c r="S769" s="80">
        <v>0</v>
      </c>
      <c r="T769" s="80">
        <v>0</v>
      </c>
      <c r="U769" s="80">
        <v>1</v>
      </c>
      <c r="V769" s="80">
        <v>0</v>
      </c>
      <c r="W769" s="80">
        <v>0</v>
      </c>
      <c r="X769" s="80">
        <v>0</v>
      </c>
      <c r="Y769" s="80">
        <v>0</v>
      </c>
      <c r="Z769" s="80">
        <v>0</v>
      </c>
      <c r="AA769" s="80">
        <v>0</v>
      </c>
      <c r="AB769" s="80">
        <v>0</v>
      </c>
      <c r="AC769" s="80">
        <v>1</v>
      </c>
      <c r="AD769" s="80">
        <v>0</v>
      </c>
      <c r="AE769" s="80">
        <v>0</v>
      </c>
      <c r="AF769" s="80">
        <v>0</v>
      </c>
      <c r="AG769" s="80">
        <v>0</v>
      </c>
      <c r="AH769" s="80">
        <v>0</v>
      </c>
      <c r="AI769" s="80">
        <v>0</v>
      </c>
      <c r="AJ769" s="80">
        <v>0</v>
      </c>
      <c r="AK769" s="80">
        <v>0</v>
      </c>
      <c r="AL769" s="80">
        <v>0</v>
      </c>
      <c r="AM769" s="81">
        <v>0</v>
      </c>
      <c r="AN769" s="81">
        <v>0</v>
      </c>
      <c r="AO769" s="81">
        <v>0</v>
      </c>
    </row>
    <row r="770" spans="1:41" ht="15.75" x14ac:dyDescent="0.25">
      <c r="A770" s="84">
        <v>28</v>
      </c>
      <c r="B770" s="84" t="s">
        <v>89</v>
      </c>
      <c r="C770" s="84" t="s">
        <v>176</v>
      </c>
      <c r="D770" s="80" t="s">
        <v>245</v>
      </c>
      <c r="E770" s="80">
        <v>0</v>
      </c>
      <c r="F770" s="80">
        <v>0</v>
      </c>
      <c r="G770" s="80">
        <v>0</v>
      </c>
      <c r="H770" s="80">
        <v>2</v>
      </c>
      <c r="I770" s="80">
        <v>1</v>
      </c>
      <c r="J770" s="80">
        <v>1</v>
      </c>
      <c r="K770" s="80">
        <v>0</v>
      </c>
      <c r="L770" s="80">
        <v>0</v>
      </c>
      <c r="M770" s="80">
        <v>1</v>
      </c>
      <c r="N770" s="80">
        <v>0</v>
      </c>
      <c r="O770" s="80">
        <v>1</v>
      </c>
      <c r="P770" s="80">
        <v>0</v>
      </c>
      <c r="Q770" s="80">
        <v>1</v>
      </c>
      <c r="R770" s="80">
        <v>1</v>
      </c>
      <c r="S770" s="80">
        <v>0</v>
      </c>
      <c r="T770" s="80">
        <v>0</v>
      </c>
      <c r="U770" s="80">
        <v>1</v>
      </c>
      <c r="V770" s="80">
        <v>1</v>
      </c>
      <c r="W770" s="80">
        <v>1</v>
      </c>
      <c r="X770" s="80">
        <v>0</v>
      </c>
      <c r="Y770" s="80">
        <v>0</v>
      </c>
      <c r="Z770" s="80">
        <v>3</v>
      </c>
      <c r="AA770" s="80">
        <v>0</v>
      </c>
      <c r="AB770" s="80">
        <v>0</v>
      </c>
      <c r="AC770" s="80">
        <v>0</v>
      </c>
      <c r="AD770" s="80">
        <v>1</v>
      </c>
      <c r="AE770" s="80">
        <v>0</v>
      </c>
      <c r="AF770" s="80">
        <v>0</v>
      </c>
      <c r="AG770" s="81">
        <v>1</v>
      </c>
      <c r="AH770" s="80">
        <v>0</v>
      </c>
      <c r="AI770" s="81">
        <v>0</v>
      </c>
      <c r="AJ770" s="81">
        <v>0</v>
      </c>
      <c r="AK770" s="81">
        <v>0</v>
      </c>
      <c r="AL770" s="81">
        <v>0</v>
      </c>
      <c r="AM770" s="81">
        <v>0</v>
      </c>
      <c r="AN770" s="81">
        <v>0</v>
      </c>
      <c r="AO770" s="81">
        <v>0</v>
      </c>
    </row>
    <row r="771" spans="1:41" ht="15.75" x14ac:dyDescent="0.25">
      <c r="A771" s="84"/>
      <c r="B771" s="84"/>
      <c r="C771" s="84"/>
      <c r="D771" s="80" t="s">
        <v>246</v>
      </c>
      <c r="E771" s="80">
        <v>0</v>
      </c>
      <c r="F771" s="80">
        <v>0</v>
      </c>
      <c r="G771" s="80">
        <v>0</v>
      </c>
      <c r="H771" s="80">
        <v>2</v>
      </c>
      <c r="I771" s="80">
        <v>1</v>
      </c>
      <c r="J771" s="80">
        <v>1</v>
      </c>
      <c r="K771" s="80">
        <v>0</v>
      </c>
      <c r="L771" s="80">
        <v>0</v>
      </c>
      <c r="M771" s="80">
        <v>1</v>
      </c>
      <c r="N771" s="80">
        <v>0</v>
      </c>
      <c r="O771" s="80">
        <v>1</v>
      </c>
      <c r="P771" s="80">
        <v>0</v>
      </c>
      <c r="Q771" s="80">
        <v>1</v>
      </c>
      <c r="R771" s="80">
        <v>1</v>
      </c>
      <c r="S771" s="80">
        <v>0</v>
      </c>
      <c r="T771" s="80">
        <v>0</v>
      </c>
      <c r="U771" s="80">
        <v>1</v>
      </c>
      <c r="V771" s="80">
        <v>1</v>
      </c>
      <c r="W771" s="80">
        <v>1</v>
      </c>
      <c r="X771" s="80">
        <v>0</v>
      </c>
      <c r="Y771" s="80">
        <v>0</v>
      </c>
      <c r="Z771" s="80">
        <v>3</v>
      </c>
      <c r="AA771" s="80">
        <v>0</v>
      </c>
      <c r="AB771" s="80">
        <v>0</v>
      </c>
      <c r="AC771" s="80">
        <v>0</v>
      </c>
      <c r="AD771" s="80">
        <v>1</v>
      </c>
      <c r="AE771" s="80">
        <v>0</v>
      </c>
      <c r="AF771" s="80">
        <v>0</v>
      </c>
      <c r="AG771" s="81">
        <v>1</v>
      </c>
      <c r="AH771" s="80">
        <v>0</v>
      </c>
      <c r="AI771" s="81">
        <v>0</v>
      </c>
      <c r="AJ771" s="81">
        <v>0</v>
      </c>
      <c r="AK771" s="81">
        <v>0</v>
      </c>
      <c r="AL771" s="81">
        <v>0</v>
      </c>
      <c r="AM771" s="81">
        <v>0</v>
      </c>
      <c r="AN771" s="81">
        <v>0</v>
      </c>
      <c r="AO771" s="81">
        <v>0</v>
      </c>
    </row>
    <row r="772" spans="1:41" ht="15.75" x14ac:dyDescent="0.25">
      <c r="A772" s="84"/>
      <c r="B772" s="84"/>
      <c r="C772" s="84"/>
      <c r="D772" s="80" t="s">
        <v>247</v>
      </c>
      <c r="E772" s="80">
        <v>0</v>
      </c>
      <c r="F772" s="80">
        <v>0</v>
      </c>
      <c r="G772" s="80">
        <v>0</v>
      </c>
      <c r="H772" s="80">
        <v>0</v>
      </c>
      <c r="I772" s="80">
        <v>0</v>
      </c>
      <c r="J772" s="80">
        <v>0</v>
      </c>
      <c r="K772" s="80">
        <v>0</v>
      </c>
      <c r="L772" s="80">
        <v>0</v>
      </c>
      <c r="M772" s="80">
        <v>0</v>
      </c>
      <c r="N772" s="80">
        <v>0</v>
      </c>
      <c r="O772" s="80">
        <v>0</v>
      </c>
      <c r="P772" s="80">
        <v>0</v>
      </c>
      <c r="Q772" s="80">
        <v>0</v>
      </c>
      <c r="R772" s="80">
        <v>0</v>
      </c>
      <c r="S772" s="80">
        <v>0</v>
      </c>
      <c r="T772" s="80">
        <v>0</v>
      </c>
      <c r="U772" s="80">
        <v>0</v>
      </c>
      <c r="V772" s="80">
        <v>0</v>
      </c>
      <c r="W772" s="80">
        <v>0</v>
      </c>
      <c r="X772" s="80">
        <v>0</v>
      </c>
      <c r="Y772" s="80">
        <v>0</v>
      </c>
      <c r="Z772" s="80">
        <v>0</v>
      </c>
      <c r="AA772" s="80">
        <v>0</v>
      </c>
      <c r="AB772" s="80">
        <v>0</v>
      </c>
      <c r="AC772" s="80">
        <v>0</v>
      </c>
      <c r="AD772" s="80">
        <v>0</v>
      </c>
      <c r="AE772" s="80">
        <v>0</v>
      </c>
      <c r="AF772" s="80">
        <v>0</v>
      </c>
      <c r="AG772" s="81">
        <v>0</v>
      </c>
      <c r="AH772" s="80">
        <v>0</v>
      </c>
      <c r="AI772" s="81">
        <v>0</v>
      </c>
      <c r="AJ772" s="81">
        <v>0</v>
      </c>
      <c r="AK772" s="81">
        <v>0</v>
      </c>
      <c r="AL772" s="81">
        <v>0</v>
      </c>
      <c r="AM772" s="81">
        <v>0</v>
      </c>
      <c r="AN772" s="81">
        <v>0</v>
      </c>
      <c r="AO772" s="81">
        <v>0</v>
      </c>
    </row>
    <row r="773" spans="1:41" ht="15.75" x14ac:dyDescent="0.25">
      <c r="A773" s="84"/>
      <c r="B773" s="84"/>
      <c r="C773" s="84"/>
      <c r="D773" s="80" t="s">
        <v>248</v>
      </c>
      <c r="E773" s="80">
        <v>0</v>
      </c>
      <c r="F773" s="80">
        <v>0</v>
      </c>
      <c r="G773" s="80">
        <v>0</v>
      </c>
      <c r="H773" s="80">
        <v>2</v>
      </c>
      <c r="I773" s="80">
        <v>1</v>
      </c>
      <c r="J773" s="80">
        <v>1</v>
      </c>
      <c r="K773" s="80">
        <v>0</v>
      </c>
      <c r="L773" s="80">
        <v>0</v>
      </c>
      <c r="M773" s="80">
        <v>1</v>
      </c>
      <c r="N773" s="80">
        <v>0</v>
      </c>
      <c r="O773" s="80">
        <v>1</v>
      </c>
      <c r="P773" s="80">
        <v>0</v>
      </c>
      <c r="Q773" s="80">
        <v>1</v>
      </c>
      <c r="R773" s="80">
        <v>1</v>
      </c>
      <c r="S773" s="80">
        <v>0</v>
      </c>
      <c r="T773" s="80">
        <v>0</v>
      </c>
      <c r="U773" s="80">
        <v>1</v>
      </c>
      <c r="V773" s="80">
        <v>1</v>
      </c>
      <c r="W773" s="80">
        <v>1</v>
      </c>
      <c r="X773" s="80">
        <v>0</v>
      </c>
      <c r="Y773" s="80">
        <v>0</v>
      </c>
      <c r="Z773" s="80">
        <v>3</v>
      </c>
      <c r="AA773" s="80">
        <v>0</v>
      </c>
      <c r="AB773" s="80">
        <v>0</v>
      </c>
      <c r="AC773" s="80">
        <v>0</v>
      </c>
      <c r="AD773" s="80">
        <v>1</v>
      </c>
      <c r="AE773" s="80">
        <v>0</v>
      </c>
      <c r="AF773" s="80">
        <v>0</v>
      </c>
      <c r="AG773" s="81">
        <v>1</v>
      </c>
      <c r="AH773" s="80">
        <v>0</v>
      </c>
      <c r="AI773" s="81">
        <v>0</v>
      </c>
      <c r="AJ773" s="81">
        <v>0</v>
      </c>
      <c r="AK773" s="81">
        <v>0</v>
      </c>
      <c r="AL773" s="81">
        <v>0</v>
      </c>
      <c r="AM773" s="81">
        <v>0</v>
      </c>
      <c r="AN773" s="81">
        <v>0</v>
      </c>
      <c r="AO773" s="81">
        <v>0</v>
      </c>
    </row>
    <row r="774" spans="1:41" ht="15.75" x14ac:dyDescent="0.25">
      <c r="A774" s="84"/>
      <c r="B774" s="84"/>
      <c r="C774" s="84"/>
      <c r="D774" s="80" t="s">
        <v>258</v>
      </c>
      <c r="E774" s="80">
        <v>0</v>
      </c>
      <c r="F774" s="80">
        <v>0</v>
      </c>
      <c r="G774" s="80">
        <v>0</v>
      </c>
      <c r="H774" s="80">
        <v>0</v>
      </c>
      <c r="I774" s="80">
        <v>0</v>
      </c>
      <c r="J774" s="80">
        <v>0</v>
      </c>
      <c r="K774" s="80">
        <v>0</v>
      </c>
      <c r="L774" s="80">
        <v>0</v>
      </c>
      <c r="M774" s="80">
        <v>0</v>
      </c>
      <c r="N774" s="80">
        <v>0</v>
      </c>
      <c r="O774" s="80">
        <v>0</v>
      </c>
      <c r="P774" s="80">
        <v>0</v>
      </c>
      <c r="Q774" s="80">
        <v>0</v>
      </c>
      <c r="R774" s="80">
        <v>0</v>
      </c>
      <c r="S774" s="80">
        <v>0</v>
      </c>
      <c r="T774" s="80">
        <v>0</v>
      </c>
      <c r="U774" s="80">
        <v>0</v>
      </c>
      <c r="V774" s="80">
        <v>0</v>
      </c>
      <c r="W774" s="80">
        <v>0</v>
      </c>
      <c r="X774" s="80">
        <v>0</v>
      </c>
      <c r="Y774" s="80">
        <v>0</v>
      </c>
      <c r="Z774" s="80">
        <v>0</v>
      </c>
      <c r="AA774" s="80">
        <v>0</v>
      </c>
      <c r="AB774" s="80">
        <v>0</v>
      </c>
      <c r="AC774" s="80">
        <v>0</v>
      </c>
      <c r="AD774" s="80">
        <v>0</v>
      </c>
      <c r="AE774" s="80">
        <v>0</v>
      </c>
      <c r="AF774" s="80">
        <v>0</v>
      </c>
      <c r="AG774" s="80">
        <v>0</v>
      </c>
      <c r="AH774" s="80">
        <v>0</v>
      </c>
      <c r="AI774" s="80">
        <v>0</v>
      </c>
      <c r="AJ774" s="80">
        <v>0</v>
      </c>
      <c r="AK774" s="80">
        <v>0</v>
      </c>
      <c r="AL774" s="80">
        <v>0</v>
      </c>
      <c r="AM774" s="81">
        <v>0</v>
      </c>
      <c r="AN774" s="81">
        <v>0</v>
      </c>
      <c r="AO774" s="81">
        <v>0</v>
      </c>
    </row>
    <row r="775" spans="1:41" ht="15.75" x14ac:dyDescent="0.25">
      <c r="A775" s="84">
        <v>29</v>
      </c>
      <c r="B775" s="84"/>
      <c r="C775" s="84" t="s">
        <v>89</v>
      </c>
      <c r="D775" s="80" t="s">
        <v>245</v>
      </c>
      <c r="E775" s="80">
        <v>0</v>
      </c>
      <c r="F775" s="80">
        <v>0</v>
      </c>
      <c r="G775" s="80">
        <v>0</v>
      </c>
      <c r="H775" s="80">
        <v>1</v>
      </c>
      <c r="I775" s="80">
        <v>0</v>
      </c>
      <c r="J775" s="80">
        <v>1</v>
      </c>
      <c r="K775" s="80">
        <v>0</v>
      </c>
      <c r="L775" s="80">
        <v>0</v>
      </c>
      <c r="M775" s="80">
        <v>1</v>
      </c>
      <c r="N775" s="80">
        <v>0</v>
      </c>
      <c r="O775" s="80">
        <v>0</v>
      </c>
      <c r="P775" s="80">
        <v>0</v>
      </c>
      <c r="Q775" s="80">
        <v>0</v>
      </c>
      <c r="R775" s="80">
        <v>0</v>
      </c>
      <c r="S775" s="80">
        <v>0</v>
      </c>
      <c r="T775" s="80">
        <v>0</v>
      </c>
      <c r="U775" s="80">
        <v>0</v>
      </c>
      <c r="V775" s="80">
        <v>0</v>
      </c>
      <c r="W775" s="80">
        <v>0</v>
      </c>
      <c r="X775" s="80">
        <v>0</v>
      </c>
      <c r="Y775" s="80">
        <v>0</v>
      </c>
      <c r="Z775" s="80">
        <v>2</v>
      </c>
      <c r="AA775" s="80">
        <v>0</v>
      </c>
      <c r="AB775" s="80">
        <v>0</v>
      </c>
      <c r="AC775" s="80">
        <v>0</v>
      </c>
      <c r="AD775" s="80">
        <v>0</v>
      </c>
      <c r="AE775" s="80">
        <v>0</v>
      </c>
      <c r="AF775" s="80">
        <v>0</v>
      </c>
      <c r="AG775" s="80">
        <v>0</v>
      </c>
      <c r="AH775" s="80">
        <v>0</v>
      </c>
      <c r="AI775" s="80">
        <v>0</v>
      </c>
      <c r="AJ775" s="80">
        <v>0</v>
      </c>
      <c r="AK775" s="80">
        <v>0</v>
      </c>
      <c r="AL775" s="80">
        <v>0</v>
      </c>
      <c r="AM775" s="80">
        <v>0</v>
      </c>
      <c r="AN775" s="80">
        <v>0</v>
      </c>
      <c r="AO775" s="80">
        <v>0</v>
      </c>
    </row>
    <row r="776" spans="1:41" ht="15.75" x14ac:dyDescent="0.25">
      <c r="A776" s="84"/>
      <c r="B776" s="84"/>
      <c r="C776" s="84"/>
      <c r="D776" s="80" t="s">
        <v>246</v>
      </c>
      <c r="E776" s="80">
        <v>0</v>
      </c>
      <c r="F776" s="80">
        <v>0</v>
      </c>
      <c r="G776" s="80">
        <v>0</v>
      </c>
      <c r="H776" s="80">
        <v>0</v>
      </c>
      <c r="I776" s="80">
        <v>0</v>
      </c>
      <c r="J776" s="80">
        <v>1</v>
      </c>
      <c r="K776" s="80">
        <v>0</v>
      </c>
      <c r="L776" s="80">
        <v>0</v>
      </c>
      <c r="M776" s="80">
        <v>0</v>
      </c>
      <c r="N776" s="80">
        <v>0</v>
      </c>
      <c r="O776" s="80">
        <v>0</v>
      </c>
      <c r="P776" s="80">
        <v>0</v>
      </c>
      <c r="Q776" s="80">
        <v>0</v>
      </c>
      <c r="R776" s="80">
        <v>0</v>
      </c>
      <c r="S776" s="80">
        <v>0</v>
      </c>
      <c r="T776" s="80">
        <v>0</v>
      </c>
      <c r="U776" s="80">
        <v>0</v>
      </c>
      <c r="V776" s="80">
        <v>0</v>
      </c>
      <c r="W776" s="80">
        <v>0</v>
      </c>
      <c r="X776" s="80">
        <v>0</v>
      </c>
      <c r="Y776" s="80">
        <v>0</v>
      </c>
      <c r="Z776" s="80">
        <v>2</v>
      </c>
      <c r="AA776" s="80">
        <v>0</v>
      </c>
      <c r="AB776" s="80">
        <v>0</v>
      </c>
      <c r="AC776" s="80">
        <v>0</v>
      </c>
      <c r="AD776" s="80">
        <v>0</v>
      </c>
      <c r="AE776" s="80">
        <v>0</v>
      </c>
      <c r="AF776" s="80">
        <v>0</v>
      </c>
      <c r="AG776" s="80">
        <v>0</v>
      </c>
      <c r="AH776" s="80">
        <v>0</v>
      </c>
      <c r="AI776" s="80">
        <v>0</v>
      </c>
      <c r="AJ776" s="80">
        <v>0</v>
      </c>
      <c r="AK776" s="80">
        <v>0</v>
      </c>
      <c r="AL776" s="80">
        <v>0</v>
      </c>
      <c r="AM776" s="80">
        <v>0</v>
      </c>
      <c r="AN776" s="80">
        <v>0</v>
      </c>
      <c r="AO776" s="80">
        <v>0</v>
      </c>
    </row>
    <row r="777" spans="1:41" ht="15.75" x14ac:dyDescent="0.25">
      <c r="A777" s="84"/>
      <c r="B777" s="84"/>
      <c r="C777" s="84"/>
      <c r="D777" s="80" t="s">
        <v>247</v>
      </c>
      <c r="E777" s="80">
        <v>0</v>
      </c>
      <c r="F777" s="80">
        <v>0</v>
      </c>
      <c r="G777" s="80">
        <v>0</v>
      </c>
      <c r="H777" s="80">
        <v>1</v>
      </c>
      <c r="I777" s="80">
        <v>0</v>
      </c>
      <c r="J777" s="80">
        <v>0</v>
      </c>
      <c r="K777" s="80">
        <v>0</v>
      </c>
      <c r="L777" s="80">
        <v>0</v>
      </c>
      <c r="M777" s="80">
        <v>1</v>
      </c>
      <c r="N777" s="80">
        <v>0</v>
      </c>
      <c r="O777" s="80">
        <v>0</v>
      </c>
      <c r="P777" s="80">
        <v>0</v>
      </c>
      <c r="Q777" s="80">
        <v>0</v>
      </c>
      <c r="R777" s="80">
        <v>0</v>
      </c>
      <c r="S777" s="80">
        <v>0</v>
      </c>
      <c r="T777" s="80">
        <v>0</v>
      </c>
      <c r="U777" s="80">
        <v>0</v>
      </c>
      <c r="V777" s="80">
        <v>0</v>
      </c>
      <c r="W777" s="80">
        <v>0</v>
      </c>
      <c r="X777" s="80">
        <v>0</v>
      </c>
      <c r="Y777" s="80">
        <v>0</v>
      </c>
      <c r="Z777" s="80">
        <v>0</v>
      </c>
      <c r="AA777" s="80">
        <v>0</v>
      </c>
      <c r="AB777" s="80">
        <v>0</v>
      </c>
      <c r="AC777" s="80">
        <v>0</v>
      </c>
      <c r="AD777" s="80">
        <v>0</v>
      </c>
      <c r="AE777" s="80">
        <v>0</v>
      </c>
      <c r="AF777" s="80">
        <v>0</v>
      </c>
      <c r="AG777" s="80">
        <v>0</v>
      </c>
      <c r="AH777" s="80">
        <v>0</v>
      </c>
      <c r="AI777" s="80">
        <v>0</v>
      </c>
      <c r="AJ777" s="80">
        <v>0</v>
      </c>
      <c r="AK777" s="80">
        <v>0</v>
      </c>
      <c r="AL777" s="80">
        <v>0</v>
      </c>
      <c r="AM777" s="80">
        <v>0</v>
      </c>
      <c r="AN777" s="80">
        <v>0</v>
      </c>
      <c r="AO777" s="80">
        <v>0</v>
      </c>
    </row>
    <row r="778" spans="1:41" ht="15.75" x14ac:dyDescent="0.25">
      <c r="A778" s="84"/>
      <c r="B778" s="84"/>
      <c r="C778" s="84"/>
      <c r="D778" s="80" t="s">
        <v>248</v>
      </c>
      <c r="E778" s="80">
        <v>0</v>
      </c>
      <c r="F778" s="80">
        <v>0</v>
      </c>
      <c r="G778" s="80">
        <v>0</v>
      </c>
      <c r="H778" s="80">
        <v>0</v>
      </c>
      <c r="I778" s="80">
        <v>0</v>
      </c>
      <c r="J778" s="80">
        <v>1</v>
      </c>
      <c r="K778" s="80">
        <v>0</v>
      </c>
      <c r="L778" s="80">
        <v>0</v>
      </c>
      <c r="M778" s="80">
        <v>0</v>
      </c>
      <c r="N778" s="80">
        <v>0</v>
      </c>
      <c r="O778" s="80">
        <v>0</v>
      </c>
      <c r="P778" s="80">
        <v>0</v>
      </c>
      <c r="Q778" s="80">
        <v>0</v>
      </c>
      <c r="R778" s="80">
        <v>0</v>
      </c>
      <c r="S778" s="80">
        <v>0</v>
      </c>
      <c r="T778" s="80">
        <v>0</v>
      </c>
      <c r="U778" s="80">
        <v>0</v>
      </c>
      <c r="V778" s="80">
        <v>0</v>
      </c>
      <c r="W778" s="80">
        <v>0</v>
      </c>
      <c r="X778" s="80">
        <v>0</v>
      </c>
      <c r="Y778" s="80">
        <v>0</v>
      </c>
      <c r="Z778" s="80">
        <v>2</v>
      </c>
      <c r="AA778" s="80">
        <v>0</v>
      </c>
      <c r="AB778" s="80">
        <v>0</v>
      </c>
      <c r="AC778" s="80">
        <v>0</v>
      </c>
      <c r="AD778" s="80">
        <v>0</v>
      </c>
      <c r="AE778" s="80">
        <v>0</v>
      </c>
      <c r="AF778" s="80">
        <v>0</v>
      </c>
      <c r="AG778" s="80">
        <v>0</v>
      </c>
      <c r="AH778" s="80">
        <v>0</v>
      </c>
      <c r="AI778" s="80">
        <v>0</v>
      </c>
      <c r="AJ778" s="80">
        <v>0</v>
      </c>
      <c r="AK778" s="80">
        <v>0</v>
      </c>
      <c r="AL778" s="80">
        <v>0</v>
      </c>
      <c r="AM778" s="80">
        <v>0</v>
      </c>
      <c r="AN778" s="80">
        <v>0</v>
      </c>
      <c r="AO778" s="80">
        <v>0</v>
      </c>
    </row>
    <row r="779" spans="1:41" ht="15.75" x14ac:dyDescent="0.25">
      <c r="A779" s="84"/>
      <c r="B779" s="84"/>
      <c r="C779" s="84"/>
      <c r="D779" s="80" t="s">
        <v>258</v>
      </c>
      <c r="E779" s="80">
        <v>0</v>
      </c>
      <c r="F779" s="80">
        <v>0</v>
      </c>
      <c r="G779" s="80">
        <v>0</v>
      </c>
      <c r="H779" s="80">
        <v>0</v>
      </c>
      <c r="I779" s="80">
        <v>0</v>
      </c>
      <c r="J779" s="80">
        <v>0</v>
      </c>
      <c r="K779" s="80">
        <v>0</v>
      </c>
      <c r="L779" s="80">
        <v>0</v>
      </c>
      <c r="M779" s="80">
        <v>0</v>
      </c>
      <c r="N779" s="80">
        <v>0</v>
      </c>
      <c r="O779" s="80">
        <v>0</v>
      </c>
      <c r="P779" s="80">
        <v>0</v>
      </c>
      <c r="Q779" s="80">
        <v>0</v>
      </c>
      <c r="R779" s="80">
        <v>0</v>
      </c>
      <c r="S779" s="80">
        <v>0</v>
      </c>
      <c r="T779" s="80">
        <v>0</v>
      </c>
      <c r="U779" s="80">
        <v>0</v>
      </c>
      <c r="V779" s="80">
        <v>0</v>
      </c>
      <c r="W779" s="80">
        <v>0</v>
      </c>
      <c r="X779" s="80">
        <v>0</v>
      </c>
      <c r="Y779" s="80">
        <v>0</v>
      </c>
      <c r="Z779" s="80">
        <v>0</v>
      </c>
      <c r="AA779" s="80">
        <v>0</v>
      </c>
      <c r="AB779" s="80">
        <v>0</v>
      </c>
      <c r="AC779" s="80">
        <v>0</v>
      </c>
      <c r="AD779" s="80">
        <v>0</v>
      </c>
      <c r="AE779" s="80">
        <v>0</v>
      </c>
      <c r="AF779" s="80">
        <v>0</v>
      </c>
      <c r="AG779" s="80">
        <v>0</v>
      </c>
      <c r="AH779" s="80">
        <v>0</v>
      </c>
      <c r="AI779" s="80">
        <v>0</v>
      </c>
      <c r="AJ779" s="80">
        <v>0</v>
      </c>
      <c r="AK779" s="80">
        <v>0</v>
      </c>
      <c r="AL779" s="80">
        <v>0</v>
      </c>
      <c r="AM779" s="80">
        <v>0</v>
      </c>
      <c r="AN779" s="80">
        <v>0</v>
      </c>
      <c r="AO779" s="80">
        <v>0</v>
      </c>
    </row>
    <row r="780" spans="1:41" ht="15.75" x14ac:dyDescent="0.25">
      <c r="A780" s="84">
        <v>30</v>
      </c>
      <c r="B780" s="84"/>
      <c r="C780" s="84" t="s">
        <v>185</v>
      </c>
      <c r="D780" s="80" t="s">
        <v>245</v>
      </c>
      <c r="E780" s="80">
        <v>0</v>
      </c>
      <c r="F780" s="80">
        <v>0</v>
      </c>
      <c r="G780" s="80">
        <v>0</v>
      </c>
      <c r="H780" s="80">
        <v>1</v>
      </c>
      <c r="I780" s="80">
        <v>1</v>
      </c>
      <c r="J780" s="80">
        <v>1</v>
      </c>
      <c r="K780" s="80">
        <v>0</v>
      </c>
      <c r="L780" s="80">
        <v>0</v>
      </c>
      <c r="M780" s="80">
        <v>0</v>
      </c>
      <c r="N780" s="80">
        <v>1</v>
      </c>
      <c r="O780" s="80">
        <v>1</v>
      </c>
      <c r="P780" s="80">
        <v>0</v>
      </c>
      <c r="Q780" s="80">
        <v>1</v>
      </c>
      <c r="R780" s="80">
        <v>0</v>
      </c>
      <c r="S780" s="80">
        <v>0</v>
      </c>
      <c r="T780" s="80">
        <v>0</v>
      </c>
      <c r="U780" s="80">
        <v>2</v>
      </c>
      <c r="V780" s="80">
        <v>1</v>
      </c>
      <c r="W780" s="80">
        <v>0</v>
      </c>
      <c r="X780" s="80">
        <v>0</v>
      </c>
      <c r="Y780" s="80">
        <v>0</v>
      </c>
      <c r="Z780" s="80">
        <v>3</v>
      </c>
      <c r="AA780" s="80">
        <v>1</v>
      </c>
      <c r="AB780" s="80">
        <v>0</v>
      </c>
      <c r="AC780" s="80">
        <v>0</v>
      </c>
      <c r="AD780" s="80">
        <v>0</v>
      </c>
      <c r="AE780" s="80">
        <v>0</v>
      </c>
      <c r="AF780" s="80">
        <v>0</v>
      </c>
      <c r="AG780" s="81">
        <v>2</v>
      </c>
      <c r="AH780" s="80">
        <v>0</v>
      </c>
      <c r="AI780" s="81">
        <v>0</v>
      </c>
      <c r="AJ780" s="81">
        <v>0</v>
      </c>
      <c r="AK780" s="81">
        <v>0</v>
      </c>
      <c r="AL780" s="81">
        <v>0</v>
      </c>
      <c r="AM780" s="80">
        <v>0</v>
      </c>
      <c r="AN780" s="80">
        <v>0</v>
      </c>
      <c r="AO780" s="80">
        <v>0</v>
      </c>
    </row>
    <row r="781" spans="1:41" ht="15.75" x14ac:dyDescent="0.25">
      <c r="A781" s="84"/>
      <c r="B781" s="84"/>
      <c r="C781" s="84"/>
      <c r="D781" s="80" t="s">
        <v>246</v>
      </c>
      <c r="E781" s="80">
        <v>0</v>
      </c>
      <c r="F781" s="80">
        <v>0</v>
      </c>
      <c r="G781" s="80">
        <v>0</v>
      </c>
      <c r="H781" s="80">
        <v>1</v>
      </c>
      <c r="I781" s="80">
        <v>1</v>
      </c>
      <c r="J781" s="80">
        <v>1</v>
      </c>
      <c r="K781" s="80">
        <v>0</v>
      </c>
      <c r="L781" s="80">
        <v>0</v>
      </c>
      <c r="M781" s="80">
        <v>0</v>
      </c>
      <c r="N781" s="80">
        <v>1</v>
      </c>
      <c r="O781" s="80">
        <v>1</v>
      </c>
      <c r="P781" s="80">
        <v>0</v>
      </c>
      <c r="Q781" s="80">
        <v>1</v>
      </c>
      <c r="R781" s="80">
        <v>0</v>
      </c>
      <c r="S781" s="80">
        <v>0</v>
      </c>
      <c r="T781" s="80">
        <v>0</v>
      </c>
      <c r="U781" s="80">
        <v>2</v>
      </c>
      <c r="V781" s="80">
        <v>1</v>
      </c>
      <c r="W781" s="80">
        <v>0</v>
      </c>
      <c r="X781" s="80">
        <v>0</v>
      </c>
      <c r="Y781" s="80">
        <v>0</v>
      </c>
      <c r="Z781" s="80">
        <v>3</v>
      </c>
      <c r="AA781" s="80">
        <v>1</v>
      </c>
      <c r="AB781" s="80">
        <v>0</v>
      </c>
      <c r="AC781" s="80">
        <v>0</v>
      </c>
      <c r="AD781" s="80">
        <v>0</v>
      </c>
      <c r="AE781" s="80">
        <v>0</v>
      </c>
      <c r="AF781" s="80">
        <v>0</v>
      </c>
      <c r="AG781" s="81">
        <v>2</v>
      </c>
      <c r="AH781" s="80">
        <v>0</v>
      </c>
      <c r="AI781" s="81">
        <v>0</v>
      </c>
      <c r="AJ781" s="81">
        <v>0</v>
      </c>
      <c r="AK781" s="81">
        <v>0</v>
      </c>
      <c r="AL781" s="81">
        <v>0</v>
      </c>
      <c r="AM781" s="80">
        <v>0</v>
      </c>
      <c r="AN781" s="80">
        <v>0</v>
      </c>
      <c r="AO781" s="80">
        <v>0</v>
      </c>
    </row>
    <row r="782" spans="1:41" ht="15.75" x14ac:dyDescent="0.25">
      <c r="A782" s="84"/>
      <c r="B782" s="84"/>
      <c r="C782" s="84"/>
      <c r="D782" s="80" t="s">
        <v>247</v>
      </c>
      <c r="E782" s="80">
        <v>0</v>
      </c>
      <c r="F782" s="80">
        <v>0</v>
      </c>
      <c r="G782" s="80">
        <v>0</v>
      </c>
      <c r="H782" s="80">
        <v>0</v>
      </c>
      <c r="I782" s="80">
        <v>0</v>
      </c>
      <c r="J782" s="80">
        <v>0</v>
      </c>
      <c r="K782" s="80">
        <v>0</v>
      </c>
      <c r="L782" s="80">
        <v>0</v>
      </c>
      <c r="M782" s="80">
        <v>0</v>
      </c>
      <c r="N782" s="80">
        <v>0</v>
      </c>
      <c r="O782" s="80">
        <v>0</v>
      </c>
      <c r="P782" s="80">
        <v>0</v>
      </c>
      <c r="Q782" s="80">
        <v>0</v>
      </c>
      <c r="R782" s="80">
        <v>0</v>
      </c>
      <c r="S782" s="80">
        <v>0</v>
      </c>
      <c r="T782" s="80">
        <v>0</v>
      </c>
      <c r="U782" s="80">
        <v>0</v>
      </c>
      <c r="V782" s="80">
        <v>0</v>
      </c>
      <c r="W782" s="80">
        <v>0</v>
      </c>
      <c r="X782" s="80">
        <v>0</v>
      </c>
      <c r="Y782" s="80">
        <v>0</v>
      </c>
      <c r="Z782" s="80">
        <v>0</v>
      </c>
      <c r="AA782" s="80">
        <v>0</v>
      </c>
      <c r="AB782" s="80">
        <v>0</v>
      </c>
      <c r="AC782" s="80">
        <v>0</v>
      </c>
      <c r="AD782" s="80">
        <v>0</v>
      </c>
      <c r="AE782" s="80">
        <v>0</v>
      </c>
      <c r="AF782" s="80">
        <v>0</v>
      </c>
      <c r="AG782" s="81">
        <v>0</v>
      </c>
      <c r="AH782" s="80">
        <v>0</v>
      </c>
      <c r="AI782" s="81">
        <v>0</v>
      </c>
      <c r="AJ782" s="81">
        <v>0</v>
      </c>
      <c r="AK782" s="81">
        <v>0</v>
      </c>
      <c r="AL782" s="81">
        <v>0</v>
      </c>
      <c r="AM782" s="80">
        <v>0</v>
      </c>
      <c r="AN782" s="80">
        <v>0</v>
      </c>
      <c r="AO782" s="80">
        <v>0</v>
      </c>
    </row>
    <row r="783" spans="1:41" ht="15.75" x14ac:dyDescent="0.25">
      <c r="A783" s="84"/>
      <c r="B783" s="84"/>
      <c r="C783" s="84"/>
      <c r="D783" s="80" t="s">
        <v>248</v>
      </c>
      <c r="E783" s="80">
        <v>0</v>
      </c>
      <c r="F783" s="80">
        <v>0</v>
      </c>
      <c r="G783" s="80">
        <v>0</v>
      </c>
      <c r="H783" s="80">
        <v>1</v>
      </c>
      <c r="I783" s="80">
        <v>1</v>
      </c>
      <c r="J783" s="80">
        <v>1</v>
      </c>
      <c r="K783" s="80">
        <v>0</v>
      </c>
      <c r="L783" s="80">
        <v>0</v>
      </c>
      <c r="M783" s="80">
        <v>0</v>
      </c>
      <c r="N783" s="80">
        <v>1</v>
      </c>
      <c r="O783" s="80">
        <v>1</v>
      </c>
      <c r="P783" s="80">
        <v>0</v>
      </c>
      <c r="Q783" s="80">
        <v>1</v>
      </c>
      <c r="R783" s="80">
        <v>0</v>
      </c>
      <c r="S783" s="80">
        <v>0</v>
      </c>
      <c r="T783" s="80">
        <v>0</v>
      </c>
      <c r="U783" s="80">
        <v>2</v>
      </c>
      <c r="V783" s="80">
        <v>1</v>
      </c>
      <c r="W783" s="80">
        <v>0</v>
      </c>
      <c r="X783" s="80">
        <v>0</v>
      </c>
      <c r="Y783" s="80">
        <v>0</v>
      </c>
      <c r="Z783" s="80">
        <v>3</v>
      </c>
      <c r="AA783" s="80">
        <v>1</v>
      </c>
      <c r="AB783" s="80">
        <v>0</v>
      </c>
      <c r="AC783" s="80">
        <v>0</v>
      </c>
      <c r="AD783" s="80">
        <v>0</v>
      </c>
      <c r="AE783" s="80">
        <v>0</v>
      </c>
      <c r="AF783" s="80">
        <v>0</v>
      </c>
      <c r="AG783" s="81">
        <v>2</v>
      </c>
      <c r="AH783" s="80">
        <v>0</v>
      </c>
      <c r="AI783" s="81">
        <v>0</v>
      </c>
      <c r="AJ783" s="81">
        <v>0</v>
      </c>
      <c r="AK783" s="81">
        <v>0</v>
      </c>
      <c r="AL783" s="81">
        <v>0</v>
      </c>
      <c r="AM783" s="80">
        <v>0</v>
      </c>
      <c r="AN783" s="80">
        <v>0</v>
      </c>
      <c r="AO783" s="80">
        <v>0</v>
      </c>
    </row>
    <row r="784" spans="1:41" ht="15.75" x14ac:dyDescent="0.25">
      <c r="A784" s="84"/>
      <c r="B784" s="84"/>
      <c r="C784" s="84"/>
      <c r="D784" s="80" t="s">
        <v>258</v>
      </c>
      <c r="E784" s="80">
        <v>0</v>
      </c>
      <c r="F784" s="80">
        <v>0</v>
      </c>
      <c r="G784" s="80">
        <v>0</v>
      </c>
      <c r="H784" s="80">
        <v>0</v>
      </c>
      <c r="I784" s="80">
        <v>0</v>
      </c>
      <c r="J784" s="80">
        <v>0</v>
      </c>
      <c r="K784" s="80">
        <v>0</v>
      </c>
      <c r="L784" s="80">
        <v>0</v>
      </c>
      <c r="M784" s="80">
        <v>0</v>
      </c>
      <c r="N784" s="80">
        <v>0</v>
      </c>
      <c r="O784" s="80">
        <v>0</v>
      </c>
      <c r="P784" s="80">
        <v>0</v>
      </c>
      <c r="Q784" s="80">
        <v>0</v>
      </c>
      <c r="R784" s="80">
        <v>0</v>
      </c>
      <c r="S784" s="80">
        <v>0</v>
      </c>
      <c r="T784" s="80">
        <v>0</v>
      </c>
      <c r="U784" s="80">
        <v>0</v>
      </c>
      <c r="V784" s="80">
        <v>0</v>
      </c>
      <c r="W784" s="80">
        <v>0</v>
      </c>
      <c r="X784" s="80">
        <v>0</v>
      </c>
      <c r="Y784" s="80">
        <v>0</v>
      </c>
      <c r="Z784" s="80">
        <v>0</v>
      </c>
      <c r="AA784" s="80">
        <v>0</v>
      </c>
      <c r="AB784" s="80">
        <v>0</v>
      </c>
      <c r="AC784" s="80">
        <v>0</v>
      </c>
      <c r="AD784" s="80">
        <v>0</v>
      </c>
      <c r="AE784" s="80">
        <v>0</v>
      </c>
      <c r="AF784" s="80">
        <v>0</v>
      </c>
      <c r="AG784" s="80">
        <v>0</v>
      </c>
      <c r="AH784" s="80">
        <v>0</v>
      </c>
      <c r="AI784" s="80">
        <v>0</v>
      </c>
      <c r="AJ784" s="80">
        <v>0</v>
      </c>
      <c r="AK784" s="80">
        <v>0</v>
      </c>
      <c r="AL784" s="80">
        <v>0</v>
      </c>
      <c r="AM784" s="80">
        <v>0</v>
      </c>
      <c r="AN784" s="80">
        <v>0</v>
      </c>
      <c r="AO784" s="80">
        <v>0</v>
      </c>
    </row>
    <row r="785" spans="1:41" ht="15.75" x14ac:dyDescent="0.25">
      <c r="A785" s="84">
        <v>31</v>
      </c>
      <c r="B785" s="84" t="s">
        <v>28</v>
      </c>
      <c r="C785" s="84" t="s">
        <v>207</v>
      </c>
      <c r="D785" s="80" t="s">
        <v>245</v>
      </c>
      <c r="E785" s="80">
        <v>0</v>
      </c>
      <c r="F785" s="80">
        <v>0</v>
      </c>
      <c r="G785" s="80">
        <v>0</v>
      </c>
      <c r="H785" s="81">
        <v>1</v>
      </c>
      <c r="I785" s="133">
        <v>2</v>
      </c>
      <c r="J785" s="134">
        <v>1</v>
      </c>
      <c r="K785" s="80">
        <v>0</v>
      </c>
      <c r="L785" s="80">
        <v>0</v>
      </c>
      <c r="M785" s="80">
        <v>1</v>
      </c>
      <c r="N785" s="81">
        <v>0</v>
      </c>
      <c r="O785" s="80">
        <v>3</v>
      </c>
      <c r="P785" s="80">
        <v>1</v>
      </c>
      <c r="Q785" s="80">
        <v>2</v>
      </c>
      <c r="R785" s="80">
        <v>0</v>
      </c>
      <c r="S785" s="80">
        <v>0</v>
      </c>
      <c r="T785" s="81">
        <v>1</v>
      </c>
      <c r="U785" s="80">
        <v>4</v>
      </c>
      <c r="V785" s="80">
        <v>2</v>
      </c>
      <c r="W785" s="81">
        <v>0</v>
      </c>
      <c r="X785" s="80">
        <v>0</v>
      </c>
      <c r="Y785" s="80">
        <v>0</v>
      </c>
      <c r="Z785" s="80">
        <v>2</v>
      </c>
      <c r="AA785" s="80">
        <v>1</v>
      </c>
      <c r="AB785" s="80">
        <v>1</v>
      </c>
      <c r="AC785" s="80">
        <v>1</v>
      </c>
      <c r="AD785" s="80">
        <v>1</v>
      </c>
      <c r="AE785" s="80">
        <v>1</v>
      </c>
      <c r="AF785" s="80">
        <v>1</v>
      </c>
      <c r="AG785" s="81">
        <v>1</v>
      </c>
      <c r="AH785" s="80">
        <v>2</v>
      </c>
      <c r="AI785" s="81">
        <v>0</v>
      </c>
      <c r="AJ785" s="81">
        <v>0</v>
      </c>
      <c r="AK785" s="81">
        <v>0</v>
      </c>
      <c r="AL785" s="81">
        <v>0</v>
      </c>
      <c r="AM785" s="80">
        <v>0</v>
      </c>
      <c r="AN785" s="80">
        <v>0</v>
      </c>
      <c r="AO785" s="80">
        <v>0</v>
      </c>
    </row>
    <row r="786" spans="1:41" ht="15.75" x14ac:dyDescent="0.25">
      <c r="A786" s="84"/>
      <c r="B786" s="84"/>
      <c r="C786" s="84"/>
      <c r="D786" s="80" t="s">
        <v>246</v>
      </c>
      <c r="E786" s="80">
        <v>0</v>
      </c>
      <c r="F786" s="80">
        <v>0</v>
      </c>
      <c r="G786" s="80">
        <v>0</v>
      </c>
      <c r="H786" s="81">
        <v>1</v>
      </c>
      <c r="I786" s="133">
        <v>2</v>
      </c>
      <c r="J786" s="134">
        <v>1</v>
      </c>
      <c r="K786" s="80">
        <v>0</v>
      </c>
      <c r="L786" s="80">
        <v>0</v>
      </c>
      <c r="M786" s="80">
        <v>1</v>
      </c>
      <c r="N786" s="81">
        <v>0</v>
      </c>
      <c r="O786" s="80">
        <v>3</v>
      </c>
      <c r="P786" s="80">
        <v>1</v>
      </c>
      <c r="Q786" s="80">
        <v>2</v>
      </c>
      <c r="R786" s="80">
        <v>0</v>
      </c>
      <c r="S786" s="80">
        <v>0</v>
      </c>
      <c r="T786" s="81">
        <v>1</v>
      </c>
      <c r="U786" s="80">
        <v>4</v>
      </c>
      <c r="V786" s="80">
        <v>2</v>
      </c>
      <c r="W786" s="81">
        <v>0</v>
      </c>
      <c r="X786" s="80">
        <v>0</v>
      </c>
      <c r="Y786" s="80">
        <v>0</v>
      </c>
      <c r="Z786" s="80">
        <v>2</v>
      </c>
      <c r="AA786" s="80">
        <v>1</v>
      </c>
      <c r="AB786" s="80">
        <v>1</v>
      </c>
      <c r="AC786" s="80">
        <v>1</v>
      </c>
      <c r="AD786" s="80">
        <v>1</v>
      </c>
      <c r="AE786" s="80">
        <v>1</v>
      </c>
      <c r="AF786" s="80">
        <v>1</v>
      </c>
      <c r="AG786" s="81">
        <v>1</v>
      </c>
      <c r="AH786" s="80">
        <v>2</v>
      </c>
      <c r="AI786" s="81">
        <v>0</v>
      </c>
      <c r="AJ786" s="81">
        <v>0</v>
      </c>
      <c r="AK786" s="81">
        <v>0</v>
      </c>
      <c r="AL786" s="81">
        <v>0</v>
      </c>
      <c r="AM786" s="80">
        <v>0</v>
      </c>
      <c r="AN786" s="80">
        <v>0</v>
      </c>
      <c r="AO786" s="80">
        <v>0</v>
      </c>
    </row>
    <row r="787" spans="1:41" ht="15.75" x14ac:dyDescent="0.25">
      <c r="A787" s="84"/>
      <c r="B787" s="84"/>
      <c r="C787" s="84"/>
      <c r="D787" s="80" t="s">
        <v>247</v>
      </c>
      <c r="E787" s="80">
        <v>0</v>
      </c>
      <c r="F787" s="80">
        <v>0</v>
      </c>
      <c r="G787" s="80">
        <v>0</v>
      </c>
      <c r="H787" s="81">
        <v>0</v>
      </c>
      <c r="I787" s="81">
        <v>0</v>
      </c>
      <c r="J787" s="80">
        <v>0</v>
      </c>
      <c r="K787" s="80">
        <v>0</v>
      </c>
      <c r="L787" s="80">
        <v>0</v>
      </c>
      <c r="M787" s="80">
        <v>0</v>
      </c>
      <c r="N787" s="81">
        <v>0</v>
      </c>
      <c r="O787" s="80">
        <v>0</v>
      </c>
      <c r="P787" s="80">
        <v>0</v>
      </c>
      <c r="Q787" s="80">
        <v>0</v>
      </c>
      <c r="R787" s="80">
        <v>0</v>
      </c>
      <c r="S787" s="80">
        <v>0</v>
      </c>
      <c r="T787" s="81">
        <v>0</v>
      </c>
      <c r="U787" s="80">
        <v>0</v>
      </c>
      <c r="V787" s="80">
        <v>0</v>
      </c>
      <c r="W787" s="81">
        <v>0</v>
      </c>
      <c r="X787" s="80">
        <v>0</v>
      </c>
      <c r="Y787" s="80">
        <v>0</v>
      </c>
      <c r="Z787" s="80">
        <v>0</v>
      </c>
      <c r="AA787" s="80">
        <v>0</v>
      </c>
      <c r="AB787" s="80">
        <v>0</v>
      </c>
      <c r="AC787" s="80">
        <v>0</v>
      </c>
      <c r="AD787" s="80">
        <v>0</v>
      </c>
      <c r="AE787" s="80">
        <v>0</v>
      </c>
      <c r="AF787" s="80">
        <v>0</v>
      </c>
      <c r="AG787" s="81">
        <v>0</v>
      </c>
      <c r="AH787" s="80">
        <v>0</v>
      </c>
      <c r="AI787" s="81">
        <v>0</v>
      </c>
      <c r="AJ787" s="81">
        <v>0</v>
      </c>
      <c r="AK787" s="81">
        <v>0</v>
      </c>
      <c r="AL787" s="81">
        <v>0</v>
      </c>
      <c r="AM787" s="80">
        <v>0</v>
      </c>
      <c r="AN787" s="80">
        <v>0</v>
      </c>
      <c r="AO787" s="80">
        <v>0</v>
      </c>
    </row>
    <row r="788" spans="1:41" ht="15.75" x14ac:dyDescent="0.25">
      <c r="A788" s="84"/>
      <c r="B788" s="84"/>
      <c r="C788" s="84"/>
      <c r="D788" s="80" t="s">
        <v>248</v>
      </c>
      <c r="E788" s="80">
        <v>0</v>
      </c>
      <c r="F788" s="80">
        <v>0</v>
      </c>
      <c r="G788" s="80">
        <v>0</v>
      </c>
      <c r="H788" s="81">
        <v>1</v>
      </c>
      <c r="I788" s="81">
        <v>2</v>
      </c>
      <c r="J788" s="80">
        <v>1</v>
      </c>
      <c r="K788" s="80">
        <v>0</v>
      </c>
      <c r="L788" s="80">
        <v>0</v>
      </c>
      <c r="M788" s="80">
        <v>1</v>
      </c>
      <c r="N788" s="81">
        <v>0</v>
      </c>
      <c r="O788" s="80">
        <v>3</v>
      </c>
      <c r="P788" s="80">
        <v>1</v>
      </c>
      <c r="Q788" s="80">
        <v>2</v>
      </c>
      <c r="R788" s="80">
        <v>0</v>
      </c>
      <c r="S788" s="80">
        <v>0</v>
      </c>
      <c r="T788" s="81">
        <v>1</v>
      </c>
      <c r="U788" s="80">
        <v>3</v>
      </c>
      <c r="V788" s="80">
        <v>2</v>
      </c>
      <c r="W788" s="81">
        <v>0</v>
      </c>
      <c r="X788" s="80">
        <v>0</v>
      </c>
      <c r="Y788" s="80">
        <v>0</v>
      </c>
      <c r="Z788" s="80">
        <v>1</v>
      </c>
      <c r="AA788" s="80">
        <v>1</v>
      </c>
      <c r="AB788" s="80">
        <v>1</v>
      </c>
      <c r="AC788" s="80">
        <v>1</v>
      </c>
      <c r="AD788" s="80">
        <v>1</v>
      </c>
      <c r="AE788" s="80">
        <v>1</v>
      </c>
      <c r="AF788" s="80">
        <v>0</v>
      </c>
      <c r="AG788" s="81">
        <v>1</v>
      </c>
      <c r="AH788" s="80">
        <v>2</v>
      </c>
      <c r="AI788" s="81">
        <v>0</v>
      </c>
      <c r="AJ788" s="81">
        <v>0</v>
      </c>
      <c r="AK788" s="81">
        <v>0</v>
      </c>
      <c r="AL788" s="81">
        <v>0</v>
      </c>
      <c r="AM788" s="80">
        <v>0</v>
      </c>
      <c r="AN788" s="80">
        <v>0</v>
      </c>
      <c r="AO788" s="80">
        <v>0</v>
      </c>
    </row>
    <row r="789" spans="1:41" ht="15.75" x14ac:dyDescent="0.25">
      <c r="A789" s="84"/>
      <c r="B789" s="84"/>
      <c r="C789" s="84"/>
      <c r="D789" s="80" t="s">
        <v>258</v>
      </c>
      <c r="E789" s="80">
        <v>0</v>
      </c>
      <c r="F789" s="80">
        <v>0</v>
      </c>
      <c r="G789" s="80">
        <v>0</v>
      </c>
      <c r="H789" s="81">
        <v>0</v>
      </c>
      <c r="I789" s="81">
        <v>0</v>
      </c>
      <c r="J789" s="81">
        <v>0</v>
      </c>
      <c r="K789" s="81">
        <v>0</v>
      </c>
      <c r="L789" s="80">
        <v>0</v>
      </c>
      <c r="M789" s="81">
        <v>0</v>
      </c>
      <c r="N789" s="81">
        <v>0</v>
      </c>
      <c r="O789" s="81">
        <v>0</v>
      </c>
      <c r="P789" s="80">
        <v>0</v>
      </c>
      <c r="Q789" s="81">
        <v>0</v>
      </c>
      <c r="R789" s="81">
        <v>0</v>
      </c>
      <c r="S789" s="81">
        <v>0</v>
      </c>
      <c r="T789" s="81">
        <v>0</v>
      </c>
      <c r="U789" s="81">
        <v>1</v>
      </c>
      <c r="V789" s="81">
        <v>0</v>
      </c>
      <c r="W789" s="81">
        <v>0</v>
      </c>
      <c r="X789" s="81">
        <v>0</v>
      </c>
      <c r="Y789" s="81">
        <v>0</v>
      </c>
      <c r="Z789" s="81">
        <v>1</v>
      </c>
      <c r="AA789" s="81">
        <v>0</v>
      </c>
      <c r="AB789" s="81">
        <v>0</v>
      </c>
      <c r="AC789" s="80">
        <v>0</v>
      </c>
      <c r="AD789" s="80">
        <v>0</v>
      </c>
      <c r="AE789" s="81">
        <v>0</v>
      </c>
      <c r="AF789" s="81">
        <v>1</v>
      </c>
      <c r="AG789" s="81">
        <v>0</v>
      </c>
      <c r="AH789" s="81">
        <v>0</v>
      </c>
      <c r="AI789" s="81">
        <v>0</v>
      </c>
      <c r="AJ789" s="81">
        <v>0</v>
      </c>
      <c r="AK789" s="81">
        <v>0</v>
      </c>
      <c r="AL789" s="81">
        <v>0</v>
      </c>
      <c r="AM789" s="80">
        <v>0</v>
      </c>
      <c r="AN789" s="80">
        <v>0</v>
      </c>
      <c r="AO789" s="80">
        <v>0</v>
      </c>
    </row>
    <row r="790" spans="1:41" ht="15.75" x14ac:dyDescent="0.25">
      <c r="A790" s="84">
        <v>32</v>
      </c>
      <c r="B790" s="84"/>
      <c r="C790" s="84" t="s">
        <v>253</v>
      </c>
      <c r="D790" s="80" t="s">
        <v>245</v>
      </c>
      <c r="E790" s="80">
        <v>0</v>
      </c>
      <c r="F790" s="80">
        <v>0</v>
      </c>
      <c r="G790" s="80">
        <v>0</v>
      </c>
      <c r="H790" s="81">
        <v>1</v>
      </c>
      <c r="I790" s="81">
        <v>1</v>
      </c>
      <c r="J790" s="80">
        <v>1</v>
      </c>
      <c r="K790" s="80">
        <v>0</v>
      </c>
      <c r="L790" s="80">
        <v>0</v>
      </c>
      <c r="M790" s="80">
        <v>0</v>
      </c>
      <c r="N790" s="80">
        <v>0</v>
      </c>
      <c r="O790" s="80">
        <v>1</v>
      </c>
      <c r="P790" s="80">
        <v>1</v>
      </c>
      <c r="Q790" s="80">
        <v>1</v>
      </c>
      <c r="R790" s="80">
        <v>0</v>
      </c>
      <c r="S790" s="81">
        <v>0</v>
      </c>
      <c r="T790" s="81">
        <v>0</v>
      </c>
      <c r="U790" s="80">
        <v>3</v>
      </c>
      <c r="V790" s="80">
        <v>1</v>
      </c>
      <c r="W790" s="81">
        <v>0</v>
      </c>
      <c r="X790" s="80">
        <v>0</v>
      </c>
      <c r="Y790" s="80">
        <v>0</v>
      </c>
      <c r="Z790" s="80">
        <v>0</v>
      </c>
      <c r="AA790" s="80">
        <v>0</v>
      </c>
      <c r="AB790" s="80">
        <v>0</v>
      </c>
      <c r="AC790" s="80">
        <v>0</v>
      </c>
      <c r="AD790" s="80">
        <v>0</v>
      </c>
      <c r="AE790" s="80">
        <v>0</v>
      </c>
      <c r="AF790" s="80">
        <v>0</v>
      </c>
      <c r="AG790" s="81">
        <v>1</v>
      </c>
      <c r="AH790" s="80">
        <v>0</v>
      </c>
      <c r="AI790" s="81">
        <v>0</v>
      </c>
      <c r="AJ790" s="81">
        <v>0</v>
      </c>
      <c r="AK790" s="81">
        <v>0</v>
      </c>
      <c r="AL790" s="81">
        <v>0</v>
      </c>
      <c r="AM790" s="80">
        <v>0</v>
      </c>
      <c r="AN790" s="80">
        <v>0</v>
      </c>
      <c r="AO790" s="80">
        <v>0</v>
      </c>
    </row>
    <row r="791" spans="1:41" ht="15.75" x14ac:dyDescent="0.25">
      <c r="A791" s="84"/>
      <c r="B791" s="84"/>
      <c r="C791" s="84"/>
      <c r="D791" s="80" t="s">
        <v>246</v>
      </c>
      <c r="E791" s="80">
        <v>0</v>
      </c>
      <c r="F791" s="80">
        <v>0</v>
      </c>
      <c r="G791" s="80">
        <v>0</v>
      </c>
      <c r="H791" s="81">
        <v>1</v>
      </c>
      <c r="I791" s="81">
        <v>1</v>
      </c>
      <c r="J791" s="80">
        <v>1</v>
      </c>
      <c r="K791" s="80">
        <v>0</v>
      </c>
      <c r="L791" s="80">
        <v>0</v>
      </c>
      <c r="M791" s="80">
        <v>0</v>
      </c>
      <c r="N791" s="80">
        <v>0</v>
      </c>
      <c r="O791" s="80">
        <v>1</v>
      </c>
      <c r="P791" s="80">
        <v>1</v>
      </c>
      <c r="Q791" s="80">
        <v>1</v>
      </c>
      <c r="R791" s="80">
        <v>0</v>
      </c>
      <c r="S791" s="81">
        <v>0</v>
      </c>
      <c r="T791" s="81">
        <v>0</v>
      </c>
      <c r="U791" s="80">
        <v>3</v>
      </c>
      <c r="V791" s="80">
        <v>1</v>
      </c>
      <c r="W791" s="81">
        <v>0</v>
      </c>
      <c r="X791" s="80">
        <v>0</v>
      </c>
      <c r="Y791" s="80">
        <v>0</v>
      </c>
      <c r="Z791" s="80">
        <v>0</v>
      </c>
      <c r="AA791" s="80">
        <v>0</v>
      </c>
      <c r="AB791" s="80">
        <v>0</v>
      </c>
      <c r="AC791" s="80">
        <v>0</v>
      </c>
      <c r="AD791" s="80">
        <v>0</v>
      </c>
      <c r="AE791" s="80">
        <v>0</v>
      </c>
      <c r="AF791" s="80">
        <v>0</v>
      </c>
      <c r="AG791" s="81">
        <v>1</v>
      </c>
      <c r="AH791" s="80">
        <v>0</v>
      </c>
      <c r="AI791" s="81">
        <v>0</v>
      </c>
      <c r="AJ791" s="81">
        <v>0</v>
      </c>
      <c r="AK791" s="81">
        <v>0</v>
      </c>
      <c r="AL791" s="81">
        <v>0</v>
      </c>
      <c r="AM791" s="80">
        <v>0</v>
      </c>
      <c r="AN791" s="80">
        <v>0</v>
      </c>
      <c r="AO791" s="80">
        <v>0</v>
      </c>
    </row>
    <row r="792" spans="1:41" ht="15.75" x14ac:dyDescent="0.25">
      <c r="A792" s="84"/>
      <c r="B792" s="84"/>
      <c r="C792" s="84"/>
      <c r="D792" s="80" t="s">
        <v>247</v>
      </c>
      <c r="E792" s="80">
        <v>0</v>
      </c>
      <c r="F792" s="80">
        <v>0</v>
      </c>
      <c r="G792" s="80">
        <v>0</v>
      </c>
      <c r="H792" s="81">
        <v>0</v>
      </c>
      <c r="I792" s="81">
        <v>0</v>
      </c>
      <c r="J792" s="80">
        <v>0</v>
      </c>
      <c r="K792" s="80">
        <v>0</v>
      </c>
      <c r="L792" s="80">
        <v>0</v>
      </c>
      <c r="M792" s="80">
        <v>0</v>
      </c>
      <c r="N792" s="80">
        <v>0</v>
      </c>
      <c r="O792" s="80">
        <v>0</v>
      </c>
      <c r="P792" s="80">
        <v>0</v>
      </c>
      <c r="Q792" s="80">
        <v>0</v>
      </c>
      <c r="R792" s="80">
        <v>0</v>
      </c>
      <c r="S792" s="81">
        <v>0</v>
      </c>
      <c r="T792" s="81">
        <v>0</v>
      </c>
      <c r="U792" s="80">
        <v>0</v>
      </c>
      <c r="V792" s="80">
        <v>0</v>
      </c>
      <c r="W792" s="81">
        <v>0</v>
      </c>
      <c r="X792" s="80">
        <v>0</v>
      </c>
      <c r="Y792" s="80">
        <v>0</v>
      </c>
      <c r="Z792" s="80">
        <v>0</v>
      </c>
      <c r="AA792" s="80">
        <v>0</v>
      </c>
      <c r="AB792" s="80">
        <v>0</v>
      </c>
      <c r="AC792" s="80">
        <v>0</v>
      </c>
      <c r="AD792" s="80">
        <v>0</v>
      </c>
      <c r="AE792" s="80">
        <v>0</v>
      </c>
      <c r="AF792" s="80">
        <v>0</v>
      </c>
      <c r="AG792" s="81">
        <v>0</v>
      </c>
      <c r="AH792" s="80">
        <v>0</v>
      </c>
      <c r="AI792" s="81">
        <v>0</v>
      </c>
      <c r="AJ792" s="81">
        <v>0</v>
      </c>
      <c r="AK792" s="81">
        <v>0</v>
      </c>
      <c r="AL792" s="81">
        <v>0</v>
      </c>
      <c r="AM792" s="80">
        <v>0</v>
      </c>
      <c r="AN792" s="80">
        <v>0</v>
      </c>
      <c r="AO792" s="80">
        <v>0</v>
      </c>
    </row>
    <row r="793" spans="1:41" ht="15.75" x14ac:dyDescent="0.25">
      <c r="A793" s="84"/>
      <c r="B793" s="84"/>
      <c r="C793" s="84"/>
      <c r="D793" s="80" t="s">
        <v>248</v>
      </c>
      <c r="E793" s="80">
        <v>0</v>
      </c>
      <c r="F793" s="80">
        <v>0</v>
      </c>
      <c r="G793" s="80">
        <v>0</v>
      </c>
      <c r="H793" s="81">
        <v>1</v>
      </c>
      <c r="I793" s="81">
        <v>1</v>
      </c>
      <c r="J793" s="80">
        <v>1</v>
      </c>
      <c r="K793" s="80">
        <v>0</v>
      </c>
      <c r="L793" s="80">
        <v>0</v>
      </c>
      <c r="M793" s="80">
        <v>0</v>
      </c>
      <c r="N793" s="80">
        <v>0</v>
      </c>
      <c r="O793" s="80">
        <v>1</v>
      </c>
      <c r="P793" s="80">
        <v>1</v>
      </c>
      <c r="Q793" s="80">
        <v>1</v>
      </c>
      <c r="R793" s="80">
        <v>0</v>
      </c>
      <c r="S793" s="81">
        <v>0</v>
      </c>
      <c r="T793" s="81">
        <v>0</v>
      </c>
      <c r="U793" s="80">
        <v>3</v>
      </c>
      <c r="V793" s="80">
        <v>1</v>
      </c>
      <c r="W793" s="81">
        <v>0</v>
      </c>
      <c r="X793" s="80">
        <v>0</v>
      </c>
      <c r="Y793" s="80">
        <v>0</v>
      </c>
      <c r="Z793" s="80">
        <v>0</v>
      </c>
      <c r="AA793" s="80">
        <v>0</v>
      </c>
      <c r="AB793" s="80">
        <v>0</v>
      </c>
      <c r="AC793" s="80">
        <v>0</v>
      </c>
      <c r="AD793" s="80">
        <v>0</v>
      </c>
      <c r="AE793" s="80">
        <v>0</v>
      </c>
      <c r="AF793" s="80">
        <v>0</v>
      </c>
      <c r="AG793" s="81">
        <v>1</v>
      </c>
      <c r="AH793" s="80">
        <v>0</v>
      </c>
      <c r="AI793" s="81">
        <v>0</v>
      </c>
      <c r="AJ793" s="81">
        <v>0</v>
      </c>
      <c r="AK793" s="81">
        <v>0</v>
      </c>
      <c r="AL793" s="81">
        <v>0</v>
      </c>
      <c r="AM793" s="80">
        <v>0</v>
      </c>
      <c r="AN793" s="80">
        <v>0</v>
      </c>
      <c r="AO793" s="80">
        <v>0</v>
      </c>
    </row>
    <row r="794" spans="1:41" ht="15.75" x14ac:dyDescent="0.25">
      <c r="A794" s="84"/>
      <c r="B794" s="84"/>
      <c r="C794" s="84"/>
      <c r="D794" s="80" t="s">
        <v>258</v>
      </c>
      <c r="E794" s="80">
        <v>0</v>
      </c>
      <c r="F794" s="80">
        <v>0</v>
      </c>
      <c r="G794" s="81">
        <v>0</v>
      </c>
      <c r="H794" s="81">
        <v>0</v>
      </c>
      <c r="I794" s="81">
        <v>0</v>
      </c>
      <c r="J794" s="81">
        <v>0</v>
      </c>
      <c r="K794" s="81">
        <v>0</v>
      </c>
      <c r="L794" s="80">
        <v>0</v>
      </c>
      <c r="M794" s="81">
        <v>0</v>
      </c>
      <c r="N794" s="80">
        <v>0</v>
      </c>
      <c r="O794" s="81">
        <v>0</v>
      </c>
      <c r="P794" s="80">
        <v>0</v>
      </c>
      <c r="Q794" s="81">
        <v>0</v>
      </c>
      <c r="R794" s="81">
        <v>0</v>
      </c>
      <c r="S794" s="81">
        <v>0</v>
      </c>
      <c r="T794" s="81">
        <v>0</v>
      </c>
      <c r="U794" s="81">
        <v>0</v>
      </c>
      <c r="V794" s="81">
        <v>0</v>
      </c>
      <c r="W794" s="81">
        <v>0</v>
      </c>
      <c r="X794" s="81">
        <v>0</v>
      </c>
      <c r="Y794" s="81">
        <v>0</v>
      </c>
      <c r="Z794" s="81">
        <v>0</v>
      </c>
      <c r="AA794" s="81">
        <v>0</v>
      </c>
      <c r="AB794" s="81">
        <v>0</v>
      </c>
      <c r="AC794" s="80">
        <v>0</v>
      </c>
      <c r="AD794" s="80">
        <v>0</v>
      </c>
      <c r="AE794" s="81">
        <v>0</v>
      </c>
      <c r="AF794" s="81">
        <v>0</v>
      </c>
      <c r="AG794" s="81">
        <v>0</v>
      </c>
      <c r="AH794" s="81">
        <v>0</v>
      </c>
      <c r="AI794" s="81">
        <v>0</v>
      </c>
      <c r="AJ794" s="81">
        <v>0</v>
      </c>
      <c r="AK794" s="81">
        <v>0</v>
      </c>
      <c r="AL794" s="81">
        <v>0</v>
      </c>
      <c r="AM794" s="80">
        <v>0</v>
      </c>
      <c r="AN794" s="80">
        <v>0</v>
      </c>
      <c r="AO794" s="80">
        <v>0</v>
      </c>
    </row>
    <row r="795" spans="1:41" ht="15.75" x14ac:dyDescent="0.25">
      <c r="A795" s="84">
        <v>33</v>
      </c>
      <c r="B795" s="84"/>
      <c r="C795" s="84" t="s">
        <v>171</v>
      </c>
      <c r="D795" s="80" t="s">
        <v>245</v>
      </c>
      <c r="E795" s="80">
        <v>0</v>
      </c>
      <c r="F795" s="80">
        <v>0</v>
      </c>
      <c r="G795" s="80">
        <v>0</v>
      </c>
      <c r="H795" s="81">
        <v>1</v>
      </c>
      <c r="I795" s="81">
        <v>2</v>
      </c>
      <c r="J795" s="80">
        <v>1</v>
      </c>
      <c r="K795" s="80">
        <v>0</v>
      </c>
      <c r="L795" s="80">
        <v>0</v>
      </c>
      <c r="M795" s="80">
        <v>0</v>
      </c>
      <c r="N795" s="80">
        <v>0</v>
      </c>
      <c r="O795" s="80">
        <v>1</v>
      </c>
      <c r="P795" s="80">
        <v>0</v>
      </c>
      <c r="Q795" s="80">
        <v>1</v>
      </c>
      <c r="R795" s="80">
        <v>0</v>
      </c>
      <c r="S795" s="80">
        <v>0</v>
      </c>
      <c r="T795" s="81">
        <v>1</v>
      </c>
      <c r="U795" s="80">
        <v>2</v>
      </c>
      <c r="V795" s="80">
        <v>1</v>
      </c>
      <c r="W795" s="81">
        <v>0</v>
      </c>
      <c r="X795" s="80">
        <v>0</v>
      </c>
      <c r="Y795" s="80">
        <v>0</v>
      </c>
      <c r="Z795" s="80">
        <v>0</v>
      </c>
      <c r="AA795" s="80">
        <v>0</v>
      </c>
      <c r="AB795" s="80">
        <v>0</v>
      </c>
      <c r="AC795" s="80">
        <v>0</v>
      </c>
      <c r="AD795" s="80">
        <v>0</v>
      </c>
      <c r="AE795" s="80">
        <v>0</v>
      </c>
      <c r="AF795" s="80">
        <v>1</v>
      </c>
      <c r="AG795" s="81">
        <v>1</v>
      </c>
      <c r="AH795" s="80">
        <v>0</v>
      </c>
      <c r="AI795" s="81">
        <v>0</v>
      </c>
      <c r="AJ795" s="81">
        <v>0</v>
      </c>
      <c r="AK795" s="81">
        <v>0</v>
      </c>
      <c r="AL795" s="81">
        <v>0</v>
      </c>
      <c r="AM795" s="80">
        <v>0</v>
      </c>
      <c r="AN795" s="80">
        <v>0</v>
      </c>
      <c r="AO795" s="80">
        <v>0</v>
      </c>
    </row>
    <row r="796" spans="1:41" ht="15.75" x14ac:dyDescent="0.25">
      <c r="A796" s="84"/>
      <c r="B796" s="84"/>
      <c r="C796" s="84"/>
      <c r="D796" s="80" t="s">
        <v>246</v>
      </c>
      <c r="E796" s="80">
        <v>0</v>
      </c>
      <c r="F796" s="80">
        <v>0</v>
      </c>
      <c r="G796" s="80">
        <v>0</v>
      </c>
      <c r="H796" s="81">
        <v>1</v>
      </c>
      <c r="I796" s="81">
        <v>2</v>
      </c>
      <c r="J796" s="80">
        <v>1</v>
      </c>
      <c r="K796" s="80">
        <v>0</v>
      </c>
      <c r="L796" s="80">
        <v>0</v>
      </c>
      <c r="M796" s="80">
        <v>0</v>
      </c>
      <c r="N796" s="80">
        <v>0</v>
      </c>
      <c r="O796" s="80">
        <v>1</v>
      </c>
      <c r="P796" s="80">
        <v>0</v>
      </c>
      <c r="Q796" s="80">
        <v>1</v>
      </c>
      <c r="R796" s="80">
        <v>0</v>
      </c>
      <c r="S796" s="80">
        <v>0</v>
      </c>
      <c r="T796" s="81">
        <v>1</v>
      </c>
      <c r="U796" s="80">
        <v>2</v>
      </c>
      <c r="V796" s="80">
        <v>1</v>
      </c>
      <c r="W796" s="81">
        <v>0</v>
      </c>
      <c r="X796" s="80">
        <v>0</v>
      </c>
      <c r="Y796" s="80">
        <v>0</v>
      </c>
      <c r="Z796" s="80">
        <v>0</v>
      </c>
      <c r="AA796" s="80">
        <v>0</v>
      </c>
      <c r="AB796" s="80">
        <v>0</v>
      </c>
      <c r="AC796" s="80">
        <v>0</v>
      </c>
      <c r="AD796" s="80">
        <v>0</v>
      </c>
      <c r="AE796" s="80">
        <v>0</v>
      </c>
      <c r="AF796" s="80">
        <v>1</v>
      </c>
      <c r="AG796" s="81">
        <v>1</v>
      </c>
      <c r="AH796" s="80">
        <v>0</v>
      </c>
      <c r="AI796" s="81">
        <v>0</v>
      </c>
      <c r="AJ796" s="81">
        <v>0</v>
      </c>
      <c r="AK796" s="81">
        <v>0</v>
      </c>
      <c r="AL796" s="81">
        <v>0</v>
      </c>
      <c r="AM796" s="80">
        <v>0</v>
      </c>
      <c r="AN796" s="80">
        <v>0</v>
      </c>
      <c r="AO796" s="80">
        <v>0</v>
      </c>
    </row>
    <row r="797" spans="1:41" ht="15.75" x14ac:dyDescent="0.25">
      <c r="A797" s="84"/>
      <c r="B797" s="84"/>
      <c r="C797" s="84"/>
      <c r="D797" s="80" t="s">
        <v>247</v>
      </c>
      <c r="E797" s="80">
        <v>0</v>
      </c>
      <c r="F797" s="80">
        <v>0</v>
      </c>
      <c r="G797" s="80">
        <v>0</v>
      </c>
      <c r="H797" s="81">
        <v>0</v>
      </c>
      <c r="I797" s="81">
        <v>0</v>
      </c>
      <c r="J797" s="80">
        <v>0</v>
      </c>
      <c r="K797" s="80">
        <v>0</v>
      </c>
      <c r="L797" s="80">
        <v>0</v>
      </c>
      <c r="M797" s="80">
        <v>0</v>
      </c>
      <c r="N797" s="80">
        <v>0</v>
      </c>
      <c r="O797" s="80">
        <v>0</v>
      </c>
      <c r="P797" s="80">
        <v>0</v>
      </c>
      <c r="Q797" s="80">
        <v>0</v>
      </c>
      <c r="R797" s="80">
        <v>0</v>
      </c>
      <c r="S797" s="80">
        <v>0</v>
      </c>
      <c r="T797" s="81">
        <v>0</v>
      </c>
      <c r="U797" s="80">
        <v>0</v>
      </c>
      <c r="V797" s="80">
        <v>0</v>
      </c>
      <c r="W797" s="81">
        <v>0</v>
      </c>
      <c r="X797" s="80">
        <v>0</v>
      </c>
      <c r="Y797" s="80">
        <v>0</v>
      </c>
      <c r="Z797" s="80">
        <v>0</v>
      </c>
      <c r="AA797" s="80">
        <v>0</v>
      </c>
      <c r="AB797" s="80">
        <v>0</v>
      </c>
      <c r="AC797" s="80">
        <v>0</v>
      </c>
      <c r="AD797" s="80">
        <v>0</v>
      </c>
      <c r="AE797" s="80">
        <v>0</v>
      </c>
      <c r="AF797" s="80">
        <v>0</v>
      </c>
      <c r="AG797" s="81">
        <v>0</v>
      </c>
      <c r="AH797" s="80">
        <v>0</v>
      </c>
      <c r="AI797" s="81">
        <v>0</v>
      </c>
      <c r="AJ797" s="81">
        <v>0</v>
      </c>
      <c r="AK797" s="81">
        <v>0</v>
      </c>
      <c r="AL797" s="81">
        <v>0</v>
      </c>
      <c r="AM797" s="80">
        <v>0</v>
      </c>
      <c r="AN797" s="80">
        <v>0</v>
      </c>
      <c r="AO797" s="80">
        <v>0</v>
      </c>
    </row>
    <row r="798" spans="1:41" ht="15.75" x14ac:dyDescent="0.25">
      <c r="A798" s="84"/>
      <c r="B798" s="84"/>
      <c r="C798" s="84"/>
      <c r="D798" s="80" t="s">
        <v>248</v>
      </c>
      <c r="E798" s="80">
        <v>0</v>
      </c>
      <c r="F798" s="80">
        <v>0</v>
      </c>
      <c r="G798" s="80">
        <v>0</v>
      </c>
      <c r="H798" s="81">
        <v>1</v>
      </c>
      <c r="I798" s="81">
        <v>2</v>
      </c>
      <c r="J798" s="80">
        <v>1</v>
      </c>
      <c r="K798" s="80">
        <v>0</v>
      </c>
      <c r="L798" s="80">
        <v>0</v>
      </c>
      <c r="M798" s="80">
        <v>0</v>
      </c>
      <c r="N798" s="80">
        <v>0</v>
      </c>
      <c r="O798" s="80">
        <v>1</v>
      </c>
      <c r="P798" s="80">
        <v>0</v>
      </c>
      <c r="Q798" s="80">
        <v>1</v>
      </c>
      <c r="R798" s="80">
        <v>0</v>
      </c>
      <c r="S798" s="80">
        <v>0</v>
      </c>
      <c r="T798" s="81">
        <v>1</v>
      </c>
      <c r="U798" s="80">
        <v>2</v>
      </c>
      <c r="V798" s="80">
        <v>1</v>
      </c>
      <c r="W798" s="81">
        <v>0</v>
      </c>
      <c r="X798" s="80">
        <v>0</v>
      </c>
      <c r="Y798" s="80">
        <v>0</v>
      </c>
      <c r="Z798" s="80">
        <v>0</v>
      </c>
      <c r="AA798" s="80">
        <v>0</v>
      </c>
      <c r="AB798" s="80">
        <v>0</v>
      </c>
      <c r="AC798" s="80">
        <v>0</v>
      </c>
      <c r="AD798" s="80">
        <v>0</v>
      </c>
      <c r="AE798" s="80">
        <v>0</v>
      </c>
      <c r="AF798" s="80">
        <v>1</v>
      </c>
      <c r="AG798" s="81">
        <v>1</v>
      </c>
      <c r="AH798" s="80">
        <v>0</v>
      </c>
      <c r="AI798" s="81">
        <v>0</v>
      </c>
      <c r="AJ798" s="81">
        <v>0</v>
      </c>
      <c r="AK798" s="81">
        <v>0</v>
      </c>
      <c r="AL798" s="81">
        <v>0</v>
      </c>
      <c r="AM798" s="80">
        <v>0</v>
      </c>
      <c r="AN798" s="80">
        <v>0</v>
      </c>
      <c r="AO798" s="80">
        <v>0</v>
      </c>
    </row>
    <row r="799" spans="1:41" ht="15.75" x14ac:dyDescent="0.25">
      <c r="A799" s="84"/>
      <c r="B799" s="84"/>
      <c r="C799" s="84"/>
      <c r="D799" s="80" t="s">
        <v>258</v>
      </c>
      <c r="E799" s="80">
        <v>0</v>
      </c>
      <c r="F799" s="80">
        <v>0</v>
      </c>
      <c r="G799" s="81">
        <v>0</v>
      </c>
      <c r="H799" s="81">
        <v>0</v>
      </c>
      <c r="I799" s="81">
        <v>0</v>
      </c>
      <c r="J799" s="81">
        <v>0</v>
      </c>
      <c r="K799" s="81">
        <v>0</v>
      </c>
      <c r="L799" s="80">
        <v>0</v>
      </c>
      <c r="M799" s="80">
        <v>0</v>
      </c>
      <c r="N799" s="80">
        <v>0</v>
      </c>
      <c r="O799" s="81">
        <v>0</v>
      </c>
      <c r="P799" s="80">
        <v>0</v>
      </c>
      <c r="Q799" s="80">
        <v>0</v>
      </c>
      <c r="R799" s="81">
        <v>0</v>
      </c>
      <c r="S799" s="81">
        <v>0</v>
      </c>
      <c r="T799" s="81">
        <v>0</v>
      </c>
      <c r="U799" s="81">
        <v>0</v>
      </c>
      <c r="V799" s="81">
        <v>0</v>
      </c>
      <c r="W799" s="81">
        <v>0</v>
      </c>
      <c r="X799" s="81">
        <v>0</v>
      </c>
      <c r="Y799" s="81">
        <v>0</v>
      </c>
      <c r="Z799" s="81">
        <v>0</v>
      </c>
      <c r="AA799" s="81">
        <v>0</v>
      </c>
      <c r="AB799" s="81">
        <v>0</v>
      </c>
      <c r="AC799" s="80">
        <v>0</v>
      </c>
      <c r="AD799" s="80">
        <v>0</v>
      </c>
      <c r="AE799" s="81">
        <v>0</v>
      </c>
      <c r="AF799" s="81">
        <v>0</v>
      </c>
      <c r="AG799" s="81">
        <v>0</v>
      </c>
      <c r="AH799" s="81">
        <v>0</v>
      </c>
      <c r="AI799" s="81">
        <v>0</v>
      </c>
      <c r="AJ799" s="81">
        <v>0</v>
      </c>
      <c r="AK799" s="81">
        <v>0</v>
      </c>
      <c r="AL799" s="81">
        <v>0</v>
      </c>
      <c r="AM799" s="80">
        <v>0</v>
      </c>
      <c r="AN799" s="80">
        <v>0</v>
      </c>
      <c r="AO799" s="80">
        <v>0</v>
      </c>
    </row>
    <row r="800" spans="1:41" ht="15.75" x14ac:dyDescent="0.25">
      <c r="A800" s="84">
        <v>34</v>
      </c>
      <c r="B800" s="84"/>
      <c r="C800" s="84" t="s">
        <v>31</v>
      </c>
      <c r="D800" s="80" t="s">
        <v>245</v>
      </c>
      <c r="E800" s="80">
        <v>0</v>
      </c>
      <c r="F800" s="80">
        <v>0</v>
      </c>
      <c r="G800" s="80">
        <v>1</v>
      </c>
      <c r="H800" s="81">
        <v>1</v>
      </c>
      <c r="I800" s="81">
        <v>1</v>
      </c>
      <c r="J800" s="80">
        <v>1</v>
      </c>
      <c r="K800" s="80">
        <v>0</v>
      </c>
      <c r="L800" s="80">
        <v>1</v>
      </c>
      <c r="M800" s="80">
        <v>0</v>
      </c>
      <c r="N800" s="81">
        <v>1</v>
      </c>
      <c r="O800" s="80">
        <v>1</v>
      </c>
      <c r="P800" s="80">
        <v>0</v>
      </c>
      <c r="Q800" s="80">
        <v>1</v>
      </c>
      <c r="R800" s="80">
        <v>0</v>
      </c>
      <c r="S800" s="80">
        <v>0</v>
      </c>
      <c r="T800" s="81">
        <v>0</v>
      </c>
      <c r="U800" s="80">
        <v>2</v>
      </c>
      <c r="V800" s="80">
        <v>0</v>
      </c>
      <c r="W800" s="81">
        <v>1</v>
      </c>
      <c r="X800" s="80">
        <v>0</v>
      </c>
      <c r="Y800" s="80">
        <v>1</v>
      </c>
      <c r="Z800" s="80">
        <v>0</v>
      </c>
      <c r="AA800" s="80">
        <v>0</v>
      </c>
      <c r="AB800" s="80">
        <v>1</v>
      </c>
      <c r="AC800" s="80">
        <v>0</v>
      </c>
      <c r="AD800" s="80">
        <v>0</v>
      </c>
      <c r="AE800" s="80">
        <v>0</v>
      </c>
      <c r="AF800" s="80">
        <v>0</v>
      </c>
      <c r="AG800" s="81">
        <v>0</v>
      </c>
      <c r="AH800" s="80">
        <v>0</v>
      </c>
      <c r="AI800" s="81">
        <v>0</v>
      </c>
      <c r="AJ800" s="81">
        <v>0</v>
      </c>
      <c r="AK800" s="81">
        <v>0</v>
      </c>
      <c r="AL800" s="81">
        <v>0</v>
      </c>
      <c r="AM800" s="80">
        <v>0</v>
      </c>
      <c r="AN800" s="80">
        <v>0</v>
      </c>
      <c r="AO800" s="80">
        <v>0</v>
      </c>
    </row>
    <row r="801" spans="1:41" ht="15.75" x14ac:dyDescent="0.25">
      <c r="A801" s="84"/>
      <c r="B801" s="84"/>
      <c r="C801" s="84"/>
      <c r="D801" s="80" t="s">
        <v>246</v>
      </c>
      <c r="E801" s="80">
        <v>0</v>
      </c>
      <c r="F801" s="80">
        <v>0</v>
      </c>
      <c r="G801" s="80">
        <v>1</v>
      </c>
      <c r="H801" s="81">
        <v>1</v>
      </c>
      <c r="I801" s="81">
        <v>1</v>
      </c>
      <c r="J801" s="80">
        <v>1</v>
      </c>
      <c r="K801" s="80">
        <v>0</v>
      </c>
      <c r="L801" s="80">
        <v>1</v>
      </c>
      <c r="M801" s="80">
        <v>0</v>
      </c>
      <c r="N801" s="81">
        <v>1</v>
      </c>
      <c r="O801" s="80">
        <v>1</v>
      </c>
      <c r="P801" s="80">
        <v>0</v>
      </c>
      <c r="Q801" s="80">
        <v>1</v>
      </c>
      <c r="R801" s="80">
        <v>0</v>
      </c>
      <c r="S801" s="80">
        <v>0</v>
      </c>
      <c r="T801" s="81">
        <v>0</v>
      </c>
      <c r="U801" s="80">
        <v>2</v>
      </c>
      <c r="V801" s="80">
        <v>0</v>
      </c>
      <c r="W801" s="81">
        <v>1</v>
      </c>
      <c r="X801" s="80">
        <v>0</v>
      </c>
      <c r="Y801" s="80">
        <v>1</v>
      </c>
      <c r="Z801" s="80">
        <v>0</v>
      </c>
      <c r="AA801" s="80">
        <v>0</v>
      </c>
      <c r="AB801" s="80">
        <v>1</v>
      </c>
      <c r="AC801" s="80">
        <v>0</v>
      </c>
      <c r="AD801" s="80">
        <v>0</v>
      </c>
      <c r="AE801" s="80">
        <v>0</v>
      </c>
      <c r="AF801" s="80">
        <v>0</v>
      </c>
      <c r="AG801" s="81">
        <v>0</v>
      </c>
      <c r="AH801" s="80">
        <v>0</v>
      </c>
      <c r="AI801" s="81">
        <v>0</v>
      </c>
      <c r="AJ801" s="81">
        <v>0</v>
      </c>
      <c r="AK801" s="81">
        <v>0</v>
      </c>
      <c r="AL801" s="81">
        <v>0</v>
      </c>
      <c r="AM801" s="80">
        <v>0</v>
      </c>
      <c r="AN801" s="80">
        <v>0</v>
      </c>
      <c r="AO801" s="80">
        <v>0</v>
      </c>
    </row>
    <row r="802" spans="1:41" ht="15.75" x14ac:dyDescent="0.25">
      <c r="A802" s="84"/>
      <c r="B802" s="84"/>
      <c r="C802" s="84"/>
      <c r="D802" s="80" t="s">
        <v>247</v>
      </c>
      <c r="E802" s="80">
        <v>0</v>
      </c>
      <c r="F802" s="80">
        <v>0</v>
      </c>
      <c r="G802" s="80">
        <v>0</v>
      </c>
      <c r="H802" s="81">
        <v>0</v>
      </c>
      <c r="I802" s="81">
        <v>0</v>
      </c>
      <c r="J802" s="80">
        <v>0</v>
      </c>
      <c r="K802" s="80">
        <v>0</v>
      </c>
      <c r="L802" s="80">
        <v>0</v>
      </c>
      <c r="M802" s="80">
        <v>0</v>
      </c>
      <c r="N802" s="81">
        <v>0</v>
      </c>
      <c r="O802" s="80">
        <v>0</v>
      </c>
      <c r="P802" s="80">
        <v>0</v>
      </c>
      <c r="Q802" s="80">
        <v>0</v>
      </c>
      <c r="R802" s="80">
        <v>0</v>
      </c>
      <c r="S802" s="80">
        <v>0</v>
      </c>
      <c r="T802" s="81">
        <v>0</v>
      </c>
      <c r="U802" s="80">
        <v>0</v>
      </c>
      <c r="V802" s="80">
        <v>0</v>
      </c>
      <c r="W802" s="81">
        <v>0</v>
      </c>
      <c r="X802" s="80">
        <v>0</v>
      </c>
      <c r="Y802" s="80">
        <v>0</v>
      </c>
      <c r="Z802" s="80">
        <v>0</v>
      </c>
      <c r="AA802" s="80">
        <v>0</v>
      </c>
      <c r="AB802" s="80">
        <v>0</v>
      </c>
      <c r="AC802" s="80">
        <v>0</v>
      </c>
      <c r="AD802" s="80">
        <v>0</v>
      </c>
      <c r="AE802" s="80">
        <v>0</v>
      </c>
      <c r="AF802" s="80">
        <v>0</v>
      </c>
      <c r="AG802" s="81">
        <v>0</v>
      </c>
      <c r="AH802" s="80">
        <v>0</v>
      </c>
      <c r="AI802" s="81">
        <v>0</v>
      </c>
      <c r="AJ802" s="81">
        <v>0</v>
      </c>
      <c r="AK802" s="81">
        <v>0</v>
      </c>
      <c r="AL802" s="81">
        <v>0</v>
      </c>
      <c r="AM802" s="80">
        <v>0</v>
      </c>
      <c r="AN802" s="80">
        <v>0</v>
      </c>
      <c r="AO802" s="80">
        <v>0</v>
      </c>
    </row>
    <row r="803" spans="1:41" ht="15.75" x14ac:dyDescent="0.25">
      <c r="A803" s="84"/>
      <c r="B803" s="84"/>
      <c r="C803" s="84"/>
      <c r="D803" s="80" t="s">
        <v>248</v>
      </c>
      <c r="E803" s="80">
        <v>0</v>
      </c>
      <c r="F803" s="80">
        <v>0</v>
      </c>
      <c r="G803" s="80">
        <v>1</v>
      </c>
      <c r="H803" s="81">
        <v>1</v>
      </c>
      <c r="I803" s="81">
        <v>1</v>
      </c>
      <c r="J803" s="80">
        <v>1</v>
      </c>
      <c r="K803" s="80">
        <v>0</v>
      </c>
      <c r="L803" s="80">
        <v>1</v>
      </c>
      <c r="M803" s="80">
        <v>0</v>
      </c>
      <c r="N803" s="81">
        <v>1</v>
      </c>
      <c r="O803" s="80">
        <v>1</v>
      </c>
      <c r="P803" s="80">
        <v>0</v>
      </c>
      <c r="Q803" s="80">
        <v>0</v>
      </c>
      <c r="R803" s="80">
        <v>0</v>
      </c>
      <c r="S803" s="80">
        <v>0</v>
      </c>
      <c r="T803" s="81">
        <v>0</v>
      </c>
      <c r="U803" s="80">
        <v>2</v>
      </c>
      <c r="V803" s="80">
        <v>0</v>
      </c>
      <c r="W803" s="81">
        <v>1</v>
      </c>
      <c r="X803" s="80">
        <v>0</v>
      </c>
      <c r="Y803" s="80">
        <v>1</v>
      </c>
      <c r="Z803" s="80">
        <v>0</v>
      </c>
      <c r="AA803" s="80">
        <v>0</v>
      </c>
      <c r="AB803" s="80">
        <v>1</v>
      </c>
      <c r="AC803" s="80">
        <v>0</v>
      </c>
      <c r="AD803" s="80">
        <v>0</v>
      </c>
      <c r="AE803" s="80">
        <v>0</v>
      </c>
      <c r="AF803" s="80">
        <v>0</v>
      </c>
      <c r="AG803" s="81">
        <v>0</v>
      </c>
      <c r="AH803" s="80">
        <v>0</v>
      </c>
      <c r="AI803" s="81">
        <v>0</v>
      </c>
      <c r="AJ803" s="81">
        <v>0</v>
      </c>
      <c r="AK803" s="81">
        <v>0</v>
      </c>
      <c r="AL803" s="81">
        <v>0</v>
      </c>
      <c r="AM803" s="80">
        <v>0</v>
      </c>
      <c r="AN803" s="80">
        <v>0</v>
      </c>
      <c r="AO803" s="80">
        <v>0</v>
      </c>
    </row>
    <row r="804" spans="1:41" ht="15.75" x14ac:dyDescent="0.25">
      <c r="A804" s="84"/>
      <c r="B804" s="84"/>
      <c r="C804" s="84"/>
      <c r="D804" s="80" t="s">
        <v>258</v>
      </c>
      <c r="E804" s="80">
        <v>0</v>
      </c>
      <c r="F804" s="80">
        <v>0</v>
      </c>
      <c r="G804" s="80">
        <v>0</v>
      </c>
      <c r="H804" s="80">
        <v>0</v>
      </c>
      <c r="I804" s="80">
        <v>0</v>
      </c>
      <c r="J804" s="80">
        <v>0</v>
      </c>
      <c r="K804" s="80">
        <v>0</v>
      </c>
      <c r="L804" s="80">
        <v>0</v>
      </c>
      <c r="M804" s="80">
        <v>0</v>
      </c>
      <c r="N804" s="80">
        <v>0</v>
      </c>
      <c r="O804" s="80">
        <v>0</v>
      </c>
      <c r="P804" s="80">
        <v>0</v>
      </c>
      <c r="Q804" s="80">
        <v>1</v>
      </c>
      <c r="R804" s="80">
        <v>0</v>
      </c>
      <c r="S804" s="80">
        <v>0</v>
      </c>
      <c r="T804" s="80">
        <v>0</v>
      </c>
      <c r="U804" s="80">
        <v>0</v>
      </c>
      <c r="V804" s="80">
        <v>0</v>
      </c>
      <c r="W804" s="80">
        <v>0</v>
      </c>
      <c r="X804" s="80">
        <v>0</v>
      </c>
      <c r="Y804" s="80">
        <v>0</v>
      </c>
      <c r="Z804" s="80">
        <v>0</v>
      </c>
      <c r="AA804" s="80">
        <v>0</v>
      </c>
      <c r="AB804" s="80">
        <v>0</v>
      </c>
      <c r="AC804" s="80">
        <v>0</v>
      </c>
      <c r="AD804" s="80">
        <v>0</v>
      </c>
      <c r="AE804" s="80">
        <v>0</v>
      </c>
      <c r="AF804" s="80">
        <v>0</v>
      </c>
      <c r="AG804" s="80">
        <v>0</v>
      </c>
      <c r="AH804" s="80">
        <v>0</v>
      </c>
      <c r="AI804" s="80">
        <v>0</v>
      </c>
      <c r="AJ804" s="80">
        <v>0</v>
      </c>
      <c r="AK804" s="80">
        <v>0</v>
      </c>
      <c r="AL804" s="80">
        <v>0</v>
      </c>
      <c r="AM804" s="80">
        <v>0</v>
      </c>
      <c r="AN804" s="80">
        <v>0</v>
      </c>
      <c r="AO804" s="80">
        <v>0</v>
      </c>
    </row>
    <row r="805" spans="1:41" ht="15.75" x14ac:dyDescent="0.25">
      <c r="A805" s="84">
        <v>35</v>
      </c>
      <c r="B805" s="84"/>
      <c r="C805" s="84" t="s">
        <v>201</v>
      </c>
      <c r="D805" s="80" t="s">
        <v>245</v>
      </c>
      <c r="E805" s="80">
        <v>0</v>
      </c>
      <c r="F805" s="80">
        <v>0</v>
      </c>
      <c r="G805" s="81">
        <v>0</v>
      </c>
      <c r="H805" s="81">
        <v>1</v>
      </c>
      <c r="I805" s="81">
        <v>1</v>
      </c>
      <c r="J805" s="81">
        <v>1</v>
      </c>
      <c r="K805" s="81">
        <v>0</v>
      </c>
      <c r="L805" s="81">
        <v>0</v>
      </c>
      <c r="M805" s="81">
        <v>0</v>
      </c>
      <c r="N805" s="81">
        <v>0</v>
      </c>
      <c r="O805" s="81">
        <v>1</v>
      </c>
      <c r="P805" s="80">
        <v>0</v>
      </c>
      <c r="Q805" s="81">
        <v>0</v>
      </c>
      <c r="R805" s="81">
        <v>0</v>
      </c>
      <c r="S805" s="81">
        <v>0</v>
      </c>
      <c r="T805" s="81">
        <v>0</v>
      </c>
      <c r="U805" s="81">
        <v>2</v>
      </c>
      <c r="V805" s="81">
        <v>0</v>
      </c>
      <c r="W805" s="81">
        <v>0</v>
      </c>
      <c r="X805" s="81">
        <v>0</v>
      </c>
      <c r="Y805" s="81">
        <v>0</v>
      </c>
      <c r="Z805" s="81">
        <v>0</v>
      </c>
      <c r="AA805" s="81">
        <v>0</v>
      </c>
      <c r="AB805" s="81">
        <v>0</v>
      </c>
      <c r="AC805" s="80">
        <v>0</v>
      </c>
      <c r="AD805" s="80">
        <v>0</v>
      </c>
      <c r="AE805" s="81">
        <v>0</v>
      </c>
      <c r="AF805" s="81">
        <v>0</v>
      </c>
      <c r="AG805" s="81">
        <v>1</v>
      </c>
      <c r="AH805" s="81">
        <v>0</v>
      </c>
      <c r="AI805" s="81">
        <v>0</v>
      </c>
      <c r="AJ805" s="81">
        <v>0</v>
      </c>
      <c r="AK805" s="81">
        <v>0</v>
      </c>
      <c r="AL805" s="81">
        <v>0</v>
      </c>
      <c r="AM805" s="80">
        <v>0</v>
      </c>
      <c r="AN805" s="80">
        <v>0</v>
      </c>
      <c r="AO805" s="80">
        <v>0</v>
      </c>
    </row>
    <row r="806" spans="1:41" ht="15.75" x14ac:dyDescent="0.25">
      <c r="A806" s="84"/>
      <c r="B806" s="84"/>
      <c r="C806" s="84"/>
      <c r="D806" s="80" t="s">
        <v>246</v>
      </c>
      <c r="E806" s="80">
        <v>0</v>
      </c>
      <c r="F806" s="80">
        <v>0</v>
      </c>
      <c r="G806" s="81">
        <v>0</v>
      </c>
      <c r="H806" s="81">
        <v>1</v>
      </c>
      <c r="I806" s="81">
        <v>1</v>
      </c>
      <c r="J806" s="81">
        <v>1</v>
      </c>
      <c r="K806" s="81">
        <v>0</v>
      </c>
      <c r="L806" s="81">
        <v>0</v>
      </c>
      <c r="M806" s="81">
        <v>0</v>
      </c>
      <c r="N806" s="81">
        <v>0</v>
      </c>
      <c r="O806" s="81">
        <v>1</v>
      </c>
      <c r="P806" s="80">
        <v>0</v>
      </c>
      <c r="Q806" s="81">
        <v>0</v>
      </c>
      <c r="R806" s="81">
        <v>0</v>
      </c>
      <c r="S806" s="81">
        <v>0</v>
      </c>
      <c r="T806" s="81">
        <v>0</v>
      </c>
      <c r="U806" s="81">
        <v>2</v>
      </c>
      <c r="V806" s="81">
        <v>0</v>
      </c>
      <c r="W806" s="81">
        <v>0</v>
      </c>
      <c r="X806" s="81">
        <v>0</v>
      </c>
      <c r="Y806" s="81">
        <v>0</v>
      </c>
      <c r="Z806" s="81">
        <v>0</v>
      </c>
      <c r="AA806" s="81">
        <v>0</v>
      </c>
      <c r="AB806" s="81">
        <v>0</v>
      </c>
      <c r="AC806" s="80">
        <v>0</v>
      </c>
      <c r="AD806" s="80">
        <v>0</v>
      </c>
      <c r="AE806" s="81">
        <v>0</v>
      </c>
      <c r="AF806" s="81">
        <v>0</v>
      </c>
      <c r="AG806" s="81">
        <v>1</v>
      </c>
      <c r="AH806" s="81">
        <v>0</v>
      </c>
      <c r="AI806" s="81">
        <v>0</v>
      </c>
      <c r="AJ806" s="81">
        <v>0</v>
      </c>
      <c r="AK806" s="81">
        <v>0</v>
      </c>
      <c r="AL806" s="81">
        <v>0</v>
      </c>
      <c r="AM806" s="80">
        <v>0</v>
      </c>
      <c r="AN806" s="80">
        <v>0</v>
      </c>
      <c r="AO806" s="80">
        <v>0</v>
      </c>
    </row>
    <row r="807" spans="1:41" ht="15.75" x14ac:dyDescent="0.25">
      <c r="A807" s="84"/>
      <c r="B807" s="84"/>
      <c r="C807" s="84"/>
      <c r="D807" s="80" t="s">
        <v>247</v>
      </c>
      <c r="E807" s="80">
        <v>0</v>
      </c>
      <c r="F807" s="80">
        <v>0</v>
      </c>
      <c r="G807" s="81">
        <v>0</v>
      </c>
      <c r="H807" s="81">
        <v>0</v>
      </c>
      <c r="I807" s="81">
        <v>0</v>
      </c>
      <c r="J807" s="81">
        <v>0</v>
      </c>
      <c r="K807" s="81">
        <v>0</v>
      </c>
      <c r="L807" s="81">
        <v>0</v>
      </c>
      <c r="M807" s="81">
        <v>0</v>
      </c>
      <c r="N807" s="81">
        <v>0</v>
      </c>
      <c r="O807" s="81">
        <v>0</v>
      </c>
      <c r="P807" s="80">
        <v>0</v>
      </c>
      <c r="Q807" s="81">
        <v>0</v>
      </c>
      <c r="R807" s="81">
        <v>0</v>
      </c>
      <c r="S807" s="81">
        <v>0</v>
      </c>
      <c r="T807" s="81">
        <v>0</v>
      </c>
      <c r="U807" s="81">
        <v>0</v>
      </c>
      <c r="V807" s="81">
        <v>0</v>
      </c>
      <c r="W807" s="81">
        <v>0</v>
      </c>
      <c r="X807" s="81">
        <v>0</v>
      </c>
      <c r="Y807" s="81">
        <v>0</v>
      </c>
      <c r="Z807" s="81">
        <v>0</v>
      </c>
      <c r="AA807" s="81">
        <v>0</v>
      </c>
      <c r="AB807" s="81">
        <v>0</v>
      </c>
      <c r="AC807" s="80">
        <v>0</v>
      </c>
      <c r="AD807" s="80">
        <v>0</v>
      </c>
      <c r="AE807" s="81">
        <v>0</v>
      </c>
      <c r="AF807" s="81">
        <v>0</v>
      </c>
      <c r="AG807" s="81">
        <v>0</v>
      </c>
      <c r="AH807" s="81">
        <v>0</v>
      </c>
      <c r="AI807" s="81">
        <v>0</v>
      </c>
      <c r="AJ807" s="81">
        <v>0</v>
      </c>
      <c r="AK807" s="81">
        <v>0</v>
      </c>
      <c r="AL807" s="81">
        <v>0</v>
      </c>
      <c r="AM807" s="80">
        <v>0</v>
      </c>
      <c r="AN807" s="80">
        <v>0</v>
      </c>
      <c r="AO807" s="80">
        <v>0</v>
      </c>
    </row>
    <row r="808" spans="1:41" ht="15.75" x14ac:dyDescent="0.25">
      <c r="A808" s="84"/>
      <c r="B808" s="84"/>
      <c r="C808" s="84"/>
      <c r="D808" s="80" t="s">
        <v>248</v>
      </c>
      <c r="E808" s="80">
        <v>0</v>
      </c>
      <c r="F808" s="80">
        <v>0</v>
      </c>
      <c r="G808" s="81">
        <v>0</v>
      </c>
      <c r="H808" s="81">
        <v>1</v>
      </c>
      <c r="I808" s="81">
        <v>1</v>
      </c>
      <c r="J808" s="81">
        <v>1</v>
      </c>
      <c r="K808" s="81">
        <v>0</v>
      </c>
      <c r="L808" s="81">
        <v>0</v>
      </c>
      <c r="M808" s="81">
        <v>0</v>
      </c>
      <c r="N808" s="81">
        <v>0</v>
      </c>
      <c r="O808" s="81">
        <v>1</v>
      </c>
      <c r="P808" s="80">
        <v>0</v>
      </c>
      <c r="Q808" s="81">
        <v>0</v>
      </c>
      <c r="R808" s="81">
        <v>0</v>
      </c>
      <c r="S808" s="81">
        <v>0</v>
      </c>
      <c r="T808" s="81">
        <v>0</v>
      </c>
      <c r="U808" s="81">
        <v>2</v>
      </c>
      <c r="V808" s="81">
        <v>0</v>
      </c>
      <c r="W808" s="81">
        <v>0</v>
      </c>
      <c r="X808" s="81">
        <v>0</v>
      </c>
      <c r="Y808" s="81">
        <v>0</v>
      </c>
      <c r="Z808" s="81">
        <v>0</v>
      </c>
      <c r="AA808" s="81">
        <v>0</v>
      </c>
      <c r="AB808" s="81">
        <v>0</v>
      </c>
      <c r="AC808" s="80">
        <v>0</v>
      </c>
      <c r="AD808" s="80">
        <v>0</v>
      </c>
      <c r="AE808" s="81">
        <v>0</v>
      </c>
      <c r="AF808" s="81">
        <v>0</v>
      </c>
      <c r="AG808" s="81">
        <v>1</v>
      </c>
      <c r="AH808" s="81">
        <v>0</v>
      </c>
      <c r="AI808" s="81">
        <v>0</v>
      </c>
      <c r="AJ808" s="81">
        <v>0</v>
      </c>
      <c r="AK808" s="81">
        <v>0</v>
      </c>
      <c r="AL808" s="81">
        <v>0</v>
      </c>
      <c r="AM808" s="80">
        <v>0</v>
      </c>
      <c r="AN808" s="80">
        <v>0</v>
      </c>
      <c r="AO808" s="80">
        <v>0</v>
      </c>
    </row>
    <row r="809" spans="1:41" ht="15.75" x14ac:dyDescent="0.25">
      <c r="A809" s="84"/>
      <c r="B809" s="84"/>
      <c r="C809" s="84"/>
      <c r="D809" s="80" t="s">
        <v>258</v>
      </c>
      <c r="E809" s="80">
        <v>0</v>
      </c>
      <c r="F809" s="80">
        <v>0</v>
      </c>
      <c r="G809" s="80">
        <v>0</v>
      </c>
      <c r="H809" s="80">
        <v>0</v>
      </c>
      <c r="I809" s="80">
        <v>0</v>
      </c>
      <c r="J809" s="80">
        <v>0</v>
      </c>
      <c r="K809" s="80">
        <v>0</v>
      </c>
      <c r="L809" s="80">
        <v>0</v>
      </c>
      <c r="M809" s="80">
        <v>0</v>
      </c>
      <c r="N809" s="80">
        <v>0</v>
      </c>
      <c r="O809" s="80">
        <v>0</v>
      </c>
      <c r="P809" s="80">
        <v>0</v>
      </c>
      <c r="Q809" s="80">
        <v>0</v>
      </c>
      <c r="R809" s="80">
        <v>0</v>
      </c>
      <c r="S809" s="80">
        <v>0</v>
      </c>
      <c r="T809" s="80">
        <v>0</v>
      </c>
      <c r="U809" s="80">
        <v>0</v>
      </c>
      <c r="V809" s="80">
        <v>0</v>
      </c>
      <c r="W809" s="80">
        <v>0</v>
      </c>
      <c r="X809" s="80">
        <v>0</v>
      </c>
      <c r="Y809" s="80">
        <v>0</v>
      </c>
      <c r="Z809" s="80">
        <v>0</v>
      </c>
      <c r="AA809" s="80">
        <v>0</v>
      </c>
      <c r="AB809" s="80">
        <v>0</v>
      </c>
      <c r="AC809" s="80">
        <v>0</v>
      </c>
      <c r="AD809" s="80">
        <v>0</v>
      </c>
      <c r="AE809" s="80">
        <v>0</v>
      </c>
      <c r="AF809" s="80">
        <v>0</v>
      </c>
      <c r="AG809" s="80">
        <v>0</v>
      </c>
      <c r="AH809" s="80">
        <v>0</v>
      </c>
      <c r="AI809" s="80">
        <v>0</v>
      </c>
      <c r="AJ809" s="80">
        <v>0</v>
      </c>
      <c r="AK809" s="80">
        <v>0</v>
      </c>
      <c r="AL809" s="80">
        <v>0</v>
      </c>
      <c r="AM809" s="80">
        <v>0</v>
      </c>
      <c r="AN809" s="80">
        <v>0</v>
      </c>
      <c r="AO809" s="80">
        <v>0</v>
      </c>
    </row>
    <row r="810" spans="1:41" ht="15.75" x14ac:dyDescent="0.25">
      <c r="A810" s="84">
        <v>36</v>
      </c>
      <c r="B810" s="84" t="s">
        <v>91</v>
      </c>
      <c r="C810" s="84" t="s">
        <v>184</v>
      </c>
      <c r="D810" s="80" t="s">
        <v>245</v>
      </c>
      <c r="E810" s="80">
        <v>0</v>
      </c>
      <c r="F810" s="80">
        <v>0</v>
      </c>
      <c r="G810" s="80">
        <v>0</v>
      </c>
      <c r="H810" s="81">
        <v>1</v>
      </c>
      <c r="I810" s="81">
        <v>1</v>
      </c>
      <c r="J810" s="80">
        <v>1</v>
      </c>
      <c r="K810" s="80">
        <v>0</v>
      </c>
      <c r="L810" s="80">
        <v>0</v>
      </c>
      <c r="M810" s="80">
        <v>0</v>
      </c>
      <c r="N810" s="81">
        <v>0</v>
      </c>
      <c r="O810" s="81">
        <v>2</v>
      </c>
      <c r="P810" s="81">
        <v>0</v>
      </c>
      <c r="Q810" s="81">
        <v>1</v>
      </c>
      <c r="R810" s="80">
        <v>0</v>
      </c>
      <c r="S810" s="80">
        <v>0</v>
      </c>
      <c r="T810" s="81">
        <v>0</v>
      </c>
      <c r="U810" s="80">
        <v>1</v>
      </c>
      <c r="V810" s="81">
        <v>3</v>
      </c>
      <c r="W810" s="81">
        <v>2</v>
      </c>
      <c r="X810" s="80">
        <v>1</v>
      </c>
      <c r="Y810" s="80">
        <v>0</v>
      </c>
      <c r="Z810" s="80">
        <v>1</v>
      </c>
      <c r="AA810" s="80">
        <v>2</v>
      </c>
      <c r="AB810" s="80">
        <v>0</v>
      </c>
      <c r="AC810" s="80">
        <v>1</v>
      </c>
      <c r="AD810" s="80">
        <v>0</v>
      </c>
      <c r="AE810" s="80">
        <v>2</v>
      </c>
      <c r="AF810" s="80">
        <v>2</v>
      </c>
      <c r="AG810" s="81">
        <v>0</v>
      </c>
      <c r="AH810" s="80">
        <v>2</v>
      </c>
      <c r="AI810" s="81">
        <v>1</v>
      </c>
      <c r="AJ810" s="81">
        <v>0</v>
      </c>
      <c r="AK810" s="81">
        <v>0</v>
      </c>
      <c r="AL810" s="81">
        <v>0</v>
      </c>
      <c r="AM810" s="80">
        <v>0</v>
      </c>
      <c r="AN810" s="80">
        <v>0</v>
      </c>
      <c r="AO810" s="80">
        <v>0</v>
      </c>
    </row>
    <row r="811" spans="1:41" ht="15.75" x14ac:dyDescent="0.25">
      <c r="A811" s="84"/>
      <c r="B811" s="84"/>
      <c r="C811" s="84"/>
      <c r="D811" s="80" t="s">
        <v>246</v>
      </c>
      <c r="E811" s="80">
        <v>1</v>
      </c>
      <c r="F811" s="80">
        <v>0</v>
      </c>
      <c r="G811" s="80">
        <v>0</v>
      </c>
      <c r="H811" s="81">
        <v>1</v>
      </c>
      <c r="I811" s="81">
        <v>1</v>
      </c>
      <c r="J811" s="80">
        <v>1</v>
      </c>
      <c r="K811" s="80">
        <v>0</v>
      </c>
      <c r="L811" s="80">
        <v>0</v>
      </c>
      <c r="M811" s="80">
        <v>0</v>
      </c>
      <c r="N811" s="81">
        <v>0</v>
      </c>
      <c r="O811" s="81">
        <v>2</v>
      </c>
      <c r="P811" s="81">
        <v>0</v>
      </c>
      <c r="Q811" s="81">
        <v>1</v>
      </c>
      <c r="R811" s="80">
        <v>0</v>
      </c>
      <c r="S811" s="80">
        <v>0</v>
      </c>
      <c r="T811" s="81">
        <v>0</v>
      </c>
      <c r="U811" s="80">
        <v>1</v>
      </c>
      <c r="V811" s="81">
        <v>3</v>
      </c>
      <c r="W811" s="81">
        <v>2</v>
      </c>
      <c r="X811" s="80">
        <v>1</v>
      </c>
      <c r="Y811" s="80">
        <v>0</v>
      </c>
      <c r="Z811" s="80">
        <v>1</v>
      </c>
      <c r="AA811" s="80">
        <v>2</v>
      </c>
      <c r="AB811" s="80">
        <v>0</v>
      </c>
      <c r="AC811" s="80">
        <v>1</v>
      </c>
      <c r="AD811" s="80">
        <v>0</v>
      </c>
      <c r="AE811" s="80">
        <v>2</v>
      </c>
      <c r="AF811" s="80">
        <v>2</v>
      </c>
      <c r="AG811" s="81">
        <v>0</v>
      </c>
      <c r="AH811" s="80">
        <v>2</v>
      </c>
      <c r="AI811" s="81">
        <v>1</v>
      </c>
      <c r="AJ811" s="81">
        <v>0</v>
      </c>
      <c r="AK811" s="81">
        <v>0</v>
      </c>
      <c r="AL811" s="81">
        <v>0</v>
      </c>
      <c r="AM811" s="80">
        <v>0</v>
      </c>
      <c r="AN811" s="80">
        <v>0</v>
      </c>
      <c r="AO811" s="80">
        <v>0</v>
      </c>
    </row>
    <row r="812" spans="1:41" ht="15.75" x14ac:dyDescent="0.25">
      <c r="A812" s="84"/>
      <c r="B812" s="84"/>
      <c r="C812" s="84"/>
      <c r="D812" s="80" t="s">
        <v>247</v>
      </c>
      <c r="E812" s="80">
        <v>0</v>
      </c>
      <c r="F812" s="80">
        <v>0</v>
      </c>
      <c r="G812" s="80">
        <v>0</v>
      </c>
      <c r="H812" s="81">
        <v>0</v>
      </c>
      <c r="I812" s="81">
        <v>0</v>
      </c>
      <c r="J812" s="80">
        <v>0</v>
      </c>
      <c r="K812" s="80">
        <v>0</v>
      </c>
      <c r="L812" s="80">
        <v>0</v>
      </c>
      <c r="M812" s="80">
        <v>0</v>
      </c>
      <c r="N812" s="81">
        <v>0</v>
      </c>
      <c r="O812" s="81">
        <v>0</v>
      </c>
      <c r="P812" s="81">
        <v>0</v>
      </c>
      <c r="Q812" s="81">
        <v>0</v>
      </c>
      <c r="R812" s="80">
        <v>0</v>
      </c>
      <c r="S812" s="80">
        <v>0</v>
      </c>
      <c r="T812" s="81">
        <v>0</v>
      </c>
      <c r="U812" s="80">
        <v>0</v>
      </c>
      <c r="V812" s="81">
        <v>0</v>
      </c>
      <c r="W812" s="81">
        <v>0</v>
      </c>
      <c r="X812" s="80">
        <v>0</v>
      </c>
      <c r="Y812" s="80">
        <v>0</v>
      </c>
      <c r="Z812" s="80">
        <v>0</v>
      </c>
      <c r="AA812" s="80">
        <v>0</v>
      </c>
      <c r="AB812" s="80">
        <v>0</v>
      </c>
      <c r="AC812" s="80">
        <v>0</v>
      </c>
      <c r="AD812" s="80">
        <v>0</v>
      </c>
      <c r="AE812" s="80">
        <v>0</v>
      </c>
      <c r="AF812" s="80">
        <v>0</v>
      </c>
      <c r="AG812" s="81">
        <v>0</v>
      </c>
      <c r="AH812" s="80">
        <v>0</v>
      </c>
      <c r="AI812" s="81">
        <v>0</v>
      </c>
      <c r="AJ812" s="81">
        <v>0</v>
      </c>
      <c r="AK812" s="81">
        <v>0</v>
      </c>
      <c r="AL812" s="81">
        <v>0</v>
      </c>
      <c r="AM812" s="80">
        <v>0</v>
      </c>
      <c r="AN812" s="80">
        <v>0</v>
      </c>
      <c r="AO812" s="80">
        <v>0</v>
      </c>
    </row>
    <row r="813" spans="1:41" ht="15.75" x14ac:dyDescent="0.25">
      <c r="A813" s="84"/>
      <c r="B813" s="84"/>
      <c r="C813" s="84"/>
      <c r="D813" s="80" t="s">
        <v>248</v>
      </c>
      <c r="E813" s="80">
        <v>1</v>
      </c>
      <c r="F813" s="80">
        <v>0</v>
      </c>
      <c r="G813" s="80">
        <v>0</v>
      </c>
      <c r="H813" s="81">
        <v>1</v>
      </c>
      <c r="I813" s="81">
        <v>1</v>
      </c>
      <c r="J813" s="80">
        <v>1</v>
      </c>
      <c r="K813" s="80">
        <v>0</v>
      </c>
      <c r="L813" s="80">
        <v>1</v>
      </c>
      <c r="M813" s="80">
        <v>0</v>
      </c>
      <c r="N813" s="81">
        <v>0</v>
      </c>
      <c r="O813" s="81">
        <v>2</v>
      </c>
      <c r="P813" s="81">
        <v>0</v>
      </c>
      <c r="Q813" s="81">
        <v>0</v>
      </c>
      <c r="R813" s="80">
        <v>0</v>
      </c>
      <c r="S813" s="80">
        <v>0</v>
      </c>
      <c r="T813" s="81">
        <v>0</v>
      </c>
      <c r="U813" s="80">
        <v>1</v>
      </c>
      <c r="V813" s="81">
        <v>3</v>
      </c>
      <c r="W813" s="81">
        <v>2</v>
      </c>
      <c r="X813" s="80">
        <v>1</v>
      </c>
      <c r="Y813" s="80">
        <v>0</v>
      </c>
      <c r="Z813" s="80">
        <v>1</v>
      </c>
      <c r="AA813" s="80">
        <v>2</v>
      </c>
      <c r="AB813" s="80">
        <v>0</v>
      </c>
      <c r="AC813" s="80">
        <v>1</v>
      </c>
      <c r="AD813" s="80">
        <v>0</v>
      </c>
      <c r="AE813" s="80">
        <v>2</v>
      </c>
      <c r="AF813" s="80">
        <v>2</v>
      </c>
      <c r="AG813" s="81">
        <v>0</v>
      </c>
      <c r="AH813" s="80">
        <v>2</v>
      </c>
      <c r="AI813" s="81">
        <v>0</v>
      </c>
      <c r="AJ813" s="81">
        <v>0</v>
      </c>
      <c r="AK813" s="81">
        <v>0</v>
      </c>
      <c r="AL813" s="81">
        <v>0</v>
      </c>
      <c r="AM813" s="80">
        <v>0</v>
      </c>
      <c r="AN813" s="80">
        <v>0</v>
      </c>
      <c r="AO813" s="80">
        <v>0</v>
      </c>
    </row>
    <row r="814" spans="1:41" ht="15.75" x14ac:dyDescent="0.25">
      <c r="A814" s="84"/>
      <c r="B814" s="84"/>
      <c r="C814" s="84"/>
      <c r="D814" s="80" t="s">
        <v>258</v>
      </c>
      <c r="E814" s="80">
        <v>0</v>
      </c>
      <c r="F814" s="80">
        <v>0</v>
      </c>
      <c r="G814" s="80">
        <v>0</v>
      </c>
      <c r="H814" s="80">
        <v>0</v>
      </c>
      <c r="I814" s="80">
        <v>0</v>
      </c>
      <c r="J814" s="80">
        <v>0</v>
      </c>
      <c r="K814" s="80">
        <v>0</v>
      </c>
      <c r="L814" s="80">
        <v>0</v>
      </c>
      <c r="M814" s="80">
        <v>0</v>
      </c>
      <c r="N814" s="80">
        <v>0</v>
      </c>
      <c r="O814" s="80">
        <v>0</v>
      </c>
      <c r="P814" s="80">
        <v>0</v>
      </c>
      <c r="Q814" s="80">
        <v>1</v>
      </c>
      <c r="R814" s="80">
        <v>0</v>
      </c>
      <c r="S814" s="80">
        <v>0</v>
      </c>
      <c r="T814" s="80">
        <v>0</v>
      </c>
      <c r="U814" s="80">
        <v>0</v>
      </c>
      <c r="V814" s="80">
        <v>0</v>
      </c>
      <c r="W814" s="80">
        <v>0</v>
      </c>
      <c r="X814" s="80">
        <v>0</v>
      </c>
      <c r="Y814" s="80">
        <v>0</v>
      </c>
      <c r="Z814" s="80">
        <v>0</v>
      </c>
      <c r="AA814" s="80">
        <v>0</v>
      </c>
      <c r="AB814" s="80">
        <v>0</v>
      </c>
      <c r="AC814" s="80">
        <v>0</v>
      </c>
      <c r="AD814" s="80">
        <v>0</v>
      </c>
      <c r="AE814" s="80">
        <v>0</v>
      </c>
      <c r="AF814" s="80">
        <v>0</v>
      </c>
      <c r="AG814" s="80">
        <v>0</v>
      </c>
      <c r="AH814" s="80">
        <v>0</v>
      </c>
      <c r="AI814" s="80">
        <v>1</v>
      </c>
      <c r="AJ814" s="80">
        <v>0</v>
      </c>
      <c r="AK814" s="80">
        <v>0</v>
      </c>
      <c r="AL814" s="80">
        <v>0</v>
      </c>
      <c r="AM814" s="80">
        <v>0</v>
      </c>
      <c r="AN814" s="80">
        <v>0</v>
      </c>
      <c r="AO814" s="80">
        <v>0</v>
      </c>
    </row>
    <row r="815" spans="1:41" ht="15.75" x14ac:dyDescent="0.25">
      <c r="A815" s="84">
        <v>37</v>
      </c>
      <c r="B815" s="84"/>
      <c r="C815" s="84" t="s">
        <v>254</v>
      </c>
      <c r="D815" s="80" t="s">
        <v>245</v>
      </c>
      <c r="E815" s="80">
        <v>0</v>
      </c>
      <c r="F815" s="80">
        <v>0</v>
      </c>
      <c r="G815" s="80">
        <v>0</v>
      </c>
      <c r="H815" s="81">
        <v>0</v>
      </c>
      <c r="I815" s="81">
        <v>2</v>
      </c>
      <c r="J815" s="80">
        <v>2</v>
      </c>
      <c r="K815" s="80">
        <v>0</v>
      </c>
      <c r="L815" s="80">
        <v>0</v>
      </c>
      <c r="M815" s="80">
        <v>0</v>
      </c>
      <c r="N815" s="81">
        <v>1</v>
      </c>
      <c r="O815" s="81">
        <v>1</v>
      </c>
      <c r="P815" s="81">
        <v>0</v>
      </c>
      <c r="Q815" s="81">
        <v>2</v>
      </c>
      <c r="R815" s="80">
        <v>1</v>
      </c>
      <c r="S815" s="80">
        <v>0</v>
      </c>
      <c r="T815" s="81">
        <v>0</v>
      </c>
      <c r="U815" s="80">
        <v>1</v>
      </c>
      <c r="V815" s="81">
        <v>2</v>
      </c>
      <c r="W815" s="81">
        <v>0</v>
      </c>
      <c r="X815" s="80">
        <v>0</v>
      </c>
      <c r="Y815" s="80">
        <v>0</v>
      </c>
      <c r="Z815" s="80">
        <v>1</v>
      </c>
      <c r="AA815" s="80">
        <v>1</v>
      </c>
      <c r="AB815" s="80">
        <v>1</v>
      </c>
      <c r="AC815" s="80">
        <v>1</v>
      </c>
      <c r="AD815" s="80">
        <v>1</v>
      </c>
      <c r="AE815" s="80">
        <v>1</v>
      </c>
      <c r="AF815" s="80">
        <v>1</v>
      </c>
      <c r="AG815" s="81">
        <v>0</v>
      </c>
      <c r="AH815" s="80">
        <v>1</v>
      </c>
      <c r="AI815" s="81">
        <v>0</v>
      </c>
      <c r="AJ815" s="81">
        <v>0</v>
      </c>
      <c r="AK815" s="81">
        <v>0</v>
      </c>
      <c r="AL815" s="81">
        <v>0</v>
      </c>
      <c r="AM815" s="80">
        <v>0</v>
      </c>
      <c r="AN815" s="80">
        <v>0</v>
      </c>
      <c r="AO815" s="80">
        <v>0</v>
      </c>
    </row>
    <row r="816" spans="1:41" ht="15.75" x14ac:dyDescent="0.25">
      <c r="A816" s="84"/>
      <c r="B816" s="84"/>
      <c r="C816" s="84"/>
      <c r="D816" s="80" t="s">
        <v>246</v>
      </c>
      <c r="E816" s="80">
        <v>1</v>
      </c>
      <c r="F816" s="80">
        <v>0</v>
      </c>
      <c r="G816" s="80">
        <v>0</v>
      </c>
      <c r="H816" s="81">
        <v>0</v>
      </c>
      <c r="I816" s="81">
        <v>1</v>
      </c>
      <c r="J816" s="80">
        <v>2</v>
      </c>
      <c r="K816" s="80">
        <v>0</v>
      </c>
      <c r="L816" s="80">
        <v>0</v>
      </c>
      <c r="M816" s="80">
        <v>0</v>
      </c>
      <c r="N816" s="81">
        <v>1</v>
      </c>
      <c r="O816" s="81">
        <v>1</v>
      </c>
      <c r="P816" s="81">
        <v>0</v>
      </c>
      <c r="Q816" s="81">
        <v>2</v>
      </c>
      <c r="R816" s="80">
        <v>1</v>
      </c>
      <c r="S816" s="80">
        <v>0</v>
      </c>
      <c r="T816" s="81">
        <v>0</v>
      </c>
      <c r="U816" s="80">
        <v>1</v>
      </c>
      <c r="V816" s="81">
        <v>2</v>
      </c>
      <c r="W816" s="81">
        <v>0</v>
      </c>
      <c r="X816" s="80">
        <v>0</v>
      </c>
      <c r="Y816" s="80">
        <v>0</v>
      </c>
      <c r="Z816" s="80">
        <v>1</v>
      </c>
      <c r="AA816" s="80">
        <v>1</v>
      </c>
      <c r="AB816" s="80">
        <v>1</v>
      </c>
      <c r="AC816" s="80">
        <v>1</v>
      </c>
      <c r="AD816" s="80">
        <v>1</v>
      </c>
      <c r="AE816" s="80">
        <v>1</v>
      </c>
      <c r="AF816" s="80">
        <v>1</v>
      </c>
      <c r="AG816" s="81">
        <v>0</v>
      </c>
      <c r="AH816" s="80">
        <v>1</v>
      </c>
      <c r="AI816" s="81">
        <v>0</v>
      </c>
      <c r="AJ816" s="81">
        <v>0</v>
      </c>
      <c r="AK816" s="81">
        <v>0</v>
      </c>
      <c r="AL816" s="81">
        <v>0</v>
      </c>
      <c r="AM816" s="80">
        <v>0</v>
      </c>
      <c r="AN816" s="80">
        <v>0</v>
      </c>
      <c r="AO816" s="80">
        <v>0</v>
      </c>
    </row>
    <row r="817" spans="1:41" ht="15.75" x14ac:dyDescent="0.25">
      <c r="A817" s="84"/>
      <c r="B817" s="84"/>
      <c r="C817" s="84"/>
      <c r="D817" s="80" t="s">
        <v>247</v>
      </c>
      <c r="E817" s="80">
        <v>0</v>
      </c>
      <c r="F817" s="80">
        <v>0</v>
      </c>
      <c r="G817" s="80">
        <v>0</v>
      </c>
      <c r="H817" s="81">
        <v>0</v>
      </c>
      <c r="I817" s="81">
        <v>1</v>
      </c>
      <c r="J817" s="80">
        <v>0</v>
      </c>
      <c r="K817" s="80">
        <v>0</v>
      </c>
      <c r="L817" s="80">
        <v>0</v>
      </c>
      <c r="M817" s="80">
        <v>0</v>
      </c>
      <c r="N817" s="81">
        <v>0</v>
      </c>
      <c r="O817" s="81">
        <v>0</v>
      </c>
      <c r="P817" s="81">
        <v>0</v>
      </c>
      <c r="Q817" s="81">
        <v>0</v>
      </c>
      <c r="R817" s="80">
        <v>0</v>
      </c>
      <c r="S817" s="80">
        <v>0</v>
      </c>
      <c r="T817" s="81">
        <v>0</v>
      </c>
      <c r="U817" s="80">
        <v>0</v>
      </c>
      <c r="V817" s="81">
        <v>0</v>
      </c>
      <c r="W817" s="81">
        <v>0</v>
      </c>
      <c r="X817" s="80">
        <v>0</v>
      </c>
      <c r="Y817" s="80">
        <v>0</v>
      </c>
      <c r="Z817" s="80">
        <v>0</v>
      </c>
      <c r="AA817" s="80">
        <v>0</v>
      </c>
      <c r="AB817" s="80">
        <v>0</v>
      </c>
      <c r="AC817" s="80">
        <v>0</v>
      </c>
      <c r="AD817" s="80">
        <v>0</v>
      </c>
      <c r="AE817" s="80">
        <v>0</v>
      </c>
      <c r="AF817" s="80">
        <v>0</v>
      </c>
      <c r="AG817" s="81">
        <v>0</v>
      </c>
      <c r="AH817" s="80">
        <v>0</v>
      </c>
      <c r="AI817" s="81">
        <v>0</v>
      </c>
      <c r="AJ817" s="81">
        <v>0</v>
      </c>
      <c r="AK817" s="81">
        <v>0</v>
      </c>
      <c r="AL817" s="81">
        <v>0</v>
      </c>
      <c r="AM817" s="80">
        <v>0</v>
      </c>
      <c r="AN817" s="80">
        <v>0</v>
      </c>
      <c r="AO817" s="80">
        <v>0</v>
      </c>
    </row>
    <row r="818" spans="1:41" ht="15.75" x14ac:dyDescent="0.25">
      <c r="A818" s="84"/>
      <c r="B818" s="84"/>
      <c r="C818" s="84"/>
      <c r="D818" s="80" t="s">
        <v>248</v>
      </c>
      <c r="E818" s="80">
        <v>1</v>
      </c>
      <c r="F818" s="80">
        <v>0</v>
      </c>
      <c r="G818" s="80">
        <v>0</v>
      </c>
      <c r="H818" s="81">
        <v>0</v>
      </c>
      <c r="I818" s="81">
        <v>1</v>
      </c>
      <c r="J818" s="80">
        <v>2</v>
      </c>
      <c r="K818" s="80">
        <v>0</v>
      </c>
      <c r="L818" s="80">
        <v>0</v>
      </c>
      <c r="M818" s="80">
        <v>0</v>
      </c>
      <c r="N818" s="81">
        <v>1</v>
      </c>
      <c r="O818" s="81">
        <v>1</v>
      </c>
      <c r="P818" s="81">
        <v>0</v>
      </c>
      <c r="Q818" s="81">
        <v>2</v>
      </c>
      <c r="R818" s="80">
        <v>1</v>
      </c>
      <c r="S818" s="80">
        <v>0</v>
      </c>
      <c r="T818" s="81">
        <v>0</v>
      </c>
      <c r="U818" s="80">
        <v>1</v>
      </c>
      <c r="V818" s="81">
        <v>2</v>
      </c>
      <c r="W818" s="81">
        <v>0</v>
      </c>
      <c r="X818" s="80">
        <v>0</v>
      </c>
      <c r="Y818" s="80">
        <v>0</v>
      </c>
      <c r="Z818" s="80">
        <v>1</v>
      </c>
      <c r="AA818" s="80">
        <v>1</v>
      </c>
      <c r="AB818" s="80">
        <v>1</v>
      </c>
      <c r="AC818" s="80">
        <v>1</v>
      </c>
      <c r="AD818" s="80">
        <v>1</v>
      </c>
      <c r="AE818" s="80">
        <v>1</v>
      </c>
      <c r="AF818" s="80">
        <v>1</v>
      </c>
      <c r="AG818" s="81">
        <v>0</v>
      </c>
      <c r="AH818" s="80">
        <v>1</v>
      </c>
      <c r="AI818" s="81">
        <v>0</v>
      </c>
      <c r="AJ818" s="81">
        <v>0</v>
      </c>
      <c r="AK818" s="81">
        <v>0</v>
      </c>
      <c r="AL818" s="81">
        <v>0</v>
      </c>
      <c r="AM818" s="80">
        <v>0</v>
      </c>
      <c r="AN818" s="80">
        <v>0</v>
      </c>
      <c r="AO818" s="80">
        <v>0</v>
      </c>
    </row>
    <row r="819" spans="1:41" ht="15.75" x14ac:dyDescent="0.25">
      <c r="A819" s="84"/>
      <c r="B819" s="84"/>
      <c r="C819" s="84"/>
      <c r="D819" s="80" t="s">
        <v>258</v>
      </c>
      <c r="E819" s="80">
        <v>0</v>
      </c>
      <c r="F819" s="80">
        <v>0</v>
      </c>
      <c r="G819" s="80">
        <v>0</v>
      </c>
      <c r="H819" s="80">
        <v>0</v>
      </c>
      <c r="I819" s="80">
        <v>0</v>
      </c>
      <c r="J819" s="80">
        <v>0</v>
      </c>
      <c r="K819" s="80">
        <v>0</v>
      </c>
      <c r="L819" s="80">
        <v>0</v>
      </c>
      <c r="M819" s="80">
        <v>0</v>
      </c>
      <c r="N819" s="81">
        <v>0</v>
      </c>
      <c r="O819" s="80">
        <v>0</v>
      </c>
      <c r="P819" s="80">
        <v>0</v>
      </c>
      <c r="Q819" s="80">
        <v>0</v>
      </c>
      <c r="R819" s="80">
        <v>0</v>
      </c>
      <c r="S819" s="80">
        <v>0</v>
      </c>
      <c r="T819" s="80">
        <v>0</v>
      </c>
      <c r="U819" s="80">
        <v>0</v>
      </c>
      <c r="V819" s="80">
        <v>0</v>
      </c>
      <c r="W819" s="80">
        <v>0</v>
      </c>
      <c r="X819" s="80">
        <v>0</v>
      </c>
      <c r="Y819" s="80">
        <v>0</v>
      </c>
      <c r="Z819" s="80">
        <v>0</v>
      </c>
      <c r="AA819" s="80">
        <v>0</v>
      </c>
      <c r="AB819" s="80">
        <v>0</v>
      </c>
      <c r="AC819" s="80">
        <v>0</v>
      </c>
      <c r="AD819" s="80">
        <v>0</v>
      </c>
      <c r="AE819" s="80">
        <v>0</v>
      </c>
      <c r="AF819" s="80">
        <v>0</v>
      </c>
      <c r="AG819" s="80">
        <v>0</v>
      </c>
      <c r="AH819" s="80">
        <v>0</v>
      </c>
      <c r="AI819" s="80">
        <v>0</v>
      </c>
      <c r="AJ819" s="80">
        <v>0</v>
      </c>
      <c r="AK819" s="80">
        <v>0</v>
      </c>
      <c r="AL819" s="80">
        <v>0</v>
      </c>
      <c r="AM819" s="80">
        <v>0</v>
      </c>
      <c r="AN819" s="80">
        <v>0</v>
      </c>
      <c r="AO819" s="80">
        <v>0</v>
      </c>
    </row>
    <row r="820" spans="1:41" ht="15.75" x14ac:dyDescent="0.25">
      <c r="A820" s="84">
        <v>38</v>
      </c>
      <c r="B820" s="84"/>
      <c r="C820" s="84" t="s">
        <v>175</v>
      </c>
      <c r="D820" s="80" t="s">
        <v>245</v>
      </c>
      <c r="E820" s="80">
        <v>0</v>
      </c>
      <c r="F820" s="80">
        <v>0</v>
      </c>
      <c r="G820" s="80">
        <v>0</v>
      </c>
      <c r="H820" s="81">
        <v>1</v>
      </c>
      <c r="I820" s="81">
        <v>0</v>
      </c>
      <c r="J820" s="80">
        <v>2</v>
      </c>
      <c r="K820" s="80">
        <v>0</v>
      </c>
      <c r="L820" s="80">
        <v>0</v>
      </c>
      <c r="M820" s="80">
        <v>0</v>
      </c>
      <c r="N820" s="81">
        <v>0</v>
      </c>
      <c r="O820" s="81">
        <v>1</v>
      </c>
      <c r="P820" s="81">
        <v>0</v>
      </c>
      <c r="Q820" s="81">
        <v>1</v>
      </c>
      <c r="R820" s="80">
        <v>0</v>
      </c>
      <c r="S820" s="80">
        <v>0</v>
      </c>
      <c r="T820" s="81">
        <v>0</v>
      </c>
      <c r="U820" s="80">
        <v>2</v>
      </c>
      <c r="V820" s="81">
        <v>1</v>
      </c>
      <c r="W820" s="81">
        <v>1</v>
      </c>
      <c r="X820" s="80">
        <v>0</v>
      </c>
      <c r="Y820" s="80">
        <v>0</v>
      </c>
      <c r="Z820" s="80">
        <v>0</v>
      </c>
      <c r="AA820" s="80">
        <v>0</v>
      </c>
      <c r="AB820" s="80">
        <v>0</v>
      </c>
      <c r="AC820" s="80">
        <v>0</v>
      </c>
      <c r="AD820" s="80">
        <v>0</v>
      </c>
      <c r="AE820" s="80">
        <v>0</v>
      </c>
      <c r="AF820" s="80">
        <v>0</v>
      </c>
      <c r="AG820" s="81">
        <v>0</v>
      </c>
      <c r="AH820" s="80">
        <v>0</v>
      </c>
      <c r="AI820" s="81">
        <v>0</v>
      </c>
      <c r="AJ820" s="81">
        <v>0</v>
      </c>
      <c r="AK820" s="81">
        <v>0</v>
      </c>
      <c r="AL820" s="81">
        <v>0</v>
      </c>
      <c r="AM820" s="81">
        <v>3</v>
      </c>
      <c r="AN820" s="81">
        <v>3</v>
      </c>
      <c r="AO820" s="80">
        <v>0</v>
      </c>
    </row>
    <row r="821" spans="1:41" ht="15.75" x14ac:dyDescent="0.25">
      <c r="A821" s="84"/>
      <c r="B821" s="84"/>
      <c r="C821" s="84"/>
      <c r="D821" s="80" t="s">
        <v>246</v>
      </c>
      <c r="E821" s="80">
        <v>0</v>
      </c>
      <c r="F821" s="80">
        <v>0</v>
      </c>
      <c r="G821" s="80">
        <v>0</v>
      </c>
      <c r="H821" s="81">
        <v>1</v>
      </c>
      <c r="I821" s="81">
        <v>0</v>
      </c>
      <c r="J821" s="80">
        <v>2</v>
      </c>
      <c r="K821" s="80">
        <v>0</v>
      </c>
      <c r="L821" s="80">
        <v>0</v>
      </c>
      <c r="M821" s="80">
        <v>0</v>
      </c>
      <c r="N821" s="81">
        <v>0</v>
      </c>
      <c r="O821" s="81">
        <v>1</v>
      </c>
      <c r="P821" s="81">
        <v>0</v>
      </c>
      <c r="Q821" s="81">
        <v>1</v>
      </c>
      <c r="R821" s="80">
        <v>0</v>
      </c>
      <c r="S821" s="80">
        <v>0</v>
      </c>
      <c r="T821" s="81">
        <v>0</v>
      </c>
      <c r="U821" s="80">
        <v>2</v>
      </c>
      <c r="V821" s="81">
        <v>1</v>
      </c>
      <c r="W821" s="81">
        <v>1</v>
      </c>
      <c r="X821" s="80">
        <v>0</v>
      </c>
      <c r="Y821" s="80">
        <v>0</v>
      </c>
      <c r="Z821" s="80">
        <v>0</v>
      </c>
      <c r="AA821" s="80">
        <v>0</v>
      </c>
      <c r="AB821" s="80">
        <v>0</v>
      </c>
      <c r="AC821" s="80">
        <v>0</v>
      </c>
      <c r="AD821" s="80">
        <v>0</v>
      </c>
      <c r="AE821" s="80">
        <v>0</v>
      </c>
      <c r="AF821" s="80">
        <v>0</v>
      </c>
      <c r="AG821" s="81">
        <v>0</v>
      </c>
      <c r="AH821" s="80">
        <v>0</v>
      </c>
      <c r="AI821" s="81">
        <v>0</v>
      </c>
      <c r="AJ821" s="81">
        <v>0</v>
      </c>
      <c r="AK821" s="81">
        <v>0</v>
      </c>
      <c r="AL821" s="81">
        <v>0</v>
      </c>
      <c r="AM821" s="81">
        <v>3</v>
      </c>
      <c r="AN821" s="81">
        <v>3</v>
      </c>
      <c r="AO821" s="80">
        <v>0</v>
      </c>
    </row>
    <row r="822" spans="1:41" ht="15.75" x14ac:dyDescent="0.25">
      <c r="A822" s="84"/>
      <c r="B822" s="84"/>
      <c r="C822" s="84"/>
      <c r="D822" s="80" t="s">
        <v>247</v>
      </c>
      <c r="E822" s="80">
        <v>0</v>
      </c>
      <c r="F822" s="80">
        <v>0</v>
      </c>
      <c r="G822" s="80">
        <v>0</v>
      </c>
      <c r="H822" s="81">
        <v>0</v>
      </c>
      <c r="I822" s="81">
        <v>0</v>
      </c>
      <c r="J822" s="80">
        <v>0</v>
      </c>
      <c r="K822" s="80">
        <v>0</v>
      </c>
      <c r="L822" s="80">
        <v>0</v>
      </c>
      <c r="M822" s="80">
        <v>0</v>
      </c>
      <c r="N822" s="81">
        <v>0</v>
      </c>
      <c r="O822" s="81">
        <v>0</v>
      </c>
      <c r="P822" s="81">
        <v>0</v>
      </c>
      <c r="Q822" s="81">
        <v>0</v>
      </c>
      <c r="R822" s="80">
        <v>0</v>
      </c>
      <c r="S822" s="80">
        <v>0</v>
      </c>
      <c r="T822" s="81">
        <v>0</v>
      </c>
      <c r="U822" s="80">
        <v>0</v>
      </c>
      <c r="V822" s="81">
        <v>0</v>
      </c>
      <c r="W822" s="81">
        <v>0</v>
      </c>
      <c r="X822" s="80">
        <v>0</v>
      </c>
      <c r="Y822" s="80">
        <v>0</v>
      </c>
      <c r="Z822" s="80">
        <v>0</v>
      </c>
      <c r="AA822" s="80">
        <v>0</v>
      </c>
      <c r="AB822" s="80">
        <v>0</v>
      </c>
      <c r="AC822" s="80">
        <v>0</v>
      </c>
      <c r="AD822" s="80">
        <v>0</v>
      </c>
      <c r="AE822" s="80">
        <v>0</v>
      </c>
      <c r="AF822" s="80">
        <v>0</v>
      </c>
      <c r="AG822" s="81">
        <v>0</v>
      </c>
      <c r="AH822" s="80">
        <v>0</v>
      </c>
      <c r="AI822" s="81">
        <v>0</v>
      </c>
      <c r="AJ822" s="81">
        <v>0</v>
      </c>
      <c r="AK822" s="81">
        <v>0</v>
      </c>
      <c r="AL822" s="81">
        <v>0</v>
      </c>
      <c r="AM822" s="81">
        <v>0</v>
      </c>
      <c r="AN822" s="81">
        <v>0</v>
      </c>
      <c r="AO822" s="80">
        <v>0</v>
      </c>
    </row>
    <row r="823" spans="1:41" ht="15.75" x14ac:dyDescent="0.25">
      <c r="A823" s="84"/>
      <c r="B823" s="84"/>
      <c r="C823" s="84"/>
      <c r="D823" s="80" t="s">
        <v>248</v>
      </c>
      <c r="E823" s="80">
        <v>0</v>
      </c>
      <c r="F823" s="80">
        <v>0</v>
      </c>
      <c r="G823" s="80">
        <v>0</v>
      </c>
      <c r="H823" s="81">
        <v>1</v>
      </c>
      <c r="I823" s="81">
        <v>0</v>
      </c>
      <c r="J823" s="80">
        <v>2</v>
      </c>
      <c r="K823" s="80">
        <v>0</v>
      </c>
      <c r="L823" s="80">
        <v>0</v>
      </c>
      <c r="M823" s="80">
        <v>0</v>
      </c>
      <c r="N823" s="81">
        <v>0</v>
      </c>
      <c r="O823" s="81">
        <v>1</v>
      </c>
      <c r="P823" s="81">
        <v>0</v>
      </c>
      <c r="Q823" s="81">
        <v>1</v>
      </c>
      <c r="R823" s="80">
        <v>0</v>
      </c>
      <c r="S823" s="80">
        <v>0</v>
      </c>
      <c r="T823" s="81">
        <v>0</v>
      </c>
      <c r="U823" s="80">
        <v>2</v>
      </c>
      <c r="V823" s="81">
        <v>1</v>
      </c>
      <c r="W823" s="81">
        <v>1</v>
      </c>
      <c r="X823" s="80">
        <v>0</v>
      </c>
      <c r="Y823" s="80">
        <v>0</v>
      </c>
      <c r="Z823" s="80">
        <v>0</v>
      </c>
      <c r="AA823" s="80">
        <v>0</v>
      </c>
      <c r="AB823" s="80">
        <v>0</v>
      </c>
      <c r="AC823" s="80">
        <v>0</v>
      </c>
      <c r="AD823" s="80">
        <v>0</v>
      </c>
      <c r="AE823" s="80">
        <v>0</v>
      </c>
      <c r="AF823" s="80">
        <v>0</v>
      </c>
      <c r="AG823" s="81">
        <v>0</v>
      </c>
      <c r="AH823" s="80">
        <v>0</v>
      </c>
      <c r="AI823" s="81">
        <v>0</v>
      </c>
      <c r="AJ823" s="81">
        <v>0</v>
      </c>
      <c r="AK823" s="81">
        <v>0</v>
      </c>
      <c r="AL823" s="81">
        <v>0</v>
      </c>
      <c r="AM823" s="81">
        <v>3</v>
      </c>
      <c r="AN823" s="81">
        <v>3</v>
      </c>
      <c r="AO823" s="80">
        <v>0</v>
      </c>
    </row>
    <row r="824" spans="1:41" ht="15.75" x14ac:dyDescent="0.25">
      <c r="A824" s="84"/>
      <c r="B824" s="84"/>
      <c r="C824" s="84"/>
      <c r="D824" s="80" t="s">
        <v>258</v>
      </c>
      <c r="E824" s="80">
        <v>0</v>
      </c>
      <c r="F824" s="80">
        <v>0</v>
      </c>
      <c r="G824" s="80">
        <v>0</v>
      </c>
      <c r="H824" s="80">
        <v>0</v>
      </c>
      <c r="I824" s="80">
        <v>0</v>
      </c>
      <c r="J824" s="80">
        <v>0</v>
      </c>
      <c r="K824" s="80">
        <v>0</v>
      </c>
      <c r="L824" s="80">
        <v>0</v>
      </c>
      <c r="M824" s="80">
        <v>0</v>
      </c>
      <c r="N824" s="80">
        <v>0</v>
      </c>
      <c r="O824" s="80">
        <v>0</v>
      </c>
      <c r="P824" s="80">
        <v>0</v>
      </c>
      <c r="Q824" s="80">
        <v>0</v>
      </c>
      <c r="R824" s="80">
        <v>0</v>
      </c>
      <c r="S824" s="80">
        <v>0</v>
      </c>
      <c r="T824" s="80">
        <v>0</v>
      </c>
      <c r="U824" s="80">
        <v>0</v>
      </c>
      <c r="V824" s="80">
        <v>0</v>
      </c>
      <c r="W824" s="80">
        <v>0</v>
      </c>
      <c r="X824" s="80">
        <v>0</v>
      </c>
      <c r="Y824" s="80">
        <v>0</v>
      </c>
      <c r="Z824" s="80">
        <v>0</v>
      </c>
      <c r="AA824" s="80">
        <v>0</v>
      </c>
      <c r="AB824" s="80">
        <v>0</v>
      </c>
      <c r="AC824" s="80">
        <v>0</v>
      </c>
      <c r="AD824" s="80">
        <v>0</v>
      </c>
      <c r="AE824" s="80">
        <v>0</v>
      </c>
      <c r="AF824" s="80">
        <v>0</v>
      </c>
      <c r="AG824" s="80">
        <v>0</v>
      </c>
      <c r="AH824" s="80">
        <v>0</v>
      </c>
      <c r="AI824" s="80">
        <v>0</v>
      </c>
      <c r="AJ824" s="80">
        <v>0</v>
      </c>
      <c r="AK824" s="80">
        <v>0</v>
      </c>
      <c r="AL824" s="80">
        <v>0</v>
      </c>
      <c r="AM824" s="80">
        <v>0</v>
      </c>
      <c r="AN824" s="80">
        <v>0</v>
      </c>
      <c r="AO824" s="80">
        <v>0</v>
      </c>
    </row>
    <row r="825" spans="1:41" ht="15.75" x14ac:dyDescent="0.25">
      <c r="A825" s="84">
        <v>39</v>
      </c>
      <c r="B825" s="84" t="s">
        <v>169</v>
      </c>
      <c r="C825" s="84" t="s">
        <v>255</v>
      </c>
      <c r="D825" s="80" t="s">
        <v>245</v>
      </c>
      <c r="E825" s="80">
        <v>0</v>
      </c>
      <c r="F825" s="80">
        <v>0</v>
      </c>
      <c r="G825" s="80">
        <v>0</v>
      </c>
      <c r="H825" s="81">
        <v>0</v>
      </c>
      <c r="I825" s="81">
        <v>2</v>
      </c>
      <c r="J825" s="80">
        <v>2</v>
      </c>
      <c r="K825" s="80">
        <v>0</v>
      </c>
      <c r="L825" s="80">
        <v>0</v>
      </c>
      <c r="M825" s="80">
        <v>0</v>
      </c>
      <c r="N825" s="81">
        <v>0</v>
      </c>
      <c r="O825" s="81">
        <v>1</v>
      </c>
      <c r="P825" s="81">
        <v>0</v>
      </c>
      <c r="Q825" s="81">
        <v>0</v>
      </c>
      <c r="R825" s="80">
        <v>0</v>
      </c>
      <c r="S825" s="80">
        <v>0</v>
      </c>
      <c r="T825" s="81">
        <v>0</v>
      </c>
      <c r="U825" s="81">
        <v>2</v>
      </c>
      <c r="V825" s="81">
        <v>1</v>
      </c>
      <c r="W825" s="81">
        <v>0</v>
      </c>
      <c r="X825" s="81">
        <v>0</v>
      </c>
      <c r="Y825" s="80">
        <v>0</v>
      </c>
      <c r="Z825" s="80">
        <v>1</v>
      </c>
      <c r="AA825" s="80">
        <v>2</v>
      </c>
      <c r="AB825" s="80">
        <v>1</v>
      </c>
      <c r="AC825" s="80">
        <v>1</v>
      </c>
      <c r="AD825" s="80">
        <v>0</v>
      </c>
      <c r="AE825" s="80">
        <v>1</v>
      </c>
      <c r="AF825" s="80">
        <v>1</v>
      </c>
      <c r="AG825" s="81">
        <v>1</v>
      </c>
      <c r="AH825" s="80">
        <v>2</v>
      </c>
      <c r="AI825" s="81">
        <v>1</v>
      </c>
      <c r="AJ825" s="81">
        <v>1</v>
      </c>
      <c r="AK825" s="81">
        <v>0</v>
      </c>
      <c r="AL825" s="81">
        <v>0</v>
      </c>
      <c r="AM825" s="80">
        <v>0</v>
      </c>
      <c r="AN825" s="80">
        <v>0</v>
      </c>
      <c r="AO825" s="80">
        <v>0</v>
      </c>
    </row>
    <row r="826" spans="1:41" ht="15.75" x14ac:dyDescent="0.25">
      <c r="A826" s="84"/>
      <c r="B826" s="84"/>
      <c r="C826" s="84"/>
      <c r="D826" s="80" t="s">
        <v>246</v>
      </c>
      <c r="E826" s="80">
        <v>1</v>
      </c>
      <c r="F826" s="80">
        <v>0</v>
      </c>
      <c r="G826" s="80">
        <v>0</v>
      </c>
      <c r="H826" s="81">
        <v>1</v>
      </c>
      <c r="I826" s="81">
        <v>1</v>
      </c>
      <c r="J826" s="80">
        <v>1</v>
      </c>
      <c r="K826" s="80">
        <v>0</v>
      </c>
      <c r="L826" s="80">
        <v>0</v>
      </c>
      <c r="M826" s="80">
        <v>0</v>
      </c>
      <c r="N826" s="81">
        <v>0</v>
      </c>
      <c r="O826" s="81">
        <v>1</v>
      </c>
      <c r="P826" s="81">
        <v>0</v>
      </c>
      <c r="Q826" s="81">
        <v>0</v>
      </c>
      <c r="R826" s="80">
        <v>0</v>
      </c>
      <c r="S826" s="80">
        <v>0</v>
      </c>
      <c r="T826" s="81">
        <v>0</v>
      </c>
      <c r="U826" s="81">
        <v>2</v>
      </c>
      <c r="V826" s="81">
        <v>1</v>
      </c>
      <c r="W826" s="81">
        <v>0</v>
      </c>
      <c r="X826" s="81">
        <v>0</v>
      </c>
      <c r="Y826" s="80">
        <v>0</v>
      </c>
      <c r="Z826" s="80">
        <v>1</v>
      </c>
      <c r="AA826" s="80">
        <v>2</v>
      </c>
      <c r="AB826" s="80">
        <v>1</v>
      </c>
      <c r="AC826" s="80">
        <v>1</v>
      </c>
      <c r="AD826" s="80">
        <v>0</v>
      </c>
      <c r="AE826" s="80">
        <v>1</v>
      </c>
      <c r="AF826" s="80">
        <v>1</v>
      </c>
      <c r="AG826" s="81">
        <v>1</v>
      </c>
      <c r="AH826" s="80">
        <v>1</v>
      </c>
      <c r="AI826" s="81">
        <v>1</v>
      </c>
      <c r="AJ826" s="81">
        <v>0</v>
      </c>
      <c r="AK826" s="81">
        <v>0</v>
      </c>
      <c r="AL826" s="81">
        <v>0</v>
      </c>
      <c r="AM826" s="80">
        <v>0</v>
      </c>
      <c r="AN826" s="80">
        <v>0</v>
      </c>
      <c r="AO826" s="80">
        <v>0</v>
      </c>
    </row>
    <row r="827" spans="1:41" ht="15.75" x14ac:dyDescent="0.25">
      <c r="A827" s="84"/>
      <c r="B827" s="84"/>
      <c r="C827" s="84"/>
      <c r="D827" s="80" t="s">
        <v>247</v>
      </c>
      <c r="E827" s="80">
        <v>0</v>
      </c>
      <c r="F827" s="80">
        <v>0</v>
      </c>
      <c r="G827" s="80">
        <v>0</v>
      </c>
      <c r="H827" s="81">
        <v>0</v>
      </c>
      <c r="I827" s="81">
        <v>1</v>
      </c>
      <c r="J827" s="80">
        <v>1</v>
      </c>
      <c r="K827" s="80">
        <v>0</v>
      </c>
      <c r="L827" s="80">
        <v>0</v>
      </c>
      <c r="M827" s="80">
        <v>0</v>
      </c>
      <c r="N827" s="81">
        <v>0</v>
      </c>
      <c r="O827" s="81">
        <v>0</v>
      </c>
      <c r="P827" s="81">
        <v>0</v>
      </c>
      <c r="Q827" s="81">
        <v>0</v>
      </c>
      <c r="R827" s="80">
        <v>0</v>
      </c>
      <c r="S827" s="80">
        <v>0</v>
      </c>
      <c r="T827" s="81">
        <v>0</v>
      </c>
      <c r="U827" s="81">
        <v>0</v>
      </c>
      <c r="V827" s="81">
        <v>0</v>
      </c>
      <c r="W827" s="81">
        <v>0</v>
      </c>
      <c r="X827" s="81">
        <v>0</v>
      </c>
      <c r="Y827" s="80">
        <v>0</v>
      </c>
      <c r="Z827" s="80">
        <v>0</v>
      </c>
      <c r="AA827" s="80">
        <v>0</v>
      </c>
      <c r="AB827" s="80">
        <v>0</v>
      </c>
      <c r="AC827" s="80">
        <v>0</v>
      </c>
      <c r="AD827" s="80">
        <v>0</v>
      </c>
      <c r="AE827" s="80">
        <v>0</v>
      </c>
      <c r="AF827" s="80">
        <v>0</v>
      </c>
      <c r="AG827" s="81">
        <v>0</v>
      </c>
      <c r="AH827" s="80">
        <v>1</v>
      </c>
      <c r="AI827" s="81">
        <v>0</v>
      </c>
      <c r="AJ827" s="81">
        <v>0</v>
      </c>
      <c r="AK827" s="81">
        <v>0</v>
      </c>
      <c r="AL827" s="81">
        <v>0</v>
      </c>
      <c r="AM827" s="80">
        <v>0</v>
      </c>
      <c r="AN827" s="80">
        <v>0</v>
      </c>
      <c r="AO827" s="80">
        <v>0</v>
      </c>
    </row>
    <row r="828" spans="1:41" ht="15.75" x14ac:dyDescent="0.25">
      <c r="A828" s="84"/>
      <c r="B828" s="84"/>
      <c r="C828" s="84"/>
      <c r="D828" s="80" t="s">
        <v>248</v>
      </c>
      <c r="E828" s="80">
        <v>1</v>
      </c>
      <c r="F828" s="80">
        <v>0</v>
      </c>
      <c r="G828" s="80">
        <v>0</v>
      </c>
      <c r="H828" s="81">
        <v>1</v>
      </c>
      <c r="I828" s="81">
        <v>1</v>
      </c>
      <c r="J828" s="80">
        <v>1</v>
      </c>
      <c r="K828" s="80">
        <v>0</v>
      </c>
      <c r="L828" s="80">
        <v>0</v>
      </c>
      <c r="M828" s="80">
        <v>0</v>
      </c>
      <c r="N828" s="81">
        <v>0</v>
      </c>
      <c r="O828" s="81">
        <v>1</v>
      </c>
      <c r="P828" s="81">
        <v>0</v>
      </c>
      <c r="Q828" s="81">
        <v>0</v>
      </c>
      <c r="R828" s="80">
        <v>0</v>
      </c>
      <c r="S828" s="80">
        <v>0</v>
      </c>
      <c r="T828" s="81">
        <v>0</v>
      </c>
      <c r="U828" s="81">
        <v>2</v>
      </c>
      <c r="V828" s="81">
        <v>1</v>
      </c>
      <c r="W828" s="81">
        <v>0</v>
      </c>
      <c r="X828" s="81">
        <v>0</v>
      </c>
      <c r="Y828" s="80">
        <v>0</v>
      </c>
      <c r="Z828" s="80">
        <v>1</v>
      </c>
      <c r="AA828" s="80">
        <v>2</v>
      </c>
      <c r="AB828" s="80">
        <v>1</v>
      </c>
      <c r="AC828" s="80">
        <v>1</v>
      </c>
      <c r="AD828" s="80">
        <v>0</v>
      </c>
      <c r="AE828" s="80">
        <v>1</v>
      </c>
      <c r="AF828" s="80">
        <v>1</v>
      </c>
      <c r="AG828" s="81">
        <v>1</v>
      </c>
      <c r="AH828" s="80">
        <v>1</v>
      </c>
      <c r="AI828" s="81">
        <v>1</v>
      </c>
      <c r="AJ828" s="81">
        <v>0</v>
      </c>
      <c r="AK828" s="81">
        <v>0</v>
      </c>
      <c r="AL828" s="81">
        <v>0</v>
      </c>
      <c r="AM828" s="80">
        <v>0</v>
      </c>
      <c r="AN828" s="80">
        <v>0</v>
      </c>
      <c r="AO828" s="80">
        <v>0</v>
      </c>
    </row>
    <row r="829" spans="1:41" ht="15.75" x14ac:dyDescent="0.25">
      <c r="A829" s="84"/>
      <c r="B829" s="84"/>
      <c r="C829" s="84"/>
      <c r="D829" s="80" t="s">
        <v>258</v>
      </c>
      <c r="E829" s="80">
        <v>0</v>
      </c>
      <c r="F829" s="80">
        <v>0</v>
      </c>
      <c r="G829" s="80">
        <v>0</v>
      </c>
      <c r="H829" s="81">
        <v>0</v>
      </c>
      <c r="I829" s="81">
        <v>0</v>
      </c>
      <c r="J829" s="80">
        <v>0</v>
      </c>
      <c r="K829" s="80">
        <v>0</v>
      </c>
      <c r="L829" s="80">
        <v>0</v>
      </c>
      <c r="M829" s="80">
        <v>0</v>
      </c>
      <c r="N829" s="80">
        <v>0</v>
      </c>
      <c r="O829" s="80">
        <v>0</v>
      </c>
      <c r="P829" s="80">
        <v>0</v>
      </c>
      <c r="Q829" s="80">
        <v>0</v>
      </c>
      <c r="R829" s="80">
        <v>0</v>
      </c>
      <c r="S829" s="80">
        <v>0</v>
      </c>
      <c r="T829" s="80">
        <v>0</v>
      </c>
      <c r="U829" s="80">
        <v>0</v>
      </c>
      <c r="V829" s="80">
        <v>0</v>
      </c>
      <c r="W829" s="80">
        <v>0</v>
      </c>
      <c r="X829" s="80">
        <v>0</v>
      </c>
      <c r="Y829" s="80">
        <v>0</v>
      </c>
      <c r="Z829" s="80">
        <v>0</v>
      </c>
      <c r="AA829" s="80">
        <v>0</v>
      </c>
      <c r="AB829" s="80">
        <v>0</v>
      </c>
      <c r="AC829" s="80">
        <v>0</v>
      </c>
      <c r="AD829" s="80">
        <v>0</v>
      </c>
      <c r="AE829" s="80">
        <v>0</v>
      </c>
      <c r="AF829" s="80">
        <v>0</v>
      </c>
      <c r="AG829" s="80">
        <v>0</v>
      </c>
      <c r="AH829" s="80">
        <v>0</v>
      </c>
      <c r="AI829" s="80">
        <v>0</v>
      </c>
      <c r="AJ829" s="80">
        <v>0</v>
      </c>
      <c r="AK829" s="80">
        <v>0</v>
      </c>
      <c r="AL829" s="80">
        <v>0</v>
      </c>
      <c r="AM829" s="80">
        <v>0</v>
      </c>
      <c r="AN829" s="80">
        <v>0</v>
      </c>
      <c r="AO829" s="80">
        <v>0</v>
      </c>
    </row>
    <row r="830" spans="1:41" ht="15.75" x14ac:dyDescent="0.25">
      <c r="A830" s="84">
        <v>40</v>
      </c>
      <c r="B830" s="84"/>
      <c r="C830" s="84" t="s">
        <v>256</v>
      </c>
      <c r="D830" s="80" t="s">
        <v>245</v>
      </c>
      <c r="E830" s="80">
        <v>0</v>
      </c>
      <c r="F830" s="80">
        <v>0</v>
      </c>
      <c r="G830" s="80">
        <v>0</v>
      </c>
      <c r="H830" s="81">
        <v>1</v>
      </c>
      <c r="I830" s="81">
        <v>1</v>
      </c>
      <c r="J830" s="80">
        <v>0</v>
      </c>
      <c r="K830" s="80">
        <v>0</v>
      </c>
      <c r="L830" s="80">
        <v>0</v>
      </c>
      <c r="M830" s="80">
        <v>0</v>
      </c>
      <c r="N830" s="81">
        <v>1</v>
      </c>
      <c r="O830" s="81">
        <v>1</v>
      </c>
      <c r="P830" s="81">
        <v>0</v>
      </c>
      <c r="Q830" s="81">
        <v>0</v>
      </c>
      <c r="R830" s="80">
        <v>0</v>
      </c>
      <c r="S830" s="80">
        <v>0</v>
      </c>
      <c r="T830" s="81">
        <v>1</v>
      </c>
      <c r="U830" s="81">
        <v>1</v>
      </c>
      <c r="V830" s="81">
        <v>0</v>
      </c>
      <c r="W830" s="81">
        <v>0</v>
      </c>
      <c r="X830" s="81">
        <v>0</v>
      </c>
      <c r="Y830" s="80">
        <v>0</v>
      </c>
      <c r="Z830" s="80">
        <v>0</v>
      </c>
      <c r="AA830" s="80">
        <v>0</v>
      </c>
      <c r="AB830" s="80">
        <v>0</v>
      </c>
      <c r="AC830" s="80">
        <v>0</v>
      </c>
      <c r="AD830" s="80">
        <v>1</v>
      </c>
      <c r="AE830" s="80">
        <v>0</v>
      </c>
      <c r="AF830" s="80">
        <v>1</v>
      </c>
      <c r="AG830" s="81">
        <v>1</v>
      </c>
      <c r="AH830" s="80">
        <v>0</v>
      </c>
      <c r="AI830" s="81">
        <v>0</v>
      </c>
      <c r="AJ830" s="81">
        <v>0</v>
      </c>
      <c r="AK830" s="81">
        <v>0</v>
      </c>
      <c r="AL830" s="81">
        <v>0</v>
      </c>
      <c r="AM830" s="80">
        <v>0</v>
      </c>
      <c r="AN830" s="80">
        <v>0</v>
      </c>
      <c r="AO830" s="80">
        <v>0</v>
      </c>
    </row>
    <row r="831" spans="1:41" ht="15.75" x14ac:dyDescent="0.25">
      <c r="A831" s="84"/>
      <c r="B831" s="84"/>
      <c r="C831" s="84"/>
      <c r="D831" s="80" t="s">
        <v>246</v>
      </c>
      <c r="E831" s="80">
        <v>0</v>
      </c>
      <c r="F831" s="80">
        <v>0</v>
      </c>
      <c r="G831" s="80">
        <v>0</v>
      </c>
      <c r="H831" s="81">
        <v>1</v>
      </c>
      <c r="I831" s="81">
        <v>1</v>
      </c>
      <c r="J831" s="80">
        <v>0</v>
      </c>
      <c r="K831" s="80">
        <v>0</v>
      </c>
      <c r="L831" s="80">
        <v>0</v>
      </c>
      <c r="M831" s="80">
        <v>0</v>
      </c>
      <c r="N831" s="81">
        <v>1</v>
      </c>
      <c r="O831" s="81">
        <v>1</v>
      </c>
      <c r="P831" s="81">
        <v>0</v>
      </c>
      <c r="Q831" s="81">
        <v>0</v>
      </c>
      <c r="R831" s="80">
        <v>0</v>
      </c>
      <c r="S831" s="80">
        <v>0</v>
      </c>
      <c r="T831" s="81">
        <v>1</v>
      </c>
      <c r="U831" s="81">
        <v>1</v>
      </c>
      <c r="V831" s="81">
        <v>0</v>
      </c>
      <c r="W831" s="81">
        <v>0</v>
      </c>
      <c r="X831" s="81">
        <v>0</v>
      </c>
      <c r="Y831" s="80">
        <v>0</v>
      </c>
      <c r="Z831" s="80">
        <v>0</v>
      </c>
      <c r="AA831" s="80">
        <v>0</v>
      </c>
      <c r="AB831" s="80">
        <v>0</v>
      </c>
      <c r="AC831" s="80">
        <v>0</v>
      </c>
      <c r="AD831" s="80">
        <v>1</v>
      </c>
      <c r="AE831" s="80">
        <v>0</v>
      </c>
      <c r="AF831" s="80">
        <v>1</v>
      </c>
      <c r="AG831" s="81">
        <v>1</v>
      </c>
      <c r="AH831" s="80">
        <v>0</v>
      </c>
      <c r="AI831" s="81">
        <v>0</v>
      </c>
      <c r="AJ831" s="81">
        <v>0</v>
      </c>
      <c r="AK831" s="81">
        <v>0</v>
      </c>
      <c r="AL831" s="81">
        <v>0</v>
      </c>
      <c r="AM831" s="80">
        <v>0</v>
      </c>
      <c r="AN831" s="80">
        <v>0</v>
      </c>
      <c r="AO831" s="80">
        <v>0</v>
      </c>
    </row>
    <row r="832" spans="1:41" ht="15.75" x14ac:dyDescent="0.25">
      <c r="A832" s="84"/>
      <c r="B832" s="84"/>
      <c r="C832" s="84"/>
      <c r="D832" s="80" t="s">
        <v>247</v>
      </c>
      <c r="E832" s="80">
        <v>0</v>
      </c>
      <c r="F832" s="80">
        <v>0</v>
      </c>
      <c r="G832" s="80">
        <v>0</v>
      </c>
      <c r="H832" s="81">
        <v>0</v>
      </c>
      <c r="I832" s="81">
        <v>0</v>
      </c>
      <c r="J832" s="80">
        <v>0</v>
      </c>
      <c r="K832" s="80">
        <v>0</v>
      </c>
      <c r="L832" s="80">
        <v>0</v>
      </c>
      <c r="M832" s="80">
        <v>0</v>
      </c>
      <c r="N832" s="81">
        <v>0</v>
      </c>
      <c r="O832" s="81">
        <v>0</v>
      </c>
      <c r="P832" s="81">
        <v>0</v>
      </c>
      <c r="Q832" s="81">
        <v>0</v>
      </c>
      <c r="R832" s="80">
        <v>0</v>
      </c>
      <c r="S832" s="80">
        <v>0</v>
      </c>
      <c r="T832" s="81">
        <v>0</v>
      </c>
      <c r="U832" s="81">
        <v>0</v>
      </c>
      <c r="V832" s="81">
        <v>0</v>
      </c>
      <c r="W832" s="81">
        <v>0</v>
      </c>
      <c r="X832" s="81">
        <v>0</v>
      </c>
      <c r="Y832" s="80">
        <v>0</v>
      </c>
      <c r="Z832" s="80">
        <v>0</v>
      </c>
      <c r="AA832" s="80">
        <v>0</v>
      </c>
      <c r="AB832" s="80">
        <v>0</v>
      </c>
      <c r="AC832" s="80">
        <v>0</v>
      </c>
      <c r="AD832" s="80">
        <v>0</v>
      </c>
      <c r="AE832" s="80">
        <v>0</v>
      </c>
      <c r="AF832" s="80">
        <v>0</v>
      </c>
      <c r="AG832" s="81">
        <v>0</v>
      </c>
      <c r="AH832" s="80">
        <v>0</v>
      </c>
      <c r="AI832" s="81">
        <v>0</v>
      </c>
      <c r="AJ832" s="81">
        <v>0</v>
      </c>
      <c r="AK832" s="81">
        <v>0</v>
      </c>
      <c r="AL832" s="81">
        <v>0</v>
      </c>
      <c r="AM832" s="80">
        <v>0</v>
      </c>
      <c r="AN832" s="80">
        <v>0</v>
      </c>
      <c r="AO832" s="80">
        <v>0</v>
      </c>
    </row>
    <row r="833" spans="1:41" ht="15.75" x14ac:dyDescent="0.25">
      <c r="A833" s="84"/>
      <c r="B833" s="84"/>
      <c r="C833" s="84"/>
      <c r="D833" s="80" t="s">
        <v>248</v>
      </c>
      <c r="E833" s="80">
        <v>0</v>
      </c>
      <c r="F833" s="80">
        <v>0</v>
      </c>
      <c r="G833" s="80">
        <v>0</v>
      </c>
      <c r="H833" s="81">
        <v>1</v>
      </c>
      <c r="I833" s="81">
        <v>1</v>
      </c>
      <c r="J833" s="80">
        <v>0</v>
      </c>
      <c r="K833" s="80">
        <v>0</v>
      </c>
      <c r="L833" s="80">
        <v>0</v>
      </c>
      <c r="M833" s="80">
        <v>0</v>
      </c>
      <c r="N833" s="81">
        <v>1</v>
      </c>
      <c r="O833" s="81">
        <v>1</v>
      </c>
      <c r="P833" s="81">
        <v>0</v>
      </c>
      <c r="Q833" s="81">
        <v>0</v>
      </c>
      <c r="R833" s="80">
        <v>0</v>
      </c>
      <c r="S833" s="80">
        <v>0</v>
      </c>
      <c r="T833" s="81">
        <v>1</v>
      </c>
      <c r="U833" s="81">
        <v>1</v>
      </c>
      <c r="V833" s="81">
        <v>0</v>
      </c>
      <c r="W833" s="81">
        <v>0</v>
      </c>
      <c r="X833" s="81">
        <v>0</v>
      </c>
      <c r="Y833" s="80">
        <v>0</v>
      </c>
      <c r="Z833" s="80">
        <v>0</v>
      </c>
      <c r="AA833" s="80">
        <v>0</v>
      </c>
      <c r="AB833" s="80">
        <v>0</v>
      </c>
      <c r="AC833" s="80">
        <v>0</v>
      </c>
      <c r="AD833" s="80">
        <v>1</v>
      </c>
      <c r="AE833" s="80">
        <v>0</v>
      </c>
      <c r="AF833" s="80">
        <v>1</v>
      </c>
      <c r="AG833" s="81">
        <v>1</v>
      </c>
      <c r="AH833" s="80">
        <v>0</v>
      </c>
      <c r="AI833" s="81">
        <v>0</v>
      </c>
      <c r="AJ833" s="81">
        <v>0</v>
      </c>
      <c r="AK833" s="81">
        <v>0</v>
      </c>
      <c r="AL833" s="81">
        <v>0</v>
      </c>
      <c r="AM833" s="80">
        <v>0</v>
      </c>
      <c r="AN833" s="80">
        <v>0</v>
      </c>
      <c r="AO833" s="80">
        <v>0</v>
      </c>
    </row>
    <row r="834" spans="1:41" ht="15.75" x14ac:dyDescent="0.25">
      <c r="A834" s="84"/>
      <c r="B834" s="84"/>
      <c r="C834" s="84"/>
      <c r="D834" s="80" t="s">
        <v>258</v>
      </c>
      <c r="E834" s="80">
        <v>0</v>
      </c>
      <c r="F834" s="80">
        <v>0</v>
      </c>
      <c r="G834" s="80">
        <v>0</v>
      </c>
      <c r="H834" s="80">
        <v>0</v>
      </c>
      <c r="I834" s="80">
        <v>0</v>
      </c>
      <c r="J834" s="80">
        <v>0</v>
      </c>
      <c r="K834" s="80">
        <v>0</v>
      </c>
      <c r="L834" s="80">
        <v>0</v>
      </c>
      <c r="M834" s="80">
        <v>0</v>
      </c>
      <c r="N834" s="80">
        <v>0</v>
      </c>
      <c r="O834" s="80">
        <v>0</v>
      </c>
      <c r="P834" s="80">
        <v>0</v>
      </c>
      <c r="Q834" s="81">
        <v>0</v>
      </c>
      <c r="R834" s="80">
        <v>0</v>
      </c>
      <c r="S834" s="80">
        <v>0</v>
      </c>
      <c r="T834" s="80">
        <v>0</v>
      </c>
      <c r="U834" s="80">
        <v>0</v>
      </c>
      <c r="V834" s="80">
        <v>0</v>
      </c>
      <c r="W834" s="80">
        <v>0</v>
      </c>
      <c r="X834" s="80">
        <v>0</v>
      </c>
      <c r="Y834" s="80">
        <v>0</v>
      </c>
      <c r="Z834" s="80">
        <v>0</v>
      </c>
      <c r="AA834" s="80">
        <v>0</v>
      </c>
      <c r="AB834" s="80">
        <v>0</v>
      </c>
      <c r="AC834" s="80">
        <v>0</v>
      </c>
      <c r="AD834" s="80">
        <v>0</v>
      </c>
      <c r="AE834" s="80">
        <v>0</v>
      </c>
      <c r="AF834" s="80">
        <v>0</v>
      </c>
      <c r="AG834" s="80">
        <v>0</v>
      </c>
      <c r="AH834" s="80">
        <v>0</v>
      </c>
      <c r="AI834" s="80">
        <v>0</v>
      </c>
      <c r="AJ834" s="80">
        <v>0</v>
      </c>
      <c r="AK834" s="80">
        <v>0</v>
      </c>
      <c r="AL834" s="80">
        <v>0</v>
      </c>
      <c r="AM834" s="80">
        <v>0</v>
      </c>
      <c r="AN834" s="80">
        <v>0</v>
      </c>
      <c r="AO834" s="80">
        <v>0</v>
      </c>
    </row>
    <row r="835" spans="1:41" ht="15.75" x14ac:dyDescent="0.25">
      <c r="A835" s="84">
        <v>41</v>
      </c>
      <c r="B835" s="84"/>
      <c r="C835" s="84" t="s">
        <v>773</v>
      </c>
      <c r="D835" s="80" t="s">
        <v>245</v>
      </c>
      <c r="E835" s="80">
        <v>0</v>
      </c>
      <c r="F835" s="80">
        <v>0</v>
      </c>
      <c r="G835" s="80">
        <v>0</v>
      </c>
      <c r="H835" s="80">
        <v>1</v>
      </c>
      <c r="I835" s="80">
        <v>1</v>
      </c>
      <c r="J835" s="80">
        <v>1</v>
      </c>
      <c r="K835" s="80">
        <v>0</v>
      </c>
      <c r="L835" s="80">
        <v>0</v>
      </c>
      <c r="M835" s="80">
        <v>0</v>
      </c>
      <c r="N835" s="80">
        <v>0</v>
      </c>
      <c r="O835" s="80">
        <v>1</v>
      </c>
      <c r="P835" s="80">
        <v>0</v>
      </c>
      <c r="Q835" s="80">
        <v>0</v>
      </c>
      <c r="R835" s="80">
        <v>0</v>
      </c>
      <c r="S835" s="80">
        <v>0</v>
      </c>
      <c r="T835" s="80">
        <v>0</v>
      </c>
      <c r="U835" s="80">
        <v>1</v>
      </c>
      <c r="V835" s="80">
        <v>0</v>
      </c>
      <c r="W835" s="80">
        <v>0</v>
      </c>
      <c r="X835" s="80">
        <v>0</v>
      </c>
      <c r="Y835" s="80">
        <v>0</v>
      </c>
      <c r="Z835" s="80">
        <v>0</v>
      </c>
      <c r="AA835" s="80">
        <v>0</v>
      </c>
      <c r="AB835" s="80">
        <v>0</v>
      </c>
      <c r="AC835" s="80">
        <v>0</v>
      </c>
      <c r="AD835" s="80">
        <v>0</v>
      </c>
      <c r="AE835" s="80">
        <v>0</v>
      </c>
      <c r="AF835" s="80">
        <v>0</v>
      </c>
      <c r="AG835" s="80">
        <v>0</v>
      </c>
      <c r="AH835" s="80">
        <v>0</v>
      </c>
      <c r="AI835" s="80">
        <v>0</v>
      </c>
      <c r="AJ835" s="80">
        <v>0</v>
      </c>
      <c r="AK835" s="80">
        <v>0</v>
      </c>
      <c r="AL835" s="80">
        <v>0</v>
      </c>
      <c r="AM835" s="80">
        <v>0</v>
      </c>
      <c r="AN835" s="80">
        <v>0</v>
      </c>
      <c r="AO835" s="80">
        <v>0</v>
      </c>
    </row>
    <row r="836" spans="1:41" ht="15.75" x14ac:dyDescent="0.25">
      <c r="A836" s="84"/>
      <c r="B836" s="84"/>
      <c r="C836" s="84"/>
      <c r="D836" s="80" t="s">
        <v>246</v>
      </c>
      <c r="E836" s="80">
        <v>0</v>
      </c>
      <c r="F836" s="80">
        <v>0</v>
      </c>
      <c r="G836" s="80">
        <v>0</v>
      </c>
      <c r="H836" s="80">
        <v>0</v>
      </c>
      <c r="I836" s="80">
        <v>1</v>
      </c>
      <c r="J836" s="80">
        <v>1</v>
      </c>
      <c r="K836" s="80">
        <v>0</v>
      </c>
      <c r="L836" s="80">
        <v>0</v>
      </c>
      <c r="M836" s="80">
        <v>0</v>
      </c>
      <c r="N836" s="80">
        <v>0</v>
      </c>
      <c r="O836" s="80">
        <v>0</v>
      </c>
      <c r="P836" s="80">
        <v>0</v>
      </c>
      <c r="Q836" s="80">
        <v>0</v>
      </c>
      <c r="R836" s="80">
        <v>0</v>
      </c>
      <c r="S836" s="80">
        <v>0</v>
      </c>
      <c r="T836" s="80">
        <v>0</v>
      </c>
      <c r="U836" s="80">
        <v>0</v>
      </c>
      <c r="V836" s="80">
        <v>0</v>
      </c>
      <c r="W836" s="80">
        <v>0</v>
      </c>
      <c r="X836" s="80">
        <v>0</v>
      </c>
      <c r="Y836" s="80">
        <v>0</v>
      </c>
      <c r="Z836" s="80">
        <v>0</v>
      </c>
      <c r="AA836" s="80">
        <v>0</v>
      </c>
      <c r="AB836" s="80">
        <v>0</v>
      </c>
      <c r="AC836" s="80">
        <v>0</v>
      </c>
      <c r="AD836" s="80">
        <v>0</v>
      </c>
      <c r="AE836" s="80">
        <v>0</v>
      </c>
      <c r="AF836" s="80">
        <v>0</v>
      </c>
      <c r="AG836" s="80">
        <v>0</v>
      </c>
      <c r="AH836" s="80">
        <v>0</v>
      </c>
      <c r="AI836" s="80">
        <v>0</v>
      </c>
      <c r="AJ836" s="80">
        <v>0</v>
      </c>
      <c r="AK836" s="80">
        <v>0</v>
      </c>
      <c r="AL836" s="80">
        <v>0</v>
      </c>
      <c r="AM836" s="80">
        <v>0</v>
      </c>
      <c r="AN836" s="80">
        <v>0</v>
      </c>
      <c r="AO836" s="80">
        <v>0</v>
      </c>
    </row>
    <row r="837" spans="1:41" ht="15.75" x14ac:dyDescent="0.25">
      <c r="A837" s="84"/>
      <c r="B837" s="84"/>
      <c r="C837" s="84"/>
      <c r="D837" s="80" t="s">
        <v>247</v>
      </c>
      <c r="E837" s="80">
        <v>0</v>
      </c>
      <c r="F837" s="80">
        <v>0</v>
      </c>
      <c r="G837" s="80">
        <v>0</v>
      </c>
      <c r="H837" s="80">
        <v>1</v>
      </c>
      <c r="I837" s="80">
        <v>0</v>
      </c>
      <c r="J837" s="80">
        <v>0</v>
      </c>
      <c r="K837" s="80">
        <v>0</v>
      </c>
      <c r="L837" s="80">
        <v>0</v>
      </c>
      <c r="M837" s="80">
        <v>0</v>
      </c>
      <c r="N837" s="80">
        <v>0</v>
      </c>
      <c r="O837" s="80">
        <v>1</v>
      </c>
      <c r="P837" s="80">
        <v>0</v>
      </c>
      <c r="Q837" s="80">
        <v>0</v>
      </c>
      <c r="R837" s="80">
        <v>0</v>
      </c>
      <c r="S837" s="80">
        <v>0</v>
      </c>
      <c r="T837" s="80">
        <v>0</v>
      </c>
      <c r="U837" s="80">
        <v>1</v>
      </c>
      <c r="V837" s="80">
        <v>0</v>
      </c>
      <c r="W837" s="80">
        <v>0</v>
      </c>
      <c r="X837" s="80">
        <v>0</v>
      </c>
      <c r="Y837" s="80">
        <v>0</v>
      </c>
      <c r="Z837" s="80">
        <v>0</v>
      </c>
      <c r="AA837" s="80">
        <v>0</v>
      </c>
      <c r="AB837" s="80">
        <v>0</v>
      </c>
      <c r="AC837" s="80">
        <v>0</v>
      </c>
      <c r="AD837" s="80">
        <v>0</v>
      </c>
      <c r="AE837" s="80">
        <v>0</v>
      </c>
      <c r="AF837" s="80">
        <v>0</v>
      </c>
      <c r="AG837" s="80">
        <v>0</v>
      </c>
      <c r="AH837" s="80">
        <v>0</v>
      </c>
      <c r="AI837" s="80">
        <v>0</v>
      </c>
      <c r="AJ837" s="80">
        <v>0</v>
      </c>
      <c r="AK837" s="80">
        <v>0</v>
      </c>
      <c r="AL837" s="80">
        <v>0</v>
      </c>
      <c r="AM837" s="80">
        <v>0</v>
      </c>
      <c r="AN837" s="80">
        <v>0</v>
      </c>
      <c r="AO837" s="80">
        <v>0</v>
      </c>
    </row>
    <row r="838" spans="1:41" ht="15.75" x14ac:dyDescent="0.25">
      <c r="A838" s="84"/>
      <c r="B838" s="84"/>
      <c r="C838" s="84"/>
      <c r="D838" s="80" t="s">
        <v>248</v>
      </c>
      <c r="E838" s="80">
        <v>0</v>
      </c>
      <c r="F838" s="80">
        <v>0</v>
      </c>
      <c r="G838" s="80">
        <v>0</v>
      </c>
      <c r="H838" s="80">
        <v>0</v>
      </c>
      <c r="I838" s="80">
        <v>1</v>
      </c>
      <c r="J838" s="80">
        <v>1</v>
      </c>
      <c r="K838" s="80">
        <v>0</v>
      </c>
      <c r="L838" s="80">
        <v>0</v>
      </c>
      <c r="M838" s="80">
        <v>0</v>
      </c>
      <c r="N838" s="80">
        <v>0</v>
      </c>
      <c r="O838" s="80">
        <v>0</v>
      </c>
      <c r="P838" s="80">
        <v>0</v>
      </c>
      <c r="Q838" s="80">
        <v>0</v>
      </c>
      <c r="R838" s="80">
        <v>0</v>
      </c>
      <c r="S838" s="80">
        <v>0</v>
      </c>
      <c r="T838" s="80">
        <v>0</v>
      </c>
      <c r="U838" s="80">
        <v>0</v>
      </c>
      <c r="V838" s="80">
        <v>0</v>
      </c>
      <c r="W838" s="80">
        <v>0</v>
      </c>
      <c r="X838" s="80">
        <v>0</v>
      </c>
      <c r="Y838" s="80">
        <v>0</v>
      </c>
      <c r="Z838" s="80">
        <v>0</v>
      </c>
      <c r="AA838" s="80">
        <v>0</v>
      </c>
      <c r="AB838" s="80">
        <v>0</v>
      </c>
      <c r="AC838" s="80">
        <v>0</v>
      </c>
      <c r="AD838" s="80">
        <v>0</v>
      </c>
      <c r="AE838" s="80">
        <v>0</v>
      </c>
      <c r="AF838" s="80">
        <v>0</v>
      </c>
      <c r="AG838" s="80">
        <v>0</v>
      </c>
      <c r="AH838" s="80">
        <v>0</v>
      </c>
      <c r="AI838" s="80">
        <v>0</v>
      </c>
      <c r="AJ838" s="80">
        <v>0</v>
      </c>
      <c r="AK838" s="80">
        <v>0</v>
      </c>
      <c r="AL838" s="80">
        <v>0</v>
      </c>
      <c r="AM838" s="80">
        <v>0</v>
      </c>
      <c r="AN838" s="80">
        <v>0</v>
      </c>
      <c r="AO838" s="80">
        <v>0</v>
      </c>
    </row>
    <row r="839" spans="1:41" ht="15.75" x14ac:dyDescent="0.25">
      <c r="A839" s="84"/>
      <c r="B839" s="84"/>
      <c r="C839" s="84"/>
      <c r="D839" s="80" t="s">
        <v>258</v>
      </c>
      <c r="E839" s="80">
        <v>0</v>
      </c>
      <c r="F839" s="80">
        <v>0</v>
      </c>
      <c r="G839" s="80">
        <v>0</v>
      </c>
      <c r="H839" s="80">
        <v>0</v>
      </c>
      <c r="I839" s="80">
        <v>0</v>
      </c>
      <c r="J839" s="80">
        <v>0</v>
      </c>
      <c r="K839" s="80">
        <v>0</v>
      </c>
      <c r="L839" s="80">
        <v>0</v>
      </c>
      <c r="M839" s="80">
        <v>0</v>
      </c>
      <c r="N839" s="80">
        <v>0</v>
      </c>
      <c r="O839" s="80">
        <v>0</v>
      </c>
      <c r="P839" s="80">
        <v>0</v>
      </c>
      <c r="Q839" s="80">
        <v>0</v>
      </c>
      <c r="R839" s="80">
        <v>0</v>
      </c>
      <c r="S839" s="80">
        <v>0</v>
      </c>
      <c r="T839" s="80">
        <v>0</v>
      </c>
      <c r="U839" s="80">
        <v>0</v>
      </c>
      <c r="V839" s="80">
        <v>0</v>
      </c>
      <c r="W839" s="80">
        <v>0</v>
      </c>
      <c r="X839" s="80">
        <v>0</v>
      </c>
      <c r="Y839" s="80">
        <v>0</v>
      </c>
      <c r="Z839" s="80">
        <v>0</v>
      </c>
      <c r="AA839" s="80">
        <v>0</v>
      </c>
      <c r="AB839" s="80">
        <v>0</v>
      </c>
      <c r="AC839" s="80">
        <v>0</v>
      </c>
      <c r="AD839" s="80">
        <v>0</v>
      </c>
      <c r="AE839" s="80">
        <v>0</v>
      </c>
      <c r="AF839" s="80">
        <v>0</v>
      </c>
      <c r="AG839" s="80">
        <v>0</v>
      </c>
      <c r="AH839" s="80">
        <v>0</v>
      </c>
      <c r="AI839" s="80">
        <v>0</v>
      </c>
      <c r="AJ839" s="80">
        <v>0</v>
      </c>
      <c r="AK839" s="80">
        <v>0</v>
      </c>
      <c r="AL839" s="80">
        <v>0</v>
      </c>
      <c r="AM839" s="80">
        <v>0</v>
      </c>
      <c r="AN839" s="80">
        <v>0</v>
      </c>
      <c r="AO839" s="80">
        <v>0</v>
      </c>
    </row>
    <row r="840" spans="1:41" ht="15.75" x14ac:dyDescent="0.25">
      <c r="A840" s="84">
        <v>42</v>
      </c>
      <c r="B840" s="84" t="s">
        <v>257</v>
      </c>
      <c r="C840" s="84" t="s">
        <v>257</v>
      </c>
      <c r="D840" s="80" t="s">
        <v>245</v>
      </c>
      <c r="E840" s="80">
        <v>0</v>
      </c>
      <c r="F840" s="80">
        <v>0</v>
      </c>
      <c r="G840" s="80">
        <v>0</v>
      </c>
      <c r="H840" s="81">
        <v>0</v>
      </c>
      <c r="I840" s="81">
        <v>1</v>
      </c>
      <c r="J840" s="80">
        <v>1</v>
      </c>
      <c r="K840" s="80">
        <v>0</v>
      </c>
      <c r="L840" s="80">
        <v>0</v>
      </c>
      <c r="M840" s="80">
        <v>1</v>
      </c>
      <c r="N840" s="81">
        <v>1</v>
      </c>
      <c r="O840" s="81">
        <v>1</v>
      </c>
      <c r="P840" s="80">
        <v>1</v>
      </c>
      <c r="Q840" s="81">
        <v>1</v>
      </c>
      <c r="R840" s="80">
        <v>0</v>
      </c>
      <c r="S840" s="80">
        <v>0</v>
      </c>
      <c r="T840" s="81">
        <v>0</v>
      </c>
      <c r="U840" s="81">
        <v>2</v>
      </c>
      <c r="V840" s="81">
        <v>1</v>
      </c>
      <c r="W840" s="81">
        <v>0</v>
      </c>
      <c r="X840" s="81">
        <v>0</v>
      </c>
      <c r="Y840" s="81">
        <v>0</v>
      </c>
      <c r="Z840" s="81">
        <v>0</v>
      </c>
      <c r="AA840" s="81">
        <v>0</v>
      </c>
      <c r="AB840" s="81">
        <v>0</v>
      </c>
      <c r="AC840" s="81">
        <v>0</v>
      </c>
      <c r="AD840" s="81">
        <v>0</v>
      </c>
      <c r="AE840" s="81">
        <v>0</v>
      </c>
      <c r="AF840" s="81">
        <v>0</v>
      </c>
      <c r="AG840" s="81">
        <v>0</v>
      </c>
      <c r="AH840" s="81">
        <v>0</v>
      </c>
      <c r="AI840" s="81">
        <v>0</v>
      </c>
      <c r="AJ840" s="81">
        <v>0</v>
      </c>
      <c r="AK840" s="81">
        <v>0</v>
      </c>
      <c r="AL840" s="81">
        <v>0</v>
      </c>
      <c r="AM840" s="80">
        <v>0</v>
      </c>
      <c r="AN840" s="80">
        <v>0</v>
      </c>
      <c r="AO840" s="80">
        <v>0</v>
      </c>
    </row>
    <row r="841" spans="1:41" ht="15.75" x14ac:dyDescent="0.25">
      <c r="A841" s="84"/>
      <c r="B841" s="84"/>
      <c r="C841" s="84"/>
      <c r="D841" s="80" t="s">
        <v>246</v>
      </c>
      <c r="E841" s="80">
        <v>0</v>
      </c>
      <c r="F841" s="80">
        <v>0</v>
      </c>
      <c r="G841" s="80">
        <v>0</v>
      </c>
      <c r="H841" s="80">
        <v>0</v>
      </c>
      <c r="I841" s="81">
        <v>1</v>
      </c>
      <c r="J841" s="80">
        <v>1</v>
      </c>
      <c r="K841" s="80">
        <v>0</v>
      </c>
      <c r="L841" s="80">
        <v>0</v>
      </c>
      <c r="M841" s="80">
        <v>1</v>
      </c>
      <c r="N841" s="81">
        <v>1</v>
      </c>
      <c r="O841" s="81">
        <v>1</v>
      </c>
      <c r="P841" s="80">
        <v>1</v>
      </c>
      <c r="Q841" s="81">
        <v>1</v>
      </c>
      <c r="R841" s="80">
        <v>0</v>
      </c>
      <c r="S841" s="80">
        <v>0</v>
      </c>
      <c r="T841" s="81">
        <v>0</v>
      </c>
      <c r="U841" s="81">
        <v>2</v>
      </c>
      <c r="V841" s="81">
        <v>1</v>
      </c>
      <c r="W841" s="81">
        <v>0</v>
      </c>
      <c r="X841" s="81">
        <v>0</v>
      </c>
      <c r="Y841" s="81">
        <v>0</v>
      </c>
      <c r="Z841" s="81">
        <v>0</v>
      </c>
      <c r="AA841" s="81">
        <v>0</v>
      </c>
      <c r="AB841" s="81">
        <v>0</v>
      </c>
      <c r="AC841" s="81">
        <v>0</v>
      </c>
      <c r="AD841" s="81">
        <v>0</v>
      </c>
      <c r="AE841" s="81">
        <v>0</v>
      </c>
      <c r="AF841" s="81">
        <v>0</v>
      </c>
      <c r="AG841" s="81">
        <v>0</v>
      </c>
      <c r="AH841" s="81">
        <v>0</v>
      </c>
      <c r="AI841" s="81">
        <v>0</v>
      </c>
      <c r="AJ841" s="81">
        <v>0</v>
      </c>
      <c r="AK841" s="81">
        <v>0</v>
      </c>
      <c r="AL841" s="81">
        <v>0</v>
      </c>
      <c r="AM841" s="80">
        <v>0</v>
      </c>
      <c r="AN841" s="80">
        <v>0</v>
      </c>
      <c r="AO841" s="80">
        <v>0</v>
      </c>
    </row>
    <row r="842" spans="1:41" ht="15.75" x14ac:dyDescent="0.25">
      <c r="A842" s="84"/>
      <c r="B842" s="84"/>
      <c r="C842" s="84"/>
      <c r="D842" s="80" t="s">
        <v>247</v>
      </c>
      <c r="E842" s="80">
        <v>0</v>
      </c>
      <c r="F842" s="80">
        <v>0</v>
      </c>
      <c r="G842" s="80">
        <v>0</v>
      </c>
      <c r="H842" s="80">
        <v>0</v>
      </c>
      <c r="I842" s="81">
        <v>0</v>
      </c>
      <c r="J842" s="80">
        <v>0</v>
      </c>
      <c r="K842" s="80">
        <v>0</v>
      </c>
      <c r="L842" s="80">
        <v>0</v>
      </c>
      <c r="M842" s="80">
        <v>0</v>
      </c>
      <c r="N842" s="81">
        <v>0</v>
      </c>
      <c r="O842" s="81">
        <v>0</v>
      </c>
      <c r="P842" s="80">
        <v>0</v>
      </c>
      <c r="Q842" s="81">
        <v>0</v>
      </c>
      <c r="R842" s="80">
        <v>0</v>
      </c>
      <c r="S842" s="80">
        <v>0</v>
      </c>
      <c r="T842" s="81">
        <v>0</v>
      </c>
      <c r="U842" s="81">
        <v>0</v>
      </c>
      <c r="V842" s="81">
        <v>0</v>
      </c>
      <c r="W842" s="81">
        <v>0</v>
      </c>
      <c r="X842" s="81">
        <v>0</v>
      </c>
      <c r="Y842" s="81">
        <v>0</v>
      </c>
      <c r="Z842" s="81">
        <v>0</v>
      </c>
      <c r="AA842" s="81">
        <v>0</v>
      </c>
      <c r="AB842" s="81">
        <v>0</v>
      </c>
      <c r="AC842" s="81">
        <v>0</v>
      </c>
      <c r="AD842" s="81">
        <v>0</v>
      </c>
      <c r="AE842" s="81">
        <v>0</v>
      </c>
      <c r="AF842" s="81">
        <v>0</v>
      </c>
      <c r="AG842" s="81">
        <v>0</v>
      </c>
      <c r="AH842" s="81">
        <v>0</v>
      </c>
      <c r="AI842" s="81">
        <v>0</v>
      </c>
      <c r="AJ842" s="81">
        <v>0</v>
      </c>
      <c r="AK842" s="81">
        <v>0</v>
      </c>
      <c r="AL842" s="81">
        <v>0</v>
      </c>
      <c r="AM842" s="80">
        <v>0</v>
      </c>
      <c r="AN842" s="80">
        <v>0</v>
      </c>
      <c r="AO842" s="80">
        <v>0</v>
      </c>
    </row>
    <row r="843" spans="1:41" ht="15.75" x14ac:dyDescent="0.25">
      <c r="A843" s="84"/>
      <c r="B843" s="84"/>
      <c r="C843" s="84"/>
      <c r="D843" s="80" t="s">
        <v>248</v>
      </c>
      <c r="E843" s="80">
        <v>0</v>
      </c>
      <c r="F843" s="80">
        <v>0</v>
      </c>
      <c r="G843" s="80">
        <v>0</v>
      </c>
      <c r="H843" s="80">
        <v>0</v>
      </c>
      <c r="I843" s="81">
        <v>1</v>
      </c>
      <c r="J843" s="80">
        <v>1</v>
      </c>
      <c r="K843" s="80">
        <v>0</v>
      </c>
      <c r="L843" s="80">
        <v>0</v>
      </c>
      <c r="M843" s="80">
        <v>1</v>
      </c>
      <c r="N843" s="81">
        <v>1</v>
      </c>
      <c r="O843" s="81">
        <v>1</v>
      </c>
      <c r="P843" s="80">
        <v>1</v>
      </c>
      <c r="Q843" s="81">
        <v>1</v>
      </c>
      <c r="R843" s="80">
        <v>0</v>
      </c>
      <c r="S843" s="80">
        <v>0</v>
      </c>
      <c r="T843" s="81">
        <v>0</v>
      </c>
      <c r="U843" s="81">
        <v>0</v>
      </c>
      <c r="V843" s="81">
        <v>1</v>
      </c>
      <c r="W843" s="81">
        <v>0</v>
      </c>
      <c r="X843" s="81">
        <v>0</v>
      </c>
      <c r="Y843" s="81">
        <v>0</v>
      </c>
      <c r="Z843" s="81">
        <v>0</v>
      </c>
      <c r="AA843" s="81">
        <v>0</v>
      </c>
      <c r="AB843" s="81">
        <v>0</v>
      </c>
      <c r="AC843" s="81">
        <v>0</v>
      </c>
      <c r="AD843" s="81">
        <v>0</v>
      </c>
      <c r="AE843" s="81">
        <v>0</v>
      </c>
      <c r="AF843" s="81">
        <v>0</v>
      </c>
      <c r="AG843" s="81">
        <v>0</v>
      </c>
      <c r="AH843" s="81">
        <v>0</v>
      </c>
      <c r="AI843" s="81">
        <v>0</v>
      </c>
      <c r="AJ843" s="81">
        <v>0</v>
      </c>
      <c r="AK843" s="81">
        <v>0</v>
      </c>
      <c r="AL843" s="81">
        <v>0</v>
      </c>
      <c r="AM843" s="80">
        <v>0</v>
      </c>
      <c r="AN843" s="80">
        <v>0</v>
      </c>
      <c r="AO843" s="80">
        <v>0</v>
      </c>
    </row>
    <row r="844" spans="1:41" ht="15.75" x14ac:dyDescent="0.25">
      <c r="A844" s="84"/>
      <c r="B844" s="84"/>
      <c r="C844" s="84"/>
      <c r="D844" s="80" t="s">
        <v>258</v>
      </c>
      <c r="E844" s="80">
        <v>0</v>
      </c>
      <c r="F844" s="80">
        <v>0</v>
      </c>
      <c r="G844" s="80">
        <v>0</v>
      </c>
      <c r="H844" s="80">
        <v>0</v>
      </c>
      <c r="I844" s="80">
        <v>0</v>
      </c>
      <c r="J844" s="80">
        <v>0</v>
      </c>
      <c r="K844" s="80">
        <v>0</v>
      </c>
      <c r="L844" s="80">
        <v>0</v>
      </c>
      <c r="M844" s="80">
        <v>0</v>
      </c>
      <c r="N844" s="80">
        <v>0</v>
      </c>
      <c r="O844" s="80">
        <v>0</v>
      </c>
      <c r="P844" s="80">
        <v>0</v>
      </c>
      <c r="Q844" s="80">
        <v>0</v>
      </c>
      <c r="R844" s="80">
        <v>0</v>
      </c>
      <c r="S844" s="80">
        <v>0</v>
      </c>
      <c r="T844" s="80">
        <v>0</v>
      </c>
      <c r="U844" s="80">
        <v>2</v>
      </c>
      <c r="V844" s="80">
        <v>0</v>
      </c>
      <c r="W844" s="80">
        <v>0</v>
      </c>
      <c r="X844" s="80">
        <v>0</v>
      </c>
      <c r="Y844" s="80">
        <v>0</v>
      </c>
      <c r="Z844" s="80">
        <v>0</v>
      </c>
      <c r="AA844" s="80">
        <v>0</v>
      </c>
      <c r="AB844" s="80">
        <v>0</v>
      </c>
      <c r="AC844" s="80">
        <v>0</v>
      </c>
      <c r="AD844" s="80">
        <v>0</v>
      </c>
      <c r="AE844" s="80">
        <v>0</v>
      </c>
      <c r="AF844" s="80">
        <v>0</v>
      </c>
      <c r="AG844" s="80">
        <v>0</v>
      </c>
      <c r="AH844" s="80">
        <v>0</v>
      </c>
      <c r="AI844" s="80">
        <v>0</v>
      </c>
      <c r="AJ844" s="80">
        <v>0</v>
      </c>
      <c r="AK844" s="80">
        <v>0</v>
      </c>
      <c r="AL844" s="80">
        <v>0</v>
      </c>
      <c r="AM844" s="80">
        <v>0</v>
      </c>
      <c r="AN844" s="80">
        <v>0</v>
      </c>
      <c r="AO844" s="80">
        <v>0</v>
      </c>
    </row>
    <row r="845" spans="1:41" ht="15.75" x14ac:dyDescent="0.25">
      <c r="A845" s="84">
        <v>43</v>
      </c>
      <c r="B845" s="84"/>
      <c r="C845" s="84" t="s">
        <v>264</v>
      </c>
      <c r="D845" s="80" t="s">
        <v>245</v>
      </c>
      <c r="E845" s="80">
        <v>0</v>
      </c>
      <c r="F845" s="80">
        <v>0</v>
      </c>
      <c r="G845" s="80">
        <v>0</v>
      </c>
      <c r="H845" s="80">
        <v>1</v>
      </c>
      <c r="I845" s="80">
        <v>1</v>
      </c>
      <c r="J845" s="80">
        <v>1</v>
      </c>
      <c r="K845" s="80">
        <v>0</v>
      </c>
      <c r="L845" s="80">
        <v>1</v>
      </c>
      <c r="M845" s="80">
        <v>0</v>
      </c>
      <c r="N845" s="80">
        <v>0</v>
      </c>
      <c r="O845" s="80">
        <v>0</v>
      </c>
      <c r="P845" s="80">
        <v>0</v>
      </c>
      <c r="Q845" s="80">
        <v>1</v>
      </c>
      <c r="R845" s="80">
        <v>0</v>
      </c>
      <c r="S845" s="80">
        <v>0</v>
      </c>
      <c r="T845" s="80">
        <v>0</v>
      </c>
      <c r="U845" s="80">
        <v>2</v>
      </c>
      <c r="V845" s="80">
        <v>0</v>
      </c>
      <c r="W845" s="80">
        <v>0</v>
      </c>
      <c r="X845" s="80">
        <v>0</v>
      </c>
      <c r="Y845" s="80">
        <v>0</v>
      </c>
      <c r="Z845" s="80">
        <v>0</v>
      </c>
      <c r="AA845" s="80">
        <v>0</v>
      </c>
      <c r="AB845" s="80">
        <v>0</v>
      </c>
      <c r="AC845" s="80">
        <v>0</v>
      </c>
      <c r="AD845" s="80">
        <v>0</v>
      </c>
      <c r="AE845" s="80">
        <v>0</v>
      </c>
      <c r="AF845" s="80">
        <v>0</v>
      </c>
      <c r="AG845" s="80">
        <v>0</v>
      </c>
      <c r="AH845" s="80">
        <v>0</v>
      </c>
      <c r="AI845" s="80">
        <v>0</v>
      </c>
      <c r="AJ845" s="80">
        <v>0</v>
      </c>
      <c r="AK845" s="80">
        <v>0</v>
      </c>
      <c r="AL845" s="80">
        <v>0</v>
      </c>
      <c r="AM845" s="80">
        <v>0</v>
      </c>
      <c r="AN845" s="80">
        <v>0</v>
      </c>
      <c r="AO845" s="80">
        <v>0</v>
      </c>
    </row>
    <row r="846" spans="1:41" ht="15.75" x14ac:dyDescent="0.25">
      <c r="A846" s="84"/>
      <c r="B846" s="84"/>
      <c r="C846" s="84"/>
      <c r="D846" s="80" t="s">
        <v>246</v>
      </c>
      <c r="E846" s="80">
        <v>0</v>
      </c>
      <c r="F846" s="80">
        <v>0</v>
      </c>
      <c r="G846" s="80">
        <v>0</v>
      </c>
      <c r="H846" s="80">
        <v>1</v>
      </c>
      <c r="I846" s="80">
        <v>1</v>
      </c>
      <c r="J846" s="80">
        <v>1</v>
      </c>
      <c r="K846" s="80">
        <v>0</v>
      </c>
      <c r="L846" s="80">
        <v>1</v>
      </c>
      <c r="M846" s="80">
        <v>0</v>
      </c>
      <c r="N846" s="80">
        <v>0</v>
      </c>
      <c r="O846" s="80">
        <v>0</v>
      </c>
      <c r="P846" s="80">
        <v>0</v>
      </c>
      <c r="Q846" s="80">
        <v>1</v>
      </c>
      <c r="R846" s="80">
        <v>0</v>
      </c>
      <c r="S846" s="80">
        <v>0</v>
      </c>
      <c r="T846" s="80">
        <v>0</v>
      </c>
      <c r="U846" s="80">
        <v>2</v>
      </c>
      <c r="V846" s="80">
        <v>0</v>
      </c>
      <c r="W846" s="80">
        <v>0</v>
      </c>
      <c r="X846" s="80">
        <v>0</v>
      </c>
      <c r="Y846" s="80">
        <v>0</v>
      </c>
      <c r="Z846" s="80">
        <v>0</v>
      </c>
      <c r="AA846" s="80">
        <v>0</v>
      </c>
      <c r="AB846" s="80">
        <v>0</v>
      </c>
      <c r="AC846" s="80">
        <v>0</v>
      </c>
      <c r="AD846" s="80">
        <v>0</v>
      </c>
      <c r="AE846" s="80">
        <v>0</v>
      </c>
      <c r="AF846" s="80">
        <v>0</v>
      </c>
      <c r="AG846" s="80">
        <v>0</v>
      </c>
      <c r="AH846" s="80">
        <v>0</v>
      </c>
      <c r="AI846" s="80">
        <v>0</v>
      </c>
      <c r="AJ846" s="80">
        <v>0</v>
      </c>
      <c r="AK846" s="80">
        <v>0</v>
      </c>
      <c r="AL846" s="80">
        <v>0</v>
      </c>
      <c r="AM846" s="80">
        <v>0</v>
      </c>
      <c r="AN846" s="80">
        <v>0</v>
      </c>
      <c r="AO846" s="80">
        <v>0</v>
      </c>
    </row>
    <row r="847" spans="1:41" ht="15.75" x14ac:dyDescent="0.25">
      <c r="A847" s="84"/>
      <c r="B847" s="84"/>
      <c r="C847" s="84"/>
      <c r="D847" s="80" t="s">
        <v>247</v>
      </c>
      <c r="E847" s="80">
        <v>0</v>
      </c>
      <c r="F847" s="80">
        <v>0</v>
      </c>
      <c r="G847" s="80">
        <v>0</v>
      </c>
      <c r="H847" s="80">
        <v>0</v>
      </c>
      <c r="I847" s="80">
        <v>0</v>
      </c>
      <c r="J847" s="80">
        <v>0</v>
      </c>
      <c r="K847" s="80">
        <v>0</v>
      </c>
      <c r="L847" s="80">
        <v>0</v>
      </c>
      <c r="M847" s="80">
        <v>0</v>
      </c>
      <c r="N847" s="80">
        <v>0</v>
      </c>
      <c r="O847" s="80">
        <v>0</v>
      </c>
      <c r="P847" s="80">
        <v>0</v>
      </c>
      <c r="Q847" s="80">
        <v>0</v>
      </c>
      <c r="R847" s="80">
        <v>0</v>
      </c>
      <c r="S847" s="80">
        <v>0</v>
      </c>
      <c r="T847" s="80">
        <v>0</v>
      </c>
      <c r="U847" s="80">
        <v>0</v>
      </c>
      <c r="V847" s="80">
        <v>0</v>
      </c>
      <c r="W847" s="80">
        <v>0</v>
      </c>
      <c r="X847" s="80">
        <v>0</v>
      </c>
      <c r="Y847" s="80">
        <v>0</v>
      </c>
      <c r="Z847" s="80">
        <v>0</v>
      </c>
      <c r="AA847" s="80">
        <v>0</v>
      </c>
      <c r="AB847" s="80">
        <v>0</v>
      </c>
      <c r="AC847" s="80">
        <v>0</v>
      </c>
      <c r="AD847" s="80">
        <v>0</v>
      </c>
      <c r="AE847" s="80">
        <v>0</v>
      </c>
      <c r="AF847" s="80">
        <v>0</v>
      </c>
      <c r="AG847" s="80">
        <v>0</v>
      </c>
      <c r="AH847" s="80">
        <v>0</v>
      </c>
      <c r="AI847" s="80">
        <v>0</v>
      </c>
      <c r="AJ847" s="80">
        <v>0</v>
      </c>
      <c r="AK847" s="80">
        <v>0</v>
      </c>
      <c r="AL847" s="80">
        <v>0</v>
      </c>
      <c r="AM847" s="80">
        <v>0</v>
      </c>
      <c r="AN847" s="80">
        <v>0</v>
      </c>
      <c r="AO847" s="80">
        <v>0</v>
      </c>
    </row>
    <row r="848" spans="1:41" ht="15.75" x14ac:dyDescent="0.25">
      <c r="A848" s="84"/>
      <c r="B848" s="84"/>
      <c r="C848" s="84"/>
      <c r="D848" s="80" t="s">
        <v>248</v>
      </c>
      <c r="E848" s="80">
        <v>0</v>
      </c>
      <c r="F848" s="80">
        <v>0</v>
      </c>
      <c r="G848" s="80">
        <v>0</v>
      </c>
      <c r="H848" s="80">
        <v>1</v>
      </c>
      <c r="I848" s="80">
        <v>0</v>
      </c>
      <c r="J848" s="80">
        <v>1</v>
      </c>
      <c r="K848" s="80">
        <v>0</v>
      </c>
      <c r="L848" s="80">
        <v>1</v>
      </c>
      <c r="M848" s="80">
        <v>0</v>
      </c>
      <c r="N848" s="80">
        <v>0</v>
      </c>
      <c r="O848" s="80">
        <v>0</v>
      </c>
      <c r="P848" s="80">
        <v>0</v>
      </c>
      <c r="Q848" s="80">
        <v>1</v>
      </c>
      <c r="R848" s="80">
        <v>0</v>
      </c>
      <c r="S848" s="80">
        <v>0</v>
      </c>
      <c r="T848" s="80">
        <v>0</v>
      </c>
      <c r="U848" s="80">
        <v>2</v>
      </c>
      <c r="V848" s="80">
        <v>0</v>
      </c>
      <c r="W848" s="80">
        <v>0</v>
      </c>
      <c r="X848" s="80">
        <v>0</v>
      </c>
      <c r="Y848" s="80">
        <v>0</v>
      </c>
      <c r="Z848" s="80">
        <v>0</v>
      </c>
      <c r="AA848" s="80">
        <v>0</v>
      </c>
      <c r="AB848" s="80">
        <v>0</v>
      </c>
      <c r="AC848" s="80">
        <v>0</v>
      </c>
      <c r="AD848" s="80">
        <v>0</v>
      </c>
      <c r="AE848" s="80">
        <v>0</v>
      </c>
      <c r="AF848" s="80">
        <v>0</v>
      </c>
      <c r="AG848" s="80">
        <v>0</v>
      </c>
      <c r="AH848" s="80">
        <v>0</v>
      </c>
      <c r="AI848" s="80">
        <v>0</v>
      </c>
      <c r="AJ848" s="80">
        <v>0</v>
      </c>
      <c r="AK848" s="80">
        <v>0</v>
      </c>
      <c r="AL848" s="80">
        <v>0</v>
      </c>
      <c r="AM848" s="80">
        <v>0</v>
      </c>
      <c r="AN848" s="80">
        <v>0</v>
      </c>
      <c r="AO848" s="80">
        <v>0</v>
      </c>
    </row>
    <row r="849" spans="1:41" ht="15.75" x14ac:dyDescent="0.25">
      <c r="A849" s="84"/>
      <c r="B849" s="84"/>
      <c r="C849" s="84"/>
      <c r="D849" s="80" t="s">
        <v>258</v>
      </c>
      <c r="E849" s="80">
        <v>0</v>
      </c>
      <c r="F849" s="80">
        <v>0</v>
      </c>
      <c r="G849" s="80">
        <v>0</v>
      </c>
      <c r="H849" s="80">
        <v>0</v>
      </c>
      <c r="I849" s="80">
        <v>1</v>
      </c>
      <c r="J849" s="80">
        <v>0</v>
      </c>
      <c r="K849" s="80">
        <v>0</v>
      </c>
      <c r="L849" s="80">
        <v>0</v>
      </c>
      <c r="M849" s="80">
        <v>0</v>
      </c>
      <c r="N849" s="80">
        <v>0</v>
      </c>
      <c r="O849" s="80">
        <v>0</v>
      </c>
      <c r="P849" s="80">
        <v>0</v>
      </c>
      <c r="Q849" s="80">
        <v>0</v>
      </c>
      <c r="R849" s="80">
        <v>0</v>
      </c>
      <c r="S849" s="80">
        <v>0</v>
      </c>
      <c r="T849" s="80">
        <v>0</v>
      </c>
      <c r="U849" s="80">
        <v>0</v>
      </c>
      <c r="V849" s="80">
        <v>0</v>
      </c>
      <c r="W849" s="80">
        <v>0</v>
      </c>
      <c r="X849" s="80">
        <v>0</v>
      </c>
      <c r="Y849" s="80">
        <v>0</v>
      </c>
      <c r="Z849" s="80">
        <v>0</v>
      </c>
      <c r="AA849" s="80">
        <v>0</v>
      </c>
      <c r="AB849" s="80">
        <v>0</v>
      </c>
      <c r="AC849" s="80">
        <v>0</v>
      </c>
      <c r="AD849" s="80">
        <v>0</v>
      </c>
      <c r="AE849" s="80">
        <v>0</v>
      </c>
      <c r="AF849" s="80">
        <v>0</v>
      </c>
      <c r="AG849" s="80">
        <v>0</v>
      </c>
      <c r="AH849" s="80">
        <v>0</v>
      </c>
      <c r="AI849" s="80">
        <v>0</v>
      </c>
      <c r="AJ849" s="80">
        <v>0</v>
      </c>
      <c r="AK849" s="80">
        <v>0</v>
      </c>
      <c r="AL849" s="80">
        <v>0</v>
      </c>
      <c r="AM849" s="80">
        <v>0</v>
      </c>
      <c r="AN849" s="80">
        <v>0</v>
      </c>
      <c r="AO849" s="80">
        <v>0</v>
      </c>
    </row>
    <row r="850" spans="1:41" ht="15.75" x14ac:dyDescent="0.25">
      <c r="A850" s="84">
        <v>44</v>
      </c>
      <c r="B850" s="84"/>
      <c r="C850" s="84" t="s">
        <v>265</v>
      </c>
      <c r="D850" s="80" t="s">
        <v>245</v>
      </c>
      <c r="E850" s="80">
        <v>0</v>
      </c>
      <c r="F850" s="80">
        <v>0</v>
      </c>
      <c r="G850" s="80">
        <v>0</v>
      </c>
      <c r="H850" s="80">
        <v>0</v>
      </c>
      <c r="I850" s="80">
        <v>1</v>
      </c>
      <c r="J850" s="80">
        <v>0</v>
      </c>
      <c r="K850" s="80">
        <v>0</v>
      </c>
      <c r="L850" s="80">
        <v>0</v>
      </c>
      <c r="M850" s="80">
        <v>0</v>
      </c>
      <c r="N850" s="80">
        <v>0</v>
      </c>
      <c r="O850" s="80">
        <v>0</v>
      </c>
      <c r="P850" s="80">
        <v>1</v>
      </c>
      <c r="Q850" s="80">
        <v>1</v>
      </c>
      <c r="R850" s="80">
        <v>0</v>
      </c>
      <c r="S850" s="80">
        <v>0</v>
      </c>
      <c r="T850" s="80">
        <v>0</v>
      </c>
      <c r="U850" s="80">
        <v>2</v>
      </c>
      <c r="V850" s="80">
        <v>1</v>
      </c>
      <c r="W850" s="80">
        <v>0</v>
      </c>
      <c r="X850" s="80">
        <v>0</v>
      </c>
      <c r="Y850" s="80">
        <v>0</v>
      </c>
      <c r="Z850" s="80">
        <v>1</v>
      </c>
      <c r="AA850" s="80">
        <v>0</v>
      </c>
      <c r="AB850" s="80">
        <v>1</v>
      </c>
      <c r="AC850" s="80">
        <v>0</v>
      </c>
      <c r="AD850" s="80">
        <v>1</v>
      </c>
      <c r="AE850" s="80">
        <v>1</v>
      </c>
      <c r="AF850" s="80">
        <v>0</v>
      </c>
      <c r="AG850" s="80">
        <v>0</v>
      </c>
      <c r="AH850" s="80">
        <v>0</v>
      </c>
      <c r="AI850" s="80">
        <v>0</v>
      </c>
      <c r="AJ850" s="80">
        <v>0</v>
      </c>
      <c r="AK850" s="80">
        <v>0</v>
      </c>
      <c r="AL850" s="80">
        <v>0</v>
      </c>
      <c r="AM850" s="80">
        <v>0</v>
      </c>
      <c r="AN850" s="80">
        <v>0</v>
      </c>
      <c r="AO850" s="80">
        <v>0</v>
      </c>
    </row>
    <row r="851" spans="1:41" ht="15.75" x14ac:dyDescent="0.25">
      <c r="A851" s="84"/>
      <c r="B851" s="84"/>
      <c r="C851" s="84"/>
      <c r="D851" s="80" t="s">
        <v>246</v>
      </c>
      <c r="E851" s="80">
        <v>0</v>
      </c>
      <c r="F851" s="80">
        <v>0</v>
      </c>
      <c r="G851" s="80">
        <v>0</v>
      </c>
      <c r="H851" s="80">
        <v>0</v>
      </c>
      <c r="I851" s="80">
        <v>1</v>
      </c>
      <c r="J851" s="80">
        <v>0</v>
      </c>
      <c r="K851" s="80">
        <v>0</v>
      </c>
      <c r="L851" s="80">
        <v>0</v>
      </c>
      <c r="M851" s="80">
        <v>0</v>
      </c>
      <c r="N851" s="80">
        <v>0</v>
      </c>
      <c r="O851" s="80">
        <v>0</v>
      </c>
      <c r="P851" s="80">
        <v>1</v>
      </c>
      <c r="Q851" s="80">
        <v>1</v>
      </c>
      <c r="R851" s="80">
        <v>0</v>
      </c>
      <c r="S851" s="80">
        <v>0</v>
      </c>
      <c r="T851" s="80">
        <v>0</v>
      </c>
      <c r="U851" s="80">
        <v>2</v>
      </c>
      <c r="V851" s="80">
        <v>1</v>
      </c>
      <c r="W851" s="80">
        <v>0</v>
      </c>
      <c r="X851" s="80">
        <v>0</v>
      </c>
      <c r="Y851" s="80">
        <v>0</v>
      </c>
      <c r="Z851" s="80">
        <v>1</v>
      </c>
      <c r="AA851" s="80">
        <v>0</v>
      </c>
      <c r="AB851" s="80">
        <v>1</v>
      </c>
      <c r="AC851" s="80">
        <v>0</v>
      </c>
      <c r="AD851" s="80">
        <v>1</v>
      </c>
      <c r="AE851" s="80">
        <v>1</v>
      </c>
      <c r="AF851" s="80">
        <v>0</v>
      </c>
      <c r="AG851" s="80">
        <v>0</v>
      </c>
      <c r="AH851" s="80">
        <v>0</v>
      </c>
      <c r="AI851" s="80">
        <v>0</v>
      </c>
      <c r="AJ851" s="80">
        <v>0</v>
      </c>
      <c r="AK851" s="80">
        <v>0</v>
      </c>
      <c r="AL851" s="80">
        <v>0</v>
      </c>
      <c r="AM851" s="80">
        <v>0</v>
      </c>
      <c r="AN851" s="80">
        <v>0</v>
      </c>
      <c r="AO851" s="80">
        <v>0</v>
      </c>
    </row>
    <row r="852" spans="1:41" ht="15.75" x14ac:dyDescent="0.25">
      <c r="A852" s="84"/>
      <c r="B852" s="84"/>
      <c r="C852" s="84"/>
      <c r="D852" s="80" t="s">
        <v>247</v>
      </c>
      <c r="E852" s="80">
        <v>0</v>
      </c>
      <c r="F852" s="80">
        <v>0</v>
      </c>
      <c r="G852" s="80">
        <v>0</v>
      </c>
      <c r="H852" s="80">
        <v>0</v>
      </c>
      <c r="I852" s="80">
        <v>0</v>
      </c>
      <c r="J852" s="80">
        <v>0</v>
      </c>
      <c r="K852" s="80">
        <v>0</v>
      </c>
      <c r="L852" s="80">
        <v>0</v>
      </c>
      <c r="M852" s="80">
        <v>0</v>
      </c>
      <c r="N852" s="80">
        <v>0</v>
      </c>
      <c r="O852" s="80">
        <v>0</v>
      </c>
      <c r="P852" s="80">
        <v>0</v>
      </c>
      <c r="Q852" s="80">
        <v>0</v>
      </c>
      <c r="R852" s="80">
        <v>0</v>
      </c>
      <c r="S852" s="80">
        <v>0</v>
      </c>
      <c r="T852" s="80">
        <v>0</v>
      </c>
      <c r="U852" s="80">
        <v>0</v>
      </c>
      <c r="V852" s="80">
        <v>0</v>
      </c>
      <c r="W852" s="80">
        <v>0</v>
      </c>
      <c r="X852" s="80">
        <v>0</v>
      </c>
      <c r="Y852" s="80">
        <v>0</v>
      </c>
      <c r="Z852" s="80">
        <v>0</v>
      </c>
      <c r="AA852" s="80">
        <v>0</v>
      </c>
      <c r="AB852" s="80">
        <v>0</v>
      </c>
      <c r="AC852" s="80">
        <v>0</v>
      </c>
      <c r="AD852" s="80">
        <v>0</v>
      </c>
      <c r="AE852" s="80">
        <v>0</v>
      </c>
      <c r="AF852" s="80">
        <v>0</v>
      </c>
      <c r="AG852" s="80">
        <v>0</v>
      </c>
      <c r="AH852" s="80">
        <v>0</v>
      </c>
      <c r="AI852" s="80">
        <v>0</v>
      </c>
      <c r="AJ852" s="80">
        <v>0</v>
      </c>
      <c r="AK852" s="80">
        <v>0</v>
      </c>
      <c r="AL852" s="80">
        <v>0</v>
      </c>
      <c r="AM852" s="80">
        <v>0</v>
      </c>
      <c r="AN852" s="80">
        <v>0</v>
      </c>
      <c r="AO852" s="80">
        <v>0</v>
      </c>
    </row>
    <row r="853" spans="1:41" ht="15.75" x14ac:dyDescent="0.25">
      <c r="A853" s="84"/>
      <c r="B853" s="84"/>
      <c r="C853" s="84"/>
      <c r="D853" s="80" t="s">
        <v>248</v>
      </c>
      <c r="E853" s="80">
        <v>0</v>
      </c>
      <c r="F853" s="80">
        <v>0</v>
      </c>
      <c r="G853" s="80">
        <v>0</v>
      </c>
      <c r="H853" s="80">
        <v>0</v>
      </c>
      <c r="I853" s="80">
        <v>1</v>
      </c>
      <c r="J853" s="80">
        <v>0</v>
      </c>
      <c r="K853" s="80">
        <v>0</v>
      </c>
      <c r="L853" s="80">
        <v>0</v>
      </c>
      <c r="M853" s="80">
        <v>0</v>
      </c>
      <c r="N853" s="80">
        <v>0</v>
      </c>
      <c r="O853" s="80">
        <v>0</v>
      </c>
      <c r="P853" s="80">
        <v>1</v>
      </c>
      <c r="Q853" s="80">
        <v>1</v>
      </c>
      <c r="R853" s="80">
        <v>0</v>
      </c>
      <c r="S853" s="80">
        <v>0</v>
      </c>
      <c r="T853" s="80">
        <v>0</v>
      </c>
      <c r="U853" s="80">
        <v>2</v>
      </c>
      <c r="V853" s="80">
        <v>1</v>
      </c>
      <c r="W853" s="80">
        <v>0</v>
      </c>
      <c r="X853" s="80">
        <v>0</v>
      </c>
      <c r="Y853" s="80">
        <v>0</v>
      </c>
      <c r="Z853" s="80">
        <v>1</v>
      </c>
      <c r="AA853" s="80">
        <v>0</v>
      </c>
      <c r="AB853" s="80">
        <v>1</v>
      </c>
      <c r="AC853" s="80">
        <v>0</v>
      </c>
      <c r="AD853" s="80">
        <v>1</v>
      </c>
      <c r="AE853" s="80">
        <v>1</v>
      </c>
      <c r="AF853" s="80">
        <v>0</v>
      </c>
      <c r="AG853" s="80">
        <v>0</v>
      </c>
      <c r="AH853" s="80">
        <v>0</v>
      </c>
      <c r="AI853" s="80">
        <v>0</v>
      </c>
      <c r="AJ853" s="80">
        <v>0</v>
      </c>
      <c r="AK853" s="80">
        <v>0</v>
      </c>
      <c r="AL853" s="80">
        <v>0</v>
      </c>
      <c r="AM853" s="80">
        <v>0</v>
      </c>
      <c r="AN853" s="80">
        <v>0</v>
      </c>
      <c r="AO853" s="80">
        <v>0</v>
      </c>
    </row>
    <row r="854" spans="1:41" ht="15.75" x14ac:dyDescent="0.25">
      <c r="A854" s="84"/>
      <c r="B854" s="84"/>
      <c r="C854" s="84"/>
      <c r="D854" s="80" t="s">
        <v>258</v>
      </c>
      <c r="E854" s="80">
        <v>0</v>
      </c>
      <c r="F854" s="80">
        <v>0</v>
      </c>
      <c r="G854" s="80">
        <v>0</v>
      </c>
      <c r="H854" s="80">
        <v>0</v>
      </c>
      <c r="I854" s="80">
        <v>0</v>
      </c>
      <c r="J854" s="80">
        <v>0</v>
      </c>
      <c r="K854" s="80">
        <v>0</v>
      </c>
      <c r="L854" s="80">
        <v>0</v>
      </c>
      <c r="M854" s="80">
        <v>0</v>
      </c>
      <c r="N854" s="80">
        <v>0</v>
      </c>
      <c r="O854" s="80">
        <v>0</v>
      </c>
      <c r="P854" s="80">
        <v>0</v>
      </c>
      <c r="Q854" s="80">
        <v>0</v>
      </c>
      <c r="R854" s="80">
        <v>0</v>
      </c>
      <c r="S854" s="80">
        <v>0</v>
      </c>
      <c r="T854" s="80">
        <v>0</v>
      </c>
      <c r="U854" s="80">
        <v>0</v>
      </c>
      <c r="V854" s="80">
        <v>0</v>
      </c>
      <c r="W854" s="80">
        <v>0</v>
      </c>
      <c r="X854" s="80">
        <v>0</v>
      </c>
      <c r="Y854" s="80">
        <v>0</v>
      </c>
      <c r="Z854" s="80">
        <v>0</v>
      </c>
      <c r="AA854" s="80">
        <v>0</v>
      </c>
      <c r="AB854" s="80">
        <v>0</v>
      </c>
      <c r="AC854" s="80">
        <v>0</v>
      </c>
      <c r="AD854" s="80">
        <v>0</v>
      </c>
      <c r="AE854" s="80">
        <v>0</v>
      </c>
      <c r="AF854" s="80">
        <v>0</v>
      </c>
      <c r="AG854" s="80">
        <v>0</v>
      </c>
      <c r="AH854" s="80">
        <v>0</v>
      </c>
      <c r="AI854" s="80">
        <v>0</v>
      </c>
      <c r="AJ854" s="80">
        <v>0</v>
      </c>
      <c r="AK854" s="80">
        <v>0</v>
      </c>
      <c r="AL854" s="80">
        <v>0</v>
      </c>
      <c r="AM854" s="80">
        <v>0</v>
      </c>
      <c r="AN854" s="80">
        <v>0</v>
      </c>
      <c r="AO854" s="80">
        <v>0</v>
      </c>
    </row>
    <row r="855" spans="1:41" ht="15.75" x14ac:dyDescent="0.25">
      <c r="A855" s="84"/>
      <c r="B855" s="84"/>
      <c r="C855" s="84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  <c r="AD855" s="80"/>
      <c r="AE855" s="80"/>
      <c r="AF855" s="80"/>
      <c r="AG855" s="80"/>
      <c r="AH855" s="80"/>
      <c r="AI855" s="80"/>
      <c r="AJ855" s="80"/>
      <c r="AK855" s="80"/>
      <c r="AL855" s="80"/>
      <c r="AM855" s="147"/>
      <c r="AN855" s="147"/>
      <c r="AO855" s="147"/>
    </row>
    <row r="856" spans="1:41" ht="18.75" x14ac:dyDescent="0.3">
      <c r="A856" s="145"/>
      <c r="B856" s="145"/>
      <c r="C856" s="146" t="s">
        <v>771</v>
      </c>
      <c r="D856" s="135" t="s">
        <v>245</v>
      </c>
      <c r="E856" s="135">
        <f>E655+E660+E665+E670+E675+E680+E685+E690+E695+E700+E705+E710+E715+E720+E725+E730+E735+E740+E745+E750+E755+E760+E765+E770+E775+E780+E785+E790+E795+E800+E805+E810+E815+E820+E825+E830+E835+E840+E845+E850</f>
        <v>0</v>
      </c>
      <c r="F856" s="135">
        <f t="shared" ref="F856:AO856" si="17">F655+F660+F665+F670+F675+F680+F685+F690+F695+F700+F705+F710+F715+F720+F725+F730+F735+F740+F745+F750+F755+F760+F765+F770+F775+F780+F785+F790+F795+F800+F805+F810+F815+F820+F825+F830+F835+F840+F845+F850</f>
        <v>1</v>
      </c>
      <c r="G856" s="135">
        <f t="shared" si="17"/>
        <v>3</v>
      </c>
      <c r="H856" s="135">
        <f t="shared" si="17"/>
        <v>44</v>
      </c>
      <c r="I856" s="135">
        <f t="shared" si="17"/>
        <v>64</v>
      </c>
      <c r="J856" s="135">
        <f t="shared" si="17"/>
        <v>49</v>
      </c>
      <c r="K856" s="135">
        <f t="shared" si="17"/>
        <v>4</v>
      </c>
      <c r="L856" s="135">
        <f t="shared" si="17"/>
        <v>7</v>
      </c>
      <c r="M856" s="135">
        <f t="shared" si="17"/>
        <v>8</v>
      </c>
      <c r="N856" s="135">
        <f t="shared" si="17"/>
        <v>14</v>
      </c>
      <c r="O856" s="135">
        <f t="shared" si="17"/>
        <v>43</v>
      </c>
      <c r="P856" s="135">
        <f t="shared" si="17"/>
        <v>7</v>
      </c>
      <c r="Q856" s="135">
        <f t="shared" si="17"/>
        <v>37</v>
      </c>
      <c r="R856" s="135">
        <f t="shared" si="17"/>
        <v>15</v>
      </c>
      <c r="S856" s="135">
        <f t="shared" si="17"/>
        <v>0</v>
      </c>
      <c r="T856" s="135">
        <f t="shared" si="17"/>
        <v>7</v>
      </c>
      <c r="U856" s="135">
        <f t="shared" si="17"/>
        <v>70</v>
      </c>
      <c r="V856" s="135">
        <f t="shared" si="17"/>
        <v>47</v>
      </c>
      <c r="W856" s="135">
        <f t="shared" si="17"/>
        <v>19</v>
      </c>
      <c r="X856" s="135">
        <f t="shared" si="17"/>
        <v>10</v>
      </c>
      <c r="Y856" s="135">
        <f t="shared" si="17"/>
        <v>3</v>
      </c>
      <c r="Z856" s="135">
        <f t="shared" si="17"/>
        <v>33</v>
      </c>
      <c r="AA856" s="135">
        <f t="shared" si="17"/>
        <v>27</v>
      </c>
      <c r="AB856" s="135">
        <f t="shared" si="17"/>
        <v>22</v>
      </c>
      <c r="AC856" s="135">
        <f t="shared" si="17"/>
        <v>10</v>
      </c>
      <c r="AD856" s="135">
        <f t="shared" si="17"/>
        <v>10</v>
      </c>
      <c r="AE856" s="135">
        <f t="shared" si="17"/>
        <v>17</v>
      </c>
      <c r="AF856" s="135">
        <f t="shared" si="17"/>
        <v>10</v>
      </c>
      <c r="AG856" s="135">
        <f t="shared" si="17"/>
        <v>30</v>
      </c>
      <c r="AH856" s="135">
        <f t="shared" si="17"/>
        <v>21</v>
      </c>
      <c r="AI856" s="135">
        <f t="shared" si="17"/>
        <v>3</v>
      </c>
      <c r="AJ856" s="135">
        <f t="shared" si="17"/>
        <v>1</v>
      </c>
      <c r="AK856" s="135">
        <f t="shared" si="17"/>
        <v>0</v>
      </c>
      <c r="AL856" s="135">
        <f t="shared" si="17"/>
        <v>1</v>
      </c>
      <c r="AM856" s="135">
        <f t="shared" si="17"/>
        <v>12</v>
      </c>
      <c r="AN856" s="135">
        <f t="shared" si="17"/>
        <v>6</v>
      </c>
      <c r="AO856" s="135">
        <f t="shared" si="17"/>
        <v>2</v>
      </c>
    </row>
    <row r="857" spans="1:41" ht="18.75" x14ac:dyDescent="0.3">
      <c r="A857" s="145"/>
      <c r="B857" s="145"/>
      <c r="C857" s="146"/>
      <c r="D857" s="135" t="s">
        <v>246</v>
      </c>
      <c r="E857" s="135">
        <f t="shared" ref="E857:AO857" si="18">E656+E661+E666+E671+E676+E681+E686+E691+E696+E701+E706+E711+E716+E721+E726+E731+E736+E741+E746+E751+E756+E761+E766+E771+E776+E781+E786+E791+E796+E801+E806+E811+E816+E821+E826+E831+E836+E841+E846+E851</f>
        <v>8</v>
      </c>
      <c r="F857" s="135">
        <f t="shared" si="18"/>
        <v>1</v>
      </c>
      <c r="G857" s="135">
        <f t="shared" si="18"/>
        <v>3</v>
      </c>
      <c r="H857" s="135">
        <f t="shared" si="18"/>
        <v>38</v>
      </c>
      <c r="I857" s="135">
        <f t="shared" si="18"/>
        <v>53</v>
      </c>
      <c r="J857" s="135">
        <f t="shared" si="18"/>
        <v>45</v>
      </c>
      <c r="K857" s="135">
        <f t="shared" si="18"/>
        <v>3</v>
      </c>
      <c r="L857" s="135">
        <f t="shared" si="18"/>
        <v>6</v>
      </c>
      <c r="M857" s="135">
        <f t="shared" si="18"/>
        <v>7</v>
      </c>
      <c r="N857" s="135">
        <f t="shared" si="18"/>
        <v>14</v>
      </c>
      <c r="O857" s="135">
        <f t="shared" si="18"/>
        <v>42</v>
      </c>
      <c r="P857" s="135">
        <f t="shared" si="18"/>
        <v>6</v>
      </c>
      <c r="Q857" s="135">
        <f t="shared" si="18"/>
        <v>36</v>
      </c>
      <c r="R857" s="135">
        <f t="shared" si="18"/>
        <v>14</v>
      </c>
      <c r="S857" s="135">
        <f t="shared" si="18"/>
        <v>0</v>
      </c>
      <c r="T857" s="135">
        <f t="shared" si="18"/>
        <v>7</v>
      </c>
      <c r="U857" s="135">
        <f t="shared" si="18"/>
        <v>69</v>
      </c>
      <c r="V857" s="135">
        <f t="shared" si="18"/>
        <v>47</v>
      </c>
      <c r="W857" s="135">
        <f t="shared" si="18"/>
        <v>19</v>
      </c>
      <c r="X857" s="135">
        <f t="shared" si="18"/>
        <v>10</v>
      </c>
      <c r="Y857" s="135">
        <f t="shared" si="18"/>
        <v>3</v>
      </c>
      <c r="Z857" s="135">
        <f t="shared" si="18"/>
        <v>33</v>
      </c>
      <c r="AA857" s="135">
        <f t="shared" si="18"/>
        <v>26</v>
      </c>
      <c r="AB857" s="135">
        <f t="shared" si="18"/>
        <v>22</v>
      </c>
      <c r="AC857" s="135">
        <f t="shared" si="18"/>
        <v>9</v>
      </c>
      <c r="AD857" s="135">
        <f t="shared" si="18"/>
        <v>10</v>
      </c>
      <c r="AE857" s="135">
        <f t="shared" si="18"/>
        <v>17</v>
      </c>
      <c r="AF857" s="135">
        <f t="shared" si="18"/>
        <v>9</v>
      </c>
      <c r="AG857" s="135">
        <f t="shared" si="18"/>
        <v>29</v>
      </c>
      <c r="AH857" s="135">
        <f t="shared" si="18"/>
        <v>19</v>
      </c>
      <c r="AI857" s="135">
        <f t="shared" si="18"/>
        <v>3</v>
      </c>
      <c r="AJ857" s="135">
        <f t="shared" si="18"/>
        <v>0</v>
      </c>
      <c r="AK857" s="135">
        <f t="shared" si="18"/>
        <v>0</v>
      </c>
      <c r="AL857" s="135">
        <f t="shared" si="18"/>
        <v>1</v>
      </c>
      <c r="AM857" s="135">
        <f t="shared" si="18"/>
        <v>12</v>
      </c>
      <c r="AN857" s="135">
        <f t="shared" si="18"/>
        <v>6</v>
      </c>
      <c r="AO857" s="135">
        <f t="shared" si="18"/>
        <v>2</v>
      </c>
    </row>
    <row r="858" spans="1:41" ht="18.75" x14ac:dyDescent="0.3">
      <c r="A858" s="145"/>
      <c r="B858" s="145"/>
      <c r="C858" s="146"/>
      <c r="D858" s="135" t="s">
        <v>247</v>
      </c>
      <c r="E858" s="135">
        <f t="shared" ref="E858:AO858" si="19">E657+E662+E667+E672+E677+E682+E687+E692+E697+E702+E707+E712+E717+E722+E727+E732+E737+E742+E747+E752+E757+E762+E767+E772+E777+E782+E787+E792+E797+E802+E807+E812+E817+E822+E827+E832+E837+E842+E847+E852</f>
        <v>0</v>
      </c>
      <c r="F858" s="135">
        <f t="shared" si="19"/>
        <v>0</v>
      </c>
      <c r="G858" s="135">
        <f t="shared" si="19"/>
        <v>0</v>
      </c>
      <c r="H858" s="135">
        <f t="shared" si="19"/>
        <v>7</v>
      </c>
      <c r="I858" s="135">
        <f t="shared" si="19"/>
        <v>11</v>
      </c>
      <c r="J858" s="135">
        <f t="shared" si="19"/>
        <v>4</v>
      </c>
      <c r="K858" s="135">
        <f t="shared" si="19"/>
        <v>1</v>
      </c>
      <c r="L858" s="135">
        <f t="shared" si="19"/>
        <v>1</v>
      </c>
      <c r="M858" s="135">
        <f t="shared" si="19"/>
        <v>1</v>
      </c>
      <c r="N858" s="135">
        <f t="shared" si="19"/>
        <v>0</v>
      </c>
      <c r="O858" s="135">
        <f t="shared" si="19"/>
        <v>1</v>
      </c>
      <c r="P858" s="135">
        <f t="shared" si="19"/>
        <v>1</v>
      </c>
      <c r="Q858" s="135">
        <f t="shared" si="19"/>
        <v>1</v>
      </c>
      <c r="R858" s="135">
        <f t="shared" si="19"/>
        <v>1</v>
      </c>
      <c r="S858" s="135">
        <f t="shared" si="19"/>
        <v>1</v>
      </c>
      <c r="T858" s="135">
        <f t="shared" si="19"/>
        <v>1</v>
      </c>
      <c r="U858" s="135">
        <f t="shared" si="19"/>
        <v>1</v>
      </c>
      <c r="V858" s="135">
        <f t="shared" si="19"/>
        <v>0</v>
      </c>
      <c r="W858" s="135">
        <f t="shared" si="19"/>
        <v>0</v>
      </c>
      <c r="X858" s="135">
        <f t="shared" si="19"/>
        <v>0</v>
      </c>
      <c r="Y858" s="135">
        <f t="shared" si="19"/>
        <v>0</v>
      </c>
      <c r="Z858" s="135">
        <f t="shared" si="19"/>
        <v>0</v>
      </c>
      <c r="AA858" s="135">
        <f t="shared" si="19"/>
        <v>1</v>
      </c>
      <c r="AB858" s="135">
        <f t="shared" si="19"/>
        <v>0</v>
      </c>
      <c r="AC858" s="135">
        <f t="shared" si="19"/>
        <v>1</v>
      </c>
      <c r="AD858" s="135">
        <f t="shared" si="19"/>
        <v>0</v>
      </c>
      <c r="AE858" s="135">
        <f t="shared" si="19"/>
        <v>0</v>
      </c>
      <c r="AF858" s="135">
        <f t="shared" si="19"/>
        <v>1</v>
      </c>
      <c r="AG858" s="135">
        <f t="shared" si="19"/>
        <v>1</v>
      </c>
      <c r="AH858" s="135">
        <f t="shared" si="19"/>
        <v>2</v>
      </c>
      <c r="AI858" s="135">
        <f t="shared" si="19"/>
        <v>0</v>
      </c>
      <c r="AJ858" s="135">
        <f t="shared" si="19"/>
        <v>0</v>
      </c>
      <c r="AK858" s="135">
        <f t="shared" si="19"/>
        <v>0</v>
      </c>
      <c r="AL858" s="135">
        <f t="shared" si="19"/>
        <v>0</v>
      </c>
      <c r="AM858" s="135">
        <f t="shared" si="19"/>
        <v>0</v>
      </c>
      <c r="AN858" s="135">
        <f t="shared" si="19"/>
        <v>0</v>
      </c>
      <c r="AO858" s="135">
        <f t="shared" si="19"/>
        <v>0</v>
      </c>
    </row>
    <row r="859" spans="1:41" ht="15.75" x14ac:dyDescent="0.25">
      <c r="A859" s="147"/>
      <c r="B859" s="147"/>
      <c r="C859" s="148"/>
      <c r="D859" s="135" t="s">
        <v>248</v>
      </c>
      <c r="E859" s="135">
        <f t="shared" ref="E859:AO859" si="20">E658+E663+E668+E673+E678+E683+E688+E693+E698+E703+E708+E713+E718+E723+E728+E733+E738+E743+E748+E753+E758+E763+E768+E773+E778+E783+E788+E793+E798+E803+E808+E813+E818+E823+E828+E833+E838+E843+E848+E853</f>
        <v>8</v>
      </c>
      <c r="F859" s="135">
        <f t="shared" si="20"/>
        <v>1</v>
      </c>
      <c r="G859" s="135">
        <f t="shared" si="20"/>
        <v>3</v>
      </c>
      <c r="H859" s="135">
        <f t="shared" si="20"/>
        <v>38</v>
      </c>
      <c r="I859" s="135">
        <f t="shared" si="20"/>
        <v>50</v>
      </c>
      <c r="J859" s="135">
        <f t="shared" si="20"/>
        <v>45</v>
      </c>
      <c r="K859" s="135">
        <f t="shared" si="20"/>
        <v>2</v>
      </c>
      <c r="L859" s="135">
        <f t="shared" si="20"/>
        <v>4</v>
      </c>
      <c r="M859" s="135">
        <f t="shared" si="20"/>
        <v>7</v>
      </c>
      <c r="N859" s="135">
        <f t="shared" si="20"/>
        <v>13</v>
      </c>
      <c r="O859" s="135">
        <f t="shared" si="20"/>
        <v>42</v>
      </c>
      <c r="P859" s="135">
        <f t="shared" si="20"/>
        <v>6</v>
      </c>
      <c r="Q859" s="135">
        <f t="shared" si="20"/>
        <v>29</v>
      </c>
      <c r="R859" s="135">
        <f t="shared" si="20"/>
        <v>9</v>
      </c>
      <c r="S859" s="135">
        <f t="shared" si="20"/>
        <v>0</v>
      </c>
      <c r="T859" s="135">
        <f t="shared" si="20"/>
        <v>6</v>
      </c>
      <c r="U859" s="135">
        <f t="shared" si="20"/>
        <v>65</v>
      </c>
      <c r="V859" s="135">
        <f t="shared" si="20"/>
        <v>44</v>
      </c>
      <c r="W859" s="135">
        <f t="shared" si="20"/>
        <v>14</v>
      </c>
      <c r="X859" s="135">
        <f t="shared" si="20"/>
        <v>10</v>
      </c>
      <c r="Y859" s="135">
        <f t="shared" si="20"/>
        <v>3</v>
      </c>
      <c r="Z859" s="135">
        <f t="shared" si="20"/>
        <v>30</v>
      </c>
      <c r="AA859" s="135">
        <f t="shared" si="20"/>
        <v>24</v>
      </c>
      <c r="AB859" s="135">
        <f t="shared" si="20"/>
        <v>21</v>
      </c>
      <c r="AC859" s="135">
        <f t="shared" si="20"/>
        <v>7</v>
      </c>
      <c r="AD859" s="135">
        <f t="shared" si="20"/>
        <v>10</v>
      </c>
      <c r="AE859" s="135">
        <f t="shared" si="20"/>
        <v>16</v>
      </c>
      <c r="AF859" s="135">
        <f t="shared" si="20"/>
        <v>7</v>
      </c>
      <c r="AG859" s="135">
        <f t="shared" si="20"/>
        <v>28</v>
      </c>
      <c r="AH859" s="135">
        <f t="shared" si="20"/>
        <v>18</v>
      </c>
      <c r="AI859" s="135">
        <f t="shared" si="20"/>
        <v>2</v>
      </c>
      <c r="AJ859" s="135">
        <f t="shared" si="20"/>
        <v>0</v>
      </c>
      <c r="AK859" s="135">
        <f t="shared" si="20"/>
        <v>0</v>
      </c>
      <c r="AL859" s="135">
        <f t="shared" si="20"/>
        <v>1</v>
      </c>
      <c r="AM859" s="135">
        <f t="shared" si="20"/>
        <v>10</v>
      </c>
      <c r="AN859" s="135">
        <f t="shared" si="20"/>
        <v>6</v>
      </c>
      <c r="AO859" s="135">
        <f t="shared" si="20"/>
        <v>2</v>
      </c>
    </row>
    <row r="860" spans="1:41" ht="15.75" x14ac:dyDescent="0.25">
      <c r="A860" s="147"/>
      <c r="B860" s="147"/>
      <c r="C860" s="148"/>
      <c r="D860" s="135" t="s">
        <v>258</v>
      </c>
      <c r="E860" s="135">
        <f t="shared" ref="E860:AO860" si="21">E659+E664+E669+E674+E679+E684+E689+E694+E699+E704+E709+E714+E719+E724+E729+E734+E739+E744+E749+E754+E759+E764+E769+E774+E779+E784+E789+E794+E799+E804+E809+E814+E819+E824+E829+E834+E839+E844+E849+E854</f>
        <v>0</v>
      </c>
      <c r="F860" s="135">
        <f t="shared" si="21"/>
        <v>0</v>
      </c>
      <c r="G860" s="135">
        <f t="shared" si="21"/>
        <v>0</v>
      </c>
      <c r="H860" s="135">
        <f t="shared" si="21"/>
        <v>0</v>
      </c>
      <c r="I860" s="135">
        <f t="shared" si="21"/>
        <v>3</v>
      </c>
      <c r="J860" s="135">
        <f t="shared" si="21"/>
        <v>0</v>
      </c>
      <c r="K860" s="135">
        <f t="shared" si="21"/>
        <v>1</v>
      </c>
      <c r="L860" s="135">
        <f t="shared" si="21"/>
        <v>3</v>
      </c>
      <c r="M860" s="135">
        <f t="shared" si="21"/>
        <v>0</v>
      </c>
      <c r="N860" s="135">
        <f t="shared" si="21"/>
        <v>1</v>
      </c>
      <c r="O860" s="135">
        <f t="shared" si="21"/>
        <v>0</v>
      </c>
      <c r="P860" s="135">
        <f t="shared" si="21"/>
        <v>0</v>
      </c>
      <c r="Q860" s="135">
        <f t="shared" si="21"/>
        <v>7</v>
      </c>
      <c r="R860" s="135">
        <f t="shared" si="21"/>
        <v>5</v>
      </c>
      <c r="S860" s="135">
        <f t="shared" si="21"/>
        <v>0</v>
      </c>
      <c r="T860" s="135">
        <f t="shared" si="21"/>
        <v>1</v>
      </c>
      <c r="U860" s="135">
        <f t="shared" si="21"/>
        <v>4</v>
      </c>
      <c r="V860" s="135">
        <f t="shared" si="21"/>
        <v>3</v>
      </c>
      <c r="W860" s="135">
        <f t="shared" si="21"/>
        <v>5</v>
      </c>
      <c r="X860" s="135">
        <f t="shared" si="21"/>
        <v>0</v>
      </c>
      <c r="Y860" s="135">
        <f t="shared" si="21"/>
        <v>0</v>
      </c>
      <c r="Z860" s="135">
        <f t="shared" si="21"/>
        <v>3</v>
      </c>
      <c r="AA860" s="135">
        <f t="shared" si="21"/>
        <v>1</v>
      </c>
      <c r="AB860" s="135">
        <f t="shared" si="21"/>
        <v>1</v>
      </c>
      <c r="AC860" s="135">
        <f t="shared" si="21"/>
        <v>2</v>
      </c>
      <c r="AD860" s="135">
        <f t="shared" si="21"/>
        <v>0</v>
      </c>
      <c r="AE860" s="135">
        <f t="shared" si="21"/>
        <v>1</v>
      </c>
      <c r="AF860" s="135">
        <f t="shared" si="21"/>
        <v>2</v>
      </c>
      <c r="AG860" s="135">
        <f t="shared" si="21"/>
        <v>1</v>
      </c>
      <c r="AH860" s="135">
        <f t="shared" si="21"/>
        <v>1</v>
      </c>
      <c r="AI860" s="135">
        <f t="shared" si="21"/>
        <v>1</v>
      </c>
      <c r="AJ860" s="135">
        <f t="shared" si="21"/>
        <v>0</v>
      </c>
      <c r="AK860" s="135">
        <f t="shared" si="21"/>
        <v>0</v>
      </c>
      <c r="AL860" s="135">
        <f t="shared" si="21"/>
        <v>0</v>
      </c>
      <c r="AM860" s="135">
        <f t="shared" si="21"/>
        <v>2</v>
      </c>
      <c r="AN860" s="135">
        <f t="shared" si="21"/>
        <v>0</v>
      </c>
      <c r="AO860" s="135">
        <f t="shared" si="21"/>
        <v>0</v>
      </c>
    </row>
    <row r="861" spans="1:41" ht="15.75" x14ac:dyDescent="0.25">
      <c r="C861" s="149"/>
      <c r="D861" s="137"/>
      <c r="E861" s="137"/>
      <c r="F861" s="137"/>
      <c r="G861" s="137"/>
      <c r="H861" s="137"/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  <c r="X861" s="137"/>
      <c r="Y861" s="137"/>
      <c r="Z861" s="137"/>
      <c r="AA861" s="137"/>
      <c r="AB861" s="137"/>
      <c r="AC861" s="137"/>
      <c r="AD861" s="137"/>
      <c r="AE861" s="137"/>
      <c r="AF861" s="137"/>
      <c r="AG861" s="137"/>
      <c r="AH861" s="137"/>
      <c r="AI861" s="137"/>
      <c r="AJ861" s="137"/>
      <c r="AK861" s="137"/>
      <c r="AL861" s="137"/>
      <c r="AM861" s="137"/>
      <c r="AN861" s="137"/>
      <c r="AO861" s="137"/>
    </row>
    <row r="863" spans="1:41" ht="20.25" x14ac:dyDescent="0.3">
      <c r="A863" s="628" t="s">
        <v>784</v>
      </c>
      <c r="B863" s="628"/>
      <c r="C863" s="628"/>
      <c r="D863" s="628"/>
      <c r="E863" s="628"/>
      <c r="F863" s="628"/>
      <c r="G863" s="628"/>
      <c r="H863" s="628"/>
      <c r="I863" s="628"/>
      <c r="J863" s="628"/>
      <c r="K863" s="628"/>
      <c r="L863" s="628"/>
      <c r="M863" s="628"/>
      <c r="N863" s="628"/>
      <c r="O863" s="628"/>
      <c r="P863" s="628"/>
      <c r="Q863" s="628"/>
      <c r="R863" s="628"/>
      <c r="S863" s="628"/>
      <c r="T863" s="628"/>
      <c r="U863" s="628"/>
      <c r="V863" s="628"/>
      <c r="W863" s="628"/>
      <c r="X863" s="628"/>
      <c r="Y863" s="628"/>
      <c r="Z863" s="628"/>
      <c r="AA863" s="628"/>
      <c r="AB863" s="628"/>
      <c r="AC863" s="628"/>
      <c r="AD863" s="628"/>
      <c r="AE863" s="628"/>
      <c r="AF863" s="628"/>
      <c r="AG863" s="628"/>
      <c r="AH863" s="628"/>
      <c r="AI863" s="628"/>
      <c r="AJ863" s="628"/>
      <c r="AK863" s="628"/>
      <c r="AL863" s="628"/>
      <c r="AM863" s="628"/>
      <c r="AN863" s="628"/>
      <c r="AO863" s="628"/>
    </row>
    <row r="864" spans="1:41" ht="132" x14ac:dyDescent="0.25">
      <c r="A864" s="74" t="s">
        <v>76</v>
      </c>
      <c r="B864" s="74" t="s">
        <v>217</v>
      </c>
      <c r="C864" s="75" t="s">
        <v>218</v>
      </c>
      <c r="D864" s="74" t="s">
        <v>219</v>
      </c>
      <c r="E864" s="76" t="s">
        <v>363</v>
      </c>
      <c r="F864" s="76" t="s">
        <v>266</v>
      </c>
      <c r="G864" s="76" t="s">
        <v>259</v>
      </c>
      <c r="H864" s="76" t="s">
        <v>220</v>
      </c>
      <c r="I864" s="76" t="s">
        <v>221</v>
      </c>
      <c r="J864" s="76" t="s">
        <v>222</v>
      </c>
      <c r="K864" s="76" t="s">
        <v>223</v>
      </c>
      <c r="L864" s="76" t="s">
        <v>261</v>
      </c>
      <c r="M864" s="76" t="s">
        <v>224</v>
      </c>
      <c r="N864" s="77" t="s">
        <v>260</v>
      </c>
      <c r="O864" s="76" t="s">
        <v>225</v>
      </c>
      <c r="P864" s="76" t="s">
        <v>707</v>
      </c>
      <c r="Q864" s="76" t="s">
        <v>226</v>
      </c>
      <c r="R864" s="76" t="s">
        <v>227</v>
      </c>
      <c r="S864" s="76" t="s">
        <v>228</v>
      </c>
      <c r="T864" s="78" t="s">
        <v>229</v>
      </c>
      <c r="U864" s="76" t="s">
        <v>230</v>
      </c>
      <c r="V864" s="78" t="s">
        <v>231</v>
      </c>
      <c r="W864" s="76" t="s">
        <v>232</v>
      </c>
      <c r="X864" s="76" t="s">
        <v>233</v>
      </c>
      <c r="Y864" s="76" t="s">
        <v>234</v>
      </c>
      <c r="Z864" s="76" t="s">
        <v>235</v>
      </c>
      <c r="AA864" s="76" t="s">
        <v>236</v>
      </c>
      <c r="AB864" s="76" t="s">
        <v>237</v>
      </c>
      <c r="AC864" s="76" t="s">
        <v>315</v>
      </c>
      <c r="AD864" s="76" t="s">
        <v>316</v>
      </c>
      <c r="AE864" s="76" t="s">
        <v>238</v>
      </c>
      <c r="AF864" s="76" t="s">
        <v>239</v>
      </c>
      <c r="AG864" s="77" t="s">
        <v>240</v>
      </c>
      <c r="AH864" s="76" t="s">
        <v>241</v>
      </c>
      <c r="AI864" s="78" t="s">
        <v>242</v>
      </c>
      <c r="AJ864" s="76" t="s">
        <v>243</v>
      </c>
      <c r="AK864" s="76" t="s">
        <v>244</v>
      </c>
      <c r="AL864" s="76" t="s">
        <v>262</v>
      </c>
      <c r="AM864" s="76" t="s">
        <v>362</v>
      </c>
      <c r="AN864" s="242" t="s">
        <v>408</v>
      </c>
      <c r="AO864" s="242" t="s">
        <v>409</v>
      </c>
    </row>
    <row r="865" spans="1:41" ht="15.75" x14ac:dyDescent="0.25">
      <c r="A865" s="159">
        <v>1</v>
      </c>
      <c r="B865" s="159" t="s">
        <v>186</v>
      </c>
      <c r="C865" s="74" t="s">
        <v>186</v>
      </c>
      <c r="D865" s="80" t="s">
        <v>245</v>
      </c>
      <c r="E865" s="80">
        <v>0</v>
      </c>
      <c r="F865" s="80">
        <v>0</v>
      </c>
      <c r="G865" s="80">
        <v>0</v>
      </c>
      <c r="H865" s="80">
        <v>1</v>
      </c>
      <c r="I865" s="80">
        <v>1</v>
      </c>
      <c r="J865" s="80">
        <v>1</v>
      </c>
      <c r="K865" s="80">
        <v>0</v>
      </c>
      <c r="L865" s="80">
        <v>0</v>
      </c>
      <c r="M865" s="80">
        <v>0</v>
      </c>
      <c r="N865" s="80">
        <v>0</v>
      </c>
      <c r="O865" s="80">
        <v>1</v>
      </c>
      <c r="P865" s="80">
        <v>0</v>
      </c>
      <c r="Q865" s="80">
        <v>1</v>
      </c>
      <c r="R865" s="80">
        <v>1</v>
      </c>
      <c r="S865" s="80">
        <v>0</v>
      </c>
      <c r="T865" s="80">
        <v>0</v>
      </c>
      <c r="U865" s="80">
        <v>1</v>
      </c>
      <c r="V865" s="80">
        <v>2</v>
      </c>
      <c r="W865" s="80">
        <v>0</v>
      </c>
      <c r="X865" s="80">
        <v>0</v>
      </c>
      <c r="Y865" s="80">
        <v>0</v>
      </c>
      <c r="Z865" s="80">
        <v>0</v>
      </c>
      <c r="AA865" s="80">
        <v>0</v>
      </c>
      <c r="AB865" s="80">
        <v>1</v>
      </c>
      <c r="AC865" s="80">
        <v>0</v>
      </c>
      <c r="AD865" s="80">
        <v>2</v>
      </c>
      <c r="AE865" s="80">
        <v>1</v>
      </c>
      <c r="AF865" s="80">
        <v>0</v>
      </c>
      <c r="AG865" s="80">
        <v>1</v>
      </c>
      <c r="AH865" s="80">
        <v>1</v>
      </c>
      <c r="AI865" s="80">
        <v>0</v>
      </c>
      <c r="AJ865" s="80">
        <v>0</v>
      </c>
      <c r="AK865" s="80">
        <v>0</v>
      </c>
      <c r="AL865" s="80">
        <v>0</v>
      </c>
      <c r="AM865" s="80">
        <v>0</v>
      </c>
      <c r="AN865" s="80">
        <v>0</v>
      </c>
      <c r="AO865" s="80">
        <v>0</v>
      </c>
    </row>
    <row r="866" spans="1:41" ht="15.75" x14ac:dyDescent="0.25">
      <c r="A866" s="159"/>
      <c r="B866" s="159"/>
      <c r="C866" s="74"/>
      <c r="D866" s="80" t="s">
        <v>246</v>
      </c>
      <c r="E866" s="80">
        <v>1</v>
      </c>
      <c r="F866" s="80">
        <v>0</v>
      </c>
      <c r="G866" s="80">
        <v>0</v>
      </c>
      <c r="H866" s="80">
        <v>1</v>
      </c>
      <c r="I866" s="80">
        <v>1</v>
      </c>
      <c r="J866" s="80">
        <v>1</v>
      </c>
      <c r="K866" s="80">
        <v>0</v>
      </c>
      <c r="L866" s="80">
        <v>0</v>
      </c>
      <c r="M866" s="80">
        <v>0</v>
      </c>
      <c r="N866" s="80">
        <v>0</v>
      </c>
      <c r="O866" s="80">
        <v>1</v>
      </c>
      <c r="P866" s="80">
        <v>0</v>
      </c>
      <c r="Q866" s="80">
        <v>1</v>
      </c>
      <c r="R866" s="80">
        <v>1</v>
      </c>
      <c r="S866" s="80">
        <v>0</v>
      </c>
      <c r="T866" s="80">
        <v>0</v>
      </c>
      <c r="U866" s="80">
        <v>1</v>
      </c>
      <c r="V866" s="80">
        <v>2</v>
      </c>
      <c r="W866" s="80">
        <v>0</v>
      </c>
      <c r="X866" s="80">
        <v>0</v>
      </c>
      <c r="Y866" s="80">
        <v>0</v>
      </c>
      <c r="Z866" s="80">
        <v>0</v>
      </c>
      <c r="AA866" s="80">
        <v>0</v>
      </c>
      <c r="AB866" s="80">
        <v>1</v>
      </c>
      <c r="AC866" s="80">
        <v>0</v>
      </c>
      <c r="AD866" s="80">
        <v>2</v>
      </c>
      <c r="AE866" s="80">
        <v>1</v>
      </c>
      <c r="AF866" s="80">
        <v>0</v>
      </c>
      <c r="AG866" s="81">
        <v>1</v>
      </c>
      <c r="AH866" s="80">
        <v>1</v>
      </c>
      <c r="AI866" s="81">
        <v>0</v>
      </c>
      <c r="AJ866" s="81">
        <v>0</v>
      </c>
      <c r="AK866" s="81">
        <v>0</v>
      </c>
      <c r="AL866" s="81">
        <v>0</v>
      </c>
      <c r="AM866" s="80">
        <v>0</v>
      </c>
      <c r="AN866" s="80">
        <v>0</v>
      </c>
      <c r="AO866" s="80">
        <v>0</v>
      </c>
    </row>
    <row r="867" spans="1:41" ht="15.75" x14ac:dyDescent="0.25">
      <c r="A867" s="159"/>
      <c r="B867" s="159"/>
      <c r="C867" s="74"/>
      <c r="D867" s="80" t="s">
        <v>247</v>
      </c>
      <c r="E867" s="80">
        <v>0</v>
      </c>
      <c r="F867" s="80">
        <v>0</v>
      </c>
      <c r="G867" s="80">
        <v>0</v>
      </c>
      <c r="H867" s="80">
        <v>0</v>
      </c>
      <c r="I867" s="80">
        <v>0</v>
      </c>
      <c r="J867" s="80">
        <v>0</v>
      </c>
      <c r="K867" s="80">
        <v>0</v>
      </c>
      <c r="L867" s="80">
        <v>0</v>
      </c>
      <c r="M867" s="80">
        <v>0</v>
      </c>
      <c r="N867" s="80">
        <v>0</v>
      </c>
      <c r="O867" s="80">
        <v>0</v>
      </c>
      <c r="P867" s="80">
        <v>0</v>
      </c>
      <c r="Q867" s="80">
        <v>0</v>
      </c>
      <c r="R867" s="80">
        <v>0</v>
      </c>
      <c r="S867" s="80">
        <v>0</v>
      </c>
      <c r="T867" s="80">
        <v>0</v>
      </c>
      <c r="U867" s="80">
        <v>0</v>
      </c>
      <c r="V867" s="80">
        <v>0</v>
      </c>
      <c r="W867" s="80">
        <v>0</v>
      </c>
      <c r="X867" s="80">
        <v>0</v>
      </c>
      <c r="Y867" s="80">
        <v>0</v>
      </c>
      <c r="Z867" s="80">
        <v>0</v>
      </c>
      <c r="AA867" s="80">
        <v>0</v>
      </c>
      <c r="AB867" s="80">
        <v>0</v>
      </c>
      <c r="AC867" s="80">
        <v>0</v>
      </c>
      <c r="AD867" s="80">
        <v>0</v>
      </c>
      <c r="AE867" s="80">
        <v>0</v>
      </c>
      <c r="AF867" s="80">
        <v>0</v>
      </c>
      <c r="AG867" s="81">
        <v>0</v>
      </c>
      <c r="AH867" s="80">
        <v>0</v>
      </c>
      <c r="AI867" s="81">
        <v>0</v>
      </c>
      <c r="AJ867" s="81">
        <v>0</v>
      </c>
      <c r="AK867" s="81">
        <v>0</v>
      </c>
      <c r="AL867" s="81">
        <v>0</v>
      </c>
      <c r="AM867" s="80">
        <v>0</v>
      </c>
      <c r="AN867" s="80">
        <v>0</v>
      </c>
      <c r="AO867" s="80">
        <v>0</v>
      </c>
    </row>
    <row r="868" spans="1:41" ht="15.75" x14ac:dyDescent="0.25">
      <c r="A868" s="159"/>
      <c r="B868" s="159"/>
      <c r="C868" s="74"/>
      <c r="D868" s="80" t="s">
        <v>248</v>
      </c>
      <c r="E868" s="80">
        <v>1</v>
      </c>
      <c r="F868" s="80">
        <v>0</v>
      </c>
      <c r="G868" s="80">
        <v>0</v>
      </c>
      <c r="H868" s="80">
        <v>1</v>
      </c>
      <c r="I868" s="80">
        <v>1</v>
      </c>
      <c r="J868" s="80">
        <v>1</v>
      </c>
      <c r="K868" s="80">
        <v>0</v>
      </c>
      <c r="L868" s="80">
        <v>0</v>
      </c>
      <c r="M868" s="80">
        <v>0</v>
      </c>
      <c r="N868" s="80">
        <v>0</v>
      </c>
      <c r="O868" s="80">
        <v>1</v>
      </c>
      <c r="P868" s="80">
        <v>0</v>
      </c>
      <c r="Q868" s="80">
        <v>0</v>
      </c>
      <c r="R868" s="80">
        <v>1</v>
      </c>
      <c r="S868" s="80">
        <v>0</v>
      </c>
      <c r="T868" s="80">
        <v>0</v>
      </c>
      <c r="U868" s="80">
        <v>1</v>
      </c>
      <c r="V868" s="80">
        <v>2</v>
      </c>
      <c r="W868" s="80">
        <v>0</v>
      </c>
      <c r="X868" s="80">
        <v>0</v>
      </c>
      <c r="Y868" s="80">
        <v>0</v>
      </c>
      <c r="Z868" s="80">
        <v>0</v>
      </c>
      <c r="AA868" s="80">
        <v>0</v>
      </c>
      <c r="AB868" s="80">
        <v>1</v>
      </c>
      <c r="AC868" s="80">
        <v>0</v>
      </c>
      <c r="AD868" s="80">
        <v>2</v>
      </c>
      <c r="AE868" s="80">
        <v>1</v>
      </c>
      <c r="AF868" s="80">
        <v>0</v>
      </c>
      <c r="AG868" s="80">
        <v>1</v>
      </c>
      <c r="AH868" s="80">
        <v>1</v>
      </c>
      <c r="AI868" s="80">
        <v>0</v>
      </c>
      <c r="AJ868" s="80">
        <v>0</v>
      </c>
      <c r="AK868" s="80">
        <v>0</v>
      </c>
      <c r="AL868" s="80">
        <v>0</v>
      </c>
      <c r="AM868" s="80">
        <v>0</v>
      </c>
      <c r="AN868" s="80">
        <v>0</v>
      </c>
      <c r="AO868" s="80">
        <v>0</v>
      </c>
    </row>
    <row r="869" spans="1:41" ht="15.75" x14ac:dyDescent="0.25">
      <c r="A869" s="159"/>
      <c r="B869" s="159"/>
      <c r="C869" s="74"/>
      <c r="D869" s="80" t="s">
        <v>258</v>
      </c>
      <c r="E869" s="80">
        <v>0</v>
      </c>
      <c r="F869" s="80">
        <v>0</v>
      </c>
      <c r="G869" s="80">
        <v>0</v>
      </c>
      <c r="H869" s="80">
        <v>0</v>
      </c>
      <c r="I869" s="80">
        <v>0</v>
      </c>
      <c r="J869" s="80">
        <v>0</v>
      </c>
      <c r="K869" s="80">
        <v>0</v>
      </c>
      <c r="L869" s="80">
        <v>0</v>
      </c>
      <c r="M869" s="80">
        <v>0</v>
      </c>
      <c r="N869" s="80">
        <v>0</v>
      </c>
      <c r="O869" s="80">
        <v>0</v>
      </c>
      <c r="P869" s="80">
        <v>0</v>
      </c>
      <c r="Q869" s="80">
        <v>1</v>
      </c>
      <c r="R869" s="80">
        <v>0</v>
      </c>
      <c r="S869" s="80">
        <v>0</v>
      </c>
      <c r="T869" s="80">
        <v>0</v>
      </c>
      <c r="U869" s="80">
        <v>0</v>
      </c>
      <c r="V869" s="80">
        <v>0</v>
      </c>
      <c r="W869" s="80">
        <v>0</v>
      </c>
      <c r="X869" s="80">
        <v>0</v>
      </c>
      <c r="Y869" s="80">
        <v>0</v>
      </c>
      <c r="Z869" s="80">
        <v>0</v>
      </c>
      <c r="AA869" s="80">
        <v>0</v>
      </c>
      <c r="AB869" s="80">
        <v>0</v>
      </c>
      <c r="AC869" s="80">
        <v>0</v>
      </c>
      <c r="AD869" s="80">
        <v>0</v>
      </c>
      <c r="AE869" s="80">
        <v>0</v>
      </c>
      <c r="AF869" s="80">
        <v>0</v>
      </c>
      <c r="AG869" s="80">
        <v>0</v>
      </c>
      <c r="AH869" s="80">
        <v>0</v>
      </c>
      <c r="AI869" s="80">
        <v>0</v>
      </c>
      <c r="AJ869" s="80">
        <v>0</v>
      </c>
      <c r="AK869" s="80">
        <v>0</v>
      </c>
      <c r="AL869" s="80">
        <v>0</v>
      </c>
      <c r="AM869" s="80">
        <v>0</v>
      </c>
      <c r="AN869" s="80">
        <v>0</v>
      </c>
      <c r="AO869" s="80">
        <v>0</v>
      </c>
    </row>
    <row r="870" spans="1:41" ht="15.75" x14ac:dyDescent="0.25">
      <c r="A870" s="159">
        <v>2</v>
      </c>
      <c r="B870" s="159"/>
      <c r="C870" s="74" t="s">
        <v>39</v>
      </c>
      <c r="D870" s="80" t="s">
        <v>245</v>
      </c>
      <c r="E870" s="80">
        <v>0</v>
      </c>
      <c r="F870" s="80">
        <v>0</v>
      </c>
      <c r="G870" s="80">
        <v>0</v>
      </c>
      <c r="H870" s="80">
        <v>0</v>
      </c>
      <c r="I870" s="80">
        <v>1</v>
      </c>
      <c r="J870" s="80">
        <v>1</v>
      </c>
      <c r="K870" s="80">
        <v>0</v>
      </c>
      <c r="L870" s="80">
        <v>0</v>
      </c>
      <c r="M870" s="80">
        <v>0</v>
      </c>
      <c r="N870" s="80">
        <v>1</v>
      </c>
      <c r="O870" s="80">
        <v>1</v>
      </c>
      <c r="P870" s="80">
        <v>0</v>
      </c>
      <c r="Q870" s="80">
        <v>1</v>
      </c>
      <c r="R870" s="80">
        <v>1</v>
      </c>
      <c r="S870" s="80">
        <v>0</v>
      </c>
      <c r="T870" s="80">
        <v>0</v>
      </c>
      <c r="U870" s="80">
        <v>1</v>
      </c>
      <c r="V870" s="80">
        <v>2</v>
      </c>
      <c r="W870" s="80">
        <v>0</v>
      </c>
      <c r="X870" s="80">
        <v>0</v>
      </c>
      <c r="Y870" s="80">
        <v>0</v>
      </c>
      <c r="Z870" s="80">
        <v>0</v>
      </c>
      <c r="AA870" s="80">
        <v>0</v>
      </c>
      <c r="AB870" s="80">
        <v>0</v>
      </c>
      <c r="AC870" s="80">
        <v>0</v>
      </c>
      <c r="AD870" s="80">
        <v>0</v>
      </c>
      <c r="AE870" s="80">
        <v>0</v>
      </c>
      <c r="AF870" s="80">
        <v>0</v>
      </c>
      <c r="AG870" s="81">
        <v>1</v>
      </c>
      <c r="AH870" s="80">
        <v>0</v>
      </c>
      <c r="AI870" s="81">
        <v>0</v>
      </c>
      <c r="AJ870" s="81">
        <v>0</v>
      </c>
      <c r="AK870" s="81">
        <v>0</v>
      </c>
      <c r="AL870" s="81">
        <v>0</v>
      </c>
      <c r="AM870" s="81">
        <v>2</v>
      </c>
      <c r="AN870" s="81">
        <v>1</v>
      </c>
      <c r="AO870" s="80">
        <v>0</v>
      </c>
    </row>
    <row r="871" spans="1:41" ht="15.75" x14ac:dyDescent="0.25">
      <c r="A871" s="159"/>
      <c r="B871" s="159"/>
      <c r="C871" s="74"/>
      <c r="D871" s="80" t="s">
        <v>246</v>
      </c>
      <c r="E871" s="80">
        <v>0</v>
      </c>
      <c r="F871" s="80">
        <v>0</v>
      </c>
      <c r="G871" s="80">
        <v>0</v>
      </c>
      <c r="H871" s="80">
        <v>0</v>
      </c>
      <c r="I871" s="80">
        <v>1</v>
      </c>
      <c r="J871" s="80">
        <v>1</v>
      </c>
      <c r="K871" s="80">
        <v>0</v>
      </c>
      <c r="L871" s="80">
        <v>0</v>
      </c>
      <c r="M871" s="80">
        <v>0</v>
      </c>
      <c r="N871" s="80">
        <v>1</v>
      </c>
      <c r="O871" s="80">
        <v>1</v>
      </c>
      <c r="P871" s="80">
        <v>0</v>
      </c>
      <c r="Q871" s="80">
        <v>1</v>
      </c>
      <c r="R871" s="80">
        <v>1</v>
      </c>
      <c r="S871" s="80">
        <v>0</v>
      </c>
      <c r="T871" s="80">
        <v>0</v>
      </c>
      <c r="U871" s="80">
        <v>1</v>
      </c>
      <c r="V871" s="80">
        <v>2</v>
      </c>
      <c r="W871" s="80">
        <v>0</v>
      </c>
      <c r="X871" s="80">
        <v>0</v>
      </c>
      <c r="Y871" s="80">
        <v>0</v>
      </c>
      <c r="Z871" s="80">
        <v>0</v>
      </c>
      <c r="AA871" s="80">
        <v>0</v>
      </c>
      <c r="AB871" s="80">
        <v>0</v>
      </c>
      <c r="AC871" s="80">
        <v>0</v>
      </c>
      <c r="AD871" s="80">
        <v>0</v>
      </c>
      <c r="AE871" s="80">
        <v>0</v>
      </c>
      <c r="AF871" s="80">
        <v>0</v>
      </c>
      <c r="AG871" s="81">
        <v>1</v>
      </c>
      <c r="AH871" s="80">
        <v>0</v>
      </c>
      <c r="AI871" s="81">
        <v>0</v>
      </c>
      <c r="AJ871" s="81">
        <v>0</v>
      </c>
      <c r="AK871" s="81">
        <v>0</v>
      </c>
      <c r="AL871" s="81">
        <v>0</v>
      </c>
      <c r="AM871" s="81">
        <v>2</v>
      </c>
      <c r="AN871" s="81">
        <v>1</v>
      </c>
      <c r="AO871" s="80">
        <v>0</v>
      </c>
    </row>
    <row r="872" spans="1:41" ht="15.75" x14ac:dyDescent="0.25">
      <c r="A872" s="159"/>
      <c r="B872" s="159"/>
      <c r="C872" s="74"/>
      <c r="D872" s="80" t="s">
        <v>247</v>
      </c>
      <c r="E872" s="80">
        <v>0</v>
      </c>
      <c r="F872" s="80">
        <v>0</v>
      </c>
      <c r="G872" s="80">
        <v>0</v>
      </c>
      <c r="H872" s="80">
        <v>0</v>
      </c>
      <c r="I872" s="80">
        <v>0</v>
      </c>
      <c r="J872" s="80">
        <v>0</v>
      </c>
      <c r="K872" s="80">
        <v>0</v>
      </c>
      <c r="L872" s="80">
        <v>0</v>
      </c>
      <c r="M872" s="80">
        <v>0</v>
      </c>
      <c r="N872" s="80">
        <v>0</v>
      </c>
      <c r="O872" s="80">
        <v>0</v>
      </c>
      <c r="P872" s="80">
        <v>0</v>
      </c>
      <c r="Q872" s="80">
        <v>0</v>
      </c>
      <c r="R872" s="80">
        <v>0</v>
      </c>
      <c r="S872" s="80">
        <v>0</v>
      </c>
      <c r="T872" s="80">
        <v>0</v>
      </c>
      <c r="U872" s="80">
        <v>0</v>
      </c>
      <c r="V872" s="80">
        <v>0</v>
      </c>
      <c r="W872" s="80">
        <v>0</v>
      </c>
      <c r="X872" s="80">
        <v>0</v>
      </c>
      <c r="Y872" s="80">
        <v>0</v>
      </c>
      <c r="Z872" s="80">
        <v>0</v>
      </c>
      <c r="AA872" s="80">
        <v>0</v>
      </c>
      <c r="AB872" s="80">
        <v>0</v>
      </c>
      <c r="AC872" s="80">
        <v>0</v>
      </c>
      <c r="AD872" s="80">
        <v>0</v>
      </c>
      <c r="AE872" s="80">
        <v>0</v>
      </c>
      <c r="AF872" s="80">
        <v>0</v>
      </c>
      <c r="AG872" s="81">
        <v>0</v>
      </c>
      <c r="AH872" s="80">
        <v>0</v>
      </c>
      <c r="AI872" s="81">
        <v>0</v>
      </c>
      <c r="AJ872" s="81">
        <v>0</v>
      </c>
      <c r="AK872" s="81">
        <v>0</v>
      </c>
      <c r="AL872" s="81">
        <v>0</v>
      </c>
      <c r="AM872" s="81">
        <v>0</v>
      </c>
      <c r="AN872" s="81">
        <v>0</v>
      </c>
      <c r="AO872" s="80">
        <v>0</v>
      </c>
    </row>
    <row r="873" spans="1:41" ht="15.75" x14ac:dyDescent="0.25">
      <c r="A873" s="159"/>
      <c r="B873" s="159"/>
      <c r="C873" s="74"/>
      <c r="D873" s="80" t="s">
        <v>248</v>
      </c>
      <c r="E873" s="80">
        <v>0</v>
      </c>
      <c r="F873" s="80">
        <v>0</v>
      </c>
      <c r="G873" s="80">
        <v>0</v>
      </c>
      <c r="H873" s="80">
        <v>0</v>
      </c>
      <c r="I873" s="80">
        <v>1</v>
      </c>
      <c r="J873" s="80">
        <v>1</v>
      </c>
      <c r="K873" s="80">
        <v>0</v>
      </c>
      <c r="L873" s="80">
        <v>0</v>
      </c>
      <c r="M873" s="80">
        <v>0</v>
      </c>
      <c r="N873" s="80">
        <v>1</v>
      </c>
      <c r="O873" s="80">
        <v>1</v>
      </c>
      <c r="P873" s="80">
        <v>0</v>
      </c>
      <c r="Q873" s="80">
        <v>0</v>
      </c>
      <c r="R873" s="80">
        <v>0</v>
      </c>
      <c r="S873" s="80">
        <v>0</v>
      </c>
      <c r="T873" s="80">
        <v>0</v>
      </c>
      <c r="U873" s="80">
        <v>1</v>
      </c>
      <c r="V873" s="80">
        <v>2</v>
      </c>
      <c r="W873" s="80">
        <v>0</v>
      </c>
      <c r="X873" s="80">
        <v>0</v>
      </c>
      <c r="Y873" s="80">
        <v>0</v>
      </c>
      <c r="Z873" s="80">
        <v>0</v>
      </c>
      <c r="AA873" s="80">
        <v>0</v>
      </c>
      <c r="AB873" s="80">
        <v>0</v>
      </c>
      <c r="AC873" s="80">
        <v>0</v>
      </c>
      <c r="AD873" s="80">
        <v>0</v>
      </c>
      <c r="AE873" s="80">
        <v>0</v>
      </c>
      <c r="AF873" s="80">
        <v>0</v>
      </c>
      <c r="AG873" s="81">
        <v>1</v>
      </c>
      <c r="AH873" s="80">
        <v>0</v>
      </c>
      <c r="AI873" s="81">
        <v>0</v>
      </c>
      <c r="AJ873" s="81">
        <v>0</v>
      </c>
      <c r="AK873" s="81">
        <v>0</v>
      </c>
      <c r="AL873" s="81">
        <v>0</v>
      </c>
      <c r="AM873" s="81">
        <v>1</v>
      </c>
      <c r="AN873" s="81">
        <v>1</v>
      </c>
      <c r="AO873" s="80">
        <v>0</v>
      </c>
    </row>
    <row r="874" spans="1:41" ht="15.75" x14ac:dyDescent="0.25">
      <c r="A874" s="159"/>
      <c r="B874" s="159"/>
      <c r="C874" s="74"/>
      <c r="D874" s="80" t="s">
        <v>258</v>
      </c>
      <c r="E874" s="80">
        <v>0</v>
      </c>
      <c r="F874" s="80">
        <v>0</v>
      </c>
      <c r="G874" s="80">
        <v>0</v>
      </c>
      <c r="H874" s="80">
        <v>0</v>
      </c>
      <c r="I874" s="80">
        <v>0</v>
      </c>
      <c r="J874" s="80">
        <v>0</v>
      </c>
      <c r="K874" s="80">
        <v>0</v>
      </c>
      <c r="L874" s="80">
        <v>0</v>
      </c>
      <c r="M874" s="80">
        <v>0</v>
      </c>
      <c r="N874" s="80">
        <v>0</v>
      </c>
      <c r="O874" s="80">
        <v>0</v>
      </c>
      <c r="P874" s="80">
        <v>0</v>
      </c>
      <c r="Q874" s="80">
        <v>1</v>
      </c>
      <c r="R874" s="80">
        <v>1</v>
      </c>
      <c r="S874" s="80">
        <v>0</v>
      </c>
      <c r="T874" s="80">
        <v>0</v>
      </c>
      <c r="U874" s="80">
        <v>0</v>
      </c>
      <c r="V874" s="80">
        <v>0</v>
      </c>
      <c r="W874" s="80">
        <v>0</v>
      </c>
      <c r="X874" s="80">
        <v>0</v>
      </c>
      <c r="Y874" s="80">
        <v>0</v>
      </c>
      <c r="Z874" s="80">
        <v>0</v>
      </c>
      <c r="AA874" s="80">
        <v>0</v>
      </c>
      <c r="AB874" s="80">
        <v>0</v>
      </c>
      <c r="AC874" s="80">
        <v>0</v>
      </c>
      <c r="AD874" s="80">
        <v>0</v>
      </c>
      <c r="AE874" s="80">
        <v>0</v>
      </c>
      <c r="AF874" s="80">
        <v>0</v>
      </c>
      <c r="AG874" s="80">
        <v>0</v>
      </c>
      <c r="AH874" s="80">
        <v>0</v>
      </c>
      <c r="AI874" s="80">
        <v>0</v>
      </c>
      <c r="AJ874" s="80">
        <v>0</v>
      </c>
      <c r="AK874" s="80">
        <v>0</v>
      </c>
      <c r="AL874" s="80">
        <v>0</v>
      </c>
      <c r="AM874" s="81">
        <v>1</v>
      </c>
      <c r="AN874" s="81">
        <v>0</v>
      </c>
      <c r="AO874" s="80">
        <v>0</v>
      </c>
    </row>
    <row r="875" spans="1:41" ht="15.75" x14ac:dyDescent="0.25">
      <c r="A875" s="74">
        <v>3</v>
      </c>
      <c r="B875" s="74" t="s">
        <v>167</v>
      </c>
      <c r="C875" s="629" t="s">
        <v>167</v>
      </c>
      <c r="D875" s="80" t="s">
        <v>245</v>
      </c>
      <c r="E875" s="80">
        <v>0</v>
      </c>
      <c r="F875" s="80">
        <v>0</v>
      </c>
      <c r="G875" s="80">
        <v>0</v>
      </c>
      <c r="H875" s="80">
        <v>3</v>
      </c>
      <c r="I875" s="80">
        <v>2</v>
      </c>
      <c r="J875" s="80">
        <v>1</v>
      </c>
      <c r="K875" s="80">
        <v>1</v>
      </c>
      <c r="L875" s="80">
        <v>0</v>
      </c>
      <c r="M875" s="80">
        <v>1</v>
      </c>
      <c r="N875" s="80">
        <v>1</v>
      </c>
      <c r="O875" s="80">
        <v>1</v>
      </c>
      <c r="P875" s="80">
        <v>0</v>
      </c>
      <c r="Q875" s="80">
        <v>2</v>
      </c>
      <c r="R875" s="80">
        <v>1</v>
      </c>
      <c r="S875" s="80">
        <v>0</v>
      </c>
      <c r="T875" s="80">
        <v>0</v>
      </c>
      <c r="U875" s="80">
        <v>2</v>
      </c>
      <c r="V875" s="80">
        <v>2</v>
      </c>
      <c r="W875" s="80">
        <v>2</v>
      </c>
      <c r="X875" s="80">
        <v>1</v>
      </c>
      <c r="Y875" s="80">
        <v>0</v>
      </c>
      <c r="Z875" s="80">
        <v>2</v>
      </c>
      <c r="AA875" s="80">
        <v>2</v>
      </c>
      <c r="AB875" s="80">
        <v>1</v>
      </c>
      <c r="AC875" s="80">
        <v>1</v>
      </c>
      <c r="AD875" s="80">
        <v>0</v>
      </c>
      <c r="AE875" s="80">
        <v>0</v>
      </c>
      <c r="AF875" s="80">
        <v>1</v>
      </c>
      <c r="AG875" s="81">
        <v>1</v>
      </c>
      <c r="AH875" s="81">
        <v>1</v>
      </c>
      <c r="AI875" s="81">
        <v>0</v>
      </c>
      <c r="AJ875" s="81">
        <v>0</v>
      </c>
      <c r="AK875" s="81">
        <v>0</v>
      </c>
      <c r="AL875" s="81">
        <v>0</v>
      </c>
      <c r="AM875" s="81">
        <v>0</v>
      </c>
      <c r="AN875" s="81">
        <v>0</v>
      </c>
      <c r="AO875" s="80">
        <v>0</v>
      </c>
    </row>
    <row r="876" spans="1:41" ht="15.75" x14ac:dyDescent="0.25">
      <c r="A876" s="74"/>
      <c r="B876" s="74"/>
      <c r="C876" s="630"/>
      <c r="D876" s="80" t="s">
        <v>246</v>
      </c>
      <c r="E876" s="80">
        <v>1</v>
      </c>
      <c r="F876" s="80">
        <v>0</v>
      </c>
      <c r="G876" s="80">
        <v>0</v>
      </c>
      <c r="H876" s="80">
        <v>3</v>
      </c>
      <c r="I876" s="80">
        <v>1</v>
      </c>
      <c r="J876" s="80">
        <v>1</v>
      </c>
      <c r="K876" s="80">
        <v>0</v>
      </c>
      <c r="L876" s="80">
        <v>0</v>
      </c>
      <c r="M876" s="80">
        <v>1</v>
      </c>
      <c r="N876" s="80">
        <v>2</v>
      </c>
      <c r="O876" s="80">
        <v>1</v>
      </c>
      <c r="P876" s="80">
        <v>0</v>
      </c>
      <c r="Q876" s="80">
        <v>2</v>
      </c>
      <c r="R876" s="80">
        <v>1</v>
      </c>
      <c r="S876" s="80">
        <v>0</v>
      </c>
      <c r="T876" s="80">
        <v>0</v>
      </c>
      <c r="U876" s="80">
        <v>2</v>
      </c>
      <c r="V876" s="80">
        <v>2</v>
      </c>
      <c r="W876" s="80">
        <v>2</v>
      </c>
      <c r="X876" s="80">
        <v>1</v>
      </c>
      <c r="Y876" s="80">
        <v>0</v>
      </c>
      <c r="Z876" s="80">
        <v>2</v>
      </c>
      <c r="AA876" s="80">
        <v>1</v>
      </c>
      <c r="AB876" s="80">
        <v>1</v>
      </c>
      <c r="AC876" s="80">
        <v>0</v>
      </c>
      <c r="AD876" s="80">
        <v>0</v>
      </c>
      <c r="AE876" s="80">
        <v>0</v>
      </c>
      <c r="AF876" s="80">
        <v>0</v>
      </c>
      <c r="AG876" s="81">
        <v>1</v>
      </c>
      <c r="AH876" s="81">
        <v>0</v>
      </c>
      <c r="AI876" s="81">
        <v>0</v>
      </c>
      <c r="AJ876" s="81">
        <v>0</v>
      </c>
      <c r="AK876" s="81">
        <v>0</v>
      </c>
      <c r="AL876" s="81">
        <v>0</v>
      </c>
      <c r="AM876" s="81">
        <v>0</v>
      </c>
      <c r="AN876" s="81">
        <v>0</v>
      </c>
      <c r="AO876" s="80">
        <v>0</v>
      </c>
    </row>
    <row r="877" spans="1:41" ht="15.75" x14ac:dyDescent="0.25">
      <c r="A877" s="74"/>
      <c r="B877" s="74"/>
      <c r="C877" s="630"/>
      <c r="D877" s="80" t="s">
        <v>247</v>
      </c>
      <c r="E877" s="80">
        <v>0</v>
      </c>
      <c r="F877" s="80">
        <v>0</v>
      </c>
      <c r="G877" s="80">
        <v>0</v>
      </c>
      <c r="H877" s="80">
        <v>0</v>
      </c>
      <c r="I877" s="80">
        <v>1</v>
      </c>
      <c r="J877" s="80">
        <v>0</v>
      </c>
      <c r="K877" s="80">
        <v>1</v>
      </c>
      <c r="L877" s="80">
        <v>0</v>
      </c>
      <c r="M877" s="80">
        <v>0</v>
      </c>
      <c r="N877" s="80">
        <v>0</v>
      </c>
      <c r="O877" s="80">
        <v>0</v>
      </c>
      <c r="P877" s="80">
        <v>0</v>
      </c>
      <c r="Q877" s="80">
        <v>0</v>
      </c>
      <c r="R877" s="80">
        <v>0</v>
      </c>
      <c r="S877" s="80">
        <v>0</v>
      </c>
      <c r="T877" s="80">
        <v>0</v>
      </c>
      <c r="U877" s="80">
        <v>0</v>
      </c>
      <c r="V877" s="80">
        <v>0</v>
      </c>
      <c r="W877" s="80">
        <v>0</v>
      </c>
      <c r="X877" s="80">
        <v>0</v>
      </c>
      <c r="Y877" s="80">
        <v>0</v>
      </c>
      <c r="Z877" s="80">
        <v>0</v>
      </c>
      <c r="AA877" s="80">
        <v>1</v>
      </c>
      <c r="AB877" s="80">
        <v>0</v>
      </c>
      <c r="AC877" s="80">
        <v>1</v>
      </c>
      <c r="AD877" s="80">
        <v>0</v>
      </c>
      <c r="AE877" s="80">
        <v>0</v>
      </c>
      <c r="AF877" s="80">
        <v>1</v>
      </c>
      <c r="AG877" s="81">
        <v>0</v>
      </c>
      <c r="AH877" s="81">
        <v>1</v>
      </c>
      <c r="AI877" s="81">
        <v>0</v>
      </c>
      <c r="AJ877" s="81">
        <v>0</v>
      </c>
      <c r="AK877" s="81">
        <v>0</v>
      </c>
      <c r="AL877" s="81">
        <v>0</v>
      </c>
      <c r="AM877" s="81">
        <v>0</v>
      </c>
      <c r="AN877" s="81">
        <v>0</v>
      </c>
      <c r="AO877" s="80">
        <v>0</v>
      </c>
    </row>
    <row r="878" spans="1:41" ht="15.75" x14ac:dyDescent="0.25">
      <c r="A878" s="74"/>
      <c r="B878" s="74"/>
      <c r="C878" s="630"/>
      <c r="D878" s="80" t="s">
        <v>248</v>
      </c>
      <c r="E878" s="80">
        <v>1</v>
      </c>
      <c r="F878" s="80">
        <v>0</v>
      </c>
      <c r="G878" s="80">
        <v>0</v>
      </c>
      <c r="H878" s="80">
        <v>3</v>
      </c>
      <c r="I878" s="80">
        <v>1</v>
      </c>
      <c r="J878" s="80">
        <v>1</v>
      </c>
      <c r="K878" s="80">
        <v>0</v>
      </c>
      <c r="L878" s="80">
        <v>0</v>
      </c>
      <c r="M878" s="80">
        <v>1</v>
      </c>
      <c r="N878" s="80">
        <v>2</v>
      </c>
      <c r="O878" s="80">
        <v>1</v>
      </c>
      <c r="P878" s="80">
        <v>0</v>
      </c>
      <c r="Q878" s="80">
        <v>2</v>
      </c>
      <c r="R878" s="80">
        <v>1</v>
      </c>
      <c r="S878" s="80">
        <v>0</v>
      </c>
      <c r="T878" s="80">
        <v>0</v>
      </c>
      <c r="U878" s="80">
        <v>2</v>
      </c>
      <c r="V878" s="80">
        <v>2</v>
      </c>
      <c r="W878" s="80">
        <v>0</v>
      </c>
      <c r="X878" s="80">
        <v>1</v>
      </c>
      <c r="Y878" s="80">
        <v>0</v>
      </c>
      <c r="Z878" s="80">
        <v>2</v>
      </c>
      <c r="AA878" s="80">
        <v>1</v>
      </c>
      <c r="AB878" s="80">
        <v>1</v>
      </c>
      <c r="AC878" s="80">
        <v>0</v>
      </c>
      <c r="AD878" s="80">
        <v>0</v>
      </c>
      <c r="AE878" s="80">
        <v>0</v>
      </c>
      <c r="AF878" s="80">
        <v>0</v>
      </c>
      <c r="AG878" s="81">
        <v>1</v>
      </c>
      <c r="AH878" s="81">
        <v>0</v>
      </c>
      <c r="AI878" s="81">
        <v>0</v>
      </c>
      <c r="AJ878" s="81">
        <v>0</v>
      </c>
      <c r="AK878" s="81">
        <v>0</v>
      </c>
      <c r="AL878" s="81">
        <v>0</v>
      </c>
      <c r="AM878" s="81">
        <v>0</v>
      </c>
      <c r="AN878" s="81">
        <v>0</v>
      </c>
      <c r="AO878" s="80">
        <v>0</v>
      </c>
    </row>
    <row r="879" spans="1:41" ht="15.75" x14ac:dyDescent="0.25">
      <c r="A879" s="74"/>
      <c r="B879" s="74"/>
      <c r="C879" s="631"/>
      <c r="D879" s="80" t="s">
        <v>258</v>
      </c>
      <c r="E879" s="80">
        <v>0</v>
      </c>
      <c r="F879" s="80">
        <v>0</v>
      </c>
      <c r="G879" s="80">
        <v>0</v>
      </c>
      <c r="H879" s="80">
        <v>0</v>
      </c>
      <c r="I879" s="80">
        <v>0</v>
      </c>
      <c r="J879" s="80">
        <v>0</v>
      </c>
      <c r="K879" s="80">
        <v>0</v>
      </c>
      <c r="L879" s="80">
        <v>0</v>
      </c>
      <c r="M879" s="80">
        <v>0</v>
      </c>
      <c r="N879" s="80">
        <v>0</v>
      </c>
      <c r="O879" s="80">
        <v>0</v>
      </c>
      <c r="P879" s="80">
        <v>0</v>
      </c>
      <c r="Q879" s="80">
        <v>0</v>
      </c>
      <c r="R879" s="80">
        <v>0</v>
      </c>
      <c r="S879" s="80">
        <v>0</v>
      </c>
      <c r="T879" s="80">
        <v>0</v>
      </c>
      <c r="U879" s="80">
        <v>0</v>
      </c>
      <c r="V879" s="80">
        <v>0</v>
      </c>
      <c r="W879" s="80">
        <v>2</v>
      </c>
      <c r="X879" s="80">
        <v>0</v>
      </c>
      <c r="Y879" s="80">
        <v>0</v>
      </c>
      <c r="Z879" s="80">
        <v>0</v>
      </c>
      <c r="AA879" s="80">
        <v>0</v>
      </c>
      <c r="AB879" s="80">
        <v>0</v>
      </c>
      <c r="AC879" s="80">
        <v>0</v>
      </c>
      <c r="AD879" s="80">
        <v>0</v>
      </c>
      <c r="AE879" s="80">
        <v>0</v>
      </c>
      <c r="AF879" s="80">
        <v>0</v>
      </c>
      <c r="AG879" s="80">
        <v>0</v>
      </c>
      <c r="AH879" s="80">
        <v>0</v>
      </c>
      <c r="AI879" s="80">
        <v>0</v>
      </c>
      <c r="AJ879" s="80">
        <v>0</v>
      </c>
      <c r="AK879" s="80">
        <v>0</v>
      </c>
      <c r="AL879" s="80">
        <v>0</v>
      </c>
      <c r="AM879" s="81">
        <v>0</v>
      </c>
      <c r="AN879" s="81">
        <v>0</v>
      </c>
      <c r="AO879" s="80">
        <v>0</v>
      </c>
    </row>
    <row r="880" spans="1:41" ht="15.75" x14ac:dyDescent="0.25">
      <c r="A880" s="74">
        <v>4</v>
      </c>
      <c r="B880" s="74"/>
      <c r="C880" s="627" t="s">
        <v>249</v>
      </c>
      <c r="D880" s="80" t="s">
        <v>245</v>
      </c>
      <c r="E880" s="80">
        <v>0</v>
      </c>
      <c r="F880" s="80">
        <v>0</v>
      </c>
      <c r="G880" s="80">
        <v>0</v>
      </c>
      <c r="H880" s="80">
        <v>0</v>
      </c>
      <c r="I880" s="80">
        <v>3</v>
      </c>
      <c r="J880" s="80">
        <v>2</v>
      </c>
      <c r="K880" s="80">
        <v>0</v>
      </c>
      <c r="L880" s="80">
        <v>0</v>
      </c>
      <c r="M880" s="80">
        <v>0</v>
      </c>
      <c r="N880" s="80">
        <v>1</v>
      </c>
      <c r="O880" s="80">
        <v>1</v>
      </c>
      <c r="P880" s="80">
        <v>0</v>
      </c>
      <c r="Q880" s="80">
        <v>2</v>
      </c>
      <c r="R880" s="80">
        <v>2</v>
      </c>
      <c r="S880" s="80">
        <v>0</v>
      </c>
      <c r="T880" s="80">
        <v>0</v>
      </c>
      <c r="U880" s="80">
        <v>2</v>
      </c>
      <c r="V880" s="80">
        <v>0</v>
      </c>
      <c r="W880" s="80">
        <v>0</v>
      </c>
      <c r="X880" s="80">
        <v>2</v>
      </c>
      <c r="Y880" s="80">
        <v>0</v>
      </c>
      <c r="Z880" s="80">
        <v>4</v>
      </c>
      <c r="AA880" s="80">
        <v>1</v>
      </c>
      <c r="AB880" s="80">
        <v>1</v>
      </c>
      <c r="AC880" s="80">
        <v>0</v>
      </c>
      <c r="AD880" s="80">
        <v>0</v>
      </c>
      <c r="AE880" s="80">
        <v>0</v>
      </c>
      <c r="AF880" s="80">
        <v>0</v>
      </c>
      <c r="AG880" s="80">
        <v>2</v>
      </c>
      <c r="AH880" s="80">
        <v>0</v>
      </c>
      <c r="AI880" s="80">
        <v>0</v>
      </c>
      <c r="AJ880" s="80">
        <v>0</v>
      </c>
      <c r="AK880" s="80">
        <v>0</v>
      </c>
      <c r="AL880" s="80">
        <v>0</v>
      </c>
      <c r="AM880" s="81">
        <v>0</v>
      </c>
      <c r="AN880" s="81">
        <v>0</v>
      </c>
      <c r="AO880" s="80">
        <v>0</v>
      </c>
    </row>
    <row r="881" spans="1:41" ht="15.75" x14ac:dyDescent="0.25">
      <c r="A881" s="74"/>
      <c r="B881" s="74"/>
      <c r="C881" s="627"/>
      <c r="D881" s="80" t="s">
        <v>246</v>
      </c>
      <c r="E881" s="80">
        <v>0</v>
      </c>
      <c r="F881" s="80">
        <v>0</v>
      </c>
      <c r="G881" s="80">
        <v>0</v>
      </c>
      <c r="H881" s="80">
        <v>0</v>
      </c>
      <c r="I881" s="80">
        <v>3</v>
      </c>
      <c r="J881" s="80">
        <v>2</v>
      </c>
      <c r="K881" s="80">
        <v>0</v>
      </c>
      <c r="L881" s="80">
        <v>0</v>
      </c>
      <c r="M881" s="80">
        <v>0</v>
      </c>
      <c r="N881" s="80">
        <v>0</v>
      </c>
      <c r="O881" s="80">
        <v>1</v>
      </c>
      <c r="P881" s="80">
        <v>0</v>
      </c>
      <c r="Q881" s="80">
        <v>2</v>
      </c>
      <c r="R881" s="80">
        <v>2</v>
      </c>
      <c r="S881" s="80">
        <v>0</v>
      </c>
      <c r="T881" s="80">
        <v>0</v>
      </c>
      <c r="U881" s="80">
        <v>2</v>
      </c>
      <c r="V881" s="80">
        <v>0</v>
      </c>
      <c r="W881" s="80">
        <v>0</v>
      </c>
      <c r="X881" s="80">
        <v>2</v>
      </c>
      <c r="Y881" s="80">
        <v>0</v>
      </c>
      <c r="Z881" s="80">
        <v>4</v>
      </c>
      <c r="AA881" s="80">
        <v>1</v>
      </c>
      <c r="AB881" s="80">
        <v>1</v>
      </c>
      <c r="AC881" s="80">
        <v>0</v>
      </c>
      <c r="AD881" s="80">
        <v>0</v>
      </c>
      <c r="AE881" s="80">
        <v>0</v>
      </c>
      <c r="AF881" s="80">
        <v>0</v>
      </c>
      <c r="AG881" s="81">
        <v>2</v>
      </c>
      <c r="AH881" s="80">
        <v>0</v>
      </c>
      <c r="AI881" s="81">
        <v>0</v>
      </c>
      <c r="AJ881" s="81">
        <v>0</v>
      </c>
      <c r="AK881" s="81">
        <v>0</v>
      </c>
      <c r="AL881" s="81">
        <v>0</v>
      </c>
      <c r="AM881" s="81">
        <v>0</v>
      </c>
      <c r="AN881" s="81">
        <v>0</v>
      </c>
      <c r="AO881" s="80">
        <v>0</v>
      </c>
    </row>
    <row r="882" spans="1:41" ht="15.75" x14ac:dyDescent="0.25">
      <c r="A882" s="74"/>
      <c r="B882" s="74"/>
      <c r="C882" s="627"/>
      <c r="D882" s="80" t="s">
        <v>247</v>
      </c>
      <c r="E882" s="80">
        <v>0</v>
      </c>
      <c r="F882" s="80">
        <v>0</v>
      </c>
      <c r="G882" s="80">
        <v>0</v>
      </c>
      <c r="H882" s="80">
        <v>0</v>
      </c>
      <c r="I882" s="80">
        <v>0</v>
      </c>
      <c r="J882" s="80">
        <v>0</v>
      </c>
      <c r="K882" s="80">
        <v>0</v>
      </c>
      <c r="L882" s="80">
        <v>0</v>
      </c>
      <c r="M882" s="80">
        <v>0</v>
      </c>
      <c r="N882" s="80">
        <v>0</v>
      </c>
      <c r="O882" s="80">
        <v>0</v>
      </c>
      <c r="P882" s="80">
        <v>0</v>
      </c>
      <c r="Q882" s="80">
        <v>0</v>
      </c>
      <c r="R882" s="80">
        <v>0</v>
      </c>
      <c r="S882" s="80">
        <v>0</v>
      </c>
      <c r="T882" s="80">
        <v>0</v>
      </c>
      <c r="U882" s="80">
        <v>0</v>
      </c>
      <c r="V882" s="80">
        <v>0</v>
      </c>
      <c r="W882" s="80">
        <v>0</v>
      </c>
      <c r="X882" s="80">
        <v>0</v>
      </c>
      <c r="Y882" s="80">
        <v>0</v>
      </c>
      <c r="Z882" s="80">
        <v>0</v>
      </c>
      <c r="AA882" s="80">
        <v>0</v>
      </c>
      <c r="AB882" s="80">
        <v>0</v>
      </c>
      <c r="AC882" s="80">
        <v>0</v>
      </c>
      <c r="AD882" s="80">
        <v>0</v>
      </c>
      <c r="AE882" s="80">
        <v>0</v>
      </c>
      <c r="AF882" s="80">
        <v>0</v>
      </c>
      <c r="AG882" s="81">
        <v>0</v>
      </c>
      <c r="AH882" s="80">
        <v>0</v>
      </c>
      <c r="AI882" s="81">
        <v>0</v>
      </c>
      <c r="AJ882" s="81">
        <v>0</v>
      </c>
      <c r="AK882" s="81">
        <v>0</v>
      </c>
      <c r="AL882" s="81">
        <v>0</v>
      </c>
      <c r="AM882" s="81">
        <v>0</v>
      </c>
      <c r="AN882" s="81">
        <v>0</v>
      </c>
      <c r="AO882" s="80">
        <v>0</v>
      </c>
    </row>
    <row r="883" spans="1:41" ht="18.75" x14ac:dyDescent="0.3">
      <c r="A883" s="74"/>
      <c r="B883" s="74"/>
      <c r="C883" s="627"/>
      <c r="D883" s="80" t="s">
        <v>248</v>
      </c>
      <c r="E883" s="80">
        <v>0</v>
      </c>
      <c r="F883" s="80">
        <v>0</v>
      </c>
      <c r="G883" s="80">
        <v>0</v>
      </c>
      <c r="H883" s="80">
        <v>0</v>
      </c>
      <c r="I883" s="80">
        <v>3</v>
      </c>
      <c r="J883" s="160">
        <v>2</v>
      </c>
      <c r="K883" s="80">
        <v>0</v>
      </c>
      <c r="L883" s="80">
        <v>0</v>
      </c>
      <c r="M883" s="80">
        <v>0</v>
      </c>
      <c r="N883" s="80">
        <v>0</v>
      </c>
      <c r="O883" s="80">
        <v>1</v>
      </c>
      <c r="P883" s="80">
        <v>0</v>
      </c>
      <c r="Q883" s="80">
        <v>2</v>
      </c>
      <c r="R883" s="80">
        <v>2</v>
      </c>
      <c r="S883" s="80">
        <v>0</v>
      </c>
      <c r="T883" s="80">
        <v>0</v>
      </c>
      <c r="U883" s="80">
        <v>2</v>
      </c>
      <c r="V883" s="80">
        <v>0</v>
      </c>
      <c r="W883" s="80">
        <v>0</v>
      </c>
      <c r="X883" s="80">
        <v>2</v>
      </c>
      <c r="Y883" s="80">
        <v>0</v>
      </c>
      <c r="Z883" s="80">
        <v>4</v>
      </c>
      <c r="AA883" s="80">
        <v>0</v>
      </c>
      <c r="AB883" s="80">
        <v>1</v>
      </c>
      <c r="AC883" s="80">
        <v>0</v>
      </c>
      <c r="AD883" s="80">
        <v>0</v>
      </c>
      <c r="AE883" s="80">
        <v>0</v>
      </c>
      <c r="AF883" s="80">
        <v>0</v>
      </c>
      <c r="AG883" s="81">
        <v>2</v>
      </c>
      <c r="AH883" s="80">
        <v>0</v>
      </c>
      <c r="AI883" s="81">
        <v>0</v>
      </c>
      <c r="AJ883" s="81">
        <v>0</v>
      </c>
      <c r="AK883" s="81">
        <v>0</v>
      </c>
      <c r="AL883" s="81">
        <v>0</v>
      </c>
      <c r="AM883" s="81">
        <v>0</v>
      </c>
      <c r="AN883" s="81">
        <v>0</v>
      </c>
      <c r="AO883" s="80">
        <v>0</v>
      </c>
    </row>
    <row r="884" spans="1:41" ht="15.75" x14ac:dyDescent="0.25">
      <c r="A884" s="74"/>
      <c r="B884" s="74"/>
      <c r="C884" s="627"/>
      <c r="D884" s="80" t="s">
        <v>258</v>
      </c>
      <c r="E884" s="80">
        <v>0</v>
      </c>
      <c r="F884" s="80">
        <v>0</v>
      </c>
      <c r="G884" s="80">
        <v>0</v>
      </c>
      <c r="H884" s="80">
        <v>0</v>
      </c>
      <c r="I884" s="80">
        <v>0</v>
      </c>
      <c r="J884" s="80">
        <v>0</v>
      </c>
      <c r="K884" s="80">
        <v>0</v>
      </c>
      <c r="L884" s="80">
        <v>0</v>
      </c>
      <c r="M884" s="80">
        <v>0</v>
      </c>
      <c r="N884" s="80">
        <v>0</v>
      </c>
      <c r="O884" s="80">
        <v>0</v>
      </c>
      <c r="P884" s="80">
        <v>0</v>
      </c>
      <c r="Q884" s="80">
        <v>0</v>
      </c>
      <c r="R884" s="80">
        <v>0</v>
      </c>
      <c r="S884" s="80">
        <v>0</v>
      </c>
      <c r="T884" s="80">
        <v>0</v>
      </c>
      <c r="U884" s="80">
        <v>0</v>
      </c>
      <c r="V884" s="80">
        <v>0</v>
      </c>
      <c r="W884" s="80">
        <v>0</v>
      </c>
      <c r="X884" s="80">
        <v>0</v>
      </c>
      <c r="Y884" s="80">
        <v>0</v>
      </c>
      <c r="Z884" s="80">
        <v>0</v>
      </c>
      <c r="AA884" s="80">
        <v>0</v>
      </c>
      <c r="AB884" s="80">
        <v>0</v>
      </c>
      <c r="AC884" s="80">
        <v>0</v>
      </c>
      <c r="AD884" s="80">
        <v>0</v>
      </c>
      <c r="AE884" s="80">
        <v>0</v>
      </c>
      <c r="AF884" s="80">
        <v>0</v>
      </c>
      <c r="AG884" s="80">
        <v>0</v>
      </c>
      <c r="AH884" s="80">
        <v>0</v>
      </c>
      <c r="AI884" s="80">
        <v>0</v>
      </c>
      <c r="AJ884" s="80">
        <v>0</v>
      </c>
      <c r="AK884" s="80">
        <v>0</v>
      </c>
      <c r="AL884" s="80">
        <v>0</v>
      </c>
      <c r="AM884" s="81">
        <v>0</v>
      </c>
      <c r="AN884" s="81">
        <v>0</v>
      </c>
      <c r="AO884" s="80">
        <v>0</v>
      </c>
    </row>
    <row r="885" spans="1:41" ht="15.75" x14ac:dyDescent="0.25">
      <c r="A885" s="159">
        <v>5</v>
      </c>
      <c r="B885" s="159" t="s">
        <v>20</v>
      </c>
      <c r="C885" s="159" t="s">
        <v>20</v>
      </c>
      <c r="D885" s="80" t="s">
        <v>245</v>
      </c>
      <c r="E885" s="80">
        <v>0</v>
      </c>
      <c r="F885" s="80">
        <v>0</v>
      </c>
      <c r="G885" s="80">
        <v>0</v>
      </c>
      <c r="H885" s="80">
        <v>2</v>
      </c>
      <c r="I885" s="80">
        <v>1</v>
      </c>
      <c r="J885" s="80">
        <v>1</v>
      </c>
      <c r="K885" s="80">
        <v>0</v>
      </c>
      <c r="L885" s="80">
        <v>0</v>
      </c>
      <c r="M885" s="80">
        <v>1</v>
      </c>
      <c r="N885" s="80">
        <v>1</v>
      </c>
      <c r="O885" s="80">
        <v>1</v>
      </c>
      <c r="P885" s="80">
        <v>0</v>
      </c>
      <c r="Q885" s="80">
        <v>1</v>
      </c>
      <c r="R885" s="80">
        <v>0</v>
      </c>
      <c r="S885" s="80">
        <v>0</v>
      </c>
      <c r="T885" s="80">
        <v>0</v>
      </c>
      <c r="U885" s="80">
        <v>2</v>
      </c>
      <c r="V885" s="80">
        <v>1</v>
      </c>
      <c r="W885" s="80">
        <v>1</v>
      </c>
      <c r="X885" s="80">
        <v>0</v>
      </c>
      <c r="Y885" s="80">
        <v>0</v>
      </c>
      <c r="Z885" s="80">
        <v>1</v>
      </c>
      <c r="AA885" s="80">
        <v>1</v>
      </c>
      <c r="AB885" s="80">
        <v>1</v>
      </c>
      <c r="AC885" s="80">
        <v>0</v>
      </c>
      <c r="AD885" s="80">
        <v>1</v>
      </c>
      <c r="AE885" s="80">
        <v>1</v>
      </c>
      <c r="AF885" s="80">
        <v>0</v>
      </c>
      <c r="AG885" s="81">
        <v>1</v>
      </c>
      <c r="AH885" s="80">
        <v>0</v>
      </c>
      <c r="AI885" s="81">
        <v>0</v>
      </c>
      <c r="AJ885" s="81">
        <v>0</v>
      </c>
      <c r="AK885" s="81">
        <v>0</v>
      </c>
      <c r="AL885" s="81">
        <v>0</v>
      </c>
      <c r="AM885" s="81">
        <v>0</v>
      </c>
      <c r="AN885" s="81">
        <v>0</v>
      </c>
      <c r="AO885" s="80">
        <v>0</v>
      </c>
    </row>
    <row r="886" spans="1:41" ht="15.75" x14ac:dyDescent="0.25">
      <c r="A886" s="159"/>
      <c r="B886" s="159"/>
      <c r="C886" s="159"/>
      <c r="D886" s="80" t="s">
        <v>246</v>
      </c>
      <c r="E886" s="80">
        <v>0</v>
      </c>
      <c r="F886" s="80">
        <v>0</v>
      </c>
      <c r="G886" s="80">
        <v>0</v>
      </c>
      <c r="H886" s="80">
        <v>2</v>
      </c>
      <c r="I886" s="80">
        <v>1</v>
      </c>
      <c r="J886" s="80">
        <v>1</v>
      </c>
      <c r="K886" s="80">
        <v>0</v>
      </c>
      <c r="L886" s="80">
        <v>0</v>
      </c>
      <c r="M886" s="80">
        <v>1</v>
      </c>
      <c r="N886" s="80">
        <v>1</v>
      </c>
      <c r="O886" s="80">
        <v>1</v>
      </c>
      <c r="P886" s="80">
        <v>0</v>
      </c>
      <c r="Q886" s="80">
        <v>1</v>
      </c>
      <c r="R886" s="80">
        <v>0</v>
      </c>
      <c r="S886" s="80">
        <v>0</v>
      </c>
      <c r="T886" s="80">
        <v>0</v>
      </c>
      <c r="U886" s="80">
        <v>2</v>
      </c>
      <c r="V886" s="80">
        <v>1</v>
      </c>
      <c r="W886" s="80">
        <v>1</v>
      </c>
      <c r="X886" s="80">
        <v>0</v>
      </c>
      <c r="Y886" s="80">
        <v>0</v>
      </c>
      <c r="Z886" s="80">
        <v>1</v>
      </c>
      <c r="AA886" s="80">
        <v>1</v>
      </c>
      <c r="AB886" s="80">
        <v>1</v>
      </c>
      <c r="AC886" s="80">
        <v>0</v>
      </c>
      <c r="AD886" s="80">
        <v>1</v>
      </c>
      <c r="AE886" s="80">
        <v>1</v>
      </c>
      <c r="AF886" s="80">
        <v>0</v>
      </c>
      <c r="AG886" s="81">
        <v>1</v>
      </c>
      <c r="AH886" s="80">
        <v>0</v>
      </c>
      <c r="AI886" s="81">
        <v>0</v>
      </c>
      <c r="AJ886" s="81">
        <v>0</v>
      </c>
      <c r="AK886" s="81">
        <v>0</v>
      </c>
      <c r="AL886" s="81">
        <v>0</v>
      </c>
      <c r="AM886" s="81">
        <v>0</v>
      </c>
      <c r="AN886" s="81">
        <v>0</v>
      </c>
      <c r="AO886" s="80">
        <v>0</v>
      </c>
    </row>
    <row r="887" spans="1:41" ht="15.75" x14ac:dyDescent="0.25">
      <c r="A887" s="159"/>
      <c r="B887" s="159"/>
      <c r="C887" s="159"/>
      <c r="D887" s="80" t="s">
        <v>247</v>
      </c>
      <c r="E887" s="80">
        <v>0</v>
      </c>
      <c r="F887" s="80">
        <v>0</v>
      </c>
      <c r="G887" s="80">
        <v>0</v>
      </c>
      <c r="H887" s="80">
        <v>0</v>
      </c>
      <c r="I887" s="80">
        <v>0</v>
      </c>
      <c r="J887" s="80">
        <v>0</v>
      </c>
      <c r="K887" s="80">
        <v>0</v>
      </c>
      <c r="L887" s="80">
        <v>0</v>
      </c>
      <c r="M887" s="80">
        <v>0</v>
      </c>
      <c r="N887" s="80">
        <v>0</v>
      </c>
      <c r="O887" s="80">
        <v>0</v>
      </c>
      <c r="P887" s="80">
        <v>0</v>
      </c>
      <c r="Q887" s="80">
        <v>0</v>
      </c>
      <c r="R887" s="80">
        <v>0</v>
      </c>
      <c r="S887" s="80">
        <v>0</v>
      </c>
      <c r="T887" s="80">
        <v>0</v>
      </c>
      <c r="U887" s="80">
        <v>0</v>
      </c>
      <c r="V887" s="80">
        <v>0</v>
      </c>
      <c r="W887" s="80">
        <v>0</v>
      </c>
      <c r="X887" s="80">
        <v>0</v>
      </c>
      <c r="Y887" s="80">
        <v>0</v>
      </c>
      <c r="Z887" s="80">
        <v>0</v>
      </c>
      <c r="AA887" s="80">
        <v>0</v>
      </c>
      <c r="AB887" s="80">
        <v>0</v>
      </c>
      <c r="AC887" s="80">
        <v>0</v>
      </c>
      <c r="AD887" s="80">
        <v>0</v>
      </c>
      <c r="AE887" s="80">
        <v>0</v>
      </c>
      <c r="AF887" s="80">
        <v>0</v>
      </c>
      <c r="AG887" s="81">
        <v>0</v>
      </c>
      <c r="AH887" s="80">
        <v>0</v>
      </c>
      <c r="AI887" s="81">
        <v>0</v>
      </c>
      <c r="AJ887" s="81">
        <v>0</v>
      </c>
      <c r="AK887" s="81">
        <v>0</v>
      </c>
      <c r="AL887" s="81">
        <v>0</v>
      </c>
      <c r="AM887" s="81">
        <v>0</v>
      </c>
      <c r="AN887" s="81">
        <v>0</v>
      </c>
      <c r="AO887" s="80">
        <v>0</v>
      </c>
    </row>
    <row r="888" spans="1:41" ht="15.75" x14ac:dyDescent="0.25">
      <c r="A888" s="159"/>
      <c r="B888" s="159"/>
      <c r="C888" s="159"/>
      <c r="D888" s="80" t="s">
        <v>248</v>
      </c>
      <c r="E888" s="80">
        <v>0</v>
      </c>
      <c r="F888" s="80">
        <v>0</v>
      </c>
      <c r="G888" s="80">
        <v>0</v>
      </c>
      <c r="H888" s="80">
        <v>2</v>
      </c>
      <c r="I888" s="80">
        <v>1</v>
      </c>
      <c r="J888" s="80">
        <v>1</v>
      </c>
      <c r="K888" s="80">
        <v>0</v>
      </c>
      <c r="L888" s="80">
        <v>0</v>
      </c>
      <c r="M888" s="80">
        <v>1</v>
      </c>
      <c r="N888" s="80">
        <v>1</v>
      </c>
      <c r="O888" s="80">
        <v>1</v>
      </c>
      <c r="P888" s="80">
        <v>0</v>
      </c>
      <c r="Q888" s="80">
        <v>1</v>
      </c>
      <c r="R888" s="80">
        <v>0</v>
      </c>
      <c r="S888" s="80">
        <v>0</v>
      </c>
      <c r="T888" s="80">
        <v>0</v>
      </c>
      <c r="U888" s="80">
        <v>2</v>
      </c>
      <c r="V888" s="80">
        <v>1</v>
      </c>
      <c r="W888" s="80">
        <v>1</v>
      </c>
      <c r="X888" s="80">
        <v>0</v>
      </c>
      <c r="Y888" s="80">
        <v>0</v>
      </c>
      <c r="Z888" s="80">
        <v>1</v>
      </c>
      <c r="AA888" s="80">
        <v>1</v>
      </c>
      <c r="AB888" s="80">
        <v>1</v>
      </c>
      <c r="AC888" s="80">
        <v>0</v>
      </c>
      <c r="AD888" s="80">
        <v>1</v>
      </c>
      <c r="AE888" s="80">
        <v>1</v>
      </c>
      <c r="AF888" s="80">
        <v>0</v>
      </c>
      <c r="AG888" s="81">
        <v>1</v>
      </c>
      <c r="AH888" s="80">
        <v>0</v>
      </c>
      <c r="AI888" s="81">
        <v>0</v>
      </c>
      <c r="AJ888" s="81">
        <v>0</v>
      </c>
      <c r="AK888" s="81">
        <v>0</v>
      </c>
      <c r="AL888" s="81">
        <v>0</v>
      </c>
      <c r="AM888" s="81">
        <v>0</v>
      </c>
      <c r="AN888" s="81">
        <v>0</v>
      </c>
      <c r="AO888" s="80">
        <v>0</v>
      </c>
    </row>
    <row r="889" spans="1:41" ht="15.75" x14ac:dyDescent="0.25">
      <c r="A889" s="159"/>
      <c r="B889" s="159"/>
      <c r="C889" s="159"/>
      <c r="D889" s="80" t="s">
        <v>258</v>
      </c>
      <c r="E889" s="80">
        <v>0</v>
      </c>
      <c r="F889" s="80">
        <v>0</v>
      </c>
      <c r="G889" s="80">
        <v>0</v>
      </c>
      <c r="H889" s="80">
        <v>0</v>
      </c>
      <c r="I889" s="80">
        <v>0</v>
      </c>
      <c r="J889" s="80">
        <v>0</v>
      </c>
      <c r="K889" s="80">
        <v>0</v>
      </c>
      <c r="L889" s="80">
        <v>0</v>
      </c>
      <c r="M889" s="80">
        <v>0</v>
      </c>
      <c r="N889" s="80">
        <v>0</v>
      </c>
      <c r="O889" s="80">
        <v>0</v>
      </c>
      <c r="P889" s="80">
        <v>0</v>
      </c>
      <c r="Q889" s="80">
        <v>0</v>
      </c>
      <c r="R889" s="80">
        <v>0</v>
      </c>
      <c r="S889" s="80">
        <v>0</v>
      </c>
      <c r="T889" s="80">
        <v>0</v>
      </c>
      <c r="U889" s="80">
        <v>0</v>
      </c>
      <c r="V889" s="80">
        <v>0</v>
      </c>
      <c r="W889" s="80">
        <v>0</v>
      </c>
      <c r="X889" s="80">
        <v>0</v>
      </c>
      <c r="Y889" s="80">
        <v>0</v>
      </c>
      <c r="Z889" s="80">
        <v>0</v>
      </c>
      <c r="AA889" s="80">
        <v>0</v>
      </c>
      <c r="AB889" s="80">
        <v>0</v>
      </c>
      <c r="AC889" s="80">
        <v>0</v>
      </c>
      <c r="AD889" s="80">
        <v>0</v>
      </c>
      <c r="AE889" s="80">
        <v>0</v>
      </c>
      <c r="AF889" s="80">
        <v>0</v>
      </c>
      <c r="AG889" s="80">
        <v>0</v>
      </c>
      <c r="AH889" s="80">
        <v>0</v>
      </c>
      <c r="AI889" s="80">
        <v>0</v>
      </c>
      <c r="AJ889" s="80">
        <v>0</v>
      </c>
      <c r="AK889" s="80">
        <v>0</v>
      </c>
      <c r="AL889" s="80">
        <v>0</v>
      </c>
      <c r="AM889" s="81">
        <v>0</v>
      </c>
      <c r="AN889" s="81">
        <v>0</v>
      </c>
      <c r="AO889" s="80">
        <v>0</v>
      </c>
    </row>
    <row r="890" spans="1:41" ht="15.75" x14ac:dyDescent="0.25">
      <c r="A890" s="84">
        <v>6</v>
      </c>
      <c r="B890" s="84" t="s">
        <v>127</v>
      </c>
      <c r="C890" s="84" t="s">
        <v>127</v>
      </c>
      <c r="D890" s="80" t="s">
        <v>245</v>
      </c>
      <c r="E890" s="80">
        <v>0</v>
      </c>
      <c r="F890" s="80">
        <v>1</v>
      </c>
      <c r="G890" s="80">
        <v>1</v>
      </c>
      <c r="H890" s="80">
        <v>1</v>
      </c>
      <c r="I890" s="80">
        <v>7</v>
      </c>
      <c r="J890" s="80">
        <v>2</v>
      </c>
      <c r="K890" s="80">
        <v>0</v>
      </c>
      <c r="L890" s="80">
        <v>0</v>
      </c>
      <c r="M890" s="80">
        <v>1</v>
      </c>
      <c r="N890" s="80">
        <v>1</v>
      </c>
      <c r="O890" s="80">
        <v>4</v>
      </c>
      <c r="P890" s="80">
        <v>0</v>
      </c>
      <c r="Q890" s="80">
        <v>1</v>
      </c>
      <c r="R890" s="80">
        <v>1</v>
      </c>
      <c r="S890" s="80">
        <v>0</v>
      </c>
      <c r="T890" s="80">
        <v>1</v>
      </c>
      <c r="U890" s="80">
        <v>2</v>
      </c>
      <c r="V890" s="80">
        <v>3</v>
      </c>
      <c r="W890" s="80">
        <v>1</v>
      </c>
      <c r="X890" s="80">
        <v>1</v>
      </c>
      <c r="Y890" s="80">
        <v>1</v>
      </c>
      <c r="Z890" s="80">
        <v>1</v>
      </c>
      <c r="AA890" s="80">
        <v>2</v>
      </c>
      <c r="AB890" s="80">
        <v>1</v>
      </c>
      <c r="AC890" s="80">
        <v>0</v>
      </c>
      <c r="AD890" s="80">
        <v>0</v>
      </c>
      <c r="AE890" s="80">
        <v>1</v>
      </c>
      <c r="AF890" s="80">
        <v>1</v>
      </c>
      <c r="AG890" s="80">
        <v>0</v>
      </c>
      <c r="AH890" s="80">
        <v>5</v>
      </c>
      <c r="AI890" s="81">
        <v>0</v>
      </c>
      <c r="AJ890" s="81">
        <v>0</v>
      </c>
      <c r="AK890" s="81">
        <v>0</v>
      </c>
      <c r="AL890" s="81">
        <v>1</v>
      </c>
      <c r="AM890" s="81">
        <v>0</v>
      </c>
      <c r="AN890" s="81">
        <v>1</v>
      </c>
      <c r="AO890" s="80">
        <v>0</v>
      </c>
    </row>
    <row r="891" spans="1:41" ht="15.75" x14ac:dyDescent="0.25">
      <c r="A891" s="84"/>
      <c r="B891" s="84"/>
      <c r="C891" s="84"/>
      <c r="D891" s="80" t="s">
        <v>246</v>
      </c>
      <c r="E891" s="80">
        <v>1</v>
      </c>
      <c r="F891" s="80">
        <v>1</v>
      </c>
      <c r="G891" s="80">
        <v>1</v>
      </c>
      <c r="H891" s="80">
        <v>1</v>
      </c>
      <c r="I891" s="80">
        <v>7</v>
      </c>
      <c r="J891" s="80">
        <v>2</v>
      </c>
      <c r="K891" s="80">
        <v>0</v>
      </c>
      <c r="L891" s="80">
        <v>0</v>
      </c>
      <c r="M891" s="80">
        <v>1</v>
      </c>
      <c r="N891" s="80">
        <v>1</v>
      </c>
      <c r="O891" s="80">
        <v>4</v>
      </c>
      <c r="P891" s="80">
        <v>0</v>
      </c>
      <c r="Q891" s="80">
        <v>1</v>
      </c>
      <c r="R891" s="80">
        <v>1</v>
      </c>
      <c r="S891" s="80">
        <v>0</v>
      </c>
      <c r="T891" s="80">
        <v>1</v>
      </c>
      <c r="U891" s="80">
        <v>2</v>
      </c>
      <c r="V891" s="80">
        <v>3</v>
      </c>
      <c r="W891" s="80">
        <v>1</v>
      </c>
      <c r="X891" s="80">
        <v>1</v>
      </c>
      <c r="Y891" s="80">
        <v>1</v>
      </c>
      <c r="Z891" s="80">
        <v>1</v>
      </c>
      <c r="AA891" s="80">
        <v>2</v>
      </c>
      <c r="AB891" s="80">
        <v>1</v>
      </c>
      <c r="AC891" s="80">
        <v>0</v>
      </c>
      <c r="AD891" s="80">
        <v>0</v>
      </c>
      <c r="AE891" s="80">
        <v>1</v>
      </c>
      <c r="AF891" s="80">
        <v>1</v>
      </c>
      <c r="AG891" s="80">
        <v>0</v>
      </c>
      <c r="AH891" s="80">
        <v>5</v>
      </c>
      <c r="AI891" s="81">
        <v>0</v>
      </c>
      <c r="AJ891" s="81">
        <v>0</v>
      </c>
      <c r="AK891" s="81">
        <v>0</v>
      </c>
      <c r="AL891" s="81">
        <v>1</v>
      </c>
      <c r="AM891" s="81">
        <v>0</v>
      </c>
      <c r="AN891" s="81">
        <v>1</v>
      </c>
      <c r="AO891" s="80">
        <v>0</v>
      </c>
    </row>
    <row r="892" spans="1:41" ht="15.75" x14ac:dyDescent="0.25">
      <c r="A892" s="84"/>
      <c r="B892" s="84"/>
      <c r="C892" s="84"/>
      <c r="D892" s="80" t="s">
        <v>247</v>
      </c>
      <c r="E892" s="80">
        <v>0</v>
      </c>
      <c r="F892" s="80">
        <v>0</v>
      </c>
      <c r="G892" s="80">
        <v>0</v>
      </c>
      <c r="H892" s="80">
        <v>0</v>
      </c>
      <c r="I892" s="80">
        <v>0</v>
      </c>
      <c r="J892" s="80">
        <v>0</v>
      </c>
      <c r="K892" s="80">
        <v>0</v>
      </c>
      <c r="L892" s="80">
        <v>0</v>
      </c>
      <c r="M892" s="80">
        <v>0</v>
      </c>
      <c r="N892" s="80">
        <v>0</v>
      </c>
      <c r="O892" s="80">
        <v>0</v>
      </c>
      <c r="P892" s="80">
        <v>0</v>
      </c>
      <c r="Q892" s="80">
        <v>0</v>
      </c>
      <c r="R892" s="80">
        <v>0</v>
      </c>
      <c r="S892" s="80">
        <v>0</v>
      </c>
      <c r="T892" s="80">
        <v>0</v>
      </c>
      <c r="U892" s="80">
        <v>0</v>
      </c>
      <c r="V892" s="80">
        <v>0</v>
      </c>
      <c r="W892" s="80">
        <v>0</v>
      </c>
      <c r="X892" s="80">
        <v>0</v>
      </c>
      <c r="Y892" s="80">
        <v>0</v>
      </c>
      <c r="Z892" s="80">
        <v>0</v>
      </c>
      <c r="AA892" s="80">
        <v>0</v>
      </c>
      <c r="AB892" s="80">
        <v>0</v>
      </c>
      <c r="AC892" s="80">
        <v>0</v>
      </c>
      <c r="AD892" s="80">
        <v>0</v>
      </c>
      <c r="AE892" s="80">
        <v>0</v>
      </c>
      <c r="AF892" s="80">
        <v>0</v>
      </c>
      <c r="AG892" s="80">
        <v>0</v>
      </c>
      <c r="AH892" s="80">
        <v>0</v>
      </c>
      <c r="AI892" s="81">
        <v>0</v>
      </c>
      <c r="AJ892" s="81">
        <v>0</v>
      </c>
      <c r="AK892" s="81">
        <v>0</v>
      </c>
      <c r="AL892" s="81">
        <v>0</v>
      </c>
      <c r="AM892" s="81">
        <v>0</v>
      </c>
      <c r="AN892" s="81">
        <v>0</v>
      </c>
      <c r="AO892" s="80">
        <v>0</v>
      </c>
    </row>
    <row r="893" spans="1:41" ht="15.75" x14ac:dyDescent="0.25">
      <c r="A893" s="84"/>
      <c r="B893" s="84"/>
      <c r="C893" s="84"/>
      <c r="D893" s="80" t="s">
        <v>248</v>
      </c>
      <c r="E893" s="80">
        <v>1</v>
      </c>
      <c r="F893" s="80">
        <v>1</v>
      </c>
      <c r="G893" s="80">
        <v>1</v>
      </c>
      <c r="H893" s="80">
        <v>1</v>
      </c>
      <c r="I893" s="80">
        <v>7</v>
      </c>
      <c r="J893" s="80">
        <v>2</v>
      </c>
      <c r="K893" s="80">
        <v>0</v>
      </c>
      <c r="L893" s="80">
        <v>0</v>
      </c>
      <c r="M893" s="80">
        <v>1</v>
      </c>
      <c r="N893" s="80">
        <v>1</v>
      </c>
      <c r="O893" s="80">
        <v>4</v>
      </c>
      <c r="P893" s="80">
        <v>0</v>
      </c>
      <c r="Q893" s="80">
        <v>1</v>
      </c>
      <c r="R893" s="80">
        <v>0</v>
      </c>
      <c r="S893" s="80">
        <v>0</v>
      </c>
      <c r="T893" s="80">
        <v>0</v>
      </c>
      <c r="U893" s="80">
        <v>2</v>
      </c>
      <c r="V893" s="80">
        <v>3</v>
      </c>
      <c r="W893" s="80">
        <v>1</v>
      </c>
      <c r="X893" s="80">
        <v>1</v>
      </c>
      <c r="Y893" s="80">
        <v>1</v>
      </c>
      <c r="Z893" s="80">
        <v>0</v>
      </c>
      <c r="AA893" s="80">
        <v>2</v>
      </c>
      <c r="AB893" s="80">
        <v>1</v>
      </c>
      <c r="AC893" s="80">
        <v>0</v>
      </c>
      <c r="AD893" s="80">
        <v>0</v>
      </c>
      <c r="AE893" s="80">
        <v>1</v>
      </c>
      <c r="AF893" s="80">
        <v>1</v>
      </c>
      <c r="AG893" s="80">
        <v>0</v>
      </c>
      <c r="AH893" s="80">
        <v>5</v>
      </c>
      <c r="AI893" s="81">
        <v>0</v>
      </c>
      <c r="AJ893" s="81">
        <v>0</v>
      </c>
      <c r="AK893" s="81">
        <v>0</v>
      </c>
      <c r="AL893" s="81">
        <v>1</v>
      </c>
      <c r="AM893" s="81">
        <v>0</v>
      </c>
      <c r="AN893" s="81">
        <v>1</v>
      </c>
      <c r="AO893" s="80">
        <v>0</v>
      </c>
    </row>
    <row r="894" spans="1:41" ht="15.75" x14ac:dyDescent="0.25">
      <c r="A894" s="84"/>
      <c r="B894" s="84"/>
      <c r="C894" s="84"/>
      <c r="D894" s="80" t="s">
        <v>258</v>
      </c>
      <c r="E894" s="80">
        <v>0</v>
      </c>
      <c r="F894" s="80">
        <v>0</v>
      </c>
      <c r="G894" s="80">
        <v>0</v>
      </c>
      <c r="H894" s="80">
        <v>0</v>
      </c>
      <c r="I894" s="80">
        <v>0</v>
      </c>
      <c r="J894" s="80">
        <v>0</v>
      </c>
      <c r="K894" s="80">
        <v>0</v>
      </c>
      <c r="L894" s="80">
        <v>0</v>
      </c>
      <c r="M894" s="80">
        <v>0</v>
      </c>
      <c r="N894" s="80">
        <v>0</v>
      </c>
      <c r="O894" s="80">
        <v>0</v>
      </c>
      <c r="P894" s="80">
        <v>0</v>
      </c>
      <c r="Q894" s="80">
        <v>0</v>
      </c>
      <c r="R894" s="80">
        <v>1</v>
      </c>
      <c r="S894" s="80">
        <v>0</v>
      </c>
      <c r="T894" s="80">
        <v>1</v>
      </c>
      <c r="U894" s="80">
        <v>0</v>
      </c>
      <c r="V894" s="80">
        <v>0</v>
      </c>
      <c r="W894" s="80">
        <v>0</v>
      </c>
      <c r="X894" s="80">
        <v>0</v>
      </c>
      <c r="Y894" s="80">
        <v>0</v>
      </c>
      <c r="Z894" s="80">
        <v>1</v>
      </c>
      <c r="AA894" s="80">
        <v>0</v>
      </c>
      <c r="AB894" s="80">
        <v>0</v>
      </c>
      <c r="AC894" s="80">
        <v>0</v>
      </c>
      <c r="AD894" s="80">
        <v>0</v>
      </c>
      <c r="AE894" s="80">
        <v>0</v>
      </c>
      <c r="AF894" s="80">
        <v>0</v>
      </c>
      <c r="AG894" s="81">
        <v>0</v>
      </c>
      <c r="AH894" s="80">
        <v>0</v>
      </c>
      <c r="AI894" s="80">
        <v>0</v>
      </c>
      <c r="AJ894" s="80">
        <v>0</v>
      </c>
      <c r="AK894" s="80">
        <v>0</v>
      </c>
      <c r="AL894" s="80">
        <v>0</v>
      </c>
      <c r="AM894" s="81">
        <v>0</v>
      </c>
      <c r="AN894" s="81">
        <v>0</v>
      </c>
      <c r="AO894" s="80">
        <v>0</v>
      </c>
    </row>
    <row r="895" spans="1:41" ht="15.75" x14ac:dyDescent="0.25">
      <c r="A895" s="84">
        <v>7</v>
      </c>
      <c r="B895" s="84"/>
      <c r="C895" s="84" t="s">
        <v>172</v>
      </c>
      <c r="D895" s="80" t="s">
        <v>245</v>
      </c>
      <c r="E895" s="80">
        <v>0</v>
      </c>
      <c r="F895" s="80">
        <v>0</v>
      </c>
      <c r="G895" s="80">
        <v>0</v>
      </c>
      <c r="H895" s="80">
        <v>1</v>
      </c>
      <c r="I895" s="80">
        <v>2</v>
      </c>
      <c r="J895" s="80">
        <v>1</v>
      </c>
      <c r="K895" s="80">
        <v>0</v>
      </c>
      <c r="L895" s="80">
        <v>1</v>
      </c>
      <c r="M895" s="80">
        <v>0</v>
      </c>
      <c r="N895" s="80">
        <v>0</v>
      </c>
      <c r="O895" s="80">
        <v>1</v>
      </c>
      <c r="P895" s="80">
        <v>0</v>
      </c>
      <c r="Q895" s="80">
        <v>1</v>
      </c>
      <c r="R895" s="80">
        <v>1</v>
      </c>
      <c r="S895" s="80">
        <v>0</v>
      </c>
      <c r="T895" s="80">
        <v>1</v>
      </c>
      <c r="U895" s="80">
        <v>2</v>
      </c>
      <c r="V895" s="80">
        <v>1</v>
      </c>
      <c r="W895" s="80">
        <v>1</v>
      </c>
      <c r="X895" s="80">
        <v>0</v>
      </c>
      <c r="Y895" s="80">
        <v>0</v>
      </c>
      <c r="Z895" s="80">
        <v>1</v>
      </c>
      <c r="AA895" s="80">
        <v>2</v>
      </c>
      <c r="AB895" s="80">
        <v>1</v>
      </c>
      <c r="AC895" s="80">
        <v>1</v>
      </c>
      <c r="AD895" s="80">
        <v>0</v>
      </c>
      <c r="AE895" s="80">
        <v>1</v>
      </c>
      <c r="AF895" s="80">
        <v>1</v>
      </c>
      <c r="AG895" s="81">
        <v>1</v>
      </c>
      <c r="AH895" s="80">
        <v>1</v>
      </c>
      <c r="AI895" s="81">
        <v>0</v>
      </c>
      <c r="AJ895" s="81">
        <v>0</v>
      </c>
      <c r="AK895" s="81">
        <v>0</v>
      </c>
      <c r="AL895" s="81">
        <v>0</v>
      </c>
      <c r="AM895" s="81">
        <v>2</v>
      </c>
      <c r="AN895" s="81">
        <v>1</v>
      </c>
      <c r="AO895" s="81">
        <v>1</v>
      </c>
    </row>
    <row r="896" spans="1:41" ht="15.75" x14ac:dyDescent="0.25">
      <c r="A896" s="84"/>
      <c r="B896" s="84"/>
      <c r="C896" s="84"/>
      <c r="D896" s="80" t="s">
        <v>246</v>
      </c>
      <c r="E896" s="80">
        <v>0</v>
      </c>
      <c r="F896" s="80">
        <v>0</v>
      </c>
      <c r="G896" s="80">
        <v>0</v>
      </c>
      <c r="H896" s="80">
        <v>1</v>
      </c>
      <c r="I896" s="80">
        <v>2</v>
      </c>
      <c r="J896" s="80">
        <v>1</v>
      </c>
      <c r="K896" s="80">
        <v>0</v>
      </c>
      <c r="L896" s="80">
        <v>1</v>
      </c>
      <c r="M896" s="80">
        <v>0</v>
      </c>
      <c r="N896" s="80">
        <v>0</v>
      </c>
      <c r="O896" s="80">
        <v>1</v>
      </c>
      <c r="P896" s="80">
        <v>0</v>
      </c>
      <c r="Q896" s="80">
        <v>1</v>
      </c>
      <c r="R896" s="80">
        <v>1</v>
      </c>
      <c r="S896" s="80">
        <v>0</v>
      </c>
      <c r="T896" s="80">
        <v>1</v>
      </c>
      <c r="U896" s="80">
        <v>2</v>
      </c>
      <c r="V896" s="80">
        <v>1</v>
      </c>
      <c r="W896" s="80">
        <v>1</v>
      </c>
      <c r="X896" s="80">
        <v>0</v>
      </c>
      <c r="Y896" s="80">
        <v>0</v>
      </c>
      <c r="Z896" s="80">
        <v>1</v>
      </c>
      <c r="AA896" s="80">
        <v>2</v>
      </c>
      <c r="AB896" s="80">
        <v>1</v>
      </c>
      <c r="AC896" s="80">
        <v>1</v>
      </c>
      <c r="AD896" s="80">
        <v>0</v>
      </c>
      <c r="AE896" s="80">
        <v>1</v>
      </c>
      <c r="AF896" s="80">
        <v>1</v>
      </c>
      <c r="AG896" s="81">
        <v>1</v>
      </c>
      <c r="AH896" s="80">
        <v>1</v>
      </c>
      <c r="AI896" s="81">
        <v>0</v>
      </c>
      <c r="AJ896" s="81">
        <v>0</v>
      </c>
      <c r="AK896" s="81">
        <v>0</v>
      </c>
      <c r="AL896" s="81">
        <v>0</v>
      </c>
      <c r="AM896" s="81">
        <v>2</v>
      </c>
      <c r="AN896" s="81">
        <v>1</v>
      </c>
      <c r="AO896" s="81">
        <v>1</v>
      </c>
    </row>
    <row r="897" spans="1:41" ht="15.75" x14ac:dyDescent="0.25">
      <c r="A897" s="84"/>
      <c r="B897" s="84"/>
      <c r="C897" s="84"/>
      <c r="D897" s="80" t="s">
        <v>247</v>
      </c>
      <c r="E897" s="80">
        <v>0</v>
      </c>
      <c r="F897" s="80">
        <v>0</v>
      </c>
      <c r="G897" s="80">
        <v>0</v>
      </c>
      <c r="H897" s="80">
        <v>0</v>
      </c>
      <c r="I897" s="80">
        <v>0</v>
      </c>
      <c r="J897" s="80">
        <v>0</v>
      </c>
      <c r="K897" s="80">
        <v>0</v>
      </c>
      <c r="L897" s="80">
        <v>0</v>
      </c>
      <c r="M897" s="80">
        <v>0</v>
      </c>
      <c r="N897" s="80">
        <v>0</v>
      </c>
      <c r="O897" s="80">
        <v>0</v>
      </c>
      <c r="P897" s="80">
        <v>0</v>
      </c>
      <c r="Q897" s="80">
        <v>0</v>
      </c>
      <c r="R897" s="80">
        <v>0</v>
      </c>
      <c r="S897" s="80">
        <v>0</v>
      </c>
      <c r="T897" s="80">
        <v>0</v>
      </c>
      <c r="U897" s="80">
        <v>0</v>
      </c>
      <c r="V897" s="80">
        <v>0</v>
      </c>
      <c r="W897" s="80">
        <v>0</v>
      </c>
      <c r="X897" s="80">
        <v>0</v>
      </c>
      <c r="Y897" s="80">
        <v>0</v>
      </c>
      <c r="Z897" s="80">
        <v>0</v>
      </c>
      <c r="AA897" s="80">
        <v>0</v>
      </c>
      <c r="AB897" s="80">
        <v>0</v>
      </c>
      <c r="AC897" s="80">
        <v>0</v>
      </c>
      <c r="AD897" s="80">
        <v>0</v>
      </c>
      <c r="AE897" s="80">
        <v>0</v>
      </c>
      <c r="AF897" s="80">
        <v>0</v>
      </c>
      <c r="AG897" s="81">
        <v>0</v>
      </c>
      <c r="AH897" s="80">
        <v>0</v>
      </c>
      <c r="AI897" s="81">
        <v>0</v>
      </c>
      <c r="AJ897" s="81">
        <v>0</v>
      </c>
      <c r="AK897" s="81">
        <v>0</v>
      </c>
      <c r="AL897" s="81">
        <v>0</v>
      </c>
      <c r="AM897" s="81">
        <v>0</v>
      </c>
      <c r="AN897" s="81">
        <v>0</v>
      </c>
      <c r="AO897" s="81">
        <v>0</v>
      </c>
    </row>
    <row r="898" spans="1:41" ht="15.75" x14ac:dyDescent="0.25">
      <c r="A898" s="84"/>
      <c r="B898" s="84"/>
      <c r="C898" s="84"/>
      <c r="D898" s="80" t="s">
        <v>248</v>
      </c>
      <c r="E898" s="80">
        <v>0</v>
      </c>
      <c r="F898" s="80">
        <v>0</v>
      </c>
      <c r="G898" s="80">
        <v>0</v>
      </c>
      <c r="H898" s="80">
        <v>1</v>
      </c>
      <c r="I898" s="80">
        <v>1</v>
      </c>
      <c r="J898" s="80">
        <v>1</v>
      </c>
      <c r="K898" s="80">
        <v>0</v>
      </c>
      <c r="L898" s="80">
        <v>1</v>
      </c>
      <c r="M898" s="80">
        <v>0</v>
      </c>
      <c r="N898" s="80">
        <v>0</v>
      </c>
      <c r="O898" s="80">
        <v>1</v>
      </c>
      <c r="P898" s="80">
        <v>0</v>
      </c>
      <c r="Q898" s="80">
        <v>0</v>
      </c>
      <c r="R898" s="80">
        <v>1</v>
      </c>
      <c r="S898" s="80">
        <v>0</v>
      </c>
      <c r="T898" s="80">
        <v>1</v>
      </c>
      <c r="U898" s="80">
        <v>2</v>
      </c>
      <c r="V898" s="80">
        <v>1</v>
      </c>
      <c r="W898" s="80">
        <v>1</v>
      </c>
      <c r="X898" s="80">
        <v>0</v>
      </c>
      <c r="Y898" s="80">
        <v>0</v>
      </c>
      <c r="Z898" s="80">
        <v>1</v>
      </c>
      <c r="AA898" s="80">
        <v>2</v>
      </c>
      <c r="AB898" s="80">
        <v>0</v>
      </c>
      <c r="AC898" s="80">
        <v>0</v>
      </c>
      <c r="AD898" s="80">
        <v>0</v>
      </c>
      <c r="AE898" s="80">
        <v>0</v>
      </c>
      <c r="AF898" s="80">
        <v>0</v>
      </c>
      <c r="AG898" s="81">
        <v>1</v>
      </c>
      <c r="AH898" s="80">
        <v>0</v>
      </c>
      <c r="AI898" s="81">
        <v>0</v>
      </c>
      <c r="AJ898" s="81">
        <v>0</v>
      </c>
      <c r="AK898" s="81">
        <v>0</v>
      </c>
      <c r="AL898" s="81">
        <v>0</v>
      </c>
      <c r="AM898" s="81">
        <v>2</v>
      </c>
      <c r="AN898" s="81">
        <v>1</v>
      </c>
      <c r="AO898" s="81">
        <v>1</v>
      </c>
    </row>
    <row r="899" spans="1:41" ht="15.75" x14ac:dyDescent="0.25">
      <c r="A899" s="84"/>
      <c r="B899" s="84"/>
      <c r="C899" s="84"/>
      <c r="D899" s="80" t="s">
        <v>258</v>
      </c>
      <c r="E899" s="80">
        <v>0</v>
      </c>
      <c r="F899" s="80">
        <v>0</v>
      </c>
      <c r="G899" s="80">
        <v>0</v>
      </c>
      <c r="H899" s="80">
        <v>0</v>
      </c>
      <c r="I899" s="80">
        <v>1</v>
      </c>
      <c r="J899" s="80">
        <v>0</v>
      </c>
      <c r="K899" s="80">
        <v>0</v>
      </c>
      <c r="L899" s="80">
        <v>0</v>
      </c>
      <c r="M899" s="80">
        <v>0</v>
      </c>
      <c r="N899" s="80">
        <v>0</v>
      </c>
      <c r="O899" s="80">
        <v>0</v>
      </c>
      <c r="P899" s="80">
        <v>0</v>
      </c>
      <c r="Q899" s="80">
        <v>1</v>
      </c>
      <c r="R899" s="80">
        <v>0</v>
      </c>
      <c r="S899" s="80">
        <v>0</v>
      </c>
      <c r="T899" s="80">
        <v>0</v>
      </c>
      <c r="U899" s="80">
        <v>0</v>
      </c>
      <c r="V899" s="80">
        <v>0</v>
      </c>
      <c r="W899" s="80">
        <v>0</v>
      </c>
      <c r="X899" s="80">
        <v>0</v>
      </c>
      <c r="Y899" s="80">
        <v>0</v>
      </c>
      <c r="Z899" s="80">
        <v>0</v>
      </c>
      <c r="AA899" s="80">
        <v>0</v>
      </c>
      <c r="AB899" s="80">
        <v>1</v>
      </c>
      <c r="AC899" s="80">
        <v>1</v>
      </c>
      <c r="AD899" s="80">
        <v>0</v>
      </c>
      <c r="AE899" s="80">
        <v>1</v>
      </c>
      <c r="AF899" s="80">
        <v>1</v>
      </c>
      <c r="AG899" s="80">
        <v>0</v>
      </c>
      <c r="AH899" s="80">
        <v>1</v>
      </c>
      <c r="AI899" s="80">
        <v>0</v>
      </c>
      <c r="AJ899" s="80">
        <v>0</v>
      </c>
      <c r="AK899" s="80">
        <v>0</v>
      </c>
      <c r="AL899" s="80">
        <v>0</v>
      </c>
      <c r="AM899" s="81">
        <v>0</v>
      </c>
      <c r="AN899" s="81">
        <v>0</v>
      </c>
      <c r="AO899" s="81">
        <v>0</v>
      </c>
    </row>
    <row r="900" spans="1:41" ht="15.75" x14ac:dyDescent="0.25">
      <c r="A900" s="84">
        <v>8</v>
      </c>
      <c r="B900" s="84"/>
      <c r="C900" s="84" t="s">
        <v>250</v>
      </c>
      <c r="D900" s="80" t="s">
        <v>245</v>
      </c>
      <c r="E900" s="80">
        <v>0</v>
      </c>
      <c r="F900" s="80">
        <v>0</v>
      </c>
      <c r="G900" s="80">
        <v>0</v>
      </c>
      <c r="H900" s="80">
        <v>1</v>
      </c>
      <c r="I900" s="80">
        <v>0</v>
      </c>
      <c r="J900" s="80">
        <v>1</v>
      </c>
      <c r="K900" s="80">
        <v>0</v>
      </c>
      <c r="L900" s="80">
        <v>0</v>
      </c>
      <c r="M900" s="80">
        <v>0</v>
      </c>
      <c r="N900" s="80">
        <v>0</v>
      </c>
      <c r="O900" s="80">
        <v>1</v>
      </c>
      <c r="P900" s="80">
        <v>0</v>
      </c>
      <c r="Q900" s="80">
        <v>1</v>
      </c>
      <c r="R900" s="80">
        <v>0</v>
      </c>
      <c r="S900" s="80">
        <v>0</v>
      </c>
      <c r="T900" s="80">
        <v>0</v>
      </c>
      <c r="U900" s="80">
        <v>1</v>
      </c>
      <c r="V900" s="80">
        <v>1</v>
      </c>
      <c r="W900" s="80">
        <v>1</v>
      </c>
      <c r="X900" s="80">
        <v>0</v>
      </c>
      <c r="Y900" s="80">
        <v>0</v>
      </c>
      <c r="Z900" s="80">
        <v>0</v>
      </c>
      <c r="AA900" s="80">
        <v>2</v>
      </c>
      <c r="AB900" s="80">
        <v>2</v>
      </c>
      <c r="AC900" s="80">
        <v>0</v>
      </c>
      <c r="AD900" s="80">
        <v>0</v>
      </c>
      <c r="AE900" s="80">
        <v>0</v>
      </c>
      <c r="AF900" s="80">
        <v>0</v>
      </c>
      <c r="AG900" s="81">
        <v>1</v>
      </c>
      <c r="AH900" s="80">
        <v>0</v>
      </c>
      <c r="AI900" s="81">
        <v>0</v>
      </c>
      <c r="AJ900" s="81">
        <v>0</v>
      </c>
      <c r="AK900" s="81">
        <v>0</v>
      </c>
      <c r="AL900" s="81">
        <v>0</v>
      </c>
      <c r="AM900" s="81">
        <v>3</v>
      </c>
      <c r="AN900" s="81">
        <v>0</v>
      </c>
      <c r="AO900" s="81">
        <v>0</v>
      </c>
    </row>
    <row r="901" spans="1:41" ht="15.75" x14ac:dyDescent="0.25">
      <c r="A901" s="84"/>
      <c r="B901" s="84"/>
      <c r="C901" s="84"/>
      <c r="D901" s="80" t="s">
        <v>246</v>
      </c>
      <c r="E901" s="80">
        <v>0</v>
      </c>
      <c r="F901" s="80">
        <v>0</v>
      </c>
      <c r="G901" s="80">
        <v>0</v>
      </c>
      <c r="H901" s="80">
        <v>1</v>
      </c>
      <c r="I901" s="80">
        <v>0</v>
      </c>
      <c r="J901" s="80">
        <v>1</v>
      </c>
      <c r="K901" s="80">
        <v>0</v>
      </c>
      <c r="L901" s="80">
        <v>0</v>
      </c>
      <c r="M901" s="80">
        <v>0</v>
      </c>
      <c r="N901" s="80">
        <v>0</v>
      </c>
      <c r="O901" s="80">
        <v>1</v>
      </c>
      <c r="P901" s="80">
        <v>0</v>
      </c>
      <c r="Q901" s="80">
        <v>1</v>
      </c>
      <c r="R901" s="80">
        <v>0</v>
      </c>
      <c r="S901" s="80">
        <v>0</v>
      </c>
      <c r="T901" s="80">
        <v>0</v>
      </c>
      <c r="U901" s="80">
        <v>1</v>
      </c>
      <c r="V901" s="80">
        <v>1</v>
      </c>
      <c r="W901" s="80">
        <v>1</v>
      </c>
      <c r="X901" s="80">
        <v>0</v>
      </c>
      <c r="Y901" s="80">
        <v>0</v>
      </c>
      <c r="Z901" s="80">
        <v>0</v>
      </c>
      <c r="AA901" s="80">
        <v>2</v>
      </c>
      <c r="AB901" s="80">
        <v>2</v>
      </c>
      <c r="AC901" s="80">
        <v>0</v>
      </c>
      <c r="AD901" s="80">
        <v>0</v>
      </c>
      <c r="AE901" s="80">
        <v>0</v>
      </c>
      <c r="AF901" s="80">
        <v>0</v>
      </c>
      <c r="AG901" s="81">
        <v>1</v>
      </c>
      <c r="AH901" s="80">
        <v>0</v>
      </c>
      <c r="AI901" s="81">
        <v>0</v>
      </c>
      <c r="AJ901" s="81">
        <v>0</v>
      </c>
      <c r="AK901" s="81">
        <v>0</v>
      </c>
      <c r="AL901" s="81">
        <v>0</v>
      </c>
      <c r="AM901" s="81">
        <v>3</v>
      </c>
      <c r="AN901" s="81">
        <v>0</v>
      </c>
      <c r="AO901" s="81">
        <v>0</v>
      </c>
    </row>
    <row r="902" spans="1:41" ht="15.75" x14ac:dyDescent="0.25">
      <c r="A902" s="84"/>
      <c r="B902" s="84"/>
      <c r="C902" s="84"/>
      <c r="D902" s="80" t="s">
        <v>247</v>
      </c>
      <c r="E902" s="80">
        <v>0</v>
      </c>
      <c r="F902" s="80">
        <v>0</v>
      </c>
      <c r="G902" s="80">
        <v>0</v>
      </c>
      <c r="H902" s="80">
        <v>0</v>
      </c>
      <c r="I902" s="80">
        <v>0</v>
      </c>
      <c r="J902" s="80">
        <v>0</v>
      </c>
      <c r="K902" s="80">
        <v>0</v>
      </c>
      <c r="L902" s="80">
        <v>0</v>
      </c>
      <c r="M902" s="80">
        <v>0</v>
      </c>
      <c r="N902" s="80">
        <v>0</v>
      </c>
      <c r="O902" s="80">
        <v>0</v>
      </c>
      <c r="P902" s="80">
        <v>0</v>
      </c>
      <c r="Q902" s="80">
        <v>0</v>
      </c>
      <c r="R902" s="80">
        <v>0</v>
      </c>
      <c r="S902" s="80">
        <v>0</v>
      </c>
      <c r="T902" s="80">
        <v>0</v>
      </c>
      <c r="U902" s="80">
        <v>0</v>
      </c>
      <c r="V902" s="80">
        <v>0</v>
      </c>
      <c r="W902" s="80">
        <v>0</v>
      </c>
      <c r="X902" s="80">
        <v>0</v>
      </c>
      <c r="Y902" s="80">
        <v>0</v>
      </c>
      <c r="Z902" s="80">
        <v>0</v>
      </c>
      <c r="AA902" s="80">
        <v>0</v>
      </c>
      <c r="AB902" s="80">
        <v>0</v>
      </c>
      <c r="AC902" s="80">
        <v>0</v>
      </c>
      <c r="AD902" s="80">
        <v>0</v>
      </c>
      <c r="AE902" s="80">
        <v>0</v>
      </c>
      <c r="AF902" s="80">
        <v>0</v>
      </c>
      <c r="AG902" s="81">
        <v>0</v>
      </c>
      <c r="AH902" s="80">
        <v>0</v>
      </c>
      <c r="AI902" s="81">
        <v>0</v>
      </c>
      <c r="AJ902" s="81">
        <v>0</v>
      </c>
      <c r="AK902" s="81">
        <v>0</v>
      </c>
      <c r="AL902" s="81">
        <v>0</v>
      </c>
      <c r="AM902" s="81">
        <v>0</v>
      </c>
      <c r="AN902" s="81">
        <v>0</v>
      </c>
      <c r="AO902" s="81">
        <v>0</v>
      </c>
    </row>
    <row r="903" spans="1:41" ht="15.75" x14ac:dyDescent="0.25">
      <c r="A903" s="84"/>
      <c r="B903" s="84"/>
      <c r="C903" s="84"/>
      <c r="D903" s="80" t="s">
        <v>248</v>
      </c>
      <c r="E903" s="80">
        <v>0</v>
      </c>
      <c r="F903" s="80">
        <v>0</v>
      </c>
      <c r="G903" s="80">
        <v>0</v>
      </c>
      <c r="H903" s="80">
        <v>1</v>
      </c>
      <c r="I903" s="80">
        <v>0</v>
      </c>
      <c r="J903" s="80">
        <v>1</v>
      </c>
      <c r="K903" s="80">
        <v>0</v>
      </c>
      <c r="L903" s="80">
        <v>0</v>
      </c>
      <c r="M903" s="80">
        <v>0</v>
      </c>
      <c r="N903" s="80">
        <v>0</v>
      </c>
      <c r="O903" s="80">
        <v>1</v>
      </c>
      <c r="P903" s="80">
        <v>0</v>
      </c>
      <c r="Q903" s="80">
        <v>1</v>
      </c>
      <c r="R903" s="80">
        <v>0</v>
      </c>
      <c r="S903" s="80">
        <v>0</v>
      </c>
      <c r="T903" s="80">
        <v>0</v>
      </c>
      <c r="U903" s="80">
        <v>1</v>
      </c>
      <c r="V903" s="80">
        <v>1</v>
      </c>
      <c r="W903" s="80">
        <v>1</v>
      </c>
      <c r="X903" s="80">
        <v>0</v>
      </c>
      <c r="Y903" s="80">
        <v>0</v>
      </c>
      <c r="Z903" s="80">
        <v>0</v>
      </c>
      <c r="AA903" s="80">
        <v>2</v>
      </c>
      <c r="AB903" s="80">
        <v>2</v>
      </c>
      <c r="AC903" s="80">
        <v>0</v>
      </c>
      <c r="AD903" s="80">
        <v>0</v>
      </c>
      <c r="AE903" s="80">
        <v>0</v>
      </c>
      <c r="AF903" s="80">
        <v>0</v>
      </c>
      <c r="AG903" s="81">
        <v>1</v>
      </c>
      <c r="AH903" s="80">
        <v>0</v>
      </c>
      <c r="AI903" s="81">
        <v>0</v>
      </c>
      <c r="AJ903" s="81">
        <v>0</v>
      </c>
      <c r="AK903" s="81">
        <v>0</v>
      </c>
      <c r="AL903" s="81">
        <v>0</v>
      </c>
      <c r="AM903" s="81">
        <v>2</v>
      </c>
      <c r="AN903" s="81">
        <v>0</v>
      </c>
      <c r="AO903" s="81">
        <v>0</v>
      </c>
    </row>
    <row r="904" spans="1:41" ht="15.75" x14ac:dyDescent="0.25">
      <c r="A904" s="84"/>
      <c r="B904" s="84"/>
      <c r="C904" s="84"/>
      <c r="D904" s="80" t="s">
        <v>258</v>
      </c>
      <c r="E904" s="80">
        <v>0</v>
      </c>
      <c r="F904" s="80">
        <v>0</v>
      </c>
      <c r="G904" s="80">
        <v>0</v>
      </c>
      <c r="H904" s="80">
        <v>0</v>
      </c>
      <c r="I904" s="80">
        <v>0</v>
      </c>
      <c r="J904" s="80">
        <v>0</v>
      </c>
      <c r="K904" s="80">
        <v>0</v>
      </c>
      <c r="L904" s="80">
        <v>0</v>
      </c>
      <c r="M904" s="80">
        <v>0</v>
      </c>
      <c r="N904" s="80">
        <v>0</v>
      </c>
      <c r="O904" s="80">
        <v>0</v>
      </c>
      <c r="P904" s="80">
        <v>0</v>
      </c>
      <c r="Q904" s="80">
        <v>0</v>
      </c>
      <c r="R904" s="80">
        <v>0</v>
      </c>
      <c r="S904" s="80">
        <v>0</v>
      </c>
      <c r="T904" s="80">
        <v>0</v>
      </c>
      <c r="U904" s="80">
        <v>0</v>
      </c>
      <c r="V904" s="80">
        <v>0</v>
      </c>
      <c r="W904" s="80">
        <v>0</v>
      </c>
      <c r="X904" s="80">
        <v>0</v>
      </c>
      <c r="Y904" s="80">
        <v>0</v>
      </c>
      <c r="Z904" s="80">
        <v>0</v>
      </c>
      <c r="AA904" s="80">
        <v>0</v>
      </c>
      <c r="AB904" s="80">
        <v>0</v>
      </c>
      <c r="AC904" s="80">
        <v>0</v>
      </c>
      <c r="AD904" s="80">
        <v>0</v>
      </c>
      <c r="AE904" s="80">
        <v>0</v>
      </c>
      <c r="AF904" s="80">
        <v>0</v>
      </c>
      <c r="AG904" s="80">
        <v>0</v>
      </c>
      <c r="AH904" s="80">
        <v>0</v>
      </c>
      <c r="AI904" s="80">
        <v>0</v>
      </c>
      <c r="AJ904" s="80">
        <v>0</v>
      </c>
      <c r="AK904" s="80">
        <v>0</v>
      </c>
      <c r="AL904" s="80">
        <v>0</v>
      </c>
      <c r="AM904" s="81">
        <v>1</v>
      </c>
      <c r="AN904" s="81">
        <v>0</v>
      </c>
      <c r="AO904" s="81">
        <v>0</v>
      </c>
    </row>
    <row r="905" spans="1:41" ht="15.75" x14ac:dyDescent="0.25">
      <c r="A905" s="84">
        <v>9</v>
      </c>
      <c r="B905" s="84"/>
      <c r="C905" s="84" t="s">
        <v>173</v>
      </c>
      <c r="D905" s="80" t="s">
        <v>245</v>
      </c>
      <c r="E905" s="80">
        <v>0</v>
      </c>
      <c r="F905" s="80">
        <v>0</v>
      </c>
      <c r="G905" s="80">
        <v>0</v>
      </c>
      <c r="H905" s="80">
        <v>0</v>
      </c>
      <c r="I905" s="80">
        <v>2</v>
      </c>
      <c r="J905" s="80">
        <v>1</v>
      </c>
      <c r="K905" s="80">
        <v>0</v>
      </c>
      <c r="L905" s="80">
        <v>0</v>
      </c>
      <c r="M905" s="80">
        <v>0</v>
      </c>
      <c r="N905" s="80">
        <v>1</v>
      </c>
      <c r="O905" s="80">
        <v>1</v>
      </c>
      <c r="P905" s="80">
        <v>0</v>
      </c>
      <c r="Q905" s="80">
        <v>1</v>
      </c>
      <c r="R905" s="80">
        <v>0</v>
      </c>
      <c r="S905" s="80">
        <v>0</v>
      </c>
      <c r="T905" s="80">
        <v>0</v>
      </c>
      <c r="U905" s="80">
        <v>1</v>
      </c>
      <c r="V905" s="80">
        <v>1</v>
      </c>
      <c r="W905" s="80">
        <v>0</v>
      </c>
      <c r="X905" s="80">
        <v>1</v>
      </c>
      <c r="Y905" s="80">
        <v>0</v>
      </c>
      <c r="Z905" s="80">
        <v>3</v>
      </c>
      <c r="AA905" s="80">
        <v>1</v>
      </c>
      <c r="AB905" s="80">
        <v>0</v>
      </c>
      <c r="AC905" s="80">
        <v>0</v>
      </c>
      <c r="AD905" s="80">
        <v>1</v>
      </c>
      <c r="AE905" s="80">
        <v>0</v>
      </c>
      <c r="AF905" s="80">
        <v>0</v>
      </c>
      <c r="AG905" s="80">
        <v>0</v>
      </c>
      <c r="AH905" s="80">
        <v>0</v>
      </c>
      <c r="AI905" s="80">
        <v>1</v>
      </c>
      <c r="AJ905" s="80">
        <v>0</v>
      </c>
      <c r="AK905" s="80">
        <v>0</v>
      </c>
      <c r="AL905" s="80">
        <v>0</v>
      </c>
      <c r="AM905" s="80">
        <v>0</v>
      </c>
      <c r="AN905" s="80">
        <v>0</v>
      </c>
      <c r="AO905" s="80">
        <v>0</v>
      </c>
    </row>
    <row r="906" spans="1:41" ht="15.75" x14ac:dyDescent="0.25">
      <c r="A906" s="84"/>
      <c r="B906" s="84"/>
      <c r="C906" s="84"/>
      <c r="D906" s="80" t="s">
        <v>246</v>
      </c>
      <c r="E906" s="80">
        <v>0</v>
      </c>
      <c r="F906" s="80">
        <v>0</v>
      </c>
      <c r="G906" s="80">
        <v>0</v>
      </c>
      <c r="H906" s="80">
        <v>0</v>
      </c>
      <c r="I906" s="80">
        <v>2</v>
      </c>
      <c r="J906" s="80">
        <v>1</v>
      </c>
      <c r="K906" s="80">
        <v>0</v>
      </c>
      <c r="L906" s="80">
        <v>0</v>
      </c>
      <c r="M906" s="80">
        <v>0</v>
      </c>
      <c r="N906" s="80">
        <v>1</v>
      </c>
      <c r="O906" s="80">
        <v>1</v>
      </c>
      <c r="P906" s="80">
        <v>0</v>
      </c>
      <c r="Q906" s="80">
        <v>1</v>
      </c>
      <c r="R906" s="80">
        <v>0</v>
      </c>
      <c r="S906" s="80">
        <v>0</v>
      </c>
      <c r="T906" s="80">
        <v>0</v>
      </c>
      <c r="U906" s="80">
        <v>1</v>
      </c>
      <c r="V906" s="80">
        <v>1</v>
      </c>
      <c r="W906" s="80">
        <v>0</v>
      </c>
      <c r="X906" s="80">
        <v>1</v>
      </c>
      <c r="Y906" s="80">
        <v>0</v>
      </c>
      <c r="Z906" s="80">
        <v>3</v>
      </c>
      <c r="AA906" s="80">
        <v>1</v>
      </c>
      <c r="AB906" s="80">
        <v>0</v>
      </c>
      <c r="AC906" s="80">
        <v>0</v>
      </c>
      <c r="AD906" s="80">
        <v>1</v>
      </c>
      <c r="AE906" s="80">
        <v>0</v>
      </c>
      <c r="AF906" s="80">
        <v>0</v>
      </c>
      <c r="AG906" s="81">
        <v>0</v>
      </c>
      <c r="AH906" s="80">
        <v>0</v>
      </c>
      <c r="AI906" s="81">
        <v>1</v>
      </c>
      <c r="AJ906" s="81">
        <v>0</v>
      </c>
      <c r="AK906" s="81">
        <v>0</v>
      </c>
      <c r="AL906" s="81">
        <v>0</v>
      </c>
      <c r="AM906" s="81">
        <v>0</v>
      </c>
      <c r="AN906" s="81">
        <v>0</v>
      </c>
      <c r="AO906" s="81">
        <v>0</v>
      </c>
    </row>
    <row r="907" spans="1:41" ht="15.75" x14ac:dyDescent="0.25">
      <c r="A907" s="84"/>
      <c r="B907" s="84"/>
      <c r="C907" s="84"/>
      <c r="D907" s="80" t="s">
        <v>247</v>
      </c>
      <c r="E907" s="80">
        <v>0</v>
      </c>
      <c r="F907" s="80">
        <v>0</v>
      </c>
      <c r="G907" s="80">
        <v>0</v>
      </c>
      <c r="H907" s="80">
        <v>0</v>
      </c>
      <c r="I907" s="80">
        <v>0</v>
      </c>
      <c r="J907" s="80">
        <v>0</v>
      </c>
      <c r="K907" s="80">
        <v>0</v>
      </c>
      <c r="L907" s="80">
        <v>0</v>
      </c>
      <c r="M907" s="80">
        <v>0</v>
      </c>
      <c r="N907" s="80">
        <v>0</v>
      </c>
      <c r="O907" s="80">
        <v>0</v>
      </c>
      <c r="P907" s="80">
        <v>0</v>
      </c>
      <c r="Q907" s="80">
        <v>0</v>
      </c>
      <c r="R907" s="80">
        <v>0</v>
      </c>
      <c r="S907" s="80">
        <v>0</v>
      </c>
      <c r="T907" s="80">
        <v>0</v>
      </c>
      <c r="U907" s="80">
        <v>0</v>
      </c>
      <c r="V907" s="80">
        <v>0</v>
      </c>
      <c r="W907" s="80">
        <v>0</v>
      </c>
      <c r="X907" s="80">
        <v>0</v>
      </c>
      <c r="Y907" s="80">
        <v>0</v>
      </c>
      <c r="Z907" s="80">
        <v>0</v>
      </c>
      <c r="AA907" s="80">
        <v>0</v>
      </c>
      <c r="AB907" s="80">
        <v>0</v>
      </c>
      <c r="AC907" s="80">
        <v>0</v>
      </c>
      <c r="AD907" s="80">
        <v>0</v>
      </c>
      <c r="AE907" s="80">
        <v>0</v>
      </c>
      <c r="AF907" s="80">
        <v>0</v>
      </c>
      <c r="AG907" s="81">
        <v>0</v>
      </c>
      <c r="AH907" s="80">
        <v>0</v>
      </c>
      <c r="AI907" s="81">
        <v>0</v>
      </c>
      <c r="AJ907" s="81">
        <v>0</v>
      </c>
      <c r="AK907" s="81">
        <v>0</v>
      </c>
      <c r="AL907" s="81">
        <v>0</v>
      </c>
      <c r="AM907" s="81">
        <v>0</v>
      </c>
      <c r="AN907" s="81">
        <v>0</v>
      </c>
      <c r="AO907" s="81">
        <v>0</v>
      </c>
    </row>
    <row r="908" spans="1:41" ht="15.75" x14ac:dyDescent="0.25">
      <c r="A908" s="84"/>
      <c r="B908" s="84"/>
      <c r="C908" s="84"/>
      <c r="D908" s="80" t="s">
        <v>248</v>
      </c>
      <c r="E908" s="80">
        <v>0</v>
      </c>
      <c r="F908" s="80">
        <v>0</v>
      </c>
      <c r="G908" s="80">
        <v>0</v>
      </c>
      <c r="H908" s="80">
        <v>0</v>
      </c>
      <c r="I908" s="80">
        <v>2</v>
      </c>
      <c r="J908" s="80">
        <v>1</v>
      </c>
      <c r="K908" s="80">
        <v>0</v>
      </c>
      <c r="L908" s="80">
        <v>0</v>
      </c>
      <c r="M908" s="80">
        <v>0</v>
      </c>
      <c r="N908" s="80">
        <v>0</v>
      </c>
      <c r="O908" s="80">
        <v>1</v>
      </c>
      <c r="P908" s="80">
        <v>0</v>
      </c>
      <c r="Q908" s="80">
        <v>1</v>
      </c>
      <c r="R908" s="80">
        <v>0</v>
      </c>
      <c r="S908" s="80">
        <v>0</v>
      </c>
      <c r="T908" s="80">
        <v>0</v>
      </c>
      <c r="U908" s="80">
        <v>1</v>
      </c>
      <c r="V908" s="80">
        <v>1</v>
      </c>
      <c r="W908" s="80">
        <v>0</v>
      </c>
      <c r="X908" s="80">
        <v>1</v>
      </c>
      <c r="Y908" s="80">
        <v>0</v>
      </c>
      <c r="Z908" s="80">
        <v>3</v>
      </c>
      <c r="AA908" s="80">
        <v>1</v>
      </c>
      <c r="AB908" s="80">
        <v>0</v>
      </c>
      <c r="AC908" s="80">
        <v>0</v>
      </c>
      <c r="AD908" s="80">
        <v>1</v>
      </c>
      <c r="AE908" s="80">
        <v>0</v>
      </c>
      <c r="AF908" s="80">
        <v>0</v>
      </c>
      <c r="AG908" s="81">
        <v>0</v>
      </c>
      <c r="AH908" s="80">
        <v>0</v>
      </c>
      <c r="AI908" s="81">
        <v>1</v>
      </c>
      <c r="AJ908" s="81">
        <v>0</v>
      </c>
      <c r="AK908" s="81">
        <v>0</v>
      </c>
      <c r="AL908" s="81">
        <v>0</v>
      </c>
      <c r="AM908" s="81">
        <v>0</v>
      </c>
      <c r="AN908" s="81">
        <v>0</v>
      </c>
      <c r="AO908" s="81">
        <v>0</v>
      </c>
    </row>
    <row r="909" spans="1:41" ht="15.75" x14ac:dyDescent="0.25">
      <c r="A909" s="84"/>
      <c r="B909" s="84"/>
      <c r="C909" s="84"/>
      <c r="D909" s="80" t="s">
        <v>258</v>
      </c>
      <c r="E909" s="80">
        <v>0</v>
      </c>
      <c r="F909" s="80">
        <v>0</v>
      </c>
      <c r="G909" s="80">
        <v>0</v>
      </c>
      <c r="H909" s="80">
        <v>0</v>
      </c>
      <c r="I909" s="80">
        <v>0</v>
      </c>
      <c r="J909" s="80">
        <v>0</v>
      </c>
      <c r="K909" s="80">
        <v>0</v>
      </c>
      <c r="L909" s="80">
        <v>0</v>
      </c>
      <c r="M909" s="80">
        <v>0</v>
      </c>
      <c r="N909" s="80">
        <v>1</v>
      </c>
      <c r="O909" s="80">
        <v>0</v>
      </c>
      <c r="P909" s="80">
        <v>0</v>
      </c>
      <c r="Q909" s="80">
        <v>0</v>
      </c>
      <c r="R909" s="80">
        <v>0</v>
      </c>
      <c r="S909" s="80">
        <v>0</v>
      </c>
      <c r="T909" s="80">
        <v>0</v>
      </c>
      <c r="U909" s="80">
        <v>0</v>
      </c>
      <c r="V909" s="80">
        <v>0</v>
      </c>
      <c r="W909" s="80">
        <v>0</v>
      </c>
      <c r="X909" s="80">
        <v>0</v>
      </c>
      <c r="Y909" s="80">
        <v>0</v>
      </c>
      <c r="Z909" s="80">
        <v>0</v>
      </c>
      <c r="AA909" s="80">
        <v>0</v>
      </c>
      <c r="AB909" s="80">
        <v>0</v>
      </c>
      <c r="AC909" s="80">
        <v>0</v>
      </c>
      <c r="AD909" s="80">
        <v>0</v>
      </c>
      <c r="AE909" s="80">
        <v>0</v>
      </c>
      <c r="AF909" s="80">
        <v>0</v>
      </c>
      <c r="AG909" s="80">
        <v>0</v>
      </c>
      <c r="AH909" s="80">
        <v>0</v>
      </c>
      <c r="AI909" s="80">
        <v>0</v>
      </c>
      <c r="AJ909" s="80">
        <v>0</v>
      </c>
      <c r="AK909" s="80">
        <v>0</v>
      </c>
      <c r="AL909" s="80">
        <v>0</v>
      </c>
      <c r="AM909" s="81">
        <v>0</v>
      </c>
      <c r="AN909" s="81">
        <v>0</v>
      </c>
      <c r="AO909" s="81">
        <v>0</v>
      </c>
    </row>
    <row r="910" spans="1:41" ht="15.75" x14ac:dyDescent="0.25">
      <c r="A910" s="84">
        <v>10</v>
      </c>
      <c r="B910" s="84"/>
      <c r="C910" s="84" t="s">
        <v>174</v>
      </c>
      <c r="D910" s="80" t="s">
        <v>245</v>
      </c>
      <c r="E910" s="80">
        <v>0</v>
      </c>
      <c r="F910" s="80">
        <v>0</v>
      </c>
      <c r="G910" s="80">
        <v>0</v>
      </c>
      <c r="H910" s="80">
        <v>2</v>
      </c>
      <c r="I910" s="80">
        <v>2</v>
      </c>
      <c r="J910" s="80">
        <v>1</v>
      </c>
      <c r="K910" s="80">
        <v>1</v>
      </c>
      <c r="L910" s="80">
        <v>1</v>
      </c>
      <c r="M910" s="80">
        <v>0</v>
      </c>
      <c r="N910" s="80">
        <v>1</v>
      </c>
      <c r="O910" s="80">
        <v>1</v>
      </c>
      <c r="P910" s="80">
        <v>0</v>
      </c>
      <c r="Q910" s="80">
        <v>1</v>
      </c>
      <c r="R910" s="80">
        <v>0</v>
      </c>
      <c r="S910" s="80">
        <v>0</v>
      </c>
      <c r="T910" s="80">
        <v>0</v>
      </c>
      <c r="U910" s="80">
        <v>1</v>
      </c>
      <c r="V910" s="80">
        <v>1</v>
      </c>
      <c r="W910" s="80">
        <v>1</v>
      </c>
      <c r="X910" s="80">
        <v>1</v>
      </c>
      <c r="Y910" s="80">
        <v>0</v>
      </c>
      <c r="Z910" s="80">
        <v>2</v>
      </c>
      <c r="AA910" s="80">
        <v>2</v>
      </c>
      <c r="AB910" s="80">
        <v>0</v>
      </c>
      <c r="AC910" s="80">
        <v>0</v>
      </c>
      <c r="AD910" s="80">
        <v>0</v>
      </c>
      <c r="AE910" s="80">
        <v>1</v>
      </c>
      <c r="AF910" s="80">
        <v>0</v>
      </c>
      <c r="AG910" s="81">
        <v>1</v>
      </c>
      <c r="AH910" s="80">
        <v>0</v>
      </c>
      <c r="AI910" s="81">
        <v>0</v>
      </c>
      <c r="AJ910" s="81">
        <v>0</v>
      </c>
      <c r="AK910" s="81">
        <v>0</v>
      </c>
      <c r="AL910" s="81">
        <v>0</v>
      </c>
      <c r="AM910" s="81">
        <v>0</v>
      </c>
      <c r="AN910" s="81">
        <v>0</v>
      </c>
      <c r="AO910" s="81">
        <v>0</v>
      </c>
    </row>
    <row r="911" spans="1:41" ht="15.75" x14ac:dyDescent="0.25">
      <c r="A911" s="84"/>
      <c r="B911" s="84"/>
      <c r="C911" s="84"/>
      <c r="D911" s="80" t="s">
        <v>246</v>
      </c>
      <c r="E911" s="80">
        <v>0</v>
      </c>
      <c r="F911" s="80">
        <v>0</v>
      </c>
      <c r="G911" s="80">
        <v>0</v>
      </c>
      <c r="H911" s="80">
        <v>1</v>
      </c>
      <c r="I911" s="80">
        <v>2</v>
      </c>
      <c r="J911" s="80">
        <v>1</v>
      </c>
      <c r="K911" s="80">
        <v>1</v>
      </c>
      <c r="L911" s="80">
        <v>1</v>
      </c>
      <c r="M911" s="80">
        <v>0</v>
      </c>
      <c r="N911" s="80">
        <v>1</v>
      </c>
      <c r="O911" s="80">
        <v>1</v>
      </c>
      <c r="P911" s="80">
        <v>0</v>
      </c>
      <c r="Q911" s="80">
        <v>1</v>
      </c>
      <c r="R911" s="80">
        <v>0</v>
      </c>
      <c r="S911" s="80">
        <v>0</v>
      </c>
      <c r="T911" s="80">
        <v>0</v>
      </c>
      <c r="U911" s="80">
        <v>1</v>
      </c>
      <c r="V911" s="80">
        <v>1</v>
      </c>
      <c r="W911" s="80">
        <v>1</v>
      </c>
      <c r="X911" s="80">
        <v>1</v>
      </c>
      <c r="Y911" s="80">
        <v>0</v>
      </c>
      <c r="Z911" s="80">
        <v>2</v>
      </c>
      <c r="AA911" s="80">
        <v>2</v>
      </c>
      <c r="AB911" s="80">
        <v>0</v>
      </c>
      <c r="AC911" s="80">
        <v>0</v>
      </c>
      <c r="AD911" s="80">
        <v>0</v>
      </c>
      <c r="AE911" s="80">
        <v>1</v>
      </c>
      <c r="AF911" s="80">
        <v>0</v>
      </c>
      <c r="AG911" s="81">
        <v>1</v>
      </c>
      <c r="AH911" s="80">
        <v>0</v>
      </c>
      <c r="AI911" s="81">
        <v>0</v>
      </c>
      <c r="AJ911" s="81">
        <v>0</v>
      </c>
      <c r="AK911" s="81">
        <v>0</v>
      </c>
      <c r="AL911" s="81">
        <v>0</v>
      </c>
      <c r="AM911" s="81">
        <v>0</v>
      </c>
      <c r="AN911" s="81">
        <v>0</v>
      </c>
      <c r="AO911" s="81">
        <v>0</v>
      </c>
    </row>
    <row r="912" spans="1:41" ht="15.75" x14ac:dyDescent="0.25">
      <c r="A912" s="84"/>
      <c r="B912" s="84"/>
      <c r="C912" s="84"/>
      <c r="D912" s="80" t="s">
        <v>247</v>
      </c>
      <c r="E912" s="80">
        <v>0</v>
      </c>
      <c r="F912" s="80">
        <v>0</v>
      </c>
      <c r="G912" s="80">
        <v>0</v>
      </c>
      <c r="H912" s="80">
        <v>1</v>
      </c>
      <c r="I912" s="80">
        <v>0</v>
      </c>
      <c r="J912" s="80">
        <v>0</v>
      </c>
      <c r="K912" s="80">
        <v>0</v>
      </c>
      <c r="L912" s="80">
        <v>0</v>
      </c>
      <c r="M912" s="80">
        <v>0</v>
      </c>
      <c r="N912" s="80">
        <v>0</v>
      </c>
      <c r="O912" s="80">
        <v>0</v>
      </c>
      <c r="P912" s="80">
        <v>0</v>
      </c>
      <c r="Q912" s="80">
        <v>0</v>
      </c>
      <c r="R912" s="80">
        <v>0</v>
      </c>
      <c r="S912" s="80">
        <v>0</v>
      </c>
      <c r="T912" s="80">
        <v>0</v>
      </c>
      <c r="U912" s="80">
        <v>0</v>
      </c>
      <c r="V912" s="80">
        <v>0</v>
      </c>
      <c r="W912" s="80">
        <v>0</v>
      </c>
      <c r="X912" s="80">
        <v>0</v>
      </c>
      <c r="Y912" s="80">
        <v>0</v>
      </c>
      <c r="Z912" s="80">
        <v>0</v>
      </c>
      <c r="AA912" s="80">
        <v>0</v>
      </c>
      <c r="AB912" s="80">
        <v>0</v>
      </c>
      <c r="AC912" s="80">
        <v>0</v>
      </c>
      <c r="AD912" s="80">
        <v>0</v>
      </c>
      <c r="AE912" s="80">
        <v>0</v>
      </c>
      <c r="AF912" s="80">
        <v>0</v>
      </c>
      <c r="AG912" s="81">
        <v>0</v>
      </c>
      <c r="AH912" s="80">
        <v>0</v>
      </c>
      <c r="AI912" s="81">
        <v>0</v>
      </c>
      <c r="AJ912" s="81">
        <v>0</v>
      </c>
      <c r="AK912" s="81">
        <v>0</v>
      </c>
      <c r="AL912" s="81">
        <v>0</v>
      </c>
      <c r="AM912" s="81">
        <v>0</v>
      </c>
      <c r="AN912" s="81">
        <v>0</v>
      </c>
      <c r="AO912" s="81">
        <v>0</v>
      </c>
    </row>
    <row r="913" spans="1:41" ht="15.75" x14ac:dyDescent="0.25">
      <c r="A913" s="84"/>
      <c r="B913" s="84"/>
      <c r="C913" s="84"/>
      <c r="D913" s="80" t="s">
        <v>248</v>
      </c>
      <c r="E913" s="80">
        <v>0</v>
      </c>
      <c r="F913" s="80">
        <v>0</v>
      </c>
      <c r="G913" s="80">
        <v>0</v>
      </c>
      <c r="H913" s="80">
        <v>1</v>
      </c>
      <c r="I913" s="80">
        <v>1</v>
      </c>
      <c r="J913" s="80">
        <v>1</v>
      </c>
      <c r="K913" s="80">
        <v>0</v>
      </c>
      <c r="L913" s="80">
        <v>0</v>
      </c>
      <c r="M913" s="80">
        <v>0</v>
      </c>
      <c r="N913" s="80">
        <v>1</v>
      </c>
      <c r="O913" s="80">
        <v>1</v>
      </c>
      <c r="P913" s="80">
        <v>0</v>
      </c>
      <c r="Q913" s="80">
        <v>1</v>
      </c>
      <c r="R913" s="80">
        <v>0</v>
      </c>
      <c r="S913" s="80">
        <v>0</v>
      </c>
      <c r="T913" s="80">
        <v>0</v>
      </c>
      <c r="U913" s="80">
        <v>1</v>
      </c>
      <c r="V913" s="80">
        <v>1</v>
      </c>
      <c r="W913" s="80">
        <v>1</v>
      </c>
      <c r="X913" s="80">
        <v>1</v>
      </c>
      <c r="Y913" s="80">
        <v>0</v>
      </c>
      <c r="Z913" s="80">
        <v>2</v>
      </c>
      <c r="AA913" s="80">
        <v>2</v>
      </c>
      <c r="AB913" s="80">
        <v>0</v>
      </c>
      <c r="AC913" s="80">
        <v>0</v>
      </c>
      <c r="AD913" s="80">
        <v>0</v>
      </c>
      <c r="AE913" s="80">
        <v>1</v>
      </c>
      <c r="AF913" s="80">
        <v>0</v>
      </c>
      <c r="AG913" s="81">
        <v>1</v>
      </c>
      <c r="AH913" s="80">
        <v>0</v>
      </c>
      <c r="AI913" s="81">
        <v>0</v>
      </c>
      <c r="AJ913" s="81">
        <v>0</v>
      </c>
      <c r="AK913" s="81">
        <v>0</v>
      </c>
      <c r="AL913" s="81">
        <v>0</v>
      </c>
      <c r="AM913" s="81">
        <v>0</v>
      </c>
      <c r="AN913" s="81">
        <v>0</v>
      </c>
      <c r="AO913" s="81">
        <v>0</v>
      </c>
    </row>
    <row r="914" spans="1:41" ht="15.75" x14ac:dyDescent="0.25">
      <c r="A914" s="84"/>
      <c r="B914" s="84"/>
      <c r="C914" s="84"/>
      <c r="D914" s="80" t="s">
        <v>258</v>
      </c>
      <c r="E914" s="80">
        <v>0</v>
      </c>
      <c r="F914" s="80">
        <v>0</v>
      </c>
      <c r="G914" s="80">
        <v>0</v>
      </c>
      <c r="H914" s="80">
        <v>0</v>
      </c>
      <c r="I914" s="80">
        <v>1</v>
      </c>
      <c r="J914" s="80">
        <v>0</v>
      </c>
      <c r="K914" s="80">
        <v>1</v>
      </c>
      <c r="L914" s="80">
        <v>1</v>
      </c>
      <c r="M914" s="80">
        <v>0</v>
      </c>
      <c r="N914" s="80">
        <v>0</v>
      </c>
      <c r="O914" s="80">
        <v>0</v>
      </c>
      <c r="P914" s="80">
        <v>0</v>
      </c>
      <c r="Q914" s="80">
        <v>0</v>
      </c>
      <c r="R914" s="80">
        <v>0</v>
      </c>
      <c r="S914" s="80">
        <v>0</v>
      </c>
      <c r="T914" s="80">
        <v>0</v>
      </c>
      <c r="U914" s="80">
        <v>0</v>
      </c>
      <c r="V914" s="80">
        <v>0</v>
      </c>
      <c r="W914" s="80">
        <v>0</v>
      </c>
      <c r="X914" s="80">
        <v>0</v>
      </c>
      <c r="Y914" s="80">
        <v>0</v>
      </c>
      <c r="Z914" s="80">
        <v>0</v>
      </c>
      <c r="AA914" s="80">
        <v>0</v>
      </c>
      <c r="AB914" s="80">
        <v>0</v>
      </c>
      <c r="AC914" s="80">
        <v>0</v>
      </c>
      <c r="AD914" s="80">
        <v>0</v>
      </c>
      <c r="AE914" s="80">
        <v>0</v>
      </c>
      <c r="AF914" s="80">
        <v>0</v>
      </c>
      <c r="AG914" s="80">
        <v>0</v>
      </c>
      <c r="AH914" s="80">
        <v>0</v>
      </c>
      <c r="AI914" s="80">
        <v>0</v>
      </c>
      <c r="AJ914" s="80">
        <v>0</v>
      </c>
      <c r="AK914" s="80">
        <v>0</v>
      </c>
      <c r="AL914" s="80">
        <v>0</v>
      </c>
      <c r="AM914" s="81">
        <v>0</v>
      </c>
      <c r="AN914" s="81">
        <v>0</v>
      </c>
      <c r="AO914" s="81">
        <v>0</v>
      </c>
    </row>
    <row r="915" spans="1:41" ht="15.75" x14ac:dyDescent="0.25">
      <c r="A915" s="84">
        <v>11</v>
      </c>
      <c r="B915" s="147"/>
      <c r="C915" s="84" t="s">
        <v>141</v>
      </c>
      <c r="D915" s="80" t="s">
        <v>245</v>
      </c>
      <c r="E915" s="80">
        <v>0</v>
      </c>
      <c r="F915" s="80">
        <v>0</v>
      </c>
      <c r="G915" s="80">
        <v>0</v>
      </c>
      <c r="H915" s="80">
        <v>2</v>
      </c>
      <c r="I915" s="80">
        <v>1</v>
      </c>
      <c r="J915" s="80">
        <v>0</v>
      </c>
      <c r="K915" s="80">
        <v>0</v>
      </c>
      <c r="L915" s="80">
        <v>0</v>
      </c>
      <c r="M915" s="80">
        <v>0</v>
      </c>
      <c r="N915" s="80">
        <v>0</v>
      </c>
      <c r="O915" s="80">
        <v>1</v>
      </c>
      <c r="P915" s="80">
        <v>1</v>
      </c>
      <c r="Q915" s="80">
        <v>1</v>
      </c>
      <c r="R915" s="80">
        <v>0</v>
      </c>
      <c r="S915" s="80">
        <v>0</v>
      </c>
      <c r="T915" s="80">
        <v>0</v>
      </c>
      <c r="U915" s="80">
        <v>1</v>
      </c>
      <c r="V915" s="80">
        <v>1</v>
      </c>
      <c r="W915" s="80">
        <v>0</v>
      </c>
      <c r="X915" s="80">
        <v>0</v>
      </c>
      <c r="Y915" s="80">
        <v>0</v>
      </c>
      <c r="Z915" s="80">
        <v>0</v>
      </c>
      <c r="AA915" s="80">
        <v>1</v>
      </c>
      <c r="AB915" s="80">
        <v>0</v>
      </c>
      <c r="AC915" s="80">
        <v>0</v>
      </c>
      <c r="AD915" s="80">
        <v>0</v>
      </c>
      <c r="AE915" s="80">
        <v>0</v>
      </c>
      <c r="AF915" s="80">
        <v>0</v>
      </c>
      <c r="AG915" s="80">
        <v>0</v>
      </c>
      <c r="AH915" s="80">
        <v>0</v>
      </c>
      <c r="AI915" s="80">
        <v>0</v>
      </c>
      <c r="AJ915" s="80">
        <v>0</v>
      </c>
      <c r="AK915" s="80">
        <v>0</v>
      </c>
      <c r="AL915" s="80">
        <v>0</v>
      </c>
      <c r="AM915" s="80">
        <v>1</v>
      </c>
      <c r="AN915" s="80">
        <v>0</v>
      </c>
      <c r="AO915" s="80">
        <v>0</v>
      </c>
    </row>
    <row r="916" spans="1:41" ht="15.75" x14ac:dyDescent="0.25">
      <c r="A916" s="84"/>
      <c r="B916" s="147"/>
      <c r="C916" s="84"/>
      <c r="D916" s="80" t="s">
        <v>246</v>
      </c>
      <c r="E916" s="80">
        <v>0</v>
      </c>
      <c r="F916" s="80">
        <v>0</v>
      </c>
      <c r="G916" s="80">
        <v>0</v>
      </c>
      <c r="H916" s="80">
        <v>2</v>
      </c>
      <c r="I916" s="80">
        <v>1</v>
      </c>
      <c r="J916" s="80">
        <v>0</v>
      </c>
      <c r="K916" s="80">
        <v>0</v>
      </c>
      <c r="L916" s="80">
        <v>0</v>
      </c>
      <c r="M916" s="80">
        <v>0</v>
      </c>
      <c r="N916" s="80">
        <v>0</v>
      </c>
      <c r="O916" s="80">
        <v>1</v>
      </c>
      <c r="P916" s="80">
        <v>1</v>
      </c>
      <c r="Q916" s="80">
        <v>1</v>
      </c>
      <c r="R916" s="80">
        <v>0</v>
      </c>
      <c r="S916" s="80">
        <v>0</v>
      </c>
      <c r="T916" s="80">
        <v>0</v>
      </c>
      <c r="U916" s="80">
        <v>1</v>
      </c>
      <c r="V916" s="80">
        <v>1</v>
      </c>
      <c r="W916" s="80">
        <v>0</v>
      </c>
      <c r="X916" s="80">
        <v>0</v>
      </c>
      <c r="Y916" s="80">
        <v>0</v>
      </c>
      <c r="Z916" s="80">
        <v>0</v>
      </c>
      <c r="AA916" s="80">
        <v>1</v>
      </c>
      <c r="AB916" s="80">
        <v>0</v>
      </c>
      <c r="AC916" s="80">
        <v>0</v>
      </c>
      <c r="AD916" s="80">
        <v>0</v>
      </c>
      <c r="AE916" s="80">
        <v>0</v>
      </c>
      <c r="AF916" s="80">
        <v>0</v>
      </c>
      <c r="AG916" s="80">
        <v>0</v>
      </c>
      <c r="AH916" s="80">
        <v>0</v>
      </c>
      <c r="AI916" s="80">
        <v>0</v>
      </c>
      <c r="AJ916" s="80">
        <v>0</v>
      </c>
      <c r="AK916" s="80">
        <v>0</v>
      </c>
      <c r="AL916" s="80">
        <v>0</v>
      </c>
      <c r="AM916" s="80">
        <v>1</v>
      </c>
      <c r="AN916" s="80">
        <v>0</v>
      </c>
      <c r="AO916" s="80">
        <v>0</v>
      </c>
    </row>
    <row r="917" spans="1:41" ht="15.75" x14ac:dyDescent="0.25">
      <c r="A917" s="84"/>
      <c r="B917" s="147"/>
      <c r="C917" s="84"/>
      <c r="D917" s="80" t="s">
        <v>247</v>
      </c>
      <c r="E917" s="80">
        <v>0</v>
      </c>
      <c r="F917" s="80">
        <v>0</v>
      </c>
      <c r="G917" s="80">
        <v>0</v>
      </c>
      <c r="H917" s="80">
        <v>0</v>
      </c>
      <c r="I917" s="80">
        <v>0</v>
      </c>
      <c r="J917" s="80">
        <v>0</v>
      </c>
      <c r="K917" s="80">
        <v>0</v>
      </c>
      <c r="L917" s="80">
        <v>0</v>
      </c>
      <c r="M917" s="80">
        <v>0</v>
      </c>
      <c r="N917" s="80">
        <v>0</v>
      </c>
      <c r="O917" s="80">
        <v>0</v>
      </c>
      <c r="P917" s="80">
        <v>0</v>
      </c>
      <c r="Q917" s="80">
        <v>0</v>
      </c>
      <c r="R917" s="80">
        <v>0</v>
      </c>
      <c r="S917" s="80">
        <v>0</v>
      </c>
      <c r="T917" s="80">
        <v>0</v>
      </c>
      <c r="U917" s="80">
        <v>0</v>
      </c>
      <c r="V917" s="80">
        <v>0</v>
      </c>
      <c r="W917" s="80">
        <v>0</v>
      </c>
      <c r="X917" s="80">
        <v>0</v>
      </c>
      <c r="Y917" s="80">
        <v>0</v>
      </c>
      <c r="Z917" s="80">
        <v>0</v>
      </c>
      <c r="AA917" s="80">
        <v>0</v>
      </c>
      <c r="AB917" s="80">
        <v>0</v>
      </c>
      <c r="AC917" s="80">
        <v>0</v>
      </c>
      <c r="AD917" s="80">
        <v>0</v>
      </c>
      <c r="AE917" s="80">
        <v>0</v>
      </c>
      <c r="AF917" s="80">
        <v>0</v>
      </c>
      <c r="AG917" s="80">
        <v>0</v>
      </c>
      <c r="AH917" s="80">
        <v>0</v>
      </c>
      <c r="AI917" s="80">
        <v>0</v>
      </c>
      <c r="AJ917" s="80">
        <v>0</v>
      </c>
      <c r="AK917" s="80">
        <v>0</v>
      </c>
      <c r="AL917" s="80">
        <v>0</v>
      </c>
      <c r="AM917" s="80">
        <v>0</v>
      </c>
      <c r="AN917" s="80">
        <v>0</v>
      </c>
      <c r="AO917" s="80">
        <v>0</v>
      </c>
    </row>
    <row r="918" spans="1:41" ht="15.75" x14ac:dyDescent="0.25">
      <c r="A918" s="84"/>
      <c r="B918" s="147"/>
      <c r="C918" s="84"/>
      <c r="D918" s="80" t="s">
        <v>248</v>
      </c>
      <c r="E918" s="80">
        <v>0</v>
      </c>
      <c r="F918" s="80">
        <v>0</v>
      </c>
      <c r="G918" s="80">
        <v>0</v>
      </c>
      <c r="H918" s="80">
        <v>2</v>
      </c>
      <c r="I918" s="80">
        <v>1</v>
      </c>
      <c r="J918" s="80">
        <v>0</v>
      </c>
      <c r="K918" s="80">
        <v>0</v>
      </c>
      <c r="L918" s="80">
        <v>0</v>
      </c>
      <c r="M918" s="80">
        <v>0</v>
      </c>
      <c r="N918" s="80">
        <v>0</v>
      </c>
      <c r="O918" s="80">
        <v>1</v>
      </c>
      <c r="P918" s="80">
        <v>1</v>
      </c>
      <c r="Q918" s="80">
        <v>1</v>
      </c>
      <c r="R918" s="80">
        <v>0</v>
      </c>
      <c r="S918" s="80">
        <v>0</v>
      </c>
      <c r="T918" s="80">
        <v>0</v>
      </c>
      <c r="U918" s="80">
        <v>1</v>
      </c>
      <c r="V918" s="80">
        <v>1</v>
      </c>
      <c r="W918" s="80">
        <v>0</v>
      </c>
      <c r="X918" s="80">
        <v>0</v>
      </c>
      <c r="Y918" s="80">
        <v>0</v>
      </c>
      <c r="Z918" s="80">
        <v>0</v>
      </c>
      <c r="AA918" s="80">
        <v>1</v>
      </c>
      <c r="AB918" s="80">
        <v>0</v>
      </c>
      <c r="AC918" s="80">
        <v>0</v>
      </c>
      <c r="AD918" s="80">
        <v>0</v>
      </c>
      <c r="AE918" s="80">
        <v>0</v>
      </c>
      <c r="AF918" s="80">
        <v>0</v>
      </c>
      <c r="AG918" s="80">
        <v>0</v>
      </c>
      <c r="AH918" s="80">
        <v>0</v>
      </c>
      <c r="AI918" s="80">
        <v>0</v>
      </c>
      <c r="AJ918" s="80">
        <v>0</v>
      </c>
      <c r="AK918" s="80">
        <v>0</v>
      </c>
      <c r="AL918" s="80">
        <v>0</v>
      </c>
      <c r="AM918" s="80">
        <v>1</v>
      </c>
      <c r="AN918" s="80">
        <v>0</v>
      </c>
      <c r="AO918" s="80">
        <v>0</v>
      </c>
    </row>
    <row r="919" spans="1:41" ht="15.75" x14ac:dyDescent="0.25">
      <c r="A919" s="84"/>
      <c r="B919" s="147"/>
      <c r="C919" s="84"/>
      <c r="D919" s="80" t="s">
        <v>258</v>
      </c>
      <c r="E919" s="80">
        <v>0</v>
      </c>
      <c r="F919" s="80">
        <v>0</v>
      </c>
      <c r="G919" s="80">
        <v>0</v>
      </c>
      <c r="H919" s="80">
        <v>0</v>
      </c>
      <c r="I919" s="80">
        <v>0</v>
      </c>
      <c r="J919" s="80">
        <v>0</v>
      </c>
      <c r="K919" s="80">
        <v>0</v>
      </c>
      <c r="L919" s="80">
        <v>0</v>
      </c>
      <c r="M919" s="80">
        <v>0</v>
      </c>
      <c r="N919" s="80">
        <v>0</v>
      </c>
      <c r="O919" s="80">
        <v>0</v>
      </c>
      <c r="P919" s="80">
        <v>0</v>
      </c>
      <c r="Q919" s="80">
        <v>0</v>
      </c>
      <c r="R919" s="80">
        <v>0</v>
      </c>
      <c r="S919" s="80">
        <v>0</v>
      </c>
      <c r="T919" s="80">
        <v>0</v>
      </c>
      <c r="U919" s="80">
        <v>0</v>
      </c>
      <c r="V919" s="80">
        <v>0</v>
      </c>
      <c r="W919" s="80">
        <v>0</v>
      </c>
      <c r="X919" s="80">
        <v>0</v>
      </c>
      <c r="Y919" s="80">
        <v>0</v>
      </c>
      <c r="Z919" s="80">
        <v>0</v>
      </c>
      <c r="AA919" s="80">
        <v>0</v>
      </c>
      <c r="AB919" s="80">
        <v>0</v>
      </c>
      <c r="AC919" s="80">
        <v>0</v>
      </c>
      <c r="AD919" s="80">
        <v>0</v>
      </c>
      <c r="AE919" s="80">
        <v>0</v>
      </c>
      <c r="AF919" s="80">
        <v>0</v>
      </c>
      <c r="AG919" s="80">
        <v>0</v>
      </c>
      <c r="AH919" s="80">
        <v>0</v>
      </c>
      <c r="AI919" s="80">
        <v>0</v>
      </c>
      <c r="AJ919" s="80">
        <v>0</v>
      </c>
      <c r="AK919" s="80">
        <v>0</v>
      </c>
      <c r="AL919" s="80">
        <v>0</v>
      </c>
      <c r="AM919" s="80">
        <v>0</v>
      </c>
      <c r="AN919" s="80">
        <v>0</v>
      </c>
      <c r="AO919" s="80">
        <v>0</v>
      </c>
    </row>
    <row r="920" spans="1:41" ht="15.75" x14ac:dyDescent="0.25">
      <c r="A920" s="84">
        <v>12</v>
      </c>
      <c r="B920" s="84" t="s">
        <v>191</v>
      </c>
      <c r="C920" s="84" t="s">
        <v>251</v>
      </c>
      <c r="D920" s="80" t="s">
        <v>245</v>
      </c>
      <c r="E920" s="80">
        <v>0</v>
      </c>
      <c r="F920" s="80">
        <v>0</v>
      </c>
      <c r="G920" s="80">
        <v>0</v>
      </c>
      <c r="H920" s="80">
        <v>2</v>
      </c>
      <c r="I920" s="80">
        <v>3</v>
      </c>
      <c r="J920" s="80">
        <v>3</v>
      </c>
      <c r="K920" s="80">
        <v>0</v>
      </c>
      <c r="L920" s="80">
        <v>0</v>
      </c>
      <c r="M920" s="80">
        <v>0</v>
      </c>
      <c r="N920" s="80">
        <v>0</v>
      </c>
      <c r="O920" s="80">
        <v>1</v>
      </c>
      <c r="P920" s="80">
        <v>1</v>
      </c>
      <c r="Q920" s="80">
        <v>0</v>
      </c>
      <c r="R920" s="80">
        <v>0</v>
      </c>
      <c r="S920" s="80">
        <v>0</v>
      </c>
      <c r="T920" s="80">
        <v>0</v>
      </c>
      <c r="U920" s="80">
        <v>4</v>
      </c>
      <c r="V920" s="80">
        <v>5</v>
      </c>
      <c r="W920" s="80">
        <v>1</v>
      </c>
      <c r="X920" s="80">
        <v>1</v>
      </c>
      <c r="Y920" s="80">
        <v>0</v>
      </c>
      <c r="Z920" s="80">
        <v>0</v>
      </c>
      <c r="AA920" s="80">
        <v>1</v>
      </c>
      <c r="AB920" s="80">
        <v>3</v>
      </c>
      <c r="AC920" s="80">
        <v>0</v>
      </c>
      <c r="AD920" s="80">
        <v>0</v>
      </c>
      <c r="AE920" s="80">
        <v>0</v>
      </c>
      <c r="AF920" s="80">
        <v>0</v>
      </c>
      <c r="AG920" s="81">
        <v>2</v>
      </c>
      <c r="AH920" s="80">
        <v>1</v>
      </c>
      <c r="AI920" s="81">
        <v>0</v>
      </c>
      <c r="AJ920" s="81">
        <v>0</v>
      </c>
      <c r="AK920" s="81">
        <v>0</v>
      </c>
      <c r="AL920" s="81">
        <v>0</v>
      </c>
      <c r="AM920" s="81">
        <v>0</v>
      </c>
      <c r="AN920" s="81">
        <v>0</v>
      </c>
      <c r="AO920" s="81">
        <v>0</v>
      </c>
    </row>
    <row r="921" spans="1:41" ht="15.75" x14ac:dyDescent="0.25">
      <c r="A921" s="84">
        <v>13</v>
      </c>
      <c r="B921" s="84"/>
      <c r="C921" s="84" t="s">
        <v>376</v>
      </c>
      <c r="D921" s="80" t="s">
        <v>246</v>
      </c>
      <c r="E921" s="80">
        <v>1</v>
      </c>
      <c r="F921" s="80">
        <v>0</v>
      </c>
      <c r="G921" s="80">
        <v>0</v>
      </c>
      <c r="H921" s="80">
        <v>1</v>
      </c>
      <c r="I921" s="80">
        <v>3</v>
      </c>
      <c r="J921" s="80">
        <v>1</v>
      </c>
      <c r="K921" s="80">
        <v>0</v>
      </c>
      <c r="L921" s="80">
        <v>0</v>
      </c>
      <c r="M921" s="80">
        <v>0</v>
      </c>
      <c r="N921" s="80">
        <v>0</v>
      </c>
      <c r="O921" s="80">
        <v>1</v>
      </c>
      <c r="P921" s="80">
        <v>1</v>
      </c>
      <c r="Q921" s="80">
        <v>0</v>
      </c>
      <c r="R921" s="80">
        <v>0</v>
      </c>
      <c r="S921" s="80">
        <v>0</v>
      </c>
      <c r="T921" s="80">
        <v>0</v>
      </c>
      <c r="U921" s="80">
        <v>4</v>
      </c>
      <c r="V921" s="80">
        <v>5</v>
      </c>
      <c r="W921" s="80">
        <v>1</v>
      </c>
      <c r="X921" s="80">
        <v>1</v>
      </c>
      <c r="Y921" s="80">
        <v>0</v>
      </c>
      <c r="Z921" s="80">
        <v>0</v>
      </c>
      <c r="AA921" s="80">
        <v>1</v>
      </c>
      <c r="AB921" s="80">
        <v>3</v>
      </c>
      <c r="AC921" s="80">
        <v>0</v>
      </c>
      <c r="AD921" s="80">
        <v>0</v>
      </c>
      <c r="AE921" s="80">
        <v>0</v>
      </c>
      <c r="AF921" s="80">
        <v>0</v>
      </c>
      <c r="AG921" s="81">
        <v>1</v>
      </c>
      <c r="AH921" s="80">
        <v>1</v>
      </c>
      <c r="AI921" s="81">
        <v>0</v>
      </c>
      <c r="AJ921" s="81">
        <v>0</v>
      </c>
      <c r="AK921" s="81">
        <v>0</v>
      </c>
      <c r="AL921" s="81">
        <v>0</v>
      </c>
      <c r="AM921" s="81">
        <v>0</v>
      </c>
      <c r="AN921" s="81">
        <v>0</v>
      </c>
      <c r="AO921" s="81">
        <v>0</v>
      </c>
    </row>
    <row r="922" spans="1:41" ht="15.75" x14ac:dyDescent="0.25">
      <c r="A922" s="84">
        <v>14</v>
      </c>
      <c r="B922" s="84"/>
      <c r="C922" s="84" t="s">
        <v>163</v>
      </c>
      <c r="D922" s="80" t="s">
        <v>247</v>
      </c>
      <c r="E922" s="80">
        <v>0</v>
      </c>
      <c r="F922" s="80">
        <v>0</v>
      </c>
      <c r="G922" s="80">
        <v>0</v>
      </c>
      <c r="H922" s="80">
        <v>1</v>
      </c>
      <c r="I922" s="80">
        <v>0</v>
      </c>
      <c r="J922" s="80">
        <v>2</v>
      </c>
      <c r="K922" s="80">
        <v>0</v>
      </c>
      <c r="L922" s="80">
        <v>0</v>
      </c>
      <c r="M922" s="80">
        <v>0</v>
      </c>
      <c r="N922" s="80">
        <v>0</v>
      </c>
      <c r="O922" s="80">
        <v>0</v>
      </c>
      <c r="P922" s="80">
        <v>0</v>
      </c>
      <c r="Q922" s="80">
        <v>0</v>
      </c>
      <c r="R922" s="80">
        <v>0</v>
      </c>
      <c r="S922" s="80">
        <v>0</v>
      </c>
      <c r="T922" s="80">
        <v>0</v>
      </c>
      <c r="U922" s="80">
        <v>0</v>
      </c>
      <c r="V922" s="80">
        <v>0</v>
      </c>
      <c r="W922" s="80">
        <v>0</v>
      </c>
      <c r="X922" s="80">
        <v>0</v>
      </c>
      <c r="Y922" s="80">
        <v>0</v>
      </c>
      <c r="Z922" s="80">
        <v>0</v>
      </c>
      <c r="AA922" s="80">
        <v>0</v>
      </c>
      <c r="AB922" s="80">
        <v>0</v>
      </c>
      <c r="AC922" s="80">
        <v>0</v>
      </c>
      <c r="AD922" s="80">
        <v>0</v>
      </c>
      <c r="AE922" s="80">
        <v>0</v>
      </c>
      <c r="AF922" s="80">
        <v>0</v>
      </c>
      <c r="AG922" s="81">
        <v>1</v>
      </c>
      <c r="AH922" s="80">
        <v>0</v>
      </c>
      <c r="AI922" s="81">
        <v>0</v>
      </c>
      <c r="AJ922" s="81">
        <v>0</v>
      </c>
      <c r="AK922" s="81">
        <v>0</v>
      </c>
      <c r="AL922" s="81">
        <v>0</v>
      </c>
      <c r="AM922" s="81">
        <v>0</v>
      </c>
      <c r="AN922" s="81">
        <v>0</v>
      </c>
      <c r="AO922" s="81">
        <v>0</v>
      </c>
    </row>
    <row r="923" spans="1:41" ht="15.75" x14ac:dyDescent="0.25">
      <c r="A923" s="84"/>
      <c r="B923" s="84"/>
      <c r="C923" s="84"/>
      <c r="D923" s="80" t="s">
        <v>248</v>
      </c>
      <c r="E923" s="80">
        <v>1</v>
      </c>
      <c r="F923" s="80">
        <v>0</v>
      </c>
      <c r="G923" s="80">
        <v>0</v>
      </c>
      <c r="H923" s="80">
        <v>1</v>
      </c>
      <c r="I923" s="80">
        <v>3</v>
      </c>
      <c r="J923" s="80">
        <v>1</v>
      </c>
      <c r="K923" s="80">
        <v>0</v>
      </c>
      <c r="L923" s="80">
        <v>0</v>
      </c>
      <c r="M923" s="80">
        <v>0</v>
      </c>
      <c r="N923" s="80">
        <v>0</v>
      </c>
      <c r="O923" s="80">
        <v>1</v>
      </c>
      <c r="P923" s="80">
        <v>1</v>
      </c>
      <c r="Q923" s="80">
        <v>0</v>
      </c>
      <c r="R923" s="80">
        <v>0</v>
      </c>
      <c r="S923" s="80">
        <v>0</v>
      </c>
      <c r="T923" s="80">
        <v>0</v>
      </c>
      <c r="U923" s="80">
        <v>4</v>
      </c>
      <c r="V923" s="80">
        <v>5</v>
      </c>
      <c r="W923" s="80">
        <v>1</v>
      </c>
      <c r="X923" s="80">
        <v>1</v>
      </c>
      <c r="Y923" s="80">
        <v>0</v>
      </c>
      <c r="Z923" s="80">
        <v>0</v>
      </c>
      <c r="AA923" s="80">
        <v>1</v>
      </c>
      <c r="AB923" s="80">
        <v>3</v>
      </c>
      <c r="AC923" s="80">
        <v>0</v>
      </c>
      <c r="AD923" s="80">
        <v>0</v>
      </c>
      <c r="AE923" s="80">
        <v>0</v>
      </c>
      <c r="AF923" s="80">
        <v>0</v>
      </c>
      <c r="AG923" s="81">
        <v>1</v>
      </c>
      <c r="AH923" s="80">
        <v>1</v>
      </c>
      <c r="AI923" s="81">
        <v>0</v>
      </c>
      <c r="AJ923" s="81">
        <v>0</v>
      </c>
      <c r="AK923" s="81">
        <v>0</v>
      </c>
      <c r="AL923" s="81">
        <v>0</v>
      </c>
      <c r="AM923" s="81">
        <v>0</v>
      </c>
      <c r="AN923" s="81">
        <v>0</v>
      </c>
      <c r="AO923" s="81">
        <v>0</v>
      </c>
    </row>
    <row r="924" spans="1:41" ht="15.75" x14ac:dyDescent="0.25">
      <c r="A924" s="84"/>
      <c r="B924" s="84"/>
      <c r="C924" s="84"/>
      <c r="D924" s="80" t="s">
        <v>258</v>
      </c>
      <c r="E924" s="80">
        <v>0</v>
      </c>
      <c r="F924" s="80">
        <v>0</v>
      </c>
      <c r="G924" s="80">
        <v>0</v>
      </c>
      <c r="H924" s="80">
        <v>0</v>
      </c>
      <c r="I924" s="80">
        <v>0</v>
      </c>
      <c r="J924" s="80">
        <v>0</v>
      </c>
      <c r="K924" s="80">
        <v>0</v>
      </c>
      <c r="L924" s="80">
        <v>0</v>
      </c>
      <c r="M924" s="80">
        <v>0</v>
      </c>
      <c r="N924" s="80">
        <v>0</v>
      </c>
      <c r="O924" s="80">
        <v>0</v>
      </c>
      <c r="P924" s="80">
        <v>0</v>
      </c>
      <c r="Q924" s="80">
        <v>0</v>
      </c>
      <c r="R924" s="80">
        <v>0</v>
      </c>
      <c r="S924" s="80">
        <v>0</v>
      </c>
      <c r="T924" s="80">
        <v>0</v>
      </c>
      <c r="U924" s="80">
        <v>0</v>
      </c>
      <c r="V924" s="80">
        <v>0</v>
      </c>
      <c r="W924" s="80">
        <v>0</v>
      </c>
      <c r="X924" s="80">
        <v>0</v>
      </c>
      <c r="Y924" s="80">
        <v>0</v>
      </c>
      <c r="Z924" s="80">
        <v>0</v>
      </c>
      <c r="AA924" s="80">
        <v>0</v>
      </c>
      <c r="AB924" s="80">
        <v>0</v>
      </c>
      <c r="AC924" s="80">
        <v>0</v>
      </c>
      <c r="AD924" s="80">
        <v>0</v>
      </c>
      <c r="AE924" s="80">
        <v>0</v>
      </c>
      <c r="AF924" s="80">
        <v>0</v>
      </c>
      <c r="AG924" s="80">
        <v>0</v>
      </c>
      <c r="AH924" s="80">
        <v>0</v>
      </c>
      <c r="AI924" s="80">
        <v>0</v>
      </c>
      <c r="AJ924" s="80">
        <v>0</v>
      </c>
      <c r="AK924" s="80">
        <v>0</v>
      </c>
      <c r="AL924" s="80">
        <v>0</v>
      </c>
      <c r="AM924" s="81">
        <v>0</v>
      </c>
      <c r="AN924" s="81">
        <v>0</v>
      </c>
      <c r="AO924" s="81">
        <v>0</v>
      </c>
    </row>
    <row r="925" spans="1:41" ht="15.75" x14ac:dyDescent="0.25">
      <c r="A925" s="84">
        <v>15</v>
      </c>
      <c r="B925" s="84"/>
      <c r="C925" s="84" t="s">
        <v>164</v>
      </c>
      <c r="D925" s="80" t="s">
        <v>245</v>
      </c>
      <c r="E925" s="80">
        <v>0</v>
      </c>
      <c r="F925" s="80">
        <v>0</v>
      </c>
      <c r="G925" s="80">
        <v>0</v>
      </c>
      <c r="H925" s="80">
        <v>1</v>
      </c>
      <c r="I925" s="80">
        <v>3</v>
      </c>
      <c r="J925" s="80">
        <v>2</v>
      </c>
      <c r="K925" s="80">
        <v>0</v>
      </c>
      <c r="L925" s="80">
        <v>0</v>
      </c>
      <c r="M925" s="80">
        <v>0</v>
      </c>
      <c r="N925" s="80">
        <v>0</v>
      </c>
      <c r="O925" s="80">
        <v>2</v>
      </c>
      <c r="P925" s="80">
        <v>1</v>
      </c>
      <c r="Q925" s="80">
        <v>1</v>
      </c>
      <c r="R925" s="80">
        <v>1</v>
      </c>
      <c r="S925" s="80">
        <v>0</v>
      </c>
      <c r="T925" s="80">
        <v>0</v>
      </c>
      <c r="U925" s="80">
        <v>1</v>
      </c>
      <c r="V925" s="80">
        <v>1</v>
      </c>
      <c r="W925" s="80">
        <v>0</v>
      </c>
      <c r="X925" s="80">
        <v>0</v>
      </c>
      <c r="Y925" s="80">
        <v>0</v>
      </c>
      <c r="Z925" s="80">
        <v>0</v>
      </c>
      <c r="AA925" s="80">
        <v>0</v>
      </c>
      <c r="AB925" s="80">
        <v>0</v>
      </c>
      <c r="AC925" s="80">
        <v>0</v>
      </c>
      <c r="AD925" s="80">
        <v>0</v>
      </c>
      <c r="AE925" s="80">
        <v>1</v>
      </c>
      <c r="AF925" s="80">
        <v>0</v>
      </c>
      <c r="AG925" s="81">
        <v>2</v>
      </c>
      <c r="AH925" s="80">
        <v>1</v>
      </c>
      <c r="AI925" s="81">
        <v>0</v>
      </c>
      <c r="AJ925" s="81">
        <v>0</v>
      </c>
      <c r="AK925" s="81">
        <v>0</v>
      </c>
      <c r="AL925" s="81">
        <v>0</v>
      </c>
      <c r="AM925" s="81">
        <v>1</v>
      </c>
      <c r="AN925" s="81">
        <v>0</v>
      </c>
      <c r="AO925" s="81">
        <v>1</v>
      </c>
    </row>
    <row r="926" spans="1:41" ht="15.75" x14ac:dyDescent="0.25">
      <c r="A926" s="84"/>
      <c r="B926" s="84"/>
      <c r="C926" s="84" t="s">
        <v>410</v>
      </c>
      <c r="D926" s="80" t="s">
        <v>246</v>
      </c>
      <c r="E926" s="80">
        <v>0</v>
      </c>
      <c r="F926" s="80">
        <v>0</v>
      </c>
      <c r="G926" s="80">
        <v>0</v>
      </c>
      <c r="H926" s="80">
        <v>1</v>
      </c>
      <c r="I926" s="80">
        <v>2</v>
      </c>
      <c r="J926" s="80">
        <v>2</v>
      </c>
      <c r="K926" s="80">
        <v>0</v>
      </c>
      <c r="L926" s="80">
        <v>0</v>
      </c>
      <c r="M926" s="80">
        <v>0</v>
      </c>
      <c r="N926" s="80">
        <v>0</v>
      </c>
      <c r="O926" s="80">
        <v>2</v>
      </c>
      <c r="P926" s="80">
        <v>0</v>
      </c>
      <c r="Q926" s="80">
        <v>0</v>
      </c>
      <c r="R926" s="80">
        <v>0</v>
      </c>
      <c r="S926" s="80">
        <v>0</v>
      </c>
      <c r="T926" s="80">
        <v>0</v>
      </c>
      <c r="U926" s="80">
        <v>1</v>
      </c>
      <c r="V926" s="80">
        <v>1</v>
      </c>
      <c r="W926" s="80">
        <v>0</v>
      </c>
      <c r="X926" s="80">
        <v>0</v>
      </c>
      <c r="Y926" s="80">
        <v>0</v>
      </c>
      <c r="Z926" s="80">
        <v>0</v>
      </c>
      <c r="AA926" s="80">
        <v>0</v>
      </c>
      <c r="AB926" s="80">
        <v>0</v>
      </c>
      <c r="AC926" s="80">
        <v>0</v>
      </c>
      <c r="AD926" s="80">
        <v>0</v>
      </c>
      <c r="AE926" s="80">
        <v>1</v>
      </c>
      <c r="AF926" s="80">
        <v>0</v>
      </c>
      <c r="AG926" s="81">
        <v>2</v>
      </c>
      <c r="AH926" s="80">
        <v>1</v>
      </c>
      <c r="AI926" s="81">
        <v>0</v>
      </c>
      <c r="AJ926" s="81">
        <v>0</v>
      </c>
      <c r="AK926" s="81">
        <v>0</v>
      </c>
      <c r="AL926" s="81">
        <v>0</v>
      </c>
      <c r="AM926" s="81">
        <v>1</v>
      </c>
      <c r="AN926" s="81">
        <v>0</v>
      </c>
      <c r="AO926" s="81">
        <v>1</v>
      </c>
    </row>
    <row r="927" spans="1:41" ht="15.75" x14ac:dyDescent="0.25">
      <c r="A927" s="84"/>
      <c r="B927" s="84"/>
      <c r="C927" s="84"/>
      <c r="D927" s="80" t="s">
        <v>247</v>
      </c>
      <c r="E927" s="80">
        <v>0</v>
      </c>
      <c r="F927" s="80">
        <v>0</v>
      </c>
      <c r="G927" s="80">
        <v>0</v>
      </c>
      <c r="H927" s="80">
        <v>0</v>
      </c>
      <c r="I927" s="80">
        <v>1</v>
      </c>
      <c r="J927" s="80">
        <v>0</v>
      </c>
      <c r="K927" s="80">
        <v>0</v>
      </c>
      <c r="L927" s="80">
        <v>0</v>
      </c>
      <c r="M927" s="80">
        <v>0</v>
      </c>
      <c r="N927" s="80">
        <v>0</v>
      </c>
      <c r="O927" s="80">
        <v>0</v>
      </c>
      <c r="P927" s="80">
        <v>1</v>
      </c>
      <c r="Q927" s="80">
        <v>1</v>
      </c>
      <c r="R927" s="80">
        <v>1</v>
      </c>
      <c r="S927" s="80">
        <v>0</v>
      </c>
      <c r="T927" s="80">
        <v>0</v>
      </c>
      <c r="U927" s="80">
        <v>0</v>
      </c>
      <c r="V927" s="80">
        <v>0</v>
      </c>
      <c r="W927" s="80">
        <v>0</v>
      </c>
      <c r="X927" s="80">
        <v>0</v>
      </c>
      <c r="Y927" s="80">
        <v>0</v>
      </c>
      <c r="Z927" s="80">
        <v>0</v>
      </c>
      <c r="AA927" s="80">
        <v>0</v>
      </c>
      <c r="AB927" s="80">
        <v>0</v>
      </c>
      <c r="AC927" s="80">
        <v>0</v>
      </c>
      <c r="AD927" s="80">
        <v>0</v>
      </c>
      <c r="AE927" s="80">
        <v>0</v>
      </c>
      <c r="AF927" s="80">
        <v>0</v>
      </c>
      <c r="AG927" s="81">
        <v>0</v>
      </c>
      <c r="AH927" s="80">
        <v>0</v>
      </c>
      <c r="AI927" s="81">
        <v>0</v>
      </c>
      <c r="AJ927" s="81">
        <v>0</v>
      </c>
      <c r="AK927" s="81">
        <v>0</v>
      </c>
      <c r="AL927" s="81">
        <v>0</v>
      </c>
      <c r="AM927" s="81">
        <v>0</v>
      </c>
      <c r="AN927" s="81">
        <v>0</v>
      </c>
      <c r="AO927" s="81">
        <v>0</v>
      </c>
    </row>
    <row r="928" spans="1:41" ht="15.75" x14ac:dyDescent="0.25">
      <c r="A928" s="84"/>
      <c r="B928" s="84"/>
      <c r="C928" s="84"/>
      <c r="D928" s="80" t="s">
        <v>248</v>
      </c>
      <c r="E928" s="80">
        <v>0</v>
      </c>
      <c r="F928" s="80">
        <v>0</v>
      </c>
      <c r="G928" s="80">
        <v>0</v>
      </c>
      <c r="H928" s="80">
        <v>1</v>
      </c>
      <c r="I928" s="80">
        <v>2</v>
      </c>
      <c r="J928" s="80">
        <v>2</v>
      </c>
      <c r="K928" s="80">
        <v>0</v>
      </c>
      <c r="L928" s="80">
        <v>0</v>
      </c>
      <c r="M928" s="80">
        <v>0</v>
      </c>
      <c r="N928" s="80">
        <v>0</v>
      </c>
      <c r="O928" s="80">
        <v>2</v>
      </c>
      <c r="P928" s="80">
        <v>0</v>
      </c>
      <c r="Q928" s="80">
        <v>0</v>
      </c>
      <c r="R928" s="80">
        <v>0</v>
      </c>
      <c r="S928" s="80">
        <v>0</v>
      </c>
      <c r="T928" s="80">
        <v>0</v>
      </c>
      <c r="U928" s="80">
        <v>1</v>
      </c>
      <c r="V928" s="80">
        <v>1</v>
      </c>
      <c r="W928" s="80">
        <v>0</v>
      </c>
      <c r="X928" s="80">
        <v>0</v>
      </c>
      <c r="Y928" s="80">
        <v>0</v>
      </c>
      <c r="Z928" s="80">
        <v>0</v>
      </c>
      <c r="AA928" s="80">
        <v>0</v>
      </c>
      <c r="AB928" s="80">
        <v>0</v>
      </c>
      <c r="AC928" s="80">
        <v>0</v>
      </c>
      <c r="AD928" s="80">
        <v>0</v>
      </c>
      <c r="AE928" s="80">
        <v>1</v>
      </c>
      <c r="AF928" s="80">
        <v>0</v>
      </c>
      <c r="AG928" s="81">
        <v>2</v>
      </c>
      <c r="AH928" s="80">
        <v>1</v>
      </c>
      <c r="AI928" s="81">
        <v>0</v>
      </c>
      <c r="AJ928" s="81">
        <v>0</v>
      </c>
      <c r="AK928" s="81">
        <v>0</v>
      </c>
      <c r="AL928" s="81">
        <v>0</v>
      </c>
      <c r="AM928" s="81">
        <v>1</v>
      </c>
      <c r="AN928" s="81">
        <v>0</v>
      </c>
      <c r="AO928" s="81">
        <v>1</v>
      </c>
    </row>
    <row r="929" spans="1:41" ht="15.75" x14ac:dyDescent="0.25">
      <c r="A929" s="84"/>
      <c r="B929" s="84"/>
      <c r="C929" s="84"/>
      <c r="D929" s="80" t="s">
        <v>258</v>
      </c>
      <c r="E929" s="80">
        <v>0</v>
      </c>
      <c r="F929" s="80">
        <v>0</v>
      </c>
      <c r="G929" s="80">
        <v>0</v>
      </c>
      <c r="H929" s="80">
        <v>0</v>
      </c>
      <c r="I929" s="80">
        <v>0</v>
      </c>
      <c r="J929" s="80">
        <v>0</v>
      </c>
      <c r="K929" s="80">
        <v>0</v>
      </c>
      <c r="L929" s="80">
        <v>0</v>
      </c>
      <c r="M929" s="80">
        <v>0</v>
      </c>
      <c r="N929" s="80">
        <v>0</v>
      </c>
      <c r="O929" s="80">
        <v>0</v>
      </c>
      <c r="P929" s="80">
        <v>0</v>
      </c>
      <c r="Q929" s="80">
        <v>0</v>
      </c>
      <c r="R929" s="80">
        <v>0</v>
      </c>
      <c r="S929" s="80">
        <v>0</v>
      </c>
      <c r="T929" s="80">
        <v>0</v>
      </c>
      <c r="U929" s="80">
        <v>0</v>
      </c>
      <c r="V929" s="80">
        <v>0</v>
      </c>
      <c r="W929" s="80">
        <v>0</v>
      </c>
      <c r="X929" s="80">
        <v>0</v>
      </c>
      <c r="Y929" s="80">
        <v>0</v>
      </c>
      <c r="Z929" s="80">
        <v>0</v>
      </c>
      <c r="AA929" s="80">
        <v>0</v>
      </c>
      <c r="AB929" s="80">
        <v>0</v>
      </c>
      <c r="AC929" s="80">
        <v>0</v>
      </c>
      <c r="AD929" s="80">
        <v>0</v>
      </c>
      <c r="AE929" s="80">
        <v>0</v>
      </c>
      <c r="AF929" s="80">
        <v>0</v>
      </c>
      <c r="AG929" s="80">
        <v>0</v>
      </c>
      <c r="AH929" s="80">
        <v>0</v>
      </c>
      <c r="AI929" s="80">
        <v>0</v>
      </c>
      <c r="AJ929" s="80">
        <v>0</v>
      </c>
      <c r="AK929" s="80">
        <v>0</v>
      </c>
      <c r="AL929" s="80">
        <v>0</v>
      </c>
      <c r="AM929" s="81">
        <v>0</v>
      </c>
      <c r="AN929" s="81">
        <v>0</v>
      </c>
      <c r="AO929" s="81">
        <v>0</v>
      </c>
    </row>
    <row r="930" spans="1:41" ht="15.75" x14ac:dyDescent="0.25">
      <c r="A930" s="84">
        <v>16</v>
      </c>
      <c r="B930" s="84" t="s">
        <v>267</v>
      </c>
      <c r="C930" s="84" t="s">
        <v>177</v>
      </c>
      <c r="D930" s="80" t="s">
        <v>245</v>
      </c>
      <c r="E930" s="80">
        <v>0</v>
      </c>
      <c r="F930" s="80">
        <v>0</v>
      </c>
      <c r="G930" s="80">
        <v>1</v>
      </c>
      <c r="H930" s="80">
        <v>1</v>
      </c>
      <c r="I930" s="80">
        <v>3</v>
      </c>
      <c r="J930" s="80">
        <v>3</v>
      </c>
      <c r="K930" s="80">
        <v>0</v>
      </c>
      <c r="L930" s="80">
        <v>1</v>
      </c>
      <c r="M930" s="80">
        <v>0</v>
      </c>
      <c r="N930" s="80">
        <v>0</v>
      </c>
      <c r="O930" s="80">
        <v>1</v>
      </c>
      <c r="P930" s="80">
        <v>0</v>
      </c>
      <c r="Q930" s="80">
        <v>0</v>
      </c>
      <c r="R930" s="80">
        <v>0</v>
      </c>
      <c r="S930" s="80">
        <v>0</v>
      </c>
      <c r="T930" s="80">
        <v>1</v>
      </c>
      <c r="U930" s="80">
        <v>2</v>
      </c>
      <c r="V930" s="80">
        <v>1</v>
      </c>
      <c r="W930" s="80">
        <v>0</v>
      </c>
      <c r="X930" s="80">
        <v>0</v>
      </c>
      <c r="Y930" s="80">
        <v>1</v>
      </c>
      <c r="Z930" s="80">
        <v>1</v>
      </c>
      <c r="AA930" s="80">
        <v>0</v>
      </c>
      <c r="AB930" s="80">
        <v>1</v>
      </c>
      <c r="AC930" s="80">
        <v>1</v>
      </c>
      <c r="AD930" s="80">
        <v>0</v>
      </c>
      <c r="AE930" s="80">
        <v>1</v>
      </c>
      <c r="AF930" s="80">
        <v>0</v>
      </c>
      <c r="AG930" s="81">
        <v>0</v>
      </c>
      <c r="AH930" s="80">
        <v>2</v>
      </c>
      <c r="AI930" s="81">
        <v>0</v>
      </c>
      <c r="AJ930" s="81">
        <v>0</v>
      </c>
      <c r="AK930" s="81">
        <v>0</v>
      </c>
      <c r="AL930" s="81">
        <v>0</v>
      </c>
      <c r="AM930" s="81">
        <v>0</v>
      </c>
      <c r="AN930" s="81">
        <v>0</v>
      </c>
      <c r="AO930" s="81">
        <v>0</v>
      </c>
    </row>
    <row r="931" spans="1:41" ht="15.75" x14ac:dyDescent="0.25">
      <c r="A931" s="84"/>
      <c r="B931" s="84"/>
      <c r="C931" s="84"/>
      <c r="D931" s="80" t="s">
        <v>246</v>
      </c>
      <c r="E931" s="80">
        <v>0</v>
      </c>
      <c r="F931" s="80">
        <v>0</v>
      </c>
      <c r="G931" s="80">
        <v>1</v>
      </c>
      <c r="H931" s="80">
        <v>1</v>
      </c>
      <c r="I931" s="80">
        <v>2</v>
      </c>
      <c r="J931" s="80">
        <v>2</v>
      </c>
      <c r="K931" s="80">
        <v>0</v>
      </c>
      <c r="L931" s="80">
        <v>1</v>
      </c>
      <c r="M931" s="80">
        <v>0</v>
      </c>
      <c r="N931" s="80">
        <v>0</v>
      </c>
      <c r="O931" s="80">
        <v>1</v>
      </c>
      <c r="P931" s="80">
        <v>0</v>
      </c>
      <c r="Q931" s="80">
        <v>0</v>
      </c>
      <c r="R931" s="80">
        <v>0</v>
      </c>
      <c r="S931" s="80">
        <v>0</v>
      </c>
      <c r="T931" s="80">
        <v>1</v>
      </c>
      <c r="U931" s="80">
        <v>2</v>
      </c>
      <c r="V931" s="80">
        <v>1</v>
      </c>
      <c r="W931" s="80">
        <v>0</v>
      </c>
      <c r="X931" s="80">
        <v>0</v>
      </c>
      <c r="Y931" s="80">
        <v>1</v>
      </c>
      <c r="Z931" s="80">
        <v>1</v>
      </c>
      <c r="AA931" s="80">
        <v>0</v>
      </c>
      <c r="AB931" s="80">
        <v>1</v>
      </c>
      <c r="AC931" s="80">
        <v>1</v>
      </c>
      <c r="AD931" s="80">
        <v>0</v>
      </c>
      <c r="AE931" s="80">
        <v>1</v>
      </c>
      <c r="AF931" s="80">
        <v>0</v>
      </c>
      <c r="AG931" s="81">
        <v>0</v>
      </c>
      <c r="AH931" s="80">
        <v>2</v>
      </c>
      <c r="AI931" s="81">
        <v>0</v>
      </c>
      <c r="AJ931" s="81">
        <v>0</v>
      </c>
      <c r="AK931" s="81">
        <v>0</v>
      </c>
      <c r="AL931" s="81">
        <v>0</v>
      </c>
      <c r="AM931" s="81">
        <v>0</v>
      </c>
      <c r="AN931" s="81">
        <v>0</v>
      </c>
      <c r="AO931" s="81">
        <v>0</v>
      </c>
    </row>
    <row r="932" spans="1:41" ht="15.75" x14ac:dyDescent="0.25">
      <c r="A932" s="84"/>
      <c r="B932" s="84"/>
      <c r="C932" s="84"/>
      <c r="D932" s="80" t="s">
        <v>247</v>
      </c>
      <c r="E932" s="80">
        <v>0</v>
      </c>
      <c r="F932" s="80">
        <v>0</v>
      </c>
      <c r="G932" s="80">
        <v>0</v>
      </c>
      <c r="H932" s="80">
        <v>0</v>
      </c>
      <c r="I932" s="80">
        <v>1</v>
      </c>
      <c r="J932" s="80">
        <v>1</v>
      </c>
      <c r="K932" s="80">
        <v>0</v>
      </c>
      <c r="L932" s="80">
        <v>0</v>
      </c>
      <c r="M932" s="80">
        <v>0</v>
      </c>
      <c r="N932" s="80">
        <v>0</v>
      </c>
      <c r="O932" s="80">
        <v>0</v>
      </c>
      <c r="P932" s="80">
        <v>0</v>
      </c>
      <c r="Q932" s="80">
        <v>0</v>
      </c>
      <c r="R932" s="80">
        <v>0</v>
      </c>
      <c r="S932" s="80">
        <v>0</v>
      </c>
      <c r="T932" s="80">
        <v>0</v>
      </c>
      <c r="U932" s="80">
        <v>0</v>
      </c>
      <c r="V932" s="80">
        <v>0</v>
      </c>
      <c r="W932" s="80">
        <v>0</v>
      </c>
      <c r="X932" s="80">
        <v>0</v>
      </c>
      <c r="Y932" s="80">
        <v>0</v>
      </c>
      <c r="Z932" s="80">
        <v>0</v>
      </c>
      <c r="AA932" s="80">
        <v>0</v>
      </c>
      <c r="AB932" s="80">
        <v>0</v>
      </c>
      <c r="AC932" s="80">
        <v>0</v>
      </c>
      <c r="AD932" s="80">
        <v>0</v>
      </c>
      <c r="AE932" s="80">
        <v>0</v>
      </c>
      <c r="AF932" s="80">
        <v>0</v>
      </c>
      <c r="AG932" s="81">
        <v>0</v>
      </c>
      <c r="AH932" s="80">
        <v>0</v>
      </c>
      <c r="AI932" s="81">
        <v>0</v>
      </c>
      <c r="AJ932" s="81">
        <v>0</v>
      </c>
      <c r="AK932" s="81">
        <v>0</v>
      </c>
      <c r="AL932" s="81">
        <v>0</v>
      </c>
      <c r="AM932" s="81">
        <v>0</v>
      </c>
      <c r="AN932" s="81">
        <v>0</v>
      </c>
      <c r="AO932" s="81">
        <v>0</v>
      </c>
    </row>
    <row r="933" spans="1:41" ht="15.75" x14ac:dyDescent="0.25">
      <c r="A933" s="84"/>
      <c r="B933" s="84"/>
      <c r="C933" s="84"/>
      <c r="D933" s="80" t="s">
        <v>248</v>
      </c>
      <c r="E933" s="80">
        <v>0</v>
      </c>
      <c r="F933" s="80">
        <v>0</v>
      </c>
      <c r="G933" s="80">
        <v>1</v>
      </c>
      <c r="H933" s="80">
        <v>1</v>
      </c>
      <c r="I933" s="80">
        <v>2</v>
      </c>
      <c r="J933" s="80">
        <v>2</v>
      </c>
      <c r="K933" s="80">
        <v>0</v>
      </c>
      <c r="L933" s="80">
        <v>0</v>
      </c>
      <c r="M933" s="80">
        <v>0</v>
      </c>
      <c r="N933" s="80">
        <v>0</v>
      </c>
      <c r="O933" s="80">
        <v>1</v>
      </c>
      <c r="P933" s="80">
        <v>0</v>
      </c>
      <c r="Q933" s="80">
        <v>0</v>
      </c>
      <c r="R933" s="80">
        <v>0</v>
      </c>
      <c r="S933" s="80">
        <v>0</v>
      </c>
      <c r="T933" s="80">
        <v>1</v>
      </c>
      <c r="U933" s="80">
        <v>2</v>
      </c>
      <c r="V933" s="80">
        <v>1</v>
      </c>
      <c r="W933" s="80">
        <v>0</v>
      </c>
      <c r="X933" s="80">
        <v>0</v>
      </c>
      <c r="Y933" s="80">
        <v>1</v>
      </c>
      <c r="Z933" s="80">
        <v>1</v>
      </c>
      <c r="AA933" s="80">
        <v>0</v>
      </c>
      <c r="AB933" s="80">
        <v>1</v>
      </c>
      <c r="AC933" s="80">
        <v>1</v>
      </c>
      <c r="AD933" s="80">
        <v>0</v>
      </c>
      <c r="AE933" s="80">
        <v>1</v>
      </c>
      <c r="AF933" s="80">
        <v>0</v>
      </c>
      <c r="AG933" s="81">
        <v>0</v>
      </c>
      <c r="AH933" s="80">
        <v>2</v>
      </c>
      <c r="AI933" s="81">
        <v>0</v>
      </c>
      <c r="AJ933" s="81">
        <v>0</v>
      </c>
      <c r="AK933" s="81">
        <v>0</v>
      </c>
      <c r="AL933" s="81">
        <v>0</v>
      </c>
      <c r="AM933" s="81">
        <v>0</v>
      </c>
      <c r="AN933" s="81">
        <v>0</v>
      </c>
      <c r="AO933" s="81">
        <v>0</v>
      </c>
    </row>
    <row r="934" spans="1:41" ht="15.75" x14ac:dyDescent="0.25">
      <c r="A934" s="84"/>
      <c r="B934" s="84"/>
      <c r="C934" s="84"/>
      <c r="D934" s="80" t="s">
        <v>258</v>
      </c>
      <c r="E934" s="80">
        <v>0</v>
      </c>
      <c r="F934" s="80">
        <v>0</v>
      </c>
      <c r="G934" s="80">
        <v>0</v>
      </c>
      <c r="H934" s="80">
        <v>0</v>
      </c>
      <c r="I934" s="80">
        <v>0</v>
      </c>
      <c r="J934" s="80">
        <v>0</v>
      </c>
      <c r="K934" s="80">
        <v>0</v>
      </c>
      <c r="L934" s="80">
        <v>1</v>
      </c>
      <c r="M934" s="80">
        <v>0</v>
      </c>
      <c r="N934" s="80">
        <v>0</v>
      </c>
      <c r="O934" s="80">
        <v>0</v>
      </c>
      <c r="P934" s="80">
        <v>0</v>
      </c>
      <c r="Q934" s="80">
        <v>0</v>
      </c>
      <c r="R934" s="80">
        <v>0</v>
      </c>
      <c r="S934" s="80">
        <v>0</v>
      </c>
      <c r="T934" s="80">
        <v>0</v>
      </c>
      <c r="U934" s="80">
        <v>0</v>
      </c>
      <c r="V934" s="80">
        <v>0</v>
      </c>
      <c r="W934" s="80">
        <v>0</v>
      </c>
      <c r="X934" s="80">
        <v>0</v>
      </c>
      <c r="Y934" s="80">
        <v>0</v>
      </c>
      <c r="Z934" s="80">
        <v>0</v>
      </c>
      <c r="AA934" s="80">
        <v>0</v>
      </c>
      <c r="AB934" s="80">
        <v>0</v>
      </c>
      <c r="AC934" s="80">
        <v>0</v>
      </c>
      <c r="AD934" s="80">
        <v>0</v>
      </c>
      <c r="AE934" s="80">
        <v>0</v>
      </c>
      <c r="AF934" s="80">
        <v>0</v>
      </c>
      <c r="AG934" s="80">
        <v>0</v>
      </c>
      <c r="AH934" s="80">
        <v>0</v>
      </c>
      <c r="AI934" s="80">
        <v>0</v>
      </c>
      <c r="AJ934" s="80">
        <v>0</v>
      </c>
      <c r="AK934" s="80">
        <v>0</v>
      </c>
      <c r="AL934" s="80">
        <v>0</v>
      </c>
      <c r="AM934" s="81">
        <v>0</v>
      </c>
      <c r="AN934" s="81">
        <v>0</v>
      </c>
      <c r="AO934" s="81">
        <v>0</v>
      </c>
    </row>
    <row r="935" spans="1:41" ht="15.75" x14ac:dyDescent="0.25">
      <c r="A935" s="84">
        <v>17</v>
      </c>
      <c r="B935" s="84"/>
      <c r="C935" s="84" t="s">
        <v>179</v>
      </c>
      <c r="D935" s="80" t="s">
        <v>245</v>
      </c>
      <c r="E935" s="80">
        <v>0</v>
      </c>
      <c r="F935" s="80">
        <v>0</v>
      </c>
      <c r="G935" s="80">
        <v>0</v>
      </c>
      <c r="H935" s="80">
        <v>2</v>
      </c>
      <c r="I935" s="80">
        <v>2</v>
      </c>
      <c r="J935" s="80">
        <v>1</v>
      </c>
      <c r="K935" s="80">
        <v>0</v>
      </c>
      <c r="L935" s="80">
        <v>0</v>
      </c>
      <c r="M935" s="80">
        <v>0</v>
      </c>
      <c r="N935" s="80">
        <v>0</v>
      </c>
      <c r="O935" s="80">
        <v>1</v>
      </c>
      <c r="P935" s="80">
        <v>0</v>
      </c>
      <c r="Q935" s="80">
        <v>1</v>
      </c>
      <c r="R935" s="80">
        <v>2</v>
      </c>
      <c r="S935" s="80">
        <v>0</v>
      </c>
      <c r="T935" s="80">
        <v>0</v>
      </c>
      <c r="U935" s="80">
        <v>2</v>
      </c>
      <c r="V935" s="80">
        <v>1</v>
      </c>
      <c r="W935" s="80">
        <v>1</v>
      </c>
      <c r="X935" s="80">
        <v>1</v>
      </c>
      <c r="Y935" s="80">
        <v>0</v>
      </c>
      <c r="Z935" s="80">
        <v>1</v>
      </c>
      <c r="AA935" s="80">
        <v>1</v>
      </c>
      <c r="AB935" s="80">
        <v>2</v>
      </c>
      <c r="AC935" s="80">
        <v>0</v>
      </c>
      <c r="AD935" s="80">
        <v>0</v>
      </c>
      <c r="AE935" s="80">
        <v>0</v>
      </c>
      <c r="AF935" s="80">
        <v>0</v>
      </c>
      <c r="AG935" s="81">
        <v>1</v>
      </c>
      <c r="AH935" s="80">
        <v>0</v>
      </c>
      <c r="AI935" s="81">
        <v>0</v>
      </c>
      <c r="AJ935" s="81">
        <v>0</v>
      </c>
      <c r="AK935" s="81">
        <v>0</v>
      </c>
      <c r="AL935" s="81">
        <v>0</v>
      </c>
      <c r="AM935" s="81">
        <v>0</v>
      </c>
      <c r="AN935" s="81">
        <v>0</v>
      </c>
      <c r="AO935" s="81">
        <v>0</v>
      </c>
    </row>
    <row r="936" spans="1:41" ht="15.75" x14ac:dyDescent="0.25">
      <c r="A936" s="84"/>
      <c r="B936" s="84"/>
      <c r="C936" s="84"/>
      <c r="D936" s="80" t="s">
        <v>246</v>
      </c>
      <c r="E936" s="80">
        <v>0</v>
      </c>
      <c r="F936" s="80">
        <v>0</v>
      </c>
      <c r="G936" s="80">
        <v>0</v>
      </c>
      <c r="H936" s="80">
        <v>2</v>
      </c>
      <c r="I936" s="80">
        <v>0</v>
      </c>
      <c r="J936" s="80">
        <v>1</v>
      </c>
      <c r="K936" s="80">
        <v>0</v>
      </c>
      <c r="L936" s="80">
        <v>0</v>
      </c>
      <c r="M936" s="80">
        <v>0</v>
      </c>
      <c r="N936" s="80">
        <v>0</v>
      </c>
      <c r="O936" s="80">
        <v>1</v>
      </c>
      <c r="P936" s="80">
        <v>0</v>
      </c>
      <c r="Q936" s="80">
        <v>1</v>
      </c>
      <c r="R936" s="80">
        <v>2</v>
      </c>
      <c r="S936" s="80">
        <v>0</v>
      </c>
      <c r="T936" s="80">
        <v>0</v>
      </c>
      <c r="U936" s="80">
        <v>2</v>
      </c>
      <c r="V936" s="80">
        <v>1</v>
      </c>
      <c r="W936" s="80">
        <v>1</v>
      </c>
      <c r="X936" s="80">
        <v>1</v>
      </c>
      <c r="Y936" s="80">
        <v>0</v>
      </c>
      <c r="Z936" s="80">
        <v>1</v>
      </c>
      <c r="AA936" s="80">
        <v>1</v>
      </c>
      <c r="AB936" s="80">
        <v>2</v>
      </c>
      <c r="AC936" s="80">
        <v>0</v>
      </c>
      <c r="AD936" s="80">
        <v>0</v>
      </c>
      <c r="AE936" s="80">
        <v>0</v>
      </c>
      <c r="AF936" s="80">
        <v>0</v>
      </c>
      <c r="AG936" s="81">
        <v>1</v>
      </c>
      <c r="AH936" s="80">
        <v>0</v>
      </c>
      <c r="AI936" s="81">
        <v>0</v>
      </c>
      <c r="AJ936" s="81">
        <v>0</v>
      </c>
      <c r="AK936" s="81">
        <v>0</v>
      </c>
      <c r="AL936" s="81">
        <v>0</v>
      </c>
      <c r="AM936" s="81">
        <v>0</v>
      </c>
      <c r="AN936" s="81">
        <v>0</v>
      </c>
      <c r="AO936" s="81">
        <v>0</v>
      </c>
    </row>
    <row r="937" spans="1:41" ht="15.75" x14ac:dyDescent="0.25">
      <c r="A937" s="84"/>
      <c r="B937" s="84"/>
      <c r="C937" s="84"/>
      <c r="D937" s="80" t="s">
        <v>247</v>
      </c>
      <c r="E937" s="80">
        <v>0</v>
      </c>
      <c r="F937" s="80">
        <v>0</v>
      </c>
      <c r="G937" s="80">
        <v>0</v>
      </c>
      <c r="H937" s="80">
        <v>0</v>
      </c>
      <c r="I937" s="80">
        <v>2</v>
      </c>
      <c r="J937" s="80">
        <v>0</v>
      </c>
      <c r="K937" s="80">
        <v>0</v>
      </c>
      <c r="L937" s="80">
        <v>0</v>
      </c>
      <c r="M937" s="80">
        <v>0</v>
      </c>
      <c r="N937" s="80">
        <v>0</v>
      </c>
      <c r="O937" s="80">
        <v>0</v>
      </c>
      <c r="P937" s="80">
        <v>0</v>
      </c>
      <c r="Q937" s="80">
        <v>0</v>
      </c>
      <c r="R937" s="80">
        <v>0</v>
      </c>
      <c r="S937" s="80">
        <v>0</v>
      </c>
      <c r="T937" s="80">
        <v>0</v>
      </c>
      <c r="U937" s="80">
        <v>0</v>
      </c>
      <c r="V937" s="80">
        <v>0</v>
      </c>
      <c r="W937" s="80">
        <v>0</v>
      </c>
      <c r="X937" s="80">
        <v>0</v>
      </c>
      <c r="Y937" s="80">
        <v>0</v>
      </c>
      <c r="Z937" s="80">
        <v>0</v>
      </c>
      <c r="AA937" s="80">
        <v>0</v>
      </c>
      <c r="AB937" s="80">
        <v>0</v>
      </c>
      <c r="AC937" s="80">
        <v>0</v>
      </c>
      <c r="AD937" s="80">
        <v>0</v>
      </c>
      <c r="AE937" s="80">
        <v>0</v>
      </c>
      <c r="AF937" s="80">
        <v>0</v>
      </c>
      <c r="AG937" s="81">
        <v>0</v>
      </c>
      <c r="AH937" s="80">
        <v>0</v>
      </c>
      <c r="AI937" s="81">
        <v>0</v>
      </c>
      <c r="AJ937" s="81">
        <v>0</v>
      </c>
      <c r="AK937" s="81">
        <v>0</v>
      </c>
      <c r="AL937" s="81">
        <v>0</v>
      </c>
      <c r="AM937" s="81">
        <v>0</v>
      </c>
      <c r="AN937" s="81">
        <v>0</v>
      </c>
      <c r="AO937" s="81">
        <v>0</v>
      </c>
    </row>
    <row r="938" spans="1:41" ht="15.75" x14ac:dyDescent="0.25">
      <c r="A938" s="84"/>
      <c r="B938" s="84"/>
      <c r="C938" s="84"/>
      <c r="D938" s="80" t="s">
        <v>248</v>
      </c>
      <c r="E938" s="80">
        <v>0</v>
      </c>
      <c r="F938" s="80">
        <v>0</v>
      </c>
      <c r="G938" s="80">
        <v>0</v>
      </c>
      <c r="H938" s="80">
        <v>2</v>
      </c>
      <c r="I938" s="80">
        <v>0</v>
      </c>
      <c r="J938" s="80">
        <v>1</v>
      </c>
      <c r="K938" s="80">
        <v>0</v>
      </c>
      <c r="L938" s="80">
        <v>0</v>
      </c>
      <c r="M938" s="80">
        <v>0</v>
      </c>
      <c r="N938" s="80">
        <v>0</v>
      </c>
      <c r="O938" s="80">
        <v>1</v>
      </c>
      <c r="P938" s="80">
        <v>0</v>
      </c>
      <c r="Q938" s="80">
        <v>1</v>
      </c>
      <c r="R938" s="80">
        <v>1</v>
      </c>
      <c r="S938" s="80">
        <v>0</v>
      </c>
      <c r="T938" s="80">
        <v>0</v>
      </c>
      <c r="U938" s="80">
        <v>2</v>
      </c>
      <c r="V938" s="80">
        <v>1</v>
      </c>
      <c r="W938" s="80">
        <v>0</v>
      </c>
      <c r="X938" s="80">
        <v>1</v>
      </c>
      <c r="Y938" s="80">
        <v>0</v>
      </c>
      <c r="Z938" s="80">
        <v>1</v>
      </c>
      <c r="AA938" s="80">
        <v>1</v>
      </c>
      <c r="AB938" s="80">
        <v>2</v>
      </c>
      <c r="AC938" s="80">
        <v>0</v>
      </c>
      <c r="AD938" s="80">
        <v>0</v>
      </c>
      <c r="AE938" s="80">
        <v>0</v>
      </c>
      <c r="AF938" s="80">
        <v>0</v>
      </c>
      <c r="AG938" s="81">
        <v>1</v>
      </c>
      <c r="AH938" s="80">
        <v>0</v>
      </c>
      <c r="AI938" s="81">
        <v>0</v>
      </c>
      <c r="AJ938" s="81">
        <v>0</v>
      </c>
      <c r="AK938" s="81">
        <v>0</v>
      </c>
      <c r="AL938" s="81">
        <v>0</v>
      </c>
      <c r="AM938" s="81">
        <v>0</v>
      </c>
      <c r="AN938" s="81">
        <v>0</v>
      </c>
      <c r="AO938" s="81">
        <v>0</v>
      </c>
    </row>
    <row r="939" spans="1:41" ht="15.75" x14ac:dyDescent="0.25">
      <c r="A939" s="84"/>
      <c r="B939" s="84"/>
      <c r="C939" s="84"/>
      <c r="D939" s="80" t="s">
        <v>258</v>
      </c>
      <c r="E939" s="80">
        <v>0</v>
      </c>
      <c r="F939" s="80">
        <v>0</v>
      </c>
      <c r="G939" s="80">
        <v>0</v>
      </c>
      <c r="H939" s="80">
        <v>0</v>
      </c>
      <c r="I939" s="80">
        <v>0</v>
      </c>
      <c r="J939" s="80">
        <v>0</v>
      </c>
      <c r="K939" s="80">
        <v>0</v>
      </c>
      <c r="L939" s="80">
        <v>0</v>
      </c>
      <c r="M939" s="80">
        <v>0</v>
      </c>
      <c r="N939" s="80">
        <v>0</v>
      </c>
      <c r="O939" s="80">
        <v>0</v>
      </c>
      <c r="P939" s="80">
        <v>0</v>
      </c>
      <c r="Q939" s="80">
        <v>0</v>
      </c>
      <c r="R939" s="80">
        <v>1</v>
      </c>
      <c r="S939" s="80">
        <v>0</v>
      </c>
      <c r="T939" s="80">
        <v>0</v>
      </c>
      <c r="U939" s="80">
        <v>0</v>
      </c>
      <c r="V939" s="80">
        <v>0</v>
      </c>
      <c r="W939" s="80">
        <v>1</v>
      </c>
      <c r="X939" s="80">
        <v>0</v>
      </c>
      <c r="Y939" s="80">
        <v>0</v>
      </c>
      <c r="Z939" s="80">
        <v>0</v>
      </c>
      <c r="AA939" s="80">
        <v>0</v>
      </c>
      <c r="AB939" s="80">
        <v>0</v>
      </c>
      <c r="AC939" s="80"/>
      <c r="AD939" s="80">
        <v>0</v>
      </c>
      <c r="AE939" s="80">
        <v>0</v>
      </c>
      <c r="AF939" s="80">
        <v>0</v>
      </c>
      <c r="AG939" s="80">
        <v>0</v>
      </c>
      <c r="AH939" s="80">
        <v>0</v>
      </c>
      <c r="AI939" s="80">
        <v>0</v>
      </c>
      <c r="AJ939" s="80">
        <v>0</v>
      </c>
      <c r="AK939" s="80">
        <v>0</v>
      </c>
      <c r="AL939" s="80">
        <v>0</v>
      </c>
      <c r="AM939" s="81">
        <v>0</v>
      </c>
      <c r="AN939" s="81">
        <v>0</v>
      </c>
      <c r="AO939" s="81">
        <v>0</v>
      </c>
    </row>
    <row r="940" spans="1:41" ht="18.75" customHeight="1" x14ac:dyDescent="0.25">
      <c r="A940" s="84">
        <v>18</v>
      </c>
      <c r="B940" s="84"/>
      <c r="C940" s="84" t="s">
        <v>178</v>
      </c>
      <c r="D940" s="80" t="s">
        <v>245</v>
      </c>
      <c r="E940" s="80">
        <v>0</v>
      </c>
      <c r="F940" s="80">
        <v>0</v>
      </c>
      <c r="G940" s="80">
        <v>0</v>
      </c>
      <c r="H940" s="80">
        <v>1</v>
      </c>
      <c r="I940" s="80">
        <v>2</v>
      </c>
      <c r="J940" s="266">
        <v>2</v>
      </c>
      <c r="K940" s="80">
        <v>0</v>
      </c>
      <c r="L940" s="80">
        <v>0</v>
      </c>
      <c r="M940" s="80">
        <v>0</v>
      </c>
      <c r="N940" s="80">
        <v>0</v>
      </c>
      <c r="O940" s="80">
        <v>1</v>
      </c>
      <c r="P940" s="80">
        <v>0</v>
      </c>
      <c r="Q940" s="80">
        <v>1</v>
      </c>
      <c r="R940" s="80">
        <v>0</v>
      </c>
      <c r="S940" s="80">
        <v>0</v>
      </c>
      <c r="T940" s="80">
        <v>0</v>
      </c>
      <c r="U940" s="80">
        <v>2</v>
      </c>
      <c r="V940" s="80">
        <v>1</v>
      </c>
      <c r="W940" s="80">
        <v>0</v>
      </c>
      <c r="X940" s="80">
        <v>0</v>
      </c>
      <c r="Y940" s="80">
        <v>0</v>
      </c>
      <c r="Z940" s="80">
        <v>0</v>
      </c>
      <c r="AA940" s="80">
        <v>1</v>
      </c>
      <c r="AB940" s="80">
        <v>0</v>
      </c>
      <c r="AC940" s="80">
        <v>1</v>
      </c>
      <c r="AD940" s="80">
        <v>0</v>
      </c>
      <c r="AE940" s="80">
        <v>0</v>
      </c>
      <c r="AF940" s="80">
        <v>0</v>
      </c>
      <c r="AG940" s="80">
        <v>2</v>
      </c>
      <c r="AH940" s="80">
        <v>0</v>
      </c>
      <c r="AI940" s="80">
        <v>0</v>
      </c>
      <c r="AJ940" s="80">
        <v>0</v>
      </c>
      <c r="AK940" s="80">
        <v>0</v>
      </c>
      <c r="AL940" s="80">
        <v>0</v>
      </c>
      <c r="AM940" s="80">
        <v>0</v>
      </c>
      <c r="AN940" s="80">
        <v>0</v>
      </c>
      <c r="AO940" s="80">
        <v>0</v>
      </c>
    </row>
    <row r="941" spans="1:41" ht="15.75" x14ac:dyDescent="0.25">
      <c r="A941" s="84"/>
      <c r="B941" s="84"/>
      <c r="C941" s="84"/>
      <c r="D941" s="80" t="s">
        <v>246</v>
      </c>
      <c r="E941" s="80">
        <v>0</v>
      </c>
      <c r="F941" s="80">
        <v>0</v>
      </c>
      <c r="G941" s="80">
        <v>0</v>
      </c>
      <c r="H941" s="80">
        <v>0</v>
      </c>
      <c r="I941" s="80">
        <v>1</v>
      </c>
      <c r="J941" s="80">
        <v>2</v>
      </c>
      <c r="K941" s="80">
        <v>0</v>
      </c>
      <c r="L941" s="80">
        <v>0</v>
      </c>
      <c r="M941" s="80">
        <v>0</v>
      </c>
      <c r="N941" s="80">
        <v>0</v>
      </c>
      <c r="O941" s="80">
        <v>1</v>
      </c>
      <c r="P941" s="80">
        <v>0</v>
      </c>
      <c r="Q941" s="80">
        <v>1</v>
      </c>
      <c r="R941" s="80">
        <v>0</v>
      </c>
      <c r="S941" s="80">
        <v>0</v>
      </c>
      <c r="T941" s="80">
        <v>0</v>
      </c>
      <c r="U941" s="80">
        <v>2</v>
      </c>
      <c r="V941" s="80">
        <v>1</v>
      </c>
      <c r="W941" s="80">
        <v>0</v>
      </c>
      <c r="X941" s="80">
        <v>0</v>
      </c>
      <c r="Y941" s="80">
        <v>0</v>
      </c>
      <c r="Z941" s="80">
        <v>0</v>
      </c>
      <c r="AA941" s="80">
        <v>1</v>
      </c>
      <c r="AB941" s="80">
        <v>0</v>
      </c>
      <c r="AC941" s="80">
        <v>1</v>
      </c>
      <c r="AD941" s="80">
        <v>0</v>
      </c>
      <c r="AE941" s="80">
        <v>0</v>
      </c>
      <c r="AF941" s="80">
        <v>0</v>
      </c>
      <c r="AG941" s="81">
        <v>2</v>
      </c>
      <c r="AH941" s="80">
        <v>0</v>
      </c>
      <c r="AI941" s="81">
        <v>0</v>
      </c>
      <c r="AJ941" s="81">
        <v>0</v>
      </c>
      <c r="AK941" s="81">
        <v>0</v>
      </c>
      <c r="AL941" s="81">
        <v>0</v>
      </c>
      <c r="AM941" s="81">
        <v>0</v>
      </c>
      <c r="AN941" s="81">
        <v>0</v>
      </c>
      <c r="AO941" s="81">
        <v>0</v>
      </c>
    </row>
    <row r="942" spans="1:41" ht="15.75" x14ac:dyDescent="0.25">
      <c r="A942" s="84"/>
      <c r="B942" s="84"/>
      <c r="C942" s="84"/>
      <c r="D942" s="80" t="s">
        <v>247</v>
      </c>
      <c r="E942" s="80">
        <v>0</v>
      </c>
      <c r="F942" s="80">
        <v>0</v>
      </c>
      <c r="G942" s="80">
        <v>0</v>
      </c>
      <c r="H942" s="80">
        <v>1</v>
      </c>
      <c r="I942" s="80">
        <v>1</v>
      </c>
      <c r="J942" s="80">
        <v>0</v>
      </c>
      <c r="K942" s="80">
        <v>0</v>
      </c>
      <c r="L942" s="80">
        <v>0</v>
      </c>
      <c r="M942" s="80">
        <v>0</v>
      </c>
      <c r="N942" s="80">
        <v>0</v>
      </c>
      <c r="O942" s="80">
        <v>0</v>
      </c>
      <c r="P942" s="80">
        <v>0</v>
      </c>
      <c r="Q942" s="80">
        <v>0</v>
      </c>
      <c r="R942" s="80">
        <v>0</v>
      </c>
      <c r="S942" s="80">
        <v>0</v>
      </c>
      <c r="T942" s="80">
        <v>0</v>
      </c>
      <c r="U942" s="80">
        <v>0</v>
      </c>
      <c r="V942" s="80">
        <v>0</v>
      </c>
      <c r="W942" s="80">
        <v>0</v>
      </c>
      <c r="X942" s="80">
        <v>0</v>
      </c>
      <c r="Y942" s="80">
        <v>0</v>
      </c>
      <c r="Z942" s="80">
        <v>0</v>
      </c>
      <c r="AA942" s="80">
        <v>0</v>
      </c>
      <c r="AB942" s="80">
        <v>0</v>
      </c>
      <c r="AC942" s="80">
        <v>0</v>
      </c>
      <c r="AD942" s="80">
        <v>0</v>
      </c>
      <c r="AE942" s="80">
        <v>0</v>
      </c>
      <c r="AF942" s="80">
        <v>0</v>
      </c>
      <c r="AG942" s="81">
        <v>0</v>
      </c>
      <c r="AH942" s="80">
        <v>0</v>
      </c>
      <c r="AI942" s="81">
        <v>0</v>
      </c>
      <c r="AJ942" s="81">
        <v>0</v>
      </c>
      <c r="AK942" s="81">
        <v>0</v>
      </c>
      <c r="AL942" s="81">
        <v>0</v>
      </c>
      <c r="AM942" s="81">
        <v>0</v>
      </c>
      <c r="AN942" s="81">
        <v>0</v>
      </c>
      <c r="AO942" s="81">
        <v>0</v>
      </c>
    </row>
    <row r="943" spans="1:41" ht="15.75" x14ac:dyDescent="0.25">
      <c r="A943" s="84"/>
      <c r="B943" s="84"/>
      <c r="C943" s="84"/>
      <c r="D943" s="80" t="s">
        <v>248</v>
      </c>
      <c r="E943" s="80">
        <v>0</v>
      </c>
      <c r="F943" s="80">
        <v>0</v>
      </c>
      <c r="G943" s="80">
        <v>0</v>
      </c>
      <c r="H943" s="80">
        <v>0</v>
      </c>
      <c r="I943" s="80">
        <v>1</v>
      </c>
      <c r="J943" s="80">
        <v>2</v>
      </c>
      <c r="K943" s="80">
        <v>0</v>
      </c>
      <c r="L943" s="80">
        <v>0</v>
      </c>
      <c r="M943" s="80">
        <v>0</v>
      </c>
      <c r="N943" s="80">
        <v>0</v>
      </c>
      <c r="O943" s="80">
        <v>1</v>
      </c>
      <c r="P943" s="80">
        <v>0</v>
      </c>
      <c r="Q943" s="80">
        <v>1</v>
      </c>
      <c r="R943" s="80">
        <v>0</v>
      </c>
      <c r="S943" s="80">
        <v>0</v>
      </c>
      <c r="T943" s="80">
        <v>0</v>
      </c>
      <c r="U943" s="80">
        <v>2</v>
      </c>
      <c r="V943" s="80">
        <v>0</v>
      </c>
      <c r="W943" s="80">
        <v>0</v>
      </c>
      <c r="X943" s="80">
        <v>0</v>
      </c>
      <c r="Y943" s="80">
        <v>0</v>
      </c>
      <c r="Z943" s="80">
        <v>0</v>
      </c>
      <c r="AA943" s="80">
        <v>1</v>
      </c>
      <c r="AB943" s="80">
        <v>0</v>
      </c>
      <c r="AC943" s="80">
        <v>1</v>
      </c>
      <c r="AD943" s="80">
        <v>0</v>
      </c>
      <c r="AE943" s="80">
        <v>0</v>
      </c>
      <c r="AF943" s="80">
        <v>0</v>
      </c>
      <c r="AG943" s="81">
        <v>1</v>
      </c>
      <c r="AH943" s="80">
        <v>0</v>
      </c>
      <c r="AI943" s="81">
        <v>0</v>
      </c>
      <c r="AJ943" s="81">
        <v>0</v>
      </c>
      <c r="AK943" s="81">
        <v>0</v>
      </c>
      <c r="AL943" s="81">
        <v>0</v>
      </c>
      <c r="AM943" s="81">
        <v>0</v>
      </c>
      <c r="AN943" s="81">
        <v>0</v>
      </c>
      <c r="AO943" s="81">
        <v>0</v>
      </c>
    </row>
    <row r="944" spans="1:41" ht="15.75" x14ac:dyDescent="0.25">
      <c r="A944" s="84"/>
      <c r="B944" s="84"/>
      <c r="C944" s="84"/>
      <c r="D944" s="80" t="s">
        <v>258</v>
      </c>
      <c r="E944" s="80">
        <v>0</v>
      </c>
      <c r="F944" s="80">
        <v>0</v>
      </c>
      <c r="G944" s="80">
        <v>0</v>
      </c>
      <c r="H944" s="80">
        <v>0</v>
      </c>
      <c r="I944" s="80">
        <v>0</v>
      </c>
      <c r="J944" s="80">
        <v>0</v>
      </c>
      <c r="K944" s="80">
        <v>0</v>
      </c>
      <c r="L944" s="80">
        <v>0</v>
      </c>
      <c r="M944" s="80">
        <v>0</v>
      </c>
      <c r="N944" s="80">
        <v>0</v>
      </c>
      <c r="O944" s="80">
        <v>0</v>
      </c>
      <c r="P944" s="80">
        <v>0</v>
      </c>
      <c r="Q944" s="80">
        <v>0</v>
      </c>
      <c r="R944" s="80">
        <v>0</v>
      </c>
      <c r="S944" s="80">
        <v>0</v>
      </c>
      <c r="T944" s="80">
        <v>0</v>
      </c>
      <c r="U944" s="80">
        <v>0</v>
      </c>
      <c r="V944" s="80">
        <v>1</v>
      </c>
      <c r="W944" s="80">
        <v>0</v>
      </c>
      <c r="X944" s="80">
        <v>0</v>
      </c>
      <c r="Y944" s="80">
        <v>0</v>
      </c>
      <c r="Z944" s="80">
        <v>0</v>
      </c>
      <c r="AA944" s="80">
        <v>0</v>
      </c>
      <c r="AB944" s="80">
        <v>0</v>
      </c>
      <c r="AC944" s="80">
        <v>0</v>
      </c>
      <c r="AD944" s="80">
        <v>0</v>
      </c>
      <c r="AE944" s="80">
        <v>0</v>
      </c>
      <c r="AF944" s="80">
        <v>0</v>
      </c>
      <c r="AG944" s="80">
        <v>1</v>
      </c>
      <c r="AH944" s="80">
        <v>0</v>
      </c>
      <c r="AI944" s="80">
        <v>0</v>
      </c>
      <c r="AJ944" s="80">
        <v>0</v>
      </c>
      <c r="AK944" s="80">
        <v>0</v>
      </c>
      <c r="AL944" s="80">
        <v>0</v>
      </c>
      <c r="AM944" s="81">
        <v>0</v>
      </c>
      <c r="AN944" s="81">
        <v>0</v>
      </c>
      <c r="AO944" s="81">
        <v>0</v>
      </c>
    </row>
    <row r="945" spans="1:41" ht="15.75" x14ac:dyDescent="0.25">
      <c r="A945" s="84">
        <v>19</v>
      </c>
      <c r="B945" s="84"/>
      <c r="C945" s="84" t="s">
        <v>58</v>
      </c>
      <c r="D945" s="80" t="s">
        <v>245</v>
      </c>
      <c r="E945" s="80">
        <v>0</v>
      </c>
      <c r="F945" s="80">
        <v>0</v>
      </c>
      <c r="G945" s="80">
        <v>0</v>
      </c>
      <c r="H945" s="80">
        <v>0</v>
      </c>
      <c r="I945" s="80">
        <v>2</v>
      </c>
      <c r="J945" s="80">
        <v>1</v>
      </c>
      <c r="K945" s="80">
        <v>0</v>
      </c>
      <c r="L945" s="80">
        <v>0</v>
      </c>
      <c r="M945" s="80">
        <v>0</v>
      </c>
      <c r="N945" s="80">
        <v>0</v>
      </c>
      <c r="O945" s="80">
        <v>1</v>
      </c>
      <c r="P945" s="80">
        <v>0</v>
      </c>
      <c r="Q945" s="80">
        <v>1</v>
      </c>
      <c r="R945" s="80">
        <v>0</v>
      </c>
      <c r="S945" s="80">
        <v>0</v>
      </c>
      <c r="T945" s="80">
        <v>0</v>
      </c>
      <c r="U945" s="80">
        <v>2</v>
      </c>
      <c r="V945" s="80">
        <v>2</v>
      </c>
      <c r="W945" s="80">
        <v>1</v>
      </c>
      <c r="X945" s="80">
        <v>0</v>
      </c>
      <c r="Y945" s="80">
        <v>0</v>
      </c>
      <c r="Z945" s="80">
        <v>2</v>
      </c>
      <c r="AA945" s="80">
        <v>1</v>
      </c>
      <c r="AB945" s="80">
        <v>2</v>
      </c>
      <c r="AC945" s="80">
        <v>0</v>
      </c>
      <c r="AD945" s="80">
        <v>0</v>
      </c>
      <c r="AE945" s="80">
        <v>0</v>
      </c>
      <c r="AF945" s="80">
        <v>0</v>
      </c>
      <c r="AG945" s="81">
        <v>1</v>
      </c>
      <c r="AH945" s="80">
        <v>0</v>
      </c>
      <c r="AI945" s="81">
        <v>0</v>
      </c>
      <c r="AJ945" s="81">
        <v>0</v>
      </c>
      <c r="AK945" s="81">
        <v>0</v>
      </c>
      <c r="AL945" s="81">
        <v>0</v>
      </c>
      <c r="AM945" s="81">
        <v>0</v>
      </c>
      <c r="AN945" s="81">
        <v>0</v>
      </c>
      <c r="AO945" s="81">
        <v>0</v>
      </c>
    </row>
    <row r="946" spans="1:41" ht="15.75" x14ac:dyDescent="0.25">
      <c r="A946" s="84"/>
      <c r="B946" s="84"/>
      <c r="C946" s="84"/>
      <c r="D946" s="80" t="s">
        <v>246</v>
      </c>
      <c r="E946" s="80">
        <v>0</v>
      </c>
      <c r="F946" s="80">
        <v>0</v>
      </c>
      <c r="G946" s="80">
        <v>0</v>
      </c>
      <c r="H946" s="80">
        <v>0</v>
      </c>
      <c r="I946" s="80">
        <v>1</v>
      </c>
      <c r="J946" s="80">
        <v>1</v>
      </c>
      <c r="K946" s="80">
        <v>0</v>
      </c>
      <c r="L946" s="80">
        <v>0</v>
      </c>
      <c r="M946" s="80">
        <v>0</v>
      </c>
      <c r="N946" s="80">
        <v>0</v>
      </c>
      <c r="O946" s="80">
        <v>1</v>
      </c>
      <c r="P946" s="80">
        <v>0</v>
      </c>
      <c r="Q946" s="80">
        <v>1</v>
      </c>
      <c r="R946" s="80">
        <v>0</v>
      </c>
      <c r="S946" s="80">
        <v>0</v>
      </c>
      <c r="T946" s="80">
        <v>0</v>
      </c>
      <c r="U946" s="80">
        <v>2</v>
      </c>
      <c r="V946" s="80">
        <v>2</v>
      </c>
      <c r="W946" s="80">
        <v>1</v>
      </c>
      <c r="X946" s="80">
        <v>0</v>
      </c>
      <c r="Y946" s="80">
        <v>0</v>
      </c>
      <c r="Z946" s="80">
        <v>2</v>
      </c>
      <c r="AA946" s="80">
        <v>1</v>
      </c>
      <c r="AB946" s="80">
        <v>2</v>
      </c>
      <c r="AC946" s="80">
        <v>0</v>
      </c>
      <c r="AD946" s="80">
        <v>0</v>
      </c>
      <c r="AE946" s="80">
        <v>0</v>
      </c>
      <c r="AF946" s="80">
        <v>0</v>
      </c>
      <c r="AG946" s="81">
        <v>1</v>
      </c>
      <c r="AH946" s="80">
        <v>0</v>
      </c>
      <c r="AI946" s="81">
        <v>0</v>
      </c>
      <c r="AJ946" s="81">
        <v>0</v>
      </c>
      <c r="AK946" s="81">
        <v>0</v>
      </c>
      <c r="AL946" s="81">
        <v>0</v>
      </c>
      <c r="AM946" s="81">
        <v>0</v>
      </c>
      <c r="AN946" s="81">
        <v>0</v>
      </c>
      <c r="AO946" s="81">
        <v>0</v>
      </c>
    </row>
    <row r="947" spans="1:41" ht="15.75" x14ac:dyDescent="0.25">
      <c r="A947" s="84"/>
      <c r="B947" s="84"/>
      <c r="C947" s="84"/>
      <c r="D947" s="80" t="s">
        <v>247</v>
      </c>
      <c r="E947" s="80">
        <v>0</v>
      </c>
      <c r="F947" s="80">
        <v>0</v>
      </c>
      <c r="G947" s="80">
        <v>0</v>
      </c>
      <c r="H947" s="80">
        <v>0</v>
      </c>
      <c r="I947" s="80">
        <v>1</v>
      </c>
      <c r="J947" s="80">
        <v>0</v>
      </c>
      <c r="K947" s="80">
        <v>0</v>
      </c>
      <c r="L947" s="80">
        <v>0</v>
      </c>
      <c r="M947" s="80">
        <v>0</v>
      </c>
      <c r="N947" s="80">
        <v>0</v>
      </c>
      <c r="O947" s="80">
        <v>0</v>
      </c>
      <c r="P947" s="80">
        <v>0</v>
      </c>
      <c r="Q947" s="80">
        <v>0</v>
      </c>
      <c r="R947" s="80">
        <v>0</v>
      </c>
      <c r="S947" s="80">
        <v>0</v>
      </c>
      <c r="T947" s="80">
        <v>0</v>
      </c>
      <c r="U947" s="80">
        <v>0</v>
      </c>
      <c r="V947" s="80">
        <v>0</v>
      </c>
      <c r="W947" s="80">
        <v>0</v>
      </c>
      <c r="X947" s="80">
        <v>0</v>
      </c>
      <c r="Y947" s="80">
        <v>0</v>
      </c>
      <c r="Z947" s="80">
        <v>0</v>
      </c>
      <c r="AA947" s="80">
        <v>0</v>
      </c>
      <c r="AB947" s="80">
        <v>0</v>
      </c>
      <c r="AC947" s="80">
        <v>0</v>
      </c>
      <c r="AD947" s="80">
        <v>0</v>
      </c>
      <c r="AE947" s="80">
        <v>0</v>
      </c>
      <c r="AF947" s="80">
        <v>0</v>
      </c>
      <c r="AG947" s="81">
        <v>0</v>
      </c>
      <c r="AH947" s="80">
        <v>0</v>
      </c>
      <c r="AI947" s="81">
        <v>0</v>
      </c>
      <c r="AJ947" s="81">
        <v>0</v>
      </c>
      <c r="AK947" s="81">
        <v>0</v>
      </c>
      <c r="AL947" s="81">
        <v>0</v>
      </c>
      <c r="AM947" s="81">
        <v>0</v>
      </c>
      <c r="AN947" s="81">
        <v>0</v>
      </c>
      <c r="AO947" s="81">
        <v>0</v>
      </c>
    </row>
    <row r="948" spans="1:41" ht="15.75" x14ac:dyDescent="0.25">
      <c r="A948" s="84"/>
      <c r="B948" s="84"/>
      <c r="C948" s="84"/>
      <c r="D948" s="80" t="s">
        <v>248</v>
      </c>
      <c r="E948" s="80">
        <v>0</v>
      </c>
      <c r="F948" s="80">
        <v>0</v>
      </c>
      <c r="G948" s="80">
        <v>0</v>
      </c>
      <c r="H948" s="80">
        <v>0</v>
      </c>
      <c r="I948" s="80">
        <v>1</v>
      </c>
      <c r="J948" s="80">
        <v>1</v>
      </c>
      <c r="K948" s="80">
        <v>0</v>
      </c>
      <c r="L948" s="80">
        <v>0</v>
      </c>
      <c r="M948" s="80">
        <v>0</v>
      </c>
      <c r="N948" s="80">
        <v>0</v>
      </c>
      <c r="O948" s="80">
        <v>1</v>
      </c>
      <c r="P948" s="80">
        <v>0</v>
      </c>
      <c r="Q948" s="80">
        <v>1</v>
      </c>
      <c r="R948" s="80">
        <v>0</v>
      </c>
      <c r="S948" s="80">
        <v>0</v>
      </c>
      <c r="T948" s="80">
        <v>0</v>
      </c>
      <c r="U948" s="80">
        <v>2</v>
      </c>
      <c r="V948" s="80">
        <v>1</v>
      </c>
      <c r="W948" s="80">
        <v>0</v>
      </c>
      <c r="X948" s="80">
        <v>0</v>
      </c>
      <c r="Y948" s="80">
        <v>0</v>
      </c>
      <c r="Z948" s="80">
        <v>1</v>
      </c>
      <c r="AA948" s="80">
        <v>1</v>
      </c>
      <c r="AB948" s="80">
        <v>2</v>
      </c>
      <c r="AC948" s="80">
        <v>0</v>
      </c>
      <c r="AD948" s="80">
        <v>0</v>
      </c>
      <c r="AE948" s="80">
        <v>0</v>
      </c>
      <c r="AF948" s="80">
        <v>0</v>
      </c>
      <c r="AG948" s="81">
        <v>1</v>
      </c>
      <c r="AH948" s="80">
        <v>0</v>
      </c>
      <c r="AI948" s="81">
        <v>0</v>
      </c>
      <c r="AJ948" s="81">
        <v>0</v>
      </c>
      <c r="AK948" s="81">
        <v>0</v>
      </c>
      <c r="AL948" s="81">
        <v>0</v>
      </c>
      <c r="AM948" s="81">
        <v>0</v>
      </c>
      <c r="AN948" s="81">
        <v>0</v>
      </c>
      <c r="AO948" s="81">
        <v>0</v>
      </c>
    </row>
    <row r="949" spans="1:41" ht="15.75" x14ac:dyDescent="0.25">
      <c r="A949" s="84"/>
      <c r="B949" s="84"/>
      <c r="C949" s="84"/>
      <c r="D949" s="80" t="s">
        <v>258</v>
      </c>
      <c r="E949" s="80">
        <v>0</v>
      </c>
      <c r="F949" s="80">
        <v>0</v>
      </c>
      <c r="G949" s="80">
        <v>0</v>
      </c>
      <c r="H949" s="80">
        <v>0</v>
      </c>
      <c r="I949" s="80">
        <v>0</v>
      </c>
      <c r="J949" s="80">
        <v>0</v>
      </c>
      <c r="K949" s="80">
        <v>0</v>
      </c>
      <c r="L949" s="80">
        <v>0</v>
      </c>
      <c r="M949" s="80">
        <v>0</v>
      </c>
      <c r="N949" s="80">
        <v>0</v>
      </c>
      <c r="O949" s="80">
        <v>0</v>
      </c>
      <c r="P949" s="80">
        <v>0</v>
      </c>
      <c r="Q949" s="80">
        <v>0</v>
      </c>
      <c r="R949" s="80">
        <v>0</v>
      </c>
      <c r="S949" s="80">
        <v>0</v>
      </c>
      <c r="T949" s="80">
        <v>0</v>
      </c>
      <c r="U949" s="80">
        <v>0</v>
      </c>
      <c r="V949" s="80">
        <v>1</v>
      </c>
      <c r="W949" s="80">
        <v>1</v>
      </c>
      <c r="X949" s="80">
        <v>0</v>
      </c>
      <c r="Y949" s="80">
        <v>0</v>
      </c>
      <c r="Z949" s="80">
        <v>1</v>
      </c>
      <c r="AA949" s="80">
        <v>0</v>
      </c>
      <c r="AB949" s="80">
        <v>0</v>
      </c>
      <c r="AC949" s="80">
        <v>0</v>
      </c>
      <c r="AD949" s="80">
        <v>0</v>
      </c>
      <c r="AE949" s="80">
        <v>0</v>
      </c>
      <c r="AF949" s="80">
        <v>0</v>
      </c>
      <c r="AG949" s="80">
        <v>0</v>
      </c>
      <c r="AH949" s="80">
        <v>0</v>
      </c>
      <c r="AI949" s="80">
        <v>0</v>
      </c>
      <c r="AJ949" s="80">
        <v>0</v>
      </c>
      <c r="AK949" s="80">
        <v>0</v>
      </c>
      <c r="AL949" s="80">
        <v>0</v>
      </c>
      <c r="AM949" s="81">
        <v>0</v>
      </c>
      <c r="AN949" s="81">
        <v>0</v>
      </c>
      <c r="AO949" s="81">
        <v>0</v>
      </c>
    </row>
    <row r="950" spans="1:41" ht="15.75" x14ac:dyDescent="0.25">
      <c r="A950" s="84">
        <v>20</v>
      </c>
      <c r="B950" s="84"/>
      <c r="C950" s="84" t="s">
        <v>188</v>
      </c>
      <c r="D950" s="80" t="s">
        <v>245</v>
      </c>
      <c r="E950" s="80">
        <v>0</v>
      </c>
      <c r="F950" s="80">
        <v>0</v>
      </c>
      <c r="G950" s="80">
        <v>0</v>
      </c>
      <c r="H950" s="80">
        <v>1</v>
      </c>
      <c r="I950" s="80">
        <v>2</v>
      </c>
      <c r="J950" s="80">
        <v>1</v>
      </c>
      <c r="K950" s="80">
        <v>1</v>
      </c>
      <c r="L950" s="80">
        <v>0</v>
      </c>
      <c r="M950" s="80">
        <v>0</v>
      </c>
      <c r="N950" s="80">
        <v>0</v>
      </c>
      <c r="O950" s="80">
        <v>1</v>
      </c>
      <c r="P950" s="80">
        <v>0</v>
      </c>
      <c r="Q950" s="80">
        <v>1</v>
      </c>
      <c r="R950" s="80">
        <v>0</v>
      </c>
      <c r="S950" s="80">
        <v>0</v>
      </c>
      <c r="T950" s="80">
        <v>0</v>
      </c>
      <c r="U950" s="80">
        <v>2</v>
      </c>
      <c r="V950" s="80">
        <v>0</v>
      </c>
      <c r="W950" s="80">
        <v>1</v>
      </c>
      <c r="X950" s="80">
        <v>0</v>
      </c>
      <c r="Y950" s="80">
        <v>0</v>
      </c>
      <c r="Z950" s="80">
        <v>0</v>
      </c>
      <c r="AA950" s="80">
        <v>1</v>
      </c>
      <c r="AB950" s="80">
        <v>0</v>
      </c>
      <c r="AC950" s="80">
        <v>0</v>
      </c>
      <c r="AD950" s="80">
        <v>0</v>
      </c>
      <c r="AE950" s="80">
        <v>1</v>
      </c>
      <c r="AF950" s="80">
        <v>0</v>
      </c>
      <c r="AG950" s="81">
        <v>0</v>
      </c>
      <c r="AH950" s="80">
        <v>1</v>
      </c>
      <c r="AI950" s="81">
        <v>0</v>
      </c>
      <c r="AJ950" s="81">
        <v>0</v>
      </c>
      <c r="AK950" s="81">
        <v>0</v>
      </c>
      <c r="AL950" s="81">
        <v>0</v>
      </c>
      <c r="AM950" s="81">
        <v>0</v>
      </c>
      <c r="AN950" s="81">
        <v>0</v>
      </c>
      <c r="AO950" s="81">
        <v>0</v>
      </c>
    </row>
    <row r="951" spans="1:41" ht="15.75" x14ac:dyDescent="0.25">
      <c r="A951" s="84"/>
      <c r="B951" s="84"/>
      <c r="C951" s="84"/>
      <c r="D951" s="80" t="s">
        <v>246</v>
      </c>
      <c r="E951" s="80">
        <v>0</v>
      </c>
      <c r="F951" s="80">
        <v>0</v>
      </c>
      <c r="G951" s="80">
        <v>0</v>
      </c>
      <c r="H951" s="80">
        <v>1</v>
      </c>
      <c r="I951" s="80">
        <v>2</v>
      </c>
      <c r="J951" s="80">
        <v>1</v>
      </c>
      <c r="K951" s="80">
        <v>1</v>
      </c>
      <c r="L951" s="80">
        <v>0</v>
      </c>
      <c r="M951" s="80">
        <v>0</v>
      </c>
      <c r="N951" s="80">
        <v>0</v>
      </c>
      <c r="O951" s="80">
        <v>1</v>
      </c>
      <c r="P951" s="80">
        <v>0</v>
      </c>
      <c r="Q951" s="80">
        <v>1</v>
      </c>
      <c r="R951" s="80">
        <v>0</v>
      </c>
      <c r="S951" s="80">
        <v>0</v>
      </c>
      <c r="T951" s="80">
        <v>0</v>
      </c>
      <c r="U951" s="80">
        <v>2</v>
      </c>
      <c r="V951" s="80">
        <v>0</v>
      </c>
      <c r="W951" s="80">
        <v>1</v>
      </c>
      <c r="X951" s="80">
        <v>0</v>
      </c>
      <c r="Y951" s="80">
        <v>0</v>
      </c>
      <c r="Z951" s="80">
        <v>0</v>
      </c>
      <c r="AA951" s="80">
        <v>1</v>
      </c>
      <c r="AB951" s="80">
        <v>0</v>
      </c>
      <c r="AC951" s="80">
        <v>0</v>
      </c>
      <c r="AD951" s="80">
        <v>0</v>
      </c>
      <c r="AE951" s="80">
        <v>1</v>
      </c>
      <c r="AF951" s="80">
        <v>0</v>
      </c>
      <c r="AG951" s="81">
        <v>0</v>
      </c>
      <c r="AH951" s="80">
        <v>1</v>
      </c>
      <c r="AI951" s="81">
        <v>0</v>
      </c>
      <c r="AJ951" s="81">
        <v>0</v>
      </c>
      <c r="AK951" s="81">
        <v>0</v>
      </c>
      <c r="AL951" s="81">
        <v>0</v>
      </c>
      <c r="AM951" s="81">
        <v>0</v>
      </c>
      <c r="AN951" s="81">
        <v>0</v>
      </c>
      <c r="AO951" s="81">
        <v>0</v>
      </c>
    </row>
    <row r="952" spans="1:41" ht="15.75" x14ac:dyDescent="0.25">
      <c r="A952" s="84"/>
      <c r="B952" s="84"/>
      <c r="C952" s="84"/>
      <c r="D952" s="80" t="s">
        <v>247</v>
      </c>
      <c r="E952" s="80">
        <v>0</v>
      </c>
      <c r="F952" s="80">
        <v>0</v>
      </c>
      <c r="G952" s="80">
        <v>0</v>
      </c>
      <c r="H952" s="80">
        <v>0</v>
      </c>
      <c r="I952" s="80">
        <v>0</v>
      </c>
      <c r="J952" s="80">
        <v>0</v>
      </c>
      <c r="K952" s="80">
        <v>0</v>
      </c>
      <c r="L952" s="80">
        <v>0</v>
      </c>
      <c r="M952" s="80">
        <v>0</v>
      </c>
      <c r="N952" s="80">
        <v>0</v>
      </c>
      <c r="O952" s="80">
        <v>0</v>
      </c>
      <c r="P952" s="80">
        <v>0</v>
      </c>
      <c r="Q952" s="80">
        <v>0</v>
      </c>
      <c r="R952" s="80">
        <v>0</v>
      </c>
      <c r="S952" s="80">
        <v>0</v>
      </c>
      <c r="T952" s="80">
        <v>0</v>
      </c>
      <c r="U952" s="80">
        <v>0</v>
      </c>
      <c r="V952" s="80">
        <v>0</v>
      </c>
      <c r="W952" s="80">
        <v>0</v>
      </c>
      <c r="X952" s="80">
        <v>0</v>
      </c>
      <c r="Y952" s="80">
        <v>0</v>
      </c>
      <c r="Z952" s="80">
        <v>0</v>
      </c>
      <c r="AA952" s="80">
        <v>0</v>
      </c>
      <c r="AB952" s="80">
        <v>0</v>
      </c>
      <c r="AC952" s="80">
        <v>0</v>
      </c>
      <c r="AD952" s="80">
        <v>0</v>
      </c>
      <c r="AE952" s="80">
        <v>0</v>
      </c>
      <c r="AF952" s="80">
        <v>0</v>
      </c>
      <c r="AG952" s="81">
        <v>0</v>
      </c>
      <c r="AH952" s="80">
        <v>0</v>
      </c>
      <c r="AI952" s="81">
        <v>0</v>
      </c>
      <c r="AJ952" s="81">
        <v>0</v>
      </c>
      <c r="AK952" s="81">
        <v>0</v>
      </c>
      <c r="AL952" s="81">
        <v>0</v>
      </c>
      <c r="AM952" s="81">
        <v>0</v>
      </c>
      <c r="AN952" s="81">
        <v>0</v>
      </c>
      <c r="AO952" s="81">
        <v>0</v>
      </c>
    </row>
    <row r="953" spans="1:41" ht="15.75" x14ac:dyDescent="0.25">
      <c r="A953" s="84"/>
      <c r="B953" s="84"/>
      <c r="C953" s="84"/>
      <c r="D953" s="80" t="s">
        <v>248</v>
      </c>
      <c r="E953" s="80">
        <v>0</v>
      </c>
      <c r="F953" s="80">
        <v>0</v>
      </c>
      <c r="G953" s="80">
        <v>0</v>
      </c>
      <c r="H953" s="80">
        <v>1</v>
      </c>
      <c r="I953" s="80">
        <v>2</v>
      </c>
      <c r="J953" s="80">
        <v>1</v>
      </c>
      <c r="K953" s="80">
        <v>1</v>
      </c>
      <c r="L953" s="80">
        <v>0</v>
      </c>
      <c r="M953" s="80">
        <v>0</v>
      </c>
      <c r="N953" s="80">
        <v>0</v>
      </c>
      <c r="O953" s="80">
        <v>1</v>
      </c>
      <c r="P953" s="80">
        <v>0</v>
      </c>
      <c r="Q953" s="80">
        <v>1</v>
      </c>
      <c r="R953" s="80">
        <v>0</v>
      </c>
      <c r="S953" s="80">
        <v>0</v>
      </c>
      <c r="T953" s="80">
        <v>0</v>
      </c>
      <c r="U953" s="80">
        <v>2</v>
      </c>
      <c r="V953" s="80">
        <v>0</v>
      </c>
      <c r="W953" s="80">
        <v>0</v>
      </c>
      <c r="X953" s="80">
        <v>0</v>
      </c>
      <c r="Y953" s="80">
        <v>0</v>
      </c>
      <c r="Z953" s="80">
        <v>0</v>
      </c>
      <c r="AA953" s="80">
        <v>0</v>
      </c>
      <c r="AB953" s="80">
        <v>0</v>
      </c>
      <c r="AC953" s="80">
        <v>0</v>
      </c>
      <c r="AD953" s="80">
        <v>0</v>
      </c>
      <c r="AE953" s="80">
        <v>1</v>
      </c>
      <c r="AF953" s="80">
        <v>0</v>
      </c>
      <c r="AG953" s="81">
        <v>0</v>
      </c>
      <c r="AH953" s="80">
        <v>1</v>
      </c>
      <c r="AI953" s="81">
        <v>0</v>
      </c>
      <c r="AJ953" s="81">
        <v>0</v>
      </c>
      <c r="AK953" s="81">
        <v>0</v>
      </c>
      <c r="AL953" s="81">
        <v>0</v>
      </c>
      <c r="AM953" s="81">
        <v>0</v>
      </c>
      <c r="AN953" s="81">
        <v>0</v>
      </c>
      <c r="AO953" s="81">
        <v>0</v>
      </c>
    </row>
    <row r="954" spans="1:41" ht="15.75" x14ac:dyDescent="0.25">
      <c r="A954" s="84"/>
      <c r="B954" s="84"/>
      <c r="C954" s="84"/>
      <c r="D954" s="80" t="s">
        <v>258</v>
      </c>
      <c r="E954" s="80">
        <v>0</v>
      </c>
      <c r="F954" s="80">
        <v>0</v>
      </c>
      <c r="G954" s="80">
        <v>0</v>
      </c>
      <c r="H954" s="80">
        <v>0</v>
      </c>
      <c r="I954" s="80">
        <v>0</v>
      </c>
      <c r="J954" s="80">
        <v>0</v>
      </c>
      <c r="K954" s="80">
        <v>0</v>
      </c>
      <c r="L954" s="80">
        <v>0</v>
      </c>
      <c r="M954" s="80">
        <v>0</v>
      </c>
      <c r="N954" s="80">
        <v>0</v>
      </c>
      <c r="O954" s="80">
        <v>0</v>
      </c>
      <c r="P954" s="80">
        <v>0</v>
      </c>
      <c r="Q954" s="80">
        <v>0</v>
      </c>
      <c r="R954" s="80">
        <v>0</v>
      </c>
      <c r="S954" s="80">
        <v>0</v>
      </c>
      <c r="T954" s="80">
        <v>0</v>
      </c>
      <c r="U954" s="80">
        <v>0</v>
      </c>
      <c r="V954" s="80">
        <v>0</v>
      </c>
      <c r="W954" s="80">
        <v>1</v>
      </c>
      <c r="X954" s="80">
        <v>0</v>
      </c>
      <c r="Y954" s="80">
        <v>0</v>
      </c>
      <c r="Z954" s="80">
        <v>0</v>
      </c>
      <c r="AA954" s="80">
        <v>1</v>
      </c>
      <c r="AB954" s="80">
        <v>0</v>
      </c>
      <c r="AC954" s="80">
        <v>0</v>
      </c>
      <c r="AD954" s="80">
        <v>0</v>
      </c>
      <c r="AE954" s="80">
        <v>0</v>
      </c>
      <c r="AF954" s="80">
        <v>0</v>
      </c>
      <c r="AG954" s="80">
        <v>0</v>
      </c>
      <c r="AH954" s="80">
        <v>0</v>
      </c>
      <c r="AI954" s="80">
        <v>0</v>
      </c>
      <c r="AJ954" s="80">
        <v>0</v>
      </c>
      <c r="AK954" s="80">
        <v>0</v>
      </c>
      <c r="AL954" s="80">
        <v>0</v>
      </c>
      <c r="AM954" s="81">
        <v>0</v>
      </c>
      <c r="AN954" s="81">
        <v>0</v>
      </c>
      <c r="AO954" s="81">
        <v>0</v>
      </c>
    </row>
    <row r="955" spans="1:41" ht="15.75" x14ac:dyDescent="0.25">
      <c r="A955" s="84">
        <v>21</v>
      </c>
      <c r="B955" s="84"/>
      <c r="C955" s="84" t="s">
        <v>252</v>
      </c>
      <c r="D955" s="80" t="s">
        <v>245</v>
      </c>
      <c r="E955" s="80">
        <v>0</v>
      </c>
      <c r="F955" s="80">
        <v>0</v>
      </c>
      <c r="G955" s="80">
        <v>0</v>
      </c>
      <c r="H955" s="80">
        <v>2</v>
      </c>
      <c r="I955" s="80">
        <v>1</v>
      </c>
      <c r="J955" s="80">
        <v>0</v>
      </c>
      <c r="K955" s="80">
        <v>1</v>
      </c>
      <c r="L955" s="80">
        <v>0</v>
      </c>
      <c r="M955" s="80">
        <v>1</v>
      </c>
      <c r="N955" s="80">
        <v>1</v>
      </c>
      <c r="O955" s="80">
        <v>1</v>
      </c>
      <c r="P955" s="80">
        <v>0</v>
      </c>
      <c r="Q955" s="80">
        <v>1</v>
      </c>
      <c r="R955" s="80">
        <v>1</v>
      </c>
      <c r="S955" s="80">
        <v>0</v>
      </c>
      <c r="T955" s="80">
        <v>0</v>
      </c>
      <c r="U955" s="80">
        <v>2</v>
      </c>
      <c r="V955" s="80">
        <v>1</v>
      </c>
      <c r="W955" s="80">
        <v>1</v>
      </c>
      <c r="X955" s="80">
        <v>1</v>
      </c>
      <c r="Y955" s="80">
        <v>0</v>
      </c>
      <c r="Z955" s="80">
        <v>0</v>
      </c>
      <c r="AA955" s="80">
        <v>0</v>
      </c>
      <c r="AB955" s="80">
        <v>0</v>
      </c>
      <c r="AC955" s="80">
        <v>0</v>
      </c>
      <c r="AD955" s="80">
        <v>0</v>
      </c>
      <c r="AE955" s="80">
        <v>0</v>
      </c>
      <c r="AF955" s="80">
        <v>0</v>
      </c>
      <c r="AG955" s="81">
        <v>1</v>
      </c>
      <c r="AH955" s="80">
        <v>0</v>
      </c>
      <c r="AI955" s="81">
        <v>0</v>
      </c>
      <c r="AJ955" s="81">
        <v>0</v>
      </c>
      <c r="AK955" s="81">
        <v>0</v>
      </c>
      <c r="AL955" s="81">
        <v>0</v>
      </c>
      <c r="AM955" s="81">
        <v>0</v>
      </c>
      <c r="AN955" s="81">
        <v>0</v>
      </c>
      <c r="AO955" s="81">
        <v>0</v>
      </c>
    </row>
    <row r="956" spans="1:41" ht="15.75" x14ac:dyDescent="0.25">
      <c r="A956" s="84"/>
      <c r="B956" s="84"/>
      <c r="C956" s="84"/>
      <c r="D956" s="80" t="s">
        <v>246</v>
      </c>
      <c r="E956" s="80">
        <v>0</v>
      </c>
      <c r="F956" s="80">
        <v>0</v>
      </c>
      <c r="G956" s="80">
        <v>0</v>
      </c>
      <c r="H956" s="80">
        <v>2</v>
      </c>
      <c r="I956" s="80">
        <v>1</v>
      </c>
      <c r="J956" s="80">
        <v>0</v>
      </c>
      <c r="K956" s="80">
        <v>1</v>
      </c>
      <c r="L956" s="80">
        <v>0</v>
      </c>
      <c r="M956" s="80">
        <v>1</v>
      </c>
      <c r="N956" s="80">
        <v>1</v>
      </c>
      <c r="O956" s="80">
        <v>1</v>
      </c>
      <c r="P956" s="80">
        <v>0</v>
      </c>
      <c r="Q956" s="80">
        <v>1</v>
      </c>
      <c r="R956" s="80">
        <v>1</v>
      </c>
      <c r="S956" s="80">
        <v>0</v>
      </c>
      <c r="T956" s="80">
        <v>0</v>
      </c>
      <c r="U956" s="80">
        <v>2</v>
      </c>
      <c r="V956" s="80">
        <v>1</v>
      </c>
      <c r="W956" s="80">
        <v>1</v>
      </c>
      <c r="X956" s="80">
        <v>1</v>
      </c>
      <c r="Y956" s="80">
        <v>0</v>
      </c>
      <c r="Z956" s="80">
        <v>0</v>
      </c>
      <c r="AA956" s="80">
        <v>0</v>
      </c>
      <c r="AB956" s="80">
        <v>0</v>
      </c>
      <c r="AC956" s="80">
        <v>0</v>
      </c>
      <c r="AD956" s="80">
        <v>0</v>
      </c>
      <c r="AE956" s="80">
        <v>0</v>
      </c>
      <c r="AF956" s="80">
        <v>0</v>
      </c>
      <c r="AG956" s="81">
        <v>1</v>
      </c>
      <c r="AH956" s="80">
        <v>0</v>
      </c>
      <c r="AI956" s="81">
        <v>0</v>
      </c>
      <c r="AJ956" s="81">
        <v>0</v>
      </c>
      <c r="AK956" s="81">
        <v>0</v>
      </c>
      <c r="AL956" s="81">
        <v>0</v>
      </c>
      <c r="AM956" s="81">
        <v>0</v>
      </c>
      <c r="AN956" s="81">
        <v>0</v>
      </c>
      <c r="AO956" s="81">
        <v>0</v>
      </c>
    </row>
    <row r="957" spans="1:41" ht="15.75" x14ac:dyDescent="0.25">
      <c r="A957" s="84"/>
      <c r="B957" s="84"/>
      <c r="C957" s="84"/>
      <c r="D957" s="80" t="s">
        <v>247</v>
      </c>
      <c r="E957" s="80">
        <v>0</v>
      </c>
      <c r="F957" s="80">
        <v>0</v>
      </c>
      <c r="G957" s="80">
        <v>0</v>
      </c>
      <c r="H957" s="80">
        <v>0</v>
      </c>
      <c r="I957" s="80">
        <v>0</v>
      </c>
      <c r="J957" s="80">
        <v>0</v>
      </c>
      <c r="K957" s="80">
        <v>0</v>
      </c>
      <c r="L957" s="80">
        <v>1</v>
      </c>
      <c r="M957" s="80">
        <v>0</v>
      </c>
      <c r="N957" s="80">
        <v>0</v>
      </c>
      <c r="O957" s="80">
        <v>0</v>
      </c>
      <c r="P957" s="80">
        <v>0</v>
      </c>
      <c r="Q957" s="80">
        <v>0</v>
      </c>
      <c r="R957" s="80">
        <v>0</v>
      </c>
      <c r="S957" s="80">
        <v>1</v>
      </c>
      <c r="T957" s="80">
        <v>1</v>
      </c>
      <c r="U957" s="80">
        <v>0</v>
      </c>
      <c r="V957" s="80">
        <v>0</v>
      </c>
      <c r="W957" s="80">
        <v>0</v>
      </c>
      <c r="X957" s="80">
        <v>0</v>
      </c>
      <c r="Y957" s="80">
        <v>0</v>
      </c>
      <c r="Z957" s="80">
        <v>0</v>
      </c>
      <c r="AA957" s="80">
        <v>0</v>
      </c>
      <c r="AB957" s="80">
        <v>0</v>
      </c>
      <c r="AC957" s="80">
        <v>0</v>
      </c>
      <c r="AD957" s="80">
        <v>0</v>
      </c>
      <c r="AE957" s="80">
        <v>0</v>
      </c>
      <c r="AF957" s="80">
        <v>0</v>
      </c>
      <c r="AG957" s="81">
        <v>0</v>
      </c>
      <c r="AH957" s="80">
        <v>0</v>
      </c>
      <c r="AI957" s="80">
        <v>0</v>
      </c>
      <c r="AJ957" s="80">
        <v>0</v>
      </c>
      <c r="AK957" s="80">
        <v>0</v>
      </c>
      <c r="AL957" s="81">
        <v>0</v>
      </c>
      <c r="AM957" s="81">
        <v>0</v>
      </c>
      <c r="AN957" s="81">
        <v>0</v>
      </c>
      <c r="AO957" s="81">
        <v>0</v>
      </c>
    </row>
    <row r="958" spans="1:41" ht="15.75" x14ac:dyDescent="0.25">
      <c r="A958" s="84"/>
      <c r="B958" s="84"/>
      <c r="C958" s="84"/>
      <c r="D958" s="80" t="s">
        <v>248</v>
      </c>
      <c r="E958" s="80">
        <v>0</v>
      </c>
      <c r="F958" s="80">
        <v>0</v>
      </c>
      <c r="G958" s="80">
        <v>0</v>
      </c>
      <c r="H958" s="80">
        <v>2</v>
      </c>
      <c r="I958" s="80">
        <v>1</v>
      </c>
      <c r="J958" s="80">
        <v>0</v>
      </c>
      <c r="K958" s="80">
        <v>1</v>
      </c>
      <c r="L958" s="80">
        <v>0</v>
      </c>
      <c r="M958" s="80">
        <v>1</v>
      </c>
      <c r="N958" s="80">
        <v>1</v>
      </c>
      <c r="O958" s="80">
        <v>1</v>
      </c>
      <c r="P958" s="80">
        <v>0</v>
      </c>
      <c r="Q958" s="80">
        <v>0</v>
      </c>
      <c r="R958" s="80">
        <v>1</v>
      </c>
      <c r="S958" s="80">
        <v>0</v>
      </c>
      <c r="T958" s="80">
        <v>0</v>
      </c>
      <c r="U958" s="80">
        <v>2</v>
      </c>
      <c r="V958" s="80">
        <v>1</v>
      </c>
      <c r="W958" s="80">
        <v>1</v>
      </c>
      <c r="X958" s="80">
        <v>1</v>
      </c>
      <c r="Y958" s="80">
        <v>0</v>
      </c>
      <c r="Z958" s="80">
        <v>0</v>
      </c>
      <c r="AA958" s="80">
        <v>0</v>
      </c>
      <c r="AB958" s="80">
        <v>0</v>
      </c>
      <c r="AC958" s="80">
        <v>0</v>
      </c>
      <c r="AD958" s="80">
        <v>0</v>
      </c>
      <c r="AE958" s="80">
        <v>0</v>
      </c>
      <c r="AF958" s="80">
        <v>0</v>
      </c>
      <c r="AG958" s="80">
        <v>1</v>
      </c>
      <c r="AH958" s="80">
        <v>0</v>
      </c>
      <c r="AI958" s="80">
        <v>0</v>
      </c>
      <c r="AJ958" s="80">
        <v>0</v>
      </c>
      <c r="AK958" s="80">
        <v>0</v>
      </c>
      <c r="AL958" s="80">
        <v>0</v>
      </c>
      <c r="AM958" s="81">
        <v>0</v>
      </c>
      <c r="AN958" s="81">
        <v>0</v>
      </c>
      <c r="AO958" s="81">
        <v>0</v>
      </c>
    </row>
    <row r="959" spans="1:41" ht="15.75" x14ac:dyDescent="0.25">
      <c r="A959" s="84"/>
      <c r="B959" s="84"/>
      <c r="C959" s="84"/>
      <c r="D959" s="80" t="s">
        <v>258</v>
      </c>
      <c r="E959" s="80">
        <v>0</v>
      </c>
      <c r="F959" s="80">
        <v>0</v>
      </c>
      <c r="G959" s="80">
        <v>0</v>
      </c>
      <c r="H959" s="80">
        <v>0</v>
      </c>
      <c r="I959" s="80">
        <v>0</v>
      </c>
      <c r="J959" s="80">
        <v>0</v>
      </c>
      <c r="K959" s="80">
        <v>0</v>
      </c>
      <c r="L959" s="80">
        <v>0</v>
      </c>
      <c r="M959" s="80">
        <v>0</v>
      </c>
      <c r="N959" s="80">
        <v>0</v>
      </c>
      <c r="O959" s="80">
        <v>0</v>
      </c>
      <c r="P959" s="80">
        <v>0</v>
      </c>
      <c r="Q959" s="80">
        <v>1</v>
      </c>
      <c r="R959" s="80">
        <v>0</v>
      </c>
      <c r="S959" s="80">
        <v>0</v>
      </c>
      <c r="T959" s="80">
        <v>0</v>
      </c>
      <c r="U959" s="80">
        <v>0</v>
      </c>
      <c r="V959" s="80">
        <v>0</v>
      </c>
      <c r="W959" s="80">
        <v>0</v>
      </c>
      <c r="X959" s="80">
        <v>0</v>
      </c>
      <c r="Y959" s="80">
        <v>0</v>
      </c>
      <c r="Z959" s="80">
        <v>0</v>
      </c>
      <c r="AA959" s="80">
        <v>0</v>
      </c>
      <c r="AB959" s="80">
        <v>0</v>
      </c>
      <c r="AC959" s="80">
        <v>0</v>
      </c>
      <c r="AD959" s="80">
        <v>0</v>
      </c>
      <c r="AE959" s="80">
        <v>0</v>
      </c>
      <c r="AF959" s="80">
        <v>0</v>
      </c>
      <c r="AG959" s="81">
        <v>0</v>
      </c>
      <c r="AH959" s="80">
        <v>0</v>
      </c>
      <c r="AI959" s="81">
        <v>0</v>
      </c>
      <c r="AJ959" s="81">
        <v>0</v>
      </c>
      <c r="AK959" s="81">
        <v>0</v>
      </c>
      <c r="AL959" s="81">
        <v>0</v>
      </c>
      <c r="AM959" s="81">
        <v>0</v>
      </c>
      <c r="AN959" s="81">
        <v>0</v>
      </c>
      <c r="AO959" s="81">
        <v>0</v>
      </c>
    </row>
    <row r="960" spans="1:41" ht="15.75" x14ac:dyDescent="0.25">
      <c r="A960" s="84">
        <v>22</v>
      </c>
      <c r="B960" s="84"/>
      <c r="C960" s="84" t="s">
        <v>187</v>
      </c>
      <c r="D960" s="80" t="s">
        <v>245</v>
      </c>
      <c r="E960" s="80">
        <v>0</v>
      </c>
      <c r="F960" s="80">
        <v>0</v>
      </c>
      <c r="G960" s="80">
        <v>0</v>
      </c>
      <c r="H960" s="80">
        <v>1</v>
      </c>
      <c r="I960" s="80">
        <v>0</v>
      </c>
      <c r="J960" s="80">
        <v>0</v>
      </c>
      <c r="K960" s="80">
        <v>0</v>
      </c>
      <c r="L960" s="80">
        <v>0</v>
      </c>
      <c r="M960" s="80">
        <v>0</v>
      </c>
      <c r="N960" s="80">
        <v>0</v>
      </c>
      <c r="O960" s="80">
        <v>0</v>
      </c>
      <c r="P960" s="80">
        <v>0</v>
      </c>
      <c r="Q960" s="80">
        <v>0</v>
      </c>
      <c r="R960" s="80">
        <v>0</v>
      </c>
      <c r="S960" s="80">
        <v>0</v>
      </c>
      <c r="T960" s="80">
        <v>0</v>
      </c>
      <c r="U960" s="80">
        <v>0</v>
      </c>
      <c r="V960" s="80">
        <v>0</v>
      </c>
      <c r="W960" s="80">
        <v>0</v>
      </c>
      <c r="X960" s="80">
        <v>0</v>
      </c>
      <c r="Y960" s="80">
        <v>0</v>
      </c>
      <c r="Z960" s="80">
        <v>0</v>
      </c>
      <c r="AA960" s="80">
        <v>0</v>
      </c>
      <c r="AB960" s="80">
        <v>0</v>
      </c>
      <c r="AC960" s="80">
        <v>0</v>
      </c>
      <c r="AD960" s="80">
        <v>0</v>
      </c>
      <c r="AE960" s="80">
        <v>0</v>
      </c>
      <c r="AF960" s="80">
        <v>0</v>
      </c>
      <c r="AG960" s="80">
        <v>0</v>
      </c>
      <c r="AH960" s="80">
        <v>0</v>
      </c>
      <c r="AI960" s="80">
        <v>0</v>
      </c>
      <c r="AJ960" s="80">
        <v>0</v>
      </c>
      <c r="AK960" s="80">
        <v>0</v>
      </c>
      <c r="AL960" s="80">
        <v>0</v>
      </c>
      <c r="AM960" s="81">
        <v>0</v>
      </c>
      <c r="AN960" s="81">
        <v>0</v>
      </c>
      <c r="AO960" s="81">
        <v>0</v>
      </c>
    </row>
    <row r="961" spans="1:41" ht="15.75" x14ac:dyDescent="0.25">
      <c r="A961" s="84"/>
      <c r="B961" s="84"/>
      <c r="C961" s="84"/>
      <c r="D961" s="80" t="s">
        <v>246</v>
      </c>
      <c r="E961" s="80">
        <v>0</v>
      </c>
      <c r="F961" s="80">
        <v>0</v>
      </c>
      <c r="G961" s="80">
        <v>0</v>
      </c>
      <c r="H961" s="80">
        <v>1</v>
      </c>
      <c r="I961" s="80">
        <v>0</v>
      </c>
      <c r="J961" s="80">
        <v>0</v>
      </c>
      <c r="K961" s="80">
        <v>0</v>
      </c>
      <c r="L961" s="80">
        <v>0</v>
      </c>
      <c r="M961" s="80">
        <v>0</v>
      </c>
      <c r="N961" s="80">
        <v>0</v>
      </c>
      <c r="O961" s="80">
        <v>0</v>
      </c>
      <c r="P961" s="80">
        <v>0</v>
      </c>
      <c r="Q961" s="80">
        <v>0</v>
      </c>
      <c r="R961" s="80">
        <v>0</v>
      </c>
      <c r="S961" s="80">
        <v>0</v>
      </c>
      <c r="T961" s="80">
        <v>0</v>
      </c>
      <c r="U961" s="80">
        <v>0</v>
      </c>
      <c r="V961" s="80">
        <v>0</v>
      </c>
      <c r="W961" s="80">
        <v>0</v>
      </c>
      <c r="X961" s="80">
        <v>0</v>
      </c>
      <c r="Y961" s="80">
        <v>0</v>
      </c>
      <c r="Z961" s="80">
        <v>0</v>
      </c>
      <c r="AA961" s="80">
        <v>0</v>
      </c>
      <c r="AB961" s="80">
        <v>0</v>
      </c>
      <c r="AC961" s="80">
        <v>0</v>
      </c>
      <c r="AD961" s="80">
        <v>0</v>
      </c>
      <c r="AE961" s="80">
        <v>0</v>
      </c>
      <c r="AF961" s="80">
        <v>0</v>
      </c>
      <c r="AG961" s="80">
        <v>0</v>
      </c>
      <c r="AH961" s="80">
        <v>0</v>
      </c>
      <c r="AI961" s="80">
        <v>0</v>
      </c>
      <c r="AJ961" s="80">
        <v>0</v>
      </c>
      <c r="AK961" s="80">
        <v>0</v>
      </c>
      <c r="AL961" s="80">
        <v>0</v>
      </c>
      <c r="AM961" s="81">
        <v>0</v>
      </c>
      <c r="AN961" s="81">
        <v>0</v>
      </c>
      <c r="AO961" s="81">
        <v>0</v>
      </c>
    </row>
    <row r="962" spans="1:41" ht="15.75" x14ac:dyDescent="0.25">
      <c r="A962" s="84"/>
      <c r="B962" s="84"/>
      <c r="C962" s="84"/>
      <c r="D962" s="80" t="s">
        <v>247</v>
      </c>
      <c r="E962" s="80">
        <v>0</v>
      </c>
      <c r="F962" s="80">
        <v>0</v>
      </c>
      <c r="G962" s="80">
        <v>0</v>
      </c>
      <c r="H962" s="80">
        <v>0</v>
      </c>
      <c r="I962" s="80">
        <v>0</v>
      </c>
      <c r="J962" s="80">
        <v>0</v>
      </c>
      <c r="K962" s="80">
        <v>0</v>
      </c>
      <c r="L962" s="80">
        <v>0</v>
      </c>
      <c r="M962" s="80">
        <v>0</v>
      </c>
      <c r="N962" s="80">
        <v>0</v>
      </c>
      <c r="O962" s="80">
        <v>0</v>
      </c>
      <c r="P962" s="80">
        <v>0</v>
      </c>
      <c r="Q962" s="80">
        <v>0</v>
      </c>
      <c r="R962" s="80">
        <v>0</v>
      </c>
      <c r="S962" s="80">
        <v>0</v>
      </c>
      <c r="T962" s="80">
        <v>0</v>
      </c>
      <c r="U962" s="80">
        <v>0</v>
      </c>
      <c r="V962" s="80">
        <v>0</v>
      </c>
      <c r="W962" s="80">
        <v>0</v>
      </c>
      <c r="X962" s="80">
        <v>0</v>
      </c>
      <c r="Y962" s="80">
        <v>0</v>
      </c>
      <c r="Z962" s="80">
        <v>0</v>
      </c>
      <c r="AA962" s="80">
        <v>0</v>
      </c>
      <c r="AB962" s="80">
        <v>0</v>
      </c>
      <c r="AC962" s="80">
        <v>0</v>
      </c>
      <c r="AD962" s="80">
        <v>0</v>
      </c>
      <c r="AE962" s="80">
        <v>0</v>
      </c>
      <c r="AF962" s="80">
        <v>0</v>
      </c>
      <c r="AG962" s="80">
        <v>0</v>
      </c>
      <c r="AH962" s="80">
        <v>0</v>
      </c>
      <c r="AI962" s="80">
        <v>0</v>
      </c>
      <c r="AJ962" s="80">
        <v>0</v>
      </c>
      <c r="AK962" s="80">
        <v>0</v>
      </c>
      <c r="AL962" s="80">
        <v>0</v>
      </c>
      <c r="AM962" s="81">
        <v>0</v>
      </c>
      <c r="AN962" s="81">
        <v>0</v>
      </c>
      <c r="AO962" s="81">
        <v>0</v>
      </c>
    </row>
    <row r="963" spans="1:41" ht="15.75" x14ac:dyDescent="0.25">
      <c r="A963" s="84"/>
      <c r="B963" s="84"/>
      <c r="C963" s="84"/>
      <c r="D963" s="80" t="s">
        <v>248</v>
      </c>
      <c r="E963" s="80">
        <v>0</v>
      </c>
      <c r="F963" s="80">
        <v>0</v>
      </c>
      <c r="G963" s="80">
        <v>0</v>
      </c>
      <c r="H963" s="80">
        <v>1</v>
      </c>
      <c r="I963" s="80">
        <v>0</v>
      </c>
      <c r="J963" s="80">
        <v>0</v>
      </c>
      <c r="K963" s="80">
        <v>0</v>
      </c>
      <c r="L963" s="80">
        <v>0</v>
      </c>
      <c r="M963" s="80">
        <v>0</v>
      </c>
      <c r="N963" s="80">
        <v>0</v>
      </c>
      <c r="O963" s="80">
        <v>0</v>
      </c>
      <c r="P963" s="80">
        <v>0</v>
      </c>
      <c r="Q963" s="80">
        <v>0</v>
      </c>
      <c r="R963" s="80">
        <v>0</v>
      </c>
      <c r="S963" s="80">
        <v>0</v>
      </c>
      <c r="T963" s="80">
        <v>0</v>
      </c>
      <c r="U963" s="80">
        <v>0</v>
      </c>
      <c r="V963" s="80">
        <v>0</v>
      </c>
      <c r="W963" s="80">
        <v>0</v>
      </c>
      <c r="X963" s="80">
        <v>0</v>
      </c>
      <c r="Y963" s="80">
        <v>0</v>
      </c>
      <c r="Z963" s="80">
        <v>0</v>
      </c>
      <c r="AA963" s="80">
        <v>0</v>
      </c>
      <c r="AB963" s="80">
        <v>0</v>
      </c>
      <c r="AC963" s="80">
        <v>0</v>
      </c>
      <c r="AD963" s="80">
        <v>0</v>
      </c>
      <c r="AE963" s="80">
        <v>0</v>
      </c>
      <c r="AF963" s="80">
        <v>0</v>
      </c>
      <c r="AG963" s="80">
        <v>0</v>
      </c>
      <c r="AH963" s="80">
        <v>0</v>
      </c>
      <c r="AI963" s="80">
        <v>0</v>
      </c>
      <c r="AJ963" s="80">
        <v>0</v>
      </c>
      <c r="AK963" s="80">
        <v>0</v>
      </c>
      <c r="AL963" s="80">
        <v>0</v>
      </c>
      <c r="AM963" s="81">
        <v>0</v>
      </c>
      <c r="AN963" s="81">
        <v>0</v>
      </c>
      <c r="AO963" s="81">
        <v>0</v>
      </c>
    </row>
    <row r="964" spans="1:41" ht="15.75" x14ac:dyDescent="0.25">
      <c r="A964" s="84"/>
      <c r="B964" s="84"/>
      <c r="C964" s="84"/>
      <c r="D964" s="80" t="s">
        <v>258</v>
      </c>
      <c r="E964" s="80">
        <v>0</v>
      </c>
      <c r="F964" s="80">
        <v>0</v>
      </c>
      <c r="G964" s="80">
        <v>0</v>
      </c>
      <c r="H964" s="80">
        <v>0</v>
      </c>
      <c r="I964" s="80">
        <v>0</v>
      </c>
      <c r="J964" s="80">
        <v>0</v>
      </c>
      <c r="K964" s="80">
        <v>0</v>
      </c>
      <c r="L964" s="80">
        <v>0</v>
      </c>
      <c r="M964" s="80">
        <v>0</v>
      </c>
      <c r="N964" s="80">
        <v>0</v>
      </c>
      <c r="O964" s="80">
        <v>0</v>
      </c>
      <c r="P964" s="80">
        <v>0</v>
      </c>
      <c r="Q964" s="80">
        <v>0</v>
      </c>
      <c r="R964" s="80">
        <v>0</v>
      </c>
      <c r="S964" s="80">
        <v>0</v>
      </c>
      <c r="T964" s="80">
        <v>0</v>
      </c>
      <c r="U964" s="80">
        <v>0</v>
      </c>
      <c r="V964" s="80">
        <v>0</v>
      </c>
      <c r="W964" s="80">
        <v>0</v>
      </c>
      <c r="X964" s="80">
        <v>0</v>
      </c>
      <c r="Y964" s="80">
        <v>0</v>
      </c>
      <c r="Z964" s="80">
        <v>0</v>
      </c>
      <c r="AA964" s="80">
        <v>0</v>
      </c>
      <c r="AB964" s="80">
        <v>0</v>
      </c>
      <c r="AC964" s="80">
        <v>0</v>
      </c>
      <c r="AD964" s="80">
        <v>0</v>
      </c>
      <c r="AE964" s="80">
        <v>0</v>
      </c>
      <c r="AF964" s="80">
        <v>0</v>
      </c>
      <c r="AG964" s="80">
        <v>0</v>
      </c>
      <c r="AH964" s="80">
        <v>0</v>
      </c>
      <c r="AI964" s="80">
        <v>0</v>
      </c>
      <c r="AJ964" s="80">
        <v>0</v>
      </c>
      <c r="AK964" s="80">
        <v>0</v>
      </c>
      <c r="AL964" s="80">
        <v>0</v>
      </c>
      <c r="AM964" s="81">
        <v>0</v>
      </c>
      <c r="AN964" s="81">
        <v>0</v>
      </c>
      <c r="AO964" s="81">
        <v>0</v>
      </c>
    </row>
    <row r="965" spans="1:41" ht="15.75" x14ac:dyDescent="0.25">
      <c r="A965" s="84">
        <v>23</v>
      </c>
      <c r="B965" s="84" t="s">
        <v>83</v>
      </c>
      <c r="C965" s="84" t="s">
        <v>170</v>
      </c>
      <c r="D965" s="80" t="s">
        <v>245</v>
      </c>
      <c r="E965" s="80">
        <v>0</v>
      </c>
      <c r="F965" s="80">
        <v>0</v>
      </c>
      <c r="G965" s="80">
        <v>0</v>
      </c>
      <c r="H965" s="80">
        <v>2</v>
      </c>
      <c r="I965" s="80">
        <v>0</v>
      </c>
      <c r="J965" s="80">
        <v>2</v>
      </c>
      <c r="K965" s="80">
        <v>0</v>
      </c>
      <c r="L965" s="80">
        <v>0</v>
      </c>
      <c r="M965" s="80">
        <v>0</v>
      </c>
      <c r="N965" s="80">
        <v>0</v>
      </c>
      <c r="O965" s="80">
        <v>1</v>
      </c>
      <c r="P965" s="80">
        <v>0</v>
      </c>
      <c r="Q965" s="80">
        <v>1</v>
      </c>
      <c r="R965" s="80">
        <v>2</v>
      </c>
      <c r="S965" s="80">
        <v>0</v>
      </c>
      <c r="T965" s="80">
        <v>0</v>
      </c>
      <c r="U965" s="80">
        <v>2</v>
      </c>
      <c r="V965" s="80">
        <v>2</v>
      </c>
      <c r="W965" s="80">
        <v>1</v>
      </c>
      <c r="X965" s="80">
        <v>0</v>
      </c>
      <c r="Y965" s="80">
        <v>0</v>
      </c>
      <c r="Z965" s="80">
        <v>0</v>
      </c>
      <c r="AA965" s="80">
        <v>0</v>
      </c>
      <c r="AB965" s="80">
        <v>0</v>
      </c>
      <c r="AC965" s="80">
        <v>0</v>
      </c>
      <c r="AD965" s="80">
        <v>0</v>
      </c>
      <c r="AE965" s="80">
        <v>1</v>
      </c>
      <c r="AF965" s="80">
        <v>0</v>
      </c>
      <c r="AG965" s="81">
        <v>2</v>
      </c>
      <c r="AH965" s="80">
        <v>0</v>
      </c>
      <c r="AI965" s="81">
        <v>0</v>
      </c>
      <c r="AJ965" s="81">
        <v>0</v>
      </c>
      <c r="AK965" s="81">
        <v>0</v>
      </c>
      <c r="AL965" s="81">
        <v>0</v>
      </c>
      <c r="AM965" s="81">
        <v>0</v>
      </c>
      <c r="AN965" s="81">
        <v>0</v>
      </c>
      <c r="AO965" s="81">
        <v>0</v>
      </c>
    </row>
    <row r="966" spans="1:41" ht="15.75" x14ac:dyDescent="0.25">
      <c r="A966" s="84"/>
      <c r="B966" s="84"/>
      <c r="C966" s="84"/>
      <c r="D966" s="80" t="s">
        <v>246</v>
      </c>
      <c r="E966" s="80">
        <v>1</v>
      </c>
      <c r="F966" s="80">
        <v>0</v>
      </c>
      <c r="G966" s="80">
        <v>0</v>
      </c>
      <c r="H966" s="80">
        <v>1</v>
      </c>
      <c r="I966" s="80">
        <v>0</v>
      </c>
      <c r="J966" s="80">
        <v>2</v>
      </c>
      <c r="K966" s="80">
        <v>0</v>
      </c>
      <c r="L966" s="80">
        <v>0</v>
      </c>
      <c r="M966" s="80">
        <v>0</v>
      </c>
      <c r="N966" s="80">
        <v>0</v>
      </c>
      <c r="O966" s="80">
        <v>1</v>
      </c>
      <c r="P966" s="80">
        <v>0</v>
      </c>
      <c r="Q966" s="80">
        <v>1</v>
      </c>
      <c r="R966" s="80">
        <v>2</v>
      </c>
      <c r="S966" s="80">
        <v>0</v>
      </c>
      <c r="T966" s="80">
        <v>0</v>
      </c>
      <c r="U966" s="80">
        <v>2</v>
      </c>
      <c r="V966" s="80">
        <v>2</v>
      </c>
      <c r="W966" s="80">
        <v>1</v>
      </c>
      <c r="X966" s="80">
        <v>0</v>
      </c>
      <c r="Y966" s="80">
        <v>0</v>
      </c>
      <c r="Z966" s="80">
        <v>0</v>
      </c>
      <c r="AA966" s="80">
        <v>0</v>
      </c>
      <c r="AB966" s="80">
        <v>0</v>
      </c>
      <c r="AC966" s="80">
        <v>0</v>
      </c>
      <c r="AD966" s="80">
        <v>0</v>
      </c>
      <c r="AE966" s="80">
        <v>1</v>
      </c>
      <c r="AF966" s="80">
        <v>0</v>
      </c>
      <c r="AG966" s="81">
        <v>2</v>
      </c>
      <c r="AH966" s="80">
        <v>0</v>
      </c>
      <c r="AI966" s="81">
        <v>0</v>
      </c>
      <c r="AJ966" s="81">
        <v>0</v>
      </c>
      <c r="AK966" s="81">
        <v>0</v>
      </c>
      <c r="AL966" s="81">
        <v>0</v>
      </c>
      <c r="AM966" s="81">
        <v>0</v>
      </c>
      <c r="AN966" s="81">
        <v>0</v>
      </c>
      <c r="AO966" s="81">
        <v>0</v>
      </c>
    </row>
    <row r="967" spans="1:41" ht="15.75" x14ac:dyDescent="0.25">
      <c r="A967" s="84"/>
      <c r="B967" s="84"/>
      <c r="C967" s="84"/>
      <c r="D967" s="80" t="s">
        <v>247</v>
      </c>
      <c r="E967" s="80">
        <v>0</v>
      </c>
      <c r="F967" s="80">
        <v>0</v>
      </c>
      <c r="G967" s="80">
        <v>0</v>
      </c>
      <c r="H967" s="80">
        <v>1</v>
      </c>
      <c r="I967" s="80">
        <v>0</v>
      </c>
      <c r="J967" s="80">
        <v>0</v>
      </c>
      <c r="K967" s="80">
        <v>0</v>
      </c>
      <c r="L967" s="80">
        <v>0</v>
      </c>
      <c r="M967" s="80">
        <v>0</v>
      </c>
      <c r="N967" s="80">
        <v>0</v>
      </c>
      <c r="O967" s="80">
        <v>0</v>
      </c>
      <c r="P967" s="80">
        <v>0</v>
      </c>
      <c r="Q967" s="80">
        <v>0</v>
      </c>
      <c r="R967" s="80">
        <v>0</v>
      </c>
      <c r="S967" s="80">
        <v>0</v>
      </c>
      <c r="T967" s="80">
        <v>0</v>
      </c>
      <c r="U967" s="80">
        <v>0</v>
      </c>
      <c r="V967" s="80">
        <v>0</v>
      </c>
      <c r="W967" s="80">
        <v>0</v>
      </c>
      <c r="X967" s="80">
        <v>0</v>
      </c>
      <c r="Y967" s="80">
        <v>0</v>
      </c>
      <c r="Z967" s="80">
        <v>0</v>
      </c>
      <c r="AA967" s="80">
        <v>0</v>
      </c>
      <c r="AB967" s="80">
        <v>0</v>
      </c>
      <c r="AC967" s="80">
        <v>0</v>
      </c>
      <c r="AD967" s="80">
        <v>0</v>
      </c>
      <c r="AE967" s="80">
        <v>0</v>
      </c>
      <c r="AF967" s="80">
        <v>0</v>
      </c>
      <c r="AG967" s="81">
        <v>0</v>
      </c>
      <c r="AH967" s="80">
        <v>0</v>
      </c>
      <c r="AI967" s="81">
        <v>0</v>
      </c>
      <c r="AJ967" s="81">
        <v>0</v>
      </c>
      <c r="AK967" s="81">
        <v>0</v>
      </c>
      <c r="AL967" s="81">
        <v>0</v>
      </c>
      <c r="AM967" s="81">
        <v>0</v>
      </c>
      <c r="AN967" s="81">
        <v>0</v>
      </c>
      <c r="AO967" s="81">
        <v>0</v>
      </c>
    </row>
    <row r="968" spans="1:41" ht="15.75" x14ac:dyDescent="0.25">
      <c r="A968" s="84"/>
      <c r="B968" s="84"/>
      <c r="C968" s="84"/>
      <c r="D968" s="80" t="s">
        <v>248</v>
      </c>
      <c r="E968" s="80">
        <v>1</v>
      </c>
      <c r="F968" s="80">
        <v>0</v>
      </c>
      <c r="G968" s="80">
        <v>0</v>
      </c>
      <c r="H968" s="80">
        <v>1</v>
      </c>
      <c r="I968" s="80">
        <v>0</v>
      </c>
      <c r="J968" s="80">
        <v>2</v>
      </c>
      <c r="K968" s="80">
        <v>0</v>
      </c>
      <c r="L968" s="80">
        <v>0</v>
      </c>
      <c r="M968" s="80">
        <v>0</v>
      </c>
      <c r="N968" s="80">
        <v>0</v>
      </c>
      <c r="O968" s="80">
        <v>1</v>
      </c>
      <c r="P968" s="80">
        <v>0</v>
      </c>
      <c r="Q968" s="80">
        <v>1</v>
      </c>
      <c r="R968" s="80">
        <v>0</v>
      </c>
      <c r="S968" s="80">
        <v>0</v>
      </c>
      <c r="T968" s="80">
        <v>0</v>
      </c>
      <c r="U968" s="80">
        <v>2</v>
      </c>
      <c r="V968" s="80">
        <v>2</v>
      </c>
      <c r="W968" s="80">
        <v>1</v>
      </c>
      <c r="X968" s="80">
        <v>0</v>
      </c>
      <c r="Y968" s="80">
        <v>0</v>
      </c>
      <c r="Z968" s="80">
        <v>0</v>
      </c>
      <c r="AA968" s="80">
        <v>0</v>
      </c>
      <c r="AB968" s="80">
        <v>0</v>
      </c>
      <c r="AC968" s="80">
        <v>0</v>
      </c>
      <c r="AD968" s="80">
        <v>0</v>
      </c>
      <c r="AE968" s="80">
        <v>1</v>
      </c>
      <c r="AF968" s="80">
        <v>0</v>
      </c>
      <c r="AG968" s="81">
        <v>2</v>
      </c>
      <c r="AH968" s="80">
        <v>0</v>
      </c>
      <c r="AI968" s="81">
        <v>0</v>
      </c>
      <c r="AJ968" s="81">
        <v>0</v>
      </c>
      <c r="AK968" s="81">
        <v>0</v>
      </c>
      <c r="AL968" s="81">
        <v>0</v>
      </c>
      <c r="AM968" s="81">
        <v>0</v>
      </c>
      <c r="AN968" s="81">
        <v>0</v>
      </c>
      <c r="AO968" s="81">
        <v>0</v>
      </c>
    </row>
    <row r="969" spans="1:41" ht="15.75" x14ac:dyDescent="0.25">
      <c r="A969" s="84"/>
      <c r="B969" s="84"/>
      <c r="C969" s="84"/>
      <c r="D969" s="80" t="s">
        <v>258</v>
      </c>
      <c r="E969" s="80">
        <v>0</v>
      </c>
      <c r="F969" s="80">
        <v>0</v>
      </c>
      <c r="G969" s="80">
        <v>0</v>
      </c>
      <c r="H969" s="80">
        <v>0</v>
      </c>
      <c r="I969" s="80">
        <v>0</v>
      </c>
      <c r="J969" s="80">
        <v>0</v>
      </c>
      <c r="K969" s="80">
        <v>0</v>
      </c>
      <c r="L969" s="80">
        <v>0</v>
      </c>
      <c r="M969" s="80">
        <v>0</v>
      </c>
      <c r="N969" s="80">
        <v>0</v>
      </c>
      <c r="O969" s="80">
        <v>0</v>
      </c>
      <c r="P969" s="80">
        <v>0</v>
      </c>
      <c r="Q969" s="80">
        <v>0</v>
      </c>
      <c r="R969" s="80">
        <v>2</v>
      </c>
      <c r="S969" s="80">
        <v>0</v>
      </c>
      <c r="T969" s="80">
        <v>0</v>
      </c>
      <c r="U969" s="80">
        <v>0</v>
      </c>
      <c r="V969" s="80">
        <v>0</v>
      </c>
      <c r="W969" s="80">
        <v>0</v>
      </c>
      <c r="X969" s="80">
        <v>0</v>
      </c>
      <c r="Y969" s="80">
        <v>0</v>
      </c>
      <c r="Z969" s="80">
        <v>0</v>
      </c>
      <c r="AA969" s="80">
        <v>0</v>
      </c>
      <c r="AB969" s="80">
        <v>0</v>
      </c>
      <c r="AC969" s="80">
        <v>0</v>
      </c>
      <c r="AD969" s="80">
        <v>0</v>
      </c>
      <c r="AE969" s="80">
        <v>0</v>
      </c>
      <c r="AF969" s="80">
        <v>0</v>
      </c>
      <c r="AG969" s="80">
        <v>0</v>
      </c>
      <c r="AH969" s="80">
        <v>0</v>
      </c>
      <c r="AI969" s="80">
        <v>0</v>
      </c>
      <c r="AJ969" s="80">
        <v>0</v>
      </c>
      <c r="AK969" s="80">
        <v>0</v>
      </c>
      <c r="AL969" s="80">
        <v>0</v>
      </c>
      <c r="AM969" s="81">
        <v>0</v>
      </c>
      <c r="AN969" s="81">
        <v>0</v>
      </c>
      <c r="AO969" s="81">
        <v>0</v>
      </c>
    </row>
    <row r="970" spans="1:41" ht="15.75" x14ac:dyDescent="0.25">
      <c r="A970" s="84">
        <v>24</v>
      </c>
      <c r="B970" s="84"/>
      <c r="C970" s="84" t="s">
        <v>19</v>
      </c>
      <c r="D970" s="80" t="s">
        <v>245</v>
      </c>
      <c r="E970" s="80">
        <v>0</v>
      </c>
      <c r="F970" s="80">
        <v>0</v>
      </c>
      <c r="G970" s="80">
        <v>0</v>
      </c>
      <c r="H970" s="80">
        <v>1</v>
      </c>
      <c r="I970" s="80">
        <v>2</v>
      </c>
      <c r="J970" s="80">
        <v>1</v>
      </c>
      <c r="K970" s="80">
        <v>0</v>
      </c>
      <c r="L970" s="80">
        <v>0</v>
      </c>
      <c r="M970" s="80">
        <v>0</v>
      </c>
      <c r="N970" s="80">
        <v>1</v>
      </c>
      <c r="O970" s="80">
        <v>1</v>
      </c>
      <c r="P970" s="80">
        <v>0</v>
      </c>
      <c r="Q970" s="80">
        <v>1</v>
      </c>
      <c r="R970" s="80">
        <v>0</v>
      </c>
      <c r="S970" s="80">
        <v>0</v>
      </c>
      <c r="T970" s="80">
        <v>0</v>
      </c>
      <c r="U970" s="80">
        <v>2</v>
      </c>
      <c r="V970" s="80">
        <v>1</v>
      </c>
      <c r="W970" s="80">
        <v>0</v>
      </c>
      <c r="X970" s="80">
        <v>0</v>
      </c>
      <c r="Y970" s="80">
        <v>0</v>
      </c>
      <c r="Z970" s="80">
        <v>1</v>
      </c>
      <c r="AA970" s="80">
        <v>0</v>
      </c>
      <c r="AB970" s="80">
        <v>0</v>
      </c>
      <c r="AC970" s="80">
        <v>0</v>
      </c>
      <c r="AD970" s="80">
        <v>0</v>
      </c>
      <c r="AE970" s="80">
        <v>1</v>
      </c>
      <c r="AF970" s="80">
        <v>0</v>
      </c>
      <c r="AG970" s="81">
        <v>1</v>
      </c>
      <c r="AH970" s="80">
        <v>0</v>
      </c>
      <c r="AI970" s="81">
        <v>0</v>
      </c>
      <c r="AJ970" s="81">
        <v>0</v>
      </c>
      <c r="AK970" s="81">
        <v>0</v>
      </c>
      <c r="AL970" s="81">
        <v>0</v>
      </c>
      <c r="AM970" s="81">
        <v>0</v>
      </c>
      <c r="AN970" s="81">
        <v>0</v>
      </c>
      <c r="AO970" s="81">
        <v>0</v>
      </c>
    </row>
    <row r="971" spans="1:41" ht="15.75" x14ac:dyDescent="0.25">
      <c r="A971" s="84"/>
      <c r="B971" s="84"/>
      <c r="C971" s="84"/>
      <c r="D971" s="80" t="s">
        <v>246</v>
      </c>
      <c r="E971" s="80">
        <v>0</v>
      </c>
      <c r="F971" s="80">
        <v>0</v>
      </c>
      <c r="G971" s="80">
        <v>0</v>
      </c>
      <c r="H971" s="80">
        <v>1</v>
      </c>
      <c r="I971" s="80">
        <v>1</v>
      </c>
      <c r="J971" s="80">
        <v>1</v>
      </c>
      <c r="K971" s="80">
        <v>0</v>
      </c>
      <c r="L971" s="80">
        <v>0</v>
      </c>
      <c r="M971" s="80">
        <v>0</v>
      </c>
      <c r="N971" s="80">
        <v>1</v>
      </c>
      <c r="O971" s="80">
        <v>1</v>
      </c>
      <c r="P971" s="80">
        <v>0</v>
      </c>
      <c r="Q971" s="80">
        <v>1</v>
      </c>
      <c r="R971" s="80">
        <v>0</v>
      </c>
      <c r="S971" s="80">
        <v>0</v>
      </c>
      <c r="T971" s="80">
        <v>0</v>
      </c>
      <c r="U971" s="80">
        <v>2</v>
      </c>
      <c r="V971" s="80">
        <v>1</v>
      </c>
      <c r="W971" s="80">
        <v>0</v>
      </c>
      <c r="X971" s="80">
        <v>0</v>
      </c>
      <c r="Y971" s="80">
        <v>0</v>
      </c>
      <c r="Z971" s="80">
        <v>1</v>
      </c>
      <c r="AA971" s="80">
        <v>0</v>
      </c>
      <c r="AB971" s="80">
        <v>0</v>
      </c>
      <c r="AC971" s="80">
        <v>0</v>
      </c>
      <c r="AD971" s="80">
        <v>0</v>
      </c>
      <c r="AE971" s="80">
        <v>1</v>
      </c>
      <c r="AF971" s="80">
        <v>0</v>
      </c>
      <c r="AG971" s="81">
        <v>1</v>
      </c>
      <c r="AH971" s="80">
        <v>0</v>
      </c>
      <c r="AI971" s="81">
        <v>0</v>
      </c>
      <c r="AJ971" s="81">
        <v>0</v>
      </c>
      <c r="AK971" s="81">
        <v>0</v>
      </c>
      <c r="AL971" s="81">
        <v>0</v>
      </c>
      <c r="AM971" s="81">
        <v>0</v>
      </c>
      <c r="AN971" s="81">
        <v>0</v>
      </c>
      <c r="AO971" s="81">
        <v>0</v>
      </c>
    </row>
    <row r="972" spans="1:41" ht="15.75" x14ac:dyDescent="0.25">
      <c r="A972" s="84"/>
      <c r="B972" s="84"/>
      <c r="C972" s="84"/>
      <c r="D972" s="80" t="s">
        <v>247</v>
      </c>
      <c r="E972" s="80">
        <v>0</v>
      </c>
      <c r="F972" s="80">
        <v>0</v>
      </c>
      <c r="G972" s="80">
        <v>0</v>
      </c>
      <c r="H972" s="80">
        <v>0</v>
      </c>
      <c r="I972" s="80">
        <v>1</v>
      </c>
      <c r="J972" s="80">
        <v>0</v>
      </c>
      <c r="K972" s="80">
        <v>0</v>
      </c>
      <c r="L972" s="80">
        <v>0</v>
      </c>
      <c r="M972" s="80">
        <v>0</v>
      </c>
      <c r="N972" s="80">
        <v>0</v>
      </c>
      <c r="O972" s="80">
        <v>0</v>
      </c>
      <c r="P972" s="80">
        <v>0</v>
      </c>
      <c r="Q972" s="80">
        <v>0</v>
      </c>
      <c r="R972" s="80">
        <v>0</v>
      </c>
      <c r="S972" s="80">
        <v>0</v>
      </c>
      <c r="T972" s="80">
        <v>0</v>
      </c>
      <c r="U972" s="80">
        <v>0</v>
      </c>
      <c r="V972" s="80">
        <v>0</v>
      </c>
      <c r="W972" s="80">
        <v>0</v>
      </c>
      <c r="X972" s="80">
        <v>0</v>
      </c>
      <c r="Y972" s="80">
        <v>0</v>
      </c>
      <c r="Z972" s="80">
        <v>0</v>
      </c>
      <c r="AA972" s="80">
        <v>0</v>
      </c>
      <c r="AB972" s="80">
        <v>0</v>
      </c>
      <c r="AC972" s="80">
        <v>0</v>
      </c>
      <c r="AD972" s="80">
        <v>0</v>
      </c>
      <c r="AE972" s="80">
        <v>0</v>
      </c>
      <c r="AF972" s="80">
        <v>0</v>
      </c>
      <c r="AG972" s="81">
        <v>0</v>
      </c>
      <c r="AH972" s="80">
        <v>0</v>
      </c>
      <c r="AI972" s="81">
        <v>0</v>
      </c>
      <c r="AJ972" s="81">
        <v>0</v>
      </c>
      <c r="AK972" s="81">
        <v>0</v>
      </c>
      <c r="AL972" s="81">
        <v>0</v>
      </c>
      <c r="AM972" s="81">
        <v>0</v>
      </c>
      <c r="AN972" s="81">
        <v>0</v>
      </c>
      <c r="AO972" s="81">
        <v>0</v>
      </c>
    </row>
    <row r="973" spans="1:41" ht="15.75" x14ac:dyDescent="0.25">
      <c r="A973" s="84"/>
      <c r="B973" s="84"/>
      <c r="C973" s="84"/>
      <c r="D973" s="80" t="s">
        <v>248</v>
      </c>
      <c r="E973" s="80">
        <v>0</v>
      </c>
      <c r="F973" s="80">
        <v>0</v>
      </c>
      <c r="G973" s="80">
        <v>0</v>
      </c>
      <c r="H973" s="80">
        <v>1</v>
      </c>
      <c r="I973" s="80">
        <v>1</v>
      </c>
      <c r="J973" s="80">
        <v>1</v>
      </c>
      <c r="K973" s="80">
        <v>0</v>
      </c>
      <c r="L973" s="80">
        <v>0</v>
      </c>
      <c r="M973" s="80">
        <v>0</v>
      </c>
      <c r="N973" s="80">
        <v>1</v>
      </c>
      <c r="O973" s="80">
        <v>1</v>
      </c>
      <c r="P973" s="80">
        <v>0</v>
      </c>
      <c r="Q973" s="80">
        <v>1</v>
      </c>
      <c r="R973" s="80">
        <v>0</v>
      </c>
      <c r="S973" s="80">
        <v>0</v>
      </c>
      <c r="T973" s="80">
        <v>0</v>
      </c>
      <c r="U973" s="80">
        <v>2</v>
      </c>
      <c r="V973" s="80">
        <v>0</v>
      </c>
      <c r="W973" s="80">
        <v>0</v>
      </c>
      <c r="X973" s="80">
        <v>0</v>
      </c>
      <c r="Y973" s="80">
        <v>0</v>
      </c>
      <c r="Z973" s="80">
        <v>1</v>
      </c>
      <c r="AA973" s="80">
        <v>0</v>
      </c>
      <c r="AB973" s="80">
        <v>0</v>
      </c>
      <c r="AC973" s="80">
        <v>0</v>
      </c>
      <c r="AD973" s="80">
        <v>0</v>
      </c>
      <c r="AE973" s="80">
        <v>1</v>
      </c>
      <c r="AF973" s="80">
        <v>0</v>
      </c>
      <c r="AG973" s="81">
        <v>1</v>
      </c>
      <c r="AH973" s="80">
        <v>0</v>
      </c>
      <c r="AI973" s="81">
        <v>0</v>
      </c>
      <c r="AJ973" s="81">
        <v>0</v>
      </c>
      <c r="AK973" s="81">
        <v>0</v>
      </c>
      <c r="AL973" s="81">
        <v>0</v>
      </c>
      <c r="AM973" s="81">
        <v>0</v>
      </c>
      <c r="AN973" s="81">
        <v>0</v>
      </c>
      <c r="AO973" s="81">
        <v>0</v>
      </c>
    </row>
    <row r="974" spans="1:41" ht="15.75" x14ac:dyDescent="0.25">
      <c r="A974" s="84"/>
      <c r="B974" s="84"/>
      <c r="C974" s="84"/>
      <c r="D974" s="80" t="s">
        <v>258</v>
      </c>
      <c r="E974" s="80">
        <v>0</v>
      </c>
      <c r="F974" s="80">
        <v>0</v>
      </c>
      <c r="G974" s="80">
        <v>0</v>
      </c>
      <c r="H974" s="80">
        <v>0</v>
      </c>
      <c r="I974" s="80">
        <v>0</v>
      </c>
      <c r="J974" s="80">
        <v>0</v>
      </c>
      <c r="K974" s="80">
        <v>0</v>
      </c>
      <c r="L974" s="80">
        <v>0</v>
      </c>
      <c r="M974" s="80">
        <v>0</v>
      </c>
      <c r="N974" s="80">
        <v>0</v>
      </c>
      <c r="O974" s="80">
        <v>0</v>
      </c>
      <c r="P974" s="80">
        <v>0</v>
      </c>
      <c r="Q974" s="80">
        <v>0</v>
      </c>
      <c r="R974" s="80">
        <v>0</v>
      </c>
      <c r="S974" s="80">
        <v>0</v>
      </c>
      <c r="T974" s="80">
        <v>0</v>
      </c>
      <c r="U974" s="80">
        <v>0</v>
      </c>
      <c r="V974" s="80">
        <v>1</v>
      </c>
      <c r="W974" s="80">
        <v>0</v>
      </c>
      <c r="X974" s="80">
        <v>0</v>
      </c>
      <c r="Y974" s="80">
        <v>0</v>
      </c>
      <c r="Z974" s="80">
        <v>0</v>
      </c>
      <c r="AA974" s="80">
        <v>0</v>
      </c>
      <c r="AB974" s="80">
        <v>0</v>
      </c>
      <c r="AC974" s="80">
        <v>0</v>
      </c>
      <c r="AD974" s="80">
        <v>0</v>
      </c>
      <c r="AE974" s="80">
        <v>0</v>
      </c>
      <c r="AF974" s="80">
        <v>0</v>
      </c>
      <c r="AG974" s="80">
        <v>0</v>
      </c>
      <c r="AH974" s="80">
        <v>0</v>
      </c>
      <c r="AI974" s="80">
        <v>0</v>
      </c>
      <c r="AJ974" s="80">
        <v>0</v>
      </c>
      <c r="AK974" s="80">
        <v>0</v>
      </c>
      <c r="AL974" s="80">
        <v>0</v>
      </c>
      <c r="AM974" s="81">
        <v>0</v>
      </c>
      <c r="AN974" s="81">
        <v>0</v>
      </c>
      <c r="AO974" s="81">
        <v>0</v>
      </c>
    </row>
    <row r="975" spans="1:41" ht="15.75" x14ac:dyDescent="0.25">
      <c r="A975" s="84">
        <v>25</v>
      </c>
      <c r="B975" s="84" t="s">
        <v>90</v>
      </c>
      <c r="C975" s="84" t="s">
        <v>90</v>
      </c>
      <c r="D975" s="80" t="s">
        <v>245</v>
      </c>
      <c r="E975" s="80">
        <v>0</v>
      </c>
      <c r="F975" s="80">
        <v>0</v>
      </c>
      <c r="G975" s="80">
        <v>0</v>
      </c>
      <c r="H975" s="80">
        <v>3</v>
      </c>
      <c r="I975" s="80">
        <v>3</v>
      </c>
      <c r="J975" s="80">
        <v>3</v>
      </c>
      <c r="K975" s="80">
        <v>0</v>
      </c>
      <c r="L975" s="80">
        <v>2</v>
      </c>
      <c r="M975" s="80">
        <v>0</v>
      </c>
      <c r="N975" s="80">
        <v>0</v>
      </c>
      <c r="O975" s="80">
        <v>1</v>
      </c>
      <c r="P975" s="80">
        <v>0</v>
      </c>
      <c r="Q975" s="80">
        <v>2</v>
      </c>
      <c r="R975" s="80">
        <v>0</v>
      </c>
      <c r="S975" s="80">
        <v>0</v>
      </c>
      <c r="T975" s="80">
        <v>1</v>
      </c>
      <c r="U975" s="80">
        <v>3</v>
      </c>
      <c r="V975" s="80">
        <v>2</v>
      </c>
      <c r="W975" s="80">
        <v>1</v>
      </c>
      <c r="X975" s="80">
        <v>0</v>
      </c>
      <c r="Y975" s="80">
        <v>0</v>
      </c>
      <c r="Z975" s="80">
        <v>0</v>
      </c>
      <c r="AA975" s="80">
        <v>1</v>
      </c>
      <c r="AB975" s="80">
        <v>1</v>
      </c>
      <c r="AC975" s="80">
        <v>2</v>
      </c>
      <c r="AD975" s="80">
        <v>1</v>
      </c>
      <c r="AE975" s="80">
        <v>1</v>
      </c>
      <c r="AF975" s="80">
        <v>0</v>
      </c>
      <c r="AG975" s="81">
        <v>0</v>
      </c>
      <c r="AH975" s="80">
        <v>1</v>
      </c>
      <c r="AI975" s="81">
        <v>0</v>
      </c>
      <c r="AJ975" s="81">
        <v>0</v>
      </c>
      <c r="AK975" s="81">
        <v>0</v>
      </c>
      <c r="AL975" s="81">
        <v>0</v>
      </c>
      <c r="AM975" s="81">
        <v>0</v>
      </c>
      <c r="AN975" s="81">
        <v>0</v>
      </c>
      <c r="AO975" s="81">
        <v>0</v>
      </c>
    </row>
    <row r="976" spans="1:41" ht="15.75" x14ac:dyDescent="0.25">
      <c r="A976" s="84">
        <v>26</v>
      </c>
      <c r="B976" s="84"/>
      <c r="C976" s="84" t="s">
        <v>142</v>
      </c>
      <c r="D976" s="80" t="s">
        <v>246</v>
      </c>
      <c r="E976" s="80">
        <v>0</v>
      </c>
      <c r="F976" s="80">
        <v>0</v>
      </c>
      <c r="G976" s="80">
        <v>0</v>
      </c>
      <c r="H976" s="80">
        <v>2</v>
      </c>
      <c r="I976" s="80">
        <v>2</v>
      </c>
      <c r="J976" s="80">
        <v>3</v>
      </c>
      <c r="K976" s="80">
        <v>0</v>
      </c>
      <c r="L976" s="80">
        <v>1</v>
      </c>
      <c r="M976" s="80">
        <v>0</v>
      </c>
      <c r="N976" s="80">
        <v>0</v>
      </c>
      <c r="O976" s="80">
        <v>1</v>
      </c>
      <c r="P976" s="80">
        <v>0</v>
      </c>
      <c r="Q976" s="80">
        <v>2</v>
      </c>
      <c r="R976" s="80">
        <v>0</v>
      </c>
      <c r="S976" s="80">
        <v>0</v>
      </c>
      <c r="T976" s="80">
        <v>1</v>
      </c>
      <c r="U976" s="80">
        <v>3</v>
      </c>
      <c r="V976" s="80">
        <v>2</v>
      </c>
      <c r="W976" s="80">
        <v>1</v>
      </c>
      <c r="X976" s="80">
        <v>0</v>
      </c>
      <c r="Y976" s="80">
        <v>0</v>
      </c>
      <c r="Z976" s="80">
        <v>0</v>
      </c>
      <c r="AA976" s="80">
        <v>1</v>
      </c>
      <c r="AB976" s="80">
        <v>1</v>
      </c>
      <c r="AC976" s="80">
        <v>2</v>
      </c>
      <c r="AD976" s="80">
        <v>1</v>
      </c>
      <c r="AE976" s="80">
        <v>1</v>
      </c>
      <c r="AF976" s="80">
        <v>0</v>
      </c>
      <c r="AG976" s="81">
        <v>0</v>
      </c>
      <c r="AH976" s="80">
        <v>1</v>
      </c>
      <c r="AI976" s="81">
        <v>0</v>
      </c>
      <c r="AJ976" s="81">
        <v>0</v>
      </c>
      <c r="AK976" s="81">
        <v>0</v>
      </c>
      <c r="AL976" s="81">
        <v>0</v>
      </c>
      <c r="AM976" s="81">
        <v>0</v>
      </c>
      <c r="AN976" s="81">
        <v>0</v>
      </c>
      <c r="AO976" s="81">
        <v>0</v>
      </c>
    </row>
    <row r="977" spans="1:41" ht="15.75" x14ac:dyDescent="0.25">
      <c r="A977" s="84">
        <v>27</v>
      </c>
      <c r="B977" s="84"/>
      <c r="C977" s="84" t="s">
        <v>411</v>
      </c>
      <c r="D977" s="80" t="s">
        <v>247</v>
      </c>
      <c r="E977" s="80">
        <v>0</v>
      </c>
      <c r="F977" s="80">
        <v>0</v>
      </c>
      <c r="G977" s="80">
        <v>0</v>
      </c>
      <c r="H977" s="80">
        <v>1</v>
      </c>
      <c r="I977" s="80">
        <v>1</v>
      </c>
      <c r="J977" s="80">
        <v>0</v>
      </c>
      <c r="K977" s="80">
        <v>0</v>
      </c>
      <c r="L977" s="80">
        <v>0</v>
      </c>
      <c r="M977" s="80">
        <v>0</v>
      </c>
      <c r="N977" s="80">
        <v>0</v>
      </c>
      <c r="O977" s="80">
        <v>0</v>
      </c>
      <c r="P977" s="80">
        <v>0</v>
      </c>
      <c r="Q977" s="80">
        <v>0</v>
      </c>
      <c r="R977" s="80">
        <v>0</v>
      </c>
      <c r="S977" s="80">
        <v>0</v>
      </c>
      <c r="T977" s="80">
        <v>0</v>
      </c>
      <c r="U977" s="80">
        <v>0</v>
      </c>
      <c r="V977" s="80">
        <v>0</v>
      </c>
      <c r="W977" s="80">
        <v>0</v>
      </c>
      <c r="X977" s="80">
        <v>0</v>
      </c>
      <c r="Y977" s="80">
        <v>0</v>
      </c>
      <c r="Z977" s="80">
        <v>0</v>
      </c>
      <c r="AA977" s="80">
        <v>0</v>
      </c>
      <c r="AB977" s="80">
        <v>0</v>
      </c>
      <c r="AC977" s="80">
        <v>0</v>
      </c>
      <c r="AD977" s="80">
        <v>0</v>
      </c>
      <c r="AE977" s="80">
        <v>0</v>
      </c>
      <c r="AF977" s="80">
        <v>0</v>
      </c>
      <c r="AG977" s="81">
        <v>0</v>
      </c>
      <c r="AH977" s="80">
        <v>0</v>
      </c>
      <c r="AI977" s="81">
        <v>0</v>
      </c>
      <c r="AJ977" s="81">
        <v>0</v>
      </c>
      <c r="AK977" s="81">
        <v>0</v>
      </c>
      <c r="AL977" s="81">
        <v>0</v>
      </c>
      <c r="AM977" s="81">
        <v>0</v>
      </c>
      <c r="AN977" s="81">
        <v>0</v>
      </c>
      <c r="AO977" s="81">
        <v>0</v>
      </c>
    </row>
    <row r="978" spans="1:41" ht="15.75" x14ac:dyDescent="0.25">
      <c r="A978" s="84"/>
      <c r="B978" s="84"/>
      <c r="C978" s="84"/>
      <c r="D978" s="80" t="s">
        <v>248</v>
      </c>
      <c r="E978" s="80">
        <v>0</v>
      </c>
      <c r="F978" s="80">
        <v>0</v>
      </c>
      <c r="G978" s="80">
        <v>0</v>
      </c>
      <c r="H978" s="80">
        <v>2</v>
      </c>
      <c r="I978" s="80">
        <v>2</v>
      </c>
      <c r="J978" s="80">
        <v>3</v>
      </c>
      <c r="K978" s="80">
        <v>0</v>
      </c>
      <c r="L978" s="80">
        <v>0</v>
      </c>
      <c r="M978" s="80">
        <v>0</v>
      </c>
      <c r="N978" s="80">
        <v>0</v>
      </c>
      <c r="O978" s="80">
        <v>1</v>
      </c>
      <c r="P978" s="80">
        <v>0</v>
      </c>
      <c r="Q978" s="80">
        <v>1</v>
      </c>
      <c r="R978" s="80">
        <v>0</v>
      </c>
      <c r="S978" s="80">
        <v>0</v>
      </c>
      <c r="T978" s="80">
        <v>1</v>
      </c>
      <c r="U978" s="80">
        <v>2</v>
      </c>
      <c r="V978" s="80">
        <v>2</v>
      </c>
      <c r="W978" s="80">
        <v>1</v>
      </c>
      <c r="X978" s="80">
        <v>0</v>
      </c>
      <c r="Y978" s="80">
        <v>0</v>
      </c>
      <c r="Z978" s="80">
        <v>0</v>
      </c>
      <c r="AA978" s="80">
        <v>1</v>
      </c>
      <c r="AB978" s="80">
        <v>1</v>
      </c>
      <c r="AC978" s="80">
        <v>1</v>
      </c>
      <c r="AD978" s="80">
        <v>1</v>
      </c>
      <c r="AE978" s="80">
        <v>1</v>
      </c>
      <c r="AF978" s="80">
        <v>0</v>
      </c>
      <c r="AG978" s="81">
        <v>0</v>
      </c>
      <c r="AH978" s="80">
        <v>1</v>
      </c>
      <c r="AI978" s="81">
        <v>0</v>
      </c>
      <c r="AJ978" s="81">
        <v>0</v>
      </c>
      <c r="AK978" s="81">
        <v>0</v>
      </c>
      <c r="AL978" s="81">
        <v>0</v>
      </c>
      <c r="AM978" s="81">
        <v>0</v>
      </c>
      <c r="AN978" s="81">
        <v>0</v>
      </c>
      <c r="AO978" s="81">
        <v>0</v>
      </c>
    </row>
    <row r="979" spans="1:41" ht="15.75" x14ac:dyDescent="0.25">
      <c r="A979" s="84"/>
      <c r="B979" s="84"/>
      <c r="C979" s="84"/>
      <c r="D979" s="80" t="s">
        <v>258</v>
      </c>
      <c r="E979" s="80">
        <v>0</v>
      </c>
      <c r="F979" s="80">
        <v>0</v>
      </c>
      <c r="G979" s="80">
        <v>0</v>
      </c>
      <c r="H979" s="80">
        <v>0</v>
      </c>
      <c r="I979" s="80">
        <v>0</v>
      </c>
      <c r="J979" s="80">
        <v>0</v>
      </c>
      <c r="K979" s="80">
        <v>0</v>
      </c>
      <c r="L979" s="80">
        <v>1</v>
      </c>
      <c r="M979" s="80">
        <v>0</v>
      </c>
      <c r="N979" s="80">
        <v>0</v>
      </c>
      <c r="O979" s="80">
        <v>0</v>
      </c>
      <c r="P979" s="80">
        <v>0</v>
      </c>
      <c r="Q979" s="80">
        <v>1</v>
      </c>
      <c r="R979" s="80">
        <v>0</v>
      </c>
      <c r="S979" s="80">
        <v>0</v>
      </c>
      <c r="T979" s="80">
        <v>0</v>
      </c>
      <c r="U979" s="80">
        <v>1</v>
      </c>
      <c r="V979" s="80">
        <v>0</v>
      </c>
      <c r="W979" s="80">
        <v>0</v>
      </c>
      <c r="X979" s="80">
        <v>0</v>
      </c>
      <c r="Y979" s="80">
        <v>0</v>
      </c>
      <c r="Z979" s="80">
        <v>0</v>
      </c>
      <c r="AA979" s="80">
        <v>0</v>
      </c>
      <c r="AB979" s="80">
        <v>0</v>
      </c>
      <c r="AC979" s="80">
        <v>1</v>
      </c>
      <c r="AD979" s="80">
        <v>0</v>
      </c>
      <c r="AE979" s="80">
        <v>0</v>
      </c>
      <c r="AF979" s="80">
        <v>0</v>
      </c>
      <c r="AG979" s="80">
        <v>0</v>
      </c>
      <c r="AH979" s="80">
        <v>0</v>
      </c>
      <c r="AI979" s="80">
        <v>0</v>
      </c>
      <c r="AJ979" s="80">
        <v>0</v>
      </c>
      <c r="AK979" s="80">
        <v>0</v>
      </c>
      <c r="AL979" s="80">
        <v>0</v>
      </c>
      <c r="AM979" s="81">
        <v>0</v>
      </c>
      <c r="AN979" s="81">
        <v>0</v>
      </c>
      <c r="AO979" s="81">
        <v>0</v>
      </c>
    </row>
    <row r="980" spans="1:41" ht="15.75" x14ac:dyDescent="0.25">
      <c r="A980" s="84">
        <v>28</v>
      </c>
      <c r="B980" s="84" t="s">
        <v>89</v>
      </c>
      <c r="C980" s="84" t="s">
        <v>176</v>
      </c>
      <c r="D980" s="80" t="s">
        <v>245</v>
      </c>
      <c r="E980" s="80">
        <v>0</v>
      </c>
      <c r="F980" s="80">
        <v>0</v>
      </c>
      <c r="G980" s="80">
        <v>0</v>
      </c>
      <c r="H980" s="80">
        <v>2</v>
      </c>
      <c r="I980" s="80">
        <v>1</v>
      </c>
      <c r="J980" s="80">
        <v>1</v>
      </c>
      <c r="K980" s="80">
        <v>0</v>
      </c>
      <c r="L980" s="80">
        <v>0</v>
      </c>
      <c r="M980" s="80">
        <v>1</v>
      </c>
      <c r="N980" s="80">
        <v>0</v>
      </c>
      <c r="O980" s="80">
        <v>1</v>
      </c>
      <c r="P980" s="80">
        <v>0</v>
      </c>
      <c r="Q980" s="80">
        <v>1</v>
      </c>
      <c r="R980" s="80">
        <v>1</v>
      </c>
      <c r="S980" s="80">
        <v>0</v>
      </c>
      <c r="T980" s="80">
        <v>0</v>
      </c>
      <c r="U980" s="80">
        <v>1</v>
      </c>
      <c r="V980" s="80">
        <v>1</v>
      </c>
      <c r="W980" s="80">
        <v>1</v>
      </c>
      <c r="X980" s="80">
        <v>0</v>
      </c>
      <c r="Y980" s="80">
        <v>0</v>
      </c>
      <c r="Z980" s="80">
        <v>3</v>
      </c>
      <c r="AA980" s="80">
        <v>0</v>
      </c>
      <c r="AB980" s="80">
        <v>0</v>
      </c>
      <c r="AC980" s="80">
        <v>0</v>
      </c>
      <c r="AD980" s="80">
        <v>1</v>
      </c>
      <c r="AE980" s="80">
        <v>0</v>
      </c>
      <c r="AF980" s="80">
        <v>0</v>
      </c>
      <c r="AG980" s="81">
        <v>1</v>
      </c>
      <c r="AH980" s="80">
        <v>0</v>
      </c>
      <c r="AI980" s="81">
        <v>0</v>
      </c>
      <c r="AJ980" s="81">
        <v>0</v>
      </c>
      <c r="AK980" s="81">
        <v>0</v>
      </c>
      <c r="AL980" s="81">
        <v>0</v>
      </c>
      <c r="AM980" s="81">
        <v>0</v>
      </c>
      <c r="AN980" s="81">
        <v>0</v>
      </c>
      <c r="AO980" s="81">
        <v>0</v>
      </c>
    </row>
    <row r="981" spans="1:41" ht="15.75" x14ac:dyDescent="0.25">
      <c r="A981" s="84"/>
      <c r="B981" s="84"/>
      <c r="C981" s="84"/>
      <c r="D981" s="80" t="s">
        <v>246</v>
      </c>
      <c r="E981" s="80">
        <v>0</v>
      </c>
      <c r="F981" s="80">
        <v>0</v>
      </c>
      <c r="G981" s="80">
        <v>0</v>
      </c>
      <c r="H981" s="80">
        <v>2</v>
      </c>
      <c r="I981" s="80">
        <v>1</v>
      </c>
      <c r="J981" s="80">
        <v>1</v>
      </c>
      <c r="K981" s="80">
        <v>0</v>
      </c>
      <c r="L981" s="80">
        <v>0</v>
      </c>
      <c r="M981" s="80">
        <v>1</v>
      </c>
      <c r="N981" s="80">
        <v>0</v>
      </c>
      <c r="O981" s="80">
        <v>1</v>
      </c>
      <c r="P981" s="80">
        <v>0</v>
      </c>
      <c r="Q981" s="80">
        <v>1</v>
      </c>
      <c r="R981" s="80">
        <v>1</v>
      </c>
      <c r="S981" s="80">
        <v>0</v>
      </c>
      <c r="T981" s="80">
        <v>0</v>
      </c>
      <c r="U981" s="80">
        <v>1</v>
      </c>
      <c r="V981" s="80">
        <v>1</v>
      </c>
      <c r="W981" s="80">
        <v>1</v>
      </c>
      <c r="X981" s="80">
        <v>0</v>
      </c>
      <c r="Y981" s="80">
        <v>0</v>
      </c>
      <c r="Z981" s="80">
        <v>3</v>
      </c>
      <c r="AA981" s="80">
        <v>0</v>
      </c>
      <c r="AB981" s="80">
        <v>0</v>
      </c>
      <c r="AC981" s="80">
        <v>0</v>
      </c>
      <c r="AD981" s="80">
        <v>1</v>
      </c>
      <c r="AE981" s="80">
        <v>0</v>
      </c>
      <c r="AF981" s="80">
        <v>0</v>
      </c>
      <c r="AG981" s="81">
        <v>1</v>
      </c>
      <c r="AH981" s="80">
        <v>0</v>
      </c>
      <c r="AI981" s="81">
        <v>0</v>
      </c>
      <c r="AJ981" s="81">
        <v>0</v>
      </c>
      <c r="AK981" s="81">
        <v>0</v>
      </c>
      <c r="AL981" s="81">
        <v>0</v>
      </c>
      <c r="AM981" s="81">
        <v>0</v>
      </c>
      <c r="AN981" s="81">
        <v>0</v>
      </c>
      <c r="AO981" s="81">
        <v>0</v>
      </c>
    </row>
    <row r="982" spans="1:41" ht="15.75" x14ac:dyDescent="0.25">
      <c r="A982" s="84"/>
      <c r="B982" s="84"/>
      <c r="C982" s="84"/>
      <c r="D982" s="80" t="s">
        <v>247</v>
      </c>
      <c r="E982" s="80">
        <v>0</v>
      </c>
      <c r="F982" s="80">
        <v>0</v>
      </c>
      <c r="G982" s="80">
        <v>0</v>
      </c>
      <c r="H982" s="80">
        <v>0</v>
      </c>
      <c r="I982" s="80">
        <v>0</v>
      </c>
      <c r="J982" s="80">
        <v>0</v>
      </c>
      <c r="K982" s="80">
        <v>0</v>
      </c>
      <c r="L982" s="80">
        <v>0</v>
      </c>
      <c r="M982" s="80">
        <v>0</v>
      </c>
      <c r="N982" s="80">
        <v>0</v>
      </c>
      <c r="O982" s="80">
        <v>0</v>
      </c>
      <c r="P982" s="80">
        <v>0</v>
      </c>
      <c r="Q982" s="80">
        <v>0</v>
      </c>
      <c r="R982" s="80">
        <v>0</v>
      </c>
      <c r="S982" s="80">
        <v>0</v>
      </c>
      <c r="T982" s="80">
        <v>0</v>
      </c>
      <c r="U982" s="80">
        <v>0</v>
      </c>
      <c r="V982" s="80">
        <v>0</v>
      </c>
      <c r="W982" s="80">
        <v>0</v>
      </c>
      <c r="X982" s="80">
        <v>0</v>
      </c>
      <c r="Y982" s="80">
        <v>0</v>
      </c>
      <c r="Z982" s="80">
        <v>0</v>
      </c>
      <c r="AA982" s="80">
        <v>0</v>
      </c>
      <c r="AB982" s="80">
        <v>0</v>
      </c>
      <c r="AC982" s="80">
        <v>0</v>
      </c>
      <c r="AD982" s="80">
        <v>0</v>
      </c>
      <c r="AE982" s="80">
        <v>0</v>
      </c>
      <c r="AF982" s="80">
        <v>0</v>
      </c>
      <c r="AG982" s="81">
        <v>0</v>
      </c>
      <c r="AH982" s="80">
        <v>0</v>
      </c>
      <c r="AI982" s="81">
        <v>0</v>
      </c>
      <c r="AJ982" s="81">
        <v>0</v>
      </c>
      <c r="AK982" s="81">
        <v>0</v>
      </c>
      <c r="AL982" s="81">
        <v>0</v>
      </c>
      <c r="AM982" s="81">
        <v>0</v>
      </c>
      <c r="AN982" s="81">
        <v>0</v>
      </c>
      <c r="AO982" s="81">
        <v>0</v>
      </c>
    </row>
    <row r="983" spans="1:41" ht="15.75" x14ac:dyDescent="0.25">
      <c r="A983" s="84"/>
      <c r="B983" s="84"/>
      <c r="C983" s="84"/>
      <c r="D983" s="80" t="s">
        <v>248</v>
      </c>
      <c r="E983" s="80">
        <v>0</v>
      </c>
      <c r="F983" s="80">
        <v>0</v>
      </c>
      <c r="G983" s="80">
        <v>0</v>
      </c>
      <c r="H983" s="80">
        <v>2</v>
      </c>
      <c r="I983" s="80">
        <v>1</v>
      </c>
      <c r="J983" s="80">
        <v>1</v>
      </c>
      <c r="K983" s="80">
        <v>0</v>
      </c>
      <c r="L983" s="80">
        <v>0</v>
      </c>
      <c r="M983" s="80">
        <v>1</v>
      </c>
      <c r="N983" s="80">
        <v>0</v>
      </c>
      <c r="O983" s="80">
        <v>1</v>
      </c>
      <c r="P983" s="80">
        <v>0</v>
      </c>
      <c r="Q983" s="80">
        <v>1</v>
      </c>
      <c r="R983" s="80">
        <v>1</v>
      </c>
      <c r="S983" s="80">
        <v>0</v>
      </c>
      <c r="T983" s="80">
        <v>0</v>
      </c>
      <c r="U983" s="80">
        <v>1</v>
      </c>
      <c r="V983" s="80">
        <v>1</v>
      </c>
      <c r="W983" s="80">
        <v>1</v>
      </c>
      <c r="X983" s="80">
        <v>0</v>
      </c>
      <c r="Y983" s="80">
        <v>0</v>
      </c>
      <c r="Z983" s="80">
        <v>3</v>
      </c>
      <c r="AA983" s="80">
        <v>0</v>
      </c>
      <c r="AB983" s="80">
        <v>0</v>
      </c>
      <c r="AC983" s="80">
        <v>0</v>
      </c>
      <c r="AD983" s="80">
        <v>1</v>
      </c>
      <c r="AE983" s="80">
        <v>0</v>
      </c>
      <c r="AF983" s="80">
        <v>0</v>
      </c>
      <c r="AG983" s="81">
        <v>1</v>
      </c>
      <c r="AH983" s="80">
        <v>0</v>
      </c>
      <c r="AI983" s="81">
        <v>0</v>
      </c>
      <c r="AJ983" s="81">
        <v>0</v>
      </c>
      <c r="AK983" s="81">
        <v>0</v>
      </c>
      <c r="AL983" s="81">
        <v>0</v>
      </c>
      <c r="AM983" s="81">
        <v>0</v>
      </c>
      <c r="AN983" s="81">
        <v>0</v>
      </c>
      <c r="AO983" s="81">
        <v>0</v>
      </c>
    </row>
    <row r="984" spans="1:41" ht="15.75" x14ac:dyDescent="0.25">
      <c r="A984" s="84"/>
      <c r="B984" s="84"/>
      <c r="C984" s="84"/>
      <c r="D984" s="80" t="s">
        <v>258</v>
      </c>
      <c r="E984" s="80">
        <v>0</v>
      </c>
      <c r="F984" s="80">
        <v>0</v>
      </c>
      <c r="G984" s="80">
        <v>0</v>
      </c>
      <c r="H984" s="80">
        <v>0</v>
      </c>
      <c r="I984" s="80">
        <v>0</v>
      </c>
      <c r="J984" s="80">
        <v>0</v>
      </c>
      <c r="K984" s="80">
        <v>0</v>
      </c>
      <c r="L984" s="80">
        <v>0</v>
      </c>
      <c r="M984" s="80">
        <v>0</v>
      </c>
      <c r="N984" s="80">
        <v>0</v>
      </c>
      <c r="O984" s="80">
        <v>0</v>
      </c>
      <c r="P984" s="80">
        <v>0</v>
      </c>
      <c r="Q984" s="80">
        <v>0</v>
      </c>
      <c r="R984" s="80">
        <v>0</v>
      </c>
      <c r="S984" s="80">
        <v>0</v>
      </c>
      <c r="T984" s="80">
        <v>0</v>
      </c>
      <c r="U984" s="80">
        <v>0</v>
      </c>
      <c r="V984" s="80">
        <v>0</v>
      </c>
      <c r="W984" s="80">
        <v>0</v>
      </c>
      <c r="X984" s="80">
        <v>0</v>
      </c>
      <c r="Y984" s="80">
        <v>0</v>
      </c>
      <c r="Z984" s="80">
        <v>0</v>
      </c>
      <c r="AA984" s="80">
        <v>0</v>
      </c>
      <c r="AB984" s="80">
        <v>0</v>
      </c>
      <c r="AC984" s="80">
        <v>0</v>
      </c>
      <c r="AD984" s="80">
        <v>0</v>
      </c>
      <c r="AE984" s="80">
        <v>0</v>
      </c>
      <c r="AF984" s="80">
        <v>0</v>
      </c>
      <c r="AG984" s="80">
        <v>0</v>
      </c>
      <c r="AH984" s="80">
        <v>0</v>
      </c>
      <c r="AI984" s="80">
        <v>0</v>
      </c>
      <c r="AJ984" s="80">
        <v>0</v>
      </c>
      <c r="AK984" s="80">
        <v>0</v>
      </c>
      <c r="AL984" s="80">
        <v>0</v>
      </c>
      <c r="AM984" s="81">
        <v>0</v>
      </c>
      <c r="AN984" s="81">
        <v>0</v>
      </c>
      <c r="AO984" s="81">
        <v>0</v>
      </c>
    </row>
    <row r="985" spans="1:41" ht="15.75" x14ac:dyDescent="0.25">
      <c r="A985" s="84">
        <v>29</v>
      </c>
      <c r="B985" s="84"/>
      <c r="C985" s="84" t="s">
        <v>89</v>
      </c>
      <c r="D985" s="80" t="s">
        <v>245</v>
      </c>
      <c r="E985" s="80">
        <v>0</v>
      </c>
      <c r="F985" s="80">
        <v>0</v>
      </c>
      <c r="G985" s="80">
        <v>0</v>
      </c>
      <c r="H985" s="80">
        <v>1</v>
      </c>
      <c r="I985" s="80">
        <v>0</v>
      </c>
      <c r="J985" s="80">
        <v>1</v>
      </c>
      <c r="K985" s="80">
        <v>0</v>
      </c>
      <c r="L985" s="80">
        <v>0</v>
      </c>
      <c r="M985" s="80">
        <v>1</v>
      </c>
      <c r="N985" s="80">
        <v>0</v>
      </c>
      <c r="O985" s="80">
        <v>0</v>
      </c>
      <c r="P985" s="80">
        <v>0</v>
      </c>
      <c r="Q985" s="80">
        <v>0</v>
      </c>
      <c r="R985" s="80">
        <v>0</v>
      </c>
      <c r="S985" s="80">
        <v>0</v>
      </c>
      <c r="T985" s="80">
        <v>0</v>
      </c>
      <c r="U985" s="80">
        <v>0</v>
      </c>
      <c r="V985" s="80">
        <v>0</v>
      </c>
      <c r="W985" s="80">
        <v>0</v>
      </c>
      <c r="X985" s="80">
        <v>0</v>
      </c>
      <c r="Y985" s="80">
        <v>0</v>
      </c>
      <c r="Z985" s="80">
        <v>2</v>
      </c>
      <c r="AA985" s="80">
        <v>0</v>
      </c>
      <c r="AB985" s="80">
        <v>0</v>
      </c>
      <c r="AC985" s="80">
        <v>0</v>
      </c>
      <c r="AD985" s="80">
        <v>0</v>
      </c>
      <c r="AE985" s="80">
        <v>0</v>
      </c>
      <c r="AF985" s="80">
        <v>0</v>
      </c>
      <c r="AG985" s="80">
        <v>0</v>
      </c>
      <c r="AH985" s="80">
        <v>0</v>
      </c>
      <c r="AI985" s="80">
        <v>0</v>
      </c>
      <c r="AJ985" s="80">
        <v>0</v>
      </c>
      <c r="AK985" s="80">
        <v>0</v>
      </c>
      <c r="AL985" s="80">
        <v>0</v>
      </c>
      <c r="AM985" s="80">
        <v>0</v>
      </c>
      <c r="AN985" s="80">
        <v>0</v>
      </c>
      <c r="AO985" s="80">
        <v>0</v>
      </c>
    </row>
    <row r="986" spans="1:41" ht="15.75" x14ac:dyDescent="0.25">
      <c r="A986" s="84"/>
      <c r="B986" s="84"/>
      <c r="C986" s="84"/>
      <c r="D986" s="80" t="s">
        <v>246</v>
      </c>
      <c r="E986" s="80">
        <v>0</v>
      </c>
      <c r="F986" s="80">
        <v>0</v>
      </c>
      <c r="G986" s="80">
        <v>0</v>
      </c>
      <c r="H986" s="80">
        <v>0</v>
      </c>
      <c r="I986" s="80">
        <v>0</v>
      </c>
      <c r="J986" s="80">
        <v>1</v>
      </c>
      <c r="K986" s="80">
        <v>0</v>
      </c>
      <c r="L986" s="80">
        <v>0</v>
      </c>
      <c r="M986" s="80">
        <v>0</v>
      </c>
      <c r="N986" s="80">
        <v>0</v>
      </c>
      <c r="O986" s="80">
        <v>0</v>
      </c>
      <c r="P986" s="80">
        <v>0</v>
      </c>
      <c r="Q986" s="80">
        <v>0</v>
      </c>
      <c r="R986" s="80">
        <v>0</v>
      </c>
      <c r="S986" s="80">
        <v>0</v>
      </c>
      <c r="T986" s="80">
        <v>0</v>
      </c>
      <c r="U986" s="80">
        <v>0</v>
      </c>
      <c r="V986" s="80">
        <v>0</v>
      </c>
      <c r="W986" s="80">
        <v>0</v>
      </c>
      <c r="X986" s="80">
        <v>0</v>
      </c>
      <c r="Y986" s="80">
        <v>0</v>
      </c>
      <c r="Z986" s="80">
        <v>2</v>
      </c>
      <c r="AA986" s="80">
        <v>0</v>
      </c>
      <c r="AB986" s="80">
        <v>0</v>
      </c>
      <c r="AC986" s="80">
        <v>0</v>
      </c>
      <c r="AD986" s="80">
        <v>0</v>
      </c>
      <c r="AE986" s="80">
        <v>0</v>
      </c>
      <c r="AF986" s="80">
        <v>0</v>
      </c>
      <c r="AG986" s="80">
        <v>0</v>
      </c>
      <c r="AH986" s="80">
        <v>0</v>
      </c>
      <c r="AI986" s="80">
        <v>0</v>
      </c>
      <c r="AJ986" s="80">
        <v>0</v>
      </c>
      <c r="AK986" s="80">
        <v>0</v>
      </c>
      <c r="AL986" s="80">
        <v>0</v>
      </c>
      <c r="AM986" s="80">
        <v>0</v>
      </c>
      <c r="AN986" s="80">
        <v>0</v>
      </c>
      <c r="AO986" s="80">
        <v>0</v>
      </c>
    </row>
    <row r="987" spans="1:41" ht="15.75" x14ac:dyDescent="0.25">
      <c r="A987" s="84"/>
      <c r="B987" s="84"/>
      <c r="C987" s="84"/>
      <c r="D987" s="80" t="s">
        <v>247</v>
      </c>
      <c r="E987" s="80">
        <v>0</v>
      </c>
      <c r="F987" s="80">
        <v>0</v>
      </c>
      <c r="G987" s="80">
        <v>0</v>
      </c>
      <c r="H987" s="80">
        <v>1</v>
      </c>
      <c r="I987" s="80">
        <v>0</v>
      </c>
      <c r="J987" s="80">
        <v>0</v>
      </c>
      <c r="K987" s="80">
        <v>0</v>
      </c>
      <c r="L987" s="80">
        <v>0</v>
      </c>
      <c r="M987" s="80">
        <v>1</v>
      </c>
      <c r="N987" s="80">
        <v>0</v>
      </c>
      <c r="O987" s="80">
        <v>0</v>
      </c>
      <c r="P987" s="80">
        <v>0</v>
      </c>
      <c r="Q987" s="80">
        <v>0</v>
      </c>
      <c r="R987" s="80">
        <v>0</v>
      </c>
      <c r="S987" s="80">
        <v>0</v>
      </c>
      <c r="T987" s="80">
        <v>0</v>
      </c>
      <c r="U987" s="80">
        <v>0</v>
      </c>
      <c r="V987" s="80">
        <v>0</v>
      </c>
      <c r="W987" s="80">
        <v>0</v>
      </c>
      <c r="X987" s="80">
        <v>0</v>
      </c>
      <c r="Y987" s="80">
        <v>0</v>
      </c>
      <c r="Z987" s="80">
        <v>0</v>
      </c>
      <c r="AA987" s="80">
        <v>0</v>
      </c>
      <c r="AB987" s="80">
        <v>0</v>
      </c>
      <c r="AC987" s="80">
        <v>0</v>
      </c>
      <c r="AD987" s="80">
        <v>0</v>
      </c>
      <c r="AE987" s="80">
        <v>0</v>
      </c>
      <c r="AF987" s="80">
        <v>0</v>
      </c>
      <c r="AG987" s="80">
        <v>0</v>
      </c>
      <c r="AH987" s="80">
        <v>0</v>
      </c>
      <c r="AI987" s="80">
        <v>0</v>
      </c>
      <c r="AJ987" s="80">
        <v>0</v>
      </c>
      <c r="AK987" s="80">
        <v>0</v>
      </c>
      <c r="AL987" s="80">
        <v>0</v>
      </c>
      <c r="AM987" s="80">
        <v>0</v>
      </c>
      <c r="AN987" s="80">
        <v>0</v>
      </c>
      <c r="AO987" s="80">
        <v>0</v>
      </c>
    </row>
    <row r="988" spans="1:41" ht="15.75" x14ac:dyDescent="0.25">
      <c r="A988" s="84"/>
      <c r="B988" s="84"/>
      <c r="C988" s="84"/>
      <c r="D988" s="80" t="s">
        <v>248</v>
      </c>
      <c r="E988" s="80">
        <v>0</v>
      </c>
      <c r="F988" s="80">
        <v>0</v>
      </c>
      <c r="G988" s="80">
        <v>0</v>
      </c>
      <c r="H988" s="80">
        <v>0</v>
      </c>
      <c r="I988" s="80">
        <v>0</v>
      </c>
      <c r="J988" s="80">
        <v>1</v>
      </c>
      <c r="K988" s="80">
        <v>0</v>
      </c>
      <c r="L988" s="80">
        <v>0</v>
      </c>
      <c r="M988" s="80">
        <v>0</v>
      </c>
      <c r="N988" s="80">
        <v>0</v>
      </c>
      <c r="O988" s="80">
        <v>0</v>
      </c>
      <c r="P988" s="80">
        <v>0</v>
      </c>
      <c r="Q988" s="80">
        <v>0</v>
      </c>
      <c r="R988" s="80">
        <v>0</v>
      </c>
      <c r="S988" s="80">
        <v>0</v>
      </c>
      <c r="T988" s="80">
        <v>0</v>
      </c>
      <c r="U988" s="80">
        <v>0</v>
      </c>
      <c r="V988" s="80">
        <v>0</v>
      </c>
      <c r="W988" s="80">
        <v>0</v>
      </c>
      <c r="X988" s="80">
        <v>0</v>
      </c>
      <c r="Y988" s="80">
        <v>0</v>
      </c>
      <c r="Z988" s="80">
        <v>2</v>
      </c>
      <c r="AA988" s="80">
        <v>0</v>
      </c>
      <c r="AB988" s="80">
        <v>0</v>
      </c>
      <c r="AC988" s="80">
        <v>0</v>
      </c>
      <c r="AD988" s="80">
        <v>0</v>
      </c>
      <c r="AE988" s="80">
        <v>0</v>
      </c>
      <c r="AF988" s="80">
        <v>0</v>
      </c>
      <c r="AG988" s="80">
        <v>0</v>
      </c>
      <c r="AH988" s="80">
        <v>0</v>
      </c>
      <c r="AI988" s="80">
        <v>0</v>
      </c>
      <c r="AJ988" s="80">
        <v>0</v>
      </c>
      <c r="AK988" s="80">
        <v>0</v>
      </c>
      <c r="AL988" s="80">
        <v>0</v>
      </c>
      <c r="AM988" s="80">
        <v>0</v>
      </c>
      <c r="AN988" s="80">
        <v>0</v>
      </c>
      <c r="AO988" s="80">
        <v>0</v>
      </c>
    </row>
    <row r="989" spans="1:41" ht="15.75" x14ac:dyDescent="0.25">
      <c r="A989" s="84"/>
      <c r="B989" s="84"/>
      <c r="C989" s="84"/>
      <c r="D989" s="80" t="s">
        <v>258</v>
      </c>
      <c r="E989" s="80">
        <v>0</v>
      </c>
      <c r="F989" s="80">
        <v>0</v>
      </c>
      <c r="G989" s="80">
        <v>0</v>
      </c>
      <c r="H989" s="80">
        <v>0</v>
      </c>
      <c r="I989" s="80">
        <v>0</v>
      </c>
      <c r="J989" s="80">
        <v>0</v>
      </c>
      <c r="K989" s="80">
        <v>0</v>
      </c>
      <c r="L989" s="80">
        <v>0</v>
      </c>
      <c r="M989" s="80">
        <v>0</v>
      </c>
      <c r="N989" s="80">
        <v>0</v>
      </c>
      <c r="O989" s="80">
        <v>0</v>
      </c>
      <c r="P989" s="80">
        <v>0</v>
      </c>
      <c r="Q989" s="80">
        <v>0</v>
      </c>
      <c r="R989" s="80">
        <v>0</v>
      </c>
      <c r="S989" s="80">
        <v>0</v>
      </c>
      <c r="T989" s="80">
        <v>0</v>
      </c>
      <c r="U989" s="80">
        <v>0</v>
      </c>
      <c r="V989" s="80">
        <v>0</v>
      </c>
      <c r="W989" s="80">
        <v>0</v>
      </c>
      <c r="X989" s="80">
        <v>0</v>
      </c>
      <c r="Y989" s="80">
        <v>0</v>
      </c>
      <c r="Z989" s="80">
        <v>0</v>
      </c>
      <c r="AA989" s="80">
        <v>0</v>
      </c>
      <c r="AB989" s="80">
        <v>0</v>
      </c>
      <c r="AC989" s="80">
        <v>0</v>
      </c>
      <c r="AD989" s="80">
        <v>0</v>
      </c>
      <c r="AE989" s="80">
        <v>0</v>
      </c>
      <c r="AF989" s="80">
        <v>0</v>
      </c>
      <c r="AG989" s="80">
        <v>0</v>
      </c>
      <c r="AH989" s="80">
        <v>0</v>
      </c>
      <c r="AI989" s="80">
        <v>0</v>
      </c>
      <c r="AJ989" s="80">
        <v>0</v>
      </c>
      <c r="AK989" s="80">
        <v>0</v>
      </c>
      <c r="AL989" s="80">
        <v>0</v>
      </c>
      <c r="AM989" s="80">
        <v>0</v>
      </c>
      <c r="AN989" s="80">
        <v>0</v>
      </c>
      <c r="AO989" s="80">
        <v>0</v>
      </c>
    </row>
    <row r="990" spans="1:41" ht="15.75" x14ac:dyDescent="0.25">
      <c r="A990" s="84">
        <v>30</v>
      </c>
      <c r="B990" s="84"/>
      <c r="C990" s="84" t="s">
        <v>185</v>
      </c>
      <c r="D990" s="80" t="s">
        <v>245</v>
      </c>
      <c r="E990" s="80">
        <v>0</v>
      </c>
      <c r="F990" s="80">
        <v>0</v>
      </c>
      <c r="G990" s="80">
        <v>0</v>
      </c>
      <c r="H990" s="80">
        <v>1</v>
      </c>
      <c r="I990" s="80">
        <v>1</v>
      </c>
      <c r="J990" s="80">
        <v>1</v>
      </c>
      <c r="K990" s="80">
        <v>0</v>
      </c>
      <c r="L990" s="80">
        <v>0</v>
      </c>
      <c r="M990" s="80">
        <v>0</v>
      </c>
      <c r="N990" s="80">
        <v>1</v>
      </c>
      <c r="O990" s="80">
        <v>1</v>
      </c>
      <c r="P990" s="80">
        <v>0</v>
      </c>
      <c r="Q990" s="80">
        <v>1</v>
      </c>
      <c r="R990" s="80">
        <v>0</v>
      </c>
      <c r="S990" s="80">
        <v>0</v>
      </c>
      <c r="T990" s="80">
        <v>0</v>
      </c>
      <c r="U990" s="80">
        <v>2</v>
      </c>
      <c r="V990" s="80">
        <v>1</v>
      </c>
      <c r="W990" s="80">
        <v>0</v>
      </c>
      <c r="X990" s="80">
        <v>0</v>
      </c>
      <c r="Y990" s="80">
        <v>0</v>
      </c>
      <c r="Z990" s="80">
        <v>3</v>
      </c>
      <c r="AA990" s="80">
        <v>1</v>
      </c>
      <c r="AB990" s="80">
        <v>0</v>
      </c>
      <c r="AC990" s="80">
        <v>0</v>
      </c>
      <c r="AD990" s="80">
        <v>0</v>
      </c>
      <c r="AE990" s="80">
        <v>0</v>
      </c>
      <c r="AF990" s="80">
        <v>0</v>
      </c>
      <c r="AG990" s="81">
        <v>2</v>
      </c>
      <c r="AH990" s="80">
        <v>0</v>
      </c>
      <c r="AI990" s="81">
        <v>0</v>
      </c>
      <c r="AJ990" s="81">
        <v>0</v>
      </c>
      <c r="AK990" s="81">
        <v>0</v>
      </c>
      <c r="AL990" s="81">
        <v>0</v>
      </c>
      <c r="AM990" s="80">
        <v>0</v>
      </c>
      <c r="AN990" s="80">
        <v>0</v>
      </c>
      <c r="AO990" s="80">
        <v>0</v>
      </c>
    </row>
    <row r="991" spans="1:41" ht="15.75" x14ac:dyDescent="0.25">
      <c r="A991" s="84"/>
      <c r="B991" s="84"/>
      <c r="C991" s="84"/>
      <c r="D991" s="80" t="s">
        <v>246</v>
      </c>
      <c r="E991" s="80">
        <v>0</v>
      </c>
      <c r="F991" s="80">
        <v>0</v>
      </c>
      <c r="G991" s="80">
        <v>0</v>
      </c>
      <c r="H991" s="80">
        <v>1</v>
      </c>
      <c r="I991" s="80">
        <v>1</v>
      </c>
      <c r="J991" s="80">
        <v>1</v>
      </c>
      <c r="K991" s="80">
        <v>0</v>
      </c>
      <c r="L991" s="80">
        <v>0</v>
      </c>
      <c r="M991" s="80">
        <v>0</v>
      </c>
      <c r="N991" s="80">
        <v>1</v>
      </c>
      <c r="O991" s="80">
        <v>1</v>
      </c>
      <c r="P991" s="80">
        <v>0</v>
      </c>
      <c r="Q991" s="80">
        <v>1</v>
      </c>
      <c r="R991" s="80">
        <v>0</v>
      </c>
      <c r="S991" s="80">
        <v>0</v>
      </c>
      <c r="T991" s="80">
        <v>0</v>
      </c>
      <c r="U991" s="80">
        <v>2</v>
      </c>
      <c r="V991" s="80">
        <v>1</v>
      </c>
      <c r="W991" s="80">
        <v>0</v>
      </c>
      <c r="X991" s="80">
        <v>0</v>
      </c>
      <c r="Y991" s="80">
        <v>0</v>
      </c>
      <c r="Z991" s="80">
        <v>3</v>
      </c>
      <c r="AA991" s="80">
        <v>1</v>
      </c>
      <c r="AB991" s="80">
        <v>0</v>
      </c>
      <c r="AC991" s="80">
        <v>0</v>
      </c>
      <c r="AD991" s="80">
        <v>0</v>
      </c>
      <c r="AE991" s="80">
        <v>0</v>
      </c>
      <c r="AF991" s="80">
        <v>0</v>
      </c>
      <c r="AG991" s="81">
        <v>2</v>
      </c>
      <c r="AH991" s="80">
        <v>0</v>
      </c>
      <c r="AI991" s="81">
        <v>0</v>
      </c>
      <c r="AJ991" s="81">
        <v>0</v>
      </c>
      <c r="AK991" s="81">
        <v>0</v>
      </c>
      <c r="AL991" s="81">
        <v>0</v>
      </c>
      <c r="AM991" s="80">
        <v>0</v>
      </c>
      <c r="AN991" s="80">
        <v>0</v>
      </c>
      <c r="AO991" s="80">
        <v>0</v>
      </c>
    </row>
    <row r="992" spans="1:41" ht="15.75" x14ac:dyDescent="0.25">
      <c r="A992" s="84"/>
      <c r="B992" s="84"/>
      <c r="C992" s="84"/>
      <c r="D992" s="80" t="s">
        <v>247</v>
      </c>
      <c r="E992" s="80">
        <v>0</v>
      </c>
      <c r="F992" s="80">
        <v>0</v>
      </c>
      <c r="G992" s="80">
        <v>0</v>
      </c>
      <c r="H992" s="80">
        <v>0</v>
      </c>
      <c r="I992" s="80">
        <v>0</v>
      </c>
      <c r="J992" s="80">
        <v>0</v>
      </c>
      <c r="K992" s="80">
        <v>0</v>
      </c>
      <c r="L992" s="80">
        <v>0</v>
      </c>
      <c r="M992" s="80">
        <v>0</v>
      </c>
      <c r="N992" s="80">
        <v>0</v>
      </c>
      <c r="O992" s="80">
        <v>0</v>
      </c>
      <c r="P992" s="80">
        <v>0</v>
      </c>
      <c r="Q992" s="80">
        <v>0</v>
      </c>
      <c r="R992" s="80">
        <v>0</v>
      </c>
      <c r="S992" s="80">
        <v>0</v>
      </c>
      <c r="T992" s="80">
        <v>0</v>
      </c>
      <c r="U992" s="80">
        <v>0</v>
      </c>
      <c r="V992" s="80">
        <v>0</v>
      </c>
      <c r="W992" s="80">
        <v>0</v>
      </c>
      <c r="X992" s="80">
        <v>0</v>
      </c>
      <c r="Y992" s="80">
        <v>0</v>
      </c>
      <c r="Z992" s="80">
        <v>0</v>
      </c>
      <c r="AA992" s="80">
        <v>0</v>
      </c>
      <c r="AB992" s="80">
        <v>0</v>
      </c>
      <c r="AC992" s="80">
        <v>0</v>
      </c>
      <c r="AD992" s="80">
        <v>0</v>
      </c>
      <c r="AE992" s="80">
        <v>0</v>
      </c>
      <c r="AF992" s="80">
        <v>0</v>
      </c>
      <c r="AG992" s="81">
        <v>0</v>
      </c>
      <c r="AH992" s="80">
        <v>0</v>
      </c>
      <c r="AI992" s="81">
        <v>0</v>
      </c>
      <c r="AJ992" s="81">
        <v>0</v>
      </c>
      <c r="AK992" s="81">
        <v>0</v>
      </c>
      <c r="AL992" s="81">
        <v>0</v>
      </c>
      <c r="AM992" s="80">
        <v>0</v>
      </c>
      <c r="AN992" s="80">
        <v>0</v>
      </c>
      <c r="AO992" s="80">
        <v>0</v>
      </c>
    </row>
    <row r="993" spans="1:41" ht="15.75" x14ac:dyDescent="0.25">
      <c r="A993" s="84"/>
      <c r="B993" s="84"/>
      <c r="C993" s="84"/>
      <c r="D993" s="80" t="s">
        <v>248</v>
      </c>
      <c r="E993" s="80">
        <v>0</v>
      </c>
      <c r="F993" s="80">
        <v>0</v>
      </c>
      <c r="G993" s="80">
        <v>0</v>
      </c>
      <c r="H993" s="80">
        <v>1</v>
      </c>
      <c r="I993" s="80">
        <v>1</v>
      </c>
      <c r="J993" s="80">
        <v>1</v>
      </c>
      <c r="K993" s="80">
        <v>0</v>
      </c>
      <c r="L993" s="80">
        <v>0</v>
      </c>
      <c r="M993" s="80">
        <v>0</v>
      </c>
      <c r="N993" s="80">
        <v>1</v>
      </c>
      <c r="O993" s="80">
        <v>1</v>
      </c>
      <c r="P993" s="80">
        <v>0</v>
      </c>
      <c r="Q993" s="80">
        <v>1</v>
      </c>
      <c r="R993" s="80">
        <v>0</v>
      </c>
      <c r="S993" s="80">
        <v>0</v>
      </c>
      <c r="T993" s="80">
        <v>0</v>
      </c>
      <c r="U993" s="80">
        <v>2</v>
      </c>
      <c r="V993" s="80">
        <v>1</v>
      </c>
      <c r="W993" s="80">
        <v>0</v>
      </c>
      <c r="X993" s="80">
        <v>0</v>
      </c>
      <c r="Y993" s="80">
        <v>0</v>
      </c>
      <c r="Z993" s="80">
        <v>3</v>
      </c>
      <c r="AA993" s="80">
        <v>1</v>
      </c>
      <c r="AB993" s="80">
        <v>0</v>
      </c>
      <c r="AC993" s="80">
        <v>0</v>
      </c>
      <c r="AD993" s="80">
        <v>0</v>
      </c>
      <c r="AE993" s="80">
        <v>0</v>
      </c>
      <c r="AF993" s="80">
        <v>0</v>
      </c>
      <c r="AG993" s="81">
        <v>2</v>
      </c>
      <c r="AH993" s="80">
        <v>0</v>
      </c>
      <c r="AI993" s="81">
        <v>0</v>
      </c>
      <c r="AJ993" s="81">
        <v>0</v>
      </c>
      <c r="AK993" s="81">
        <v>0</v>
      </c>
      <c r="AL993" s="81">
        <v>0</v>
      </c>
      <c r="AM993" s="80">
        <v>0</v>
      </c>
      <c r="AN993" s="80">
        <v>0</v>
      </c>
      <c r="AO993" s="80">
        <v>0</v>
      </c>
    </row>
    <row r="994" spans="1:41" ht="15.75" x14ac:dyDescent="0.25">
      <c r="A994" s="84"/>
      <c r="B994" s="84"/>
      <c r="C994" s="84"/>
      <c r="D994" s="80" t="s">
        <v>258</v>
      </c>
      <c r="E994" s="80">
        <v>0</v>
      </c>
      <c r="F994" s="80">
        <v>0</v>
      </c>
      <c r="G994" s="80">
        <v>0</v>
      </c>
      <c r="H994" s="80">
        <v>0</v>
      </c>
      <c r="I994" s="80">
        <v>0</v>
      </c>
      <c r="J994" s="80">
        <v>0</v>
      </c>
      <c r="K994" s="80">
        <v>0</v>
      </c>
      <c r="L994" s="80">
        <v>0</v>
      </c>
      <c r="M994" s="80">
        <v>0</v>
      </c>
      <c r="N994" s="80">
        <v>0</v>
      </c>
      <c r="O994" s="80">
        <v>0</v>
      </c>
      <c r="P994" s="80">
        <v>0</v>
      </c>
      <c r="Q994" s="80">
        <v>0</v>
      </c>
      <c r="R994" s="80">
        <v>0</v>
      </c>
      <c r="S994" s="80">
        <v>0</v>
      </c>
      <c r="T994" s="80">
        <v>0</v>
      </c>
      <c r="U994" s="80">
        <v>0</v>
      </c>
      <c r="V994" s="80">
        <v>0</v>
      </c>
      <c r="W994" s="80">
        <v>0</v>
      </c>
      <c r="X994" s="80">
        <v>0</v>
      </c>
      <c r="Y994" s="80">
        <v>0</v>
      </c>
      <c r="Z994" s="80">
        <v>0</v>
      </c>
      <c r="AA994" s="80">
        <v>0</v>
      </c>
      <c r="AB994" s="80">
        <v>0</v>
      </c>
      <c r="AC994" s="80">
        <v>0</v>
      </c>
      <c r="AD994" s="80">
        <v>0</v>
      </c>
      <c r="AE994" s="80">
        <v>0</v>
      </c>
      <c r="AF994" s="80">
        <v>0</v>
      </c>
      <c r="AG994" s="80">
        <v>0</v>
      </c>
      <c r="AH994" s="80">
        <v>0</v>
      </c>
      <c r="AI994" s="80">
        <v>0</v>
      </c>
      <c r="AJ994" s="80">
        <v>0</v>
      </c>
      <c r="AK994" s="80">
        <v>0</v>
      </c>
      <c r="AL994" s="80">
        <v>0</v>
      </c>
      <c r="AM994" s="80">
        <v>0</v>
      </c>
      <c r="AN994" s="80">
        <v>0</v>
      </c>
      <c r="AO994" s="80">
        <v>0</v>
      </c>
    </row>
    <row r="995" spans="1:41" ht="15.75" x14ac:dyDescent="0.25">
      <c r="A995" s="84">
        <v>31</v>
      </c>
      <c r="B995" s="84" t="s">
        <v>28</v>
      </c>
      <c r="C995" s="84" t="s">
        <v>207</v>
      </c>
      <c r="D995" s="80" t="s">
        <v>245</v>
      </c>
      <c r="E995" s="80">
        <v>0</v>
      </c>
      <c r="F995" s="80">
        <v>0</v>
      </c>
      <c r="G995" s="80">
        <v>0</v>
      </c>
      <c r="H995" s="81">
        <v>1</v>
      </c>
      <c r="I995" s="133">
        <v>2</v>
      </c>
      <c r="J995" s="134">
        <v>1</v>
      </c>
      <c r="K995" s="80">
        <v>0</v>
      </c>
      <c r="L995" s="80">
        <v>0</v>
      </c>
      <c r="M995" s="80">
        <v>1</v>
      </c>
      <c r="N995" s="81">
        <v>0</v>
      </c>
      <c r="O995" s="80">
        <v>3</v>
      </c>
      <c r="P995" s="80">
        <v>1</v>
      </c>
      <c r="Q995" s="80">
        <v>2</v>
      </c>
      <c r="R995" s="80">
        <v>0</v>
      </c>
      <c r="S995" s="80">
        <v>0</v>
      </c>
      <c r="T995" s="81">
        <v>1</v>
      </c>
      <c r="U995" s="80">
        <v>4</v>
      </c>
      <c r="V995" s="80">
        <v>2</v>
      </c>
      <c r="W995" s="81">
        <v>0</v>
      </c>
      <c r="X995" s="80">
        <v>0</v>
      </c>
      <c r="Y995" s="80">
        <v>0</v>
      </c>
      <c r="Z995" s="80">
        <v>2</v>
      </c>
      <c r="AA995" s="80">
        <v>1</v>
      </c>
      <c r="AB995" s="80">
        <v>1</v>
      </c>
      <c r="AC995" s="80">
        <v>1</v>
      </c>
      <c r="AD995" s="80">
        <v>1</v>
      </c>
      <c r="AE995" s="80">
        <v>1</v>
      </c>
      <c r="AF995" s="80">
        <v>1</v>
      </c>
      <c r="AG995" s="81">
        <v>1</v>
      </c>
      <c r="AH995" s="80">
        <v>2</v>
      </c>
      <c r="AI995" s="81">
        <v>0</v>
      </c>
      <c r="AJ995" s="81">
        <v>0</v>
      </c>
      <c r="AK995" s="81">
        <v>0</v>
      </c>
      <c r="AL995" s="81">
        <v>0</v>
      </c>
      <c r="AM995" s="80">
        <v>0</v>
      </c>
      <c r="AN995" s="80">
        <v>0</v>
      </c>
      <c r="AO995" s="80">
        <v>0</v>
      </c>
    </row>
    <row r="996" spans="1:41" ht="15.75" x14ac:dyDescent="0.25">
      <c r="A996" s="84"/>
      <c r="B996" s="84"/>
      <c r="C996" s="84"/>
      <c r="D996" s="80" t="s">
        <v>246</v>
      </c>
      <c r="E996" s="80">
        <v>0</v>
      </c>
      <c r="F996" s="80">
        <v>0</v>
      </c>
      <c r="G996" s="80">
        <v>0</v>
      </c>
      <c r="H996" s="81">
        <v>1</v>
      </c>
      <c r="I996" s="133">
        <v>2</v>
      </c>
      <c r="J996" s="134">
        <v>1</v>
      </c>
      <c r="K996" s="80">
        <v>0</v>
      </c>
      <c r="L996" s="80">
        <v>0</v>
      </c>
      <c r="M996" s="80">
        <v>1</v>
      </c>
      <c r="N996" s="81">
        <v>0</v>
      </c>
      <c r="O996" s="80">
        <v>3</v>
      </c>
      <c r="P996" s="80">
        <v>1</v>
      </c>
      <c r="Q996" s="80">
        <v>2</v>
      </c>
      <c r="R996" s="80">
        <v>0</v>
      </c>
      <c r="S996" s="80">
        <v>0</v>
      </c>
      <c r="T996" s="81">
        <v>1</v>
      </c>
      <c r="U996" s="80">
        <v>4</v>
      </c>
      <c r="V996" s="80">
        <v>2</v>
      </c>
      <c r="W996" s="81">
        <v>0</v>
      </c>
      <c r="X996" s="80">
        <v>0</v>
      </c>
      <c r="Y996" s="80">
        <v>0</v>
      </c>
      <c r="Z996" s="80">
        <v>2</v>
      </c>
      <c r="AA996" s="80">
        <v>1</v>
      </c>
      <c r="AB996" s="80">
        <v>1</v>
      </c>
      <c r="AC996" s="80">
        <v>1</v>
      </c>
      <c r="AD996" s="80">
        <v>1</v>
      </c>
      <c r="AE996" s="80">
        <v>1</v>
      </c>
      <c r="AF996" s="80">
        <v>1</v>
      </c>
      <c r="AG996" s="81">
        <v>1</v>
      </c>
      <c r="AH996" s="80">
        <v>2</v>
      </c>
      <c r="AI996" s="81">
        <v>0</v>
      </c>
      <c r="AJ996" s="81">
        <v>0</v>
      </c>
      <c r="AK996" s="81">
        <v>0</v>
      </c>
      <c r="AL996" s="81">
        <v>0</v>
      </c>
      <c r="AM996" s="80">
        <v>0</v>
      </c>
      <c r="AN996" s="80">
        <v>0</v>
      </c>
      <c r="AO996" s="80">
        <v>0</v>
      </c>
    </row>
    <row r="997" spans="1:41" ht="15.75" x14ac:dyDescent="0.25">
      <c r="A997" s="84"/>
      <c r="B997" s="84"/>
      <c r="C997" s="84"/>
      <c r="D997" s="80" t="s">
        <v>247</v>
      </c>
      <c r="E997" s="80">
        <v>0</v>
      </c>
      <c r="F997" s="80">
        <v>0</v>
      </c>
      <c r="G997" s="80">
        <v>0</v>
      </c>
      <c r="H997" s="81">
        <v>0</v>
      </c>
      <c r="I997" s="81">
        <v>0</v>
      </c>
      <c r="J997" s="80">
        <v>0</v>
      </c>
      <c r="K997" s="80">
        <v>0</v>
      </c>
      <c r="L997" s="80">
        <v>0</v>
      </c>
      <c r="M997" s="80">
        <v>0</v>
      </c>
      <c r="N997" s="81">
        <v>0</v>
      </c>
      <c r="O997" s="80">
        <v>0</v>
      </c>
      <c r="P997" s="80">
        <v>0</v>
      </c>
      <c r="Q997" s="80">
        <v>0</v>
      </c>
      <c r="R997" s="80">
        <v>0</v>
      </c>
      <c r="S997" s="80">
        <v>0</v>
      </c>
      <c r="T997" s="81">
        <v>0</v>
      </c>
      <c r="U997" s="80">
        <v>0</v>
      </c>
      <c r="V997" s="80">
        <v>0</v>
      </c>
      <c r="W997" s="81">
        <v>0</v>
      </c>
      <c r="X997" s="80">
        <v>0</v>
      </c>
      <c r="Y997" s="80">
        <v>0</v>
      </c>
      <c r="Z997" s="80">
        <v>0</v>
      </c>
      <c r="AA997" s="80">
        <v>0</v>
      </c>
      <c r="AB997" s="80">
        <v>0</v>
      </c>
      <c r="AC997" s="80">
        <v>0</v>
      </c>
      <c r="AD997" s="80">
        <v>0</v>
      </c>
      <c r="AE997" s="80">
        <v>0</v>
      </c>
      <c r="AF997" s="80">
        <v>0</v>
      </c>
      <c r="AG997" s="81">
        <v>0</v>
      </c>
      <c r="AH997" s="80">
        <v>0</v>
      </c>
      <c r="AI997" s="81">
        <v>0</v>
      </c>
      <c r="AJ997" s="81">
        <v>0</v>
      </c>
      <c r="AK997" s="81">
        <v>0</v>
      </c>
      <c r="AL997" s="81">
        <v>0</v>
      </c>
      <c r="AM997" s="80">
        <v>0</v>
      </c>
      <c r="AN997" s="80">
        <v>0</v>
      </c>
      <c r="AO997" s="80">
        <v>0</v>
      </c>
    </row>
    <row r="998" spans="1:41" ht="15.75" x14ac:dyDescent="0.25">
      <c r="A998" s="84"/>
      <c r="B998" s="84"/>
      <c r="C998" s="84"/>
      <c r="D998" s="80" t="s">
        <v>248</v>
      </c>
      <c r="E998" s="80">
        <v>0</v>
      </c>
      <c r="F998" s="80">
        <v>0</v>
      </c>
      <c r="G998" s="80">
        <v>0</v>
      </c>
      <c r="H998" s="81">
        <v>1</v>
      </c>
      <c r="I998" s="81">
        <v>2</v>
      </c>
      <c r="J998" s="80">
        <v>1</v>
      </c>
      <c r="K998" s="80">
        <v>0</v>
      </c>
      <c r="L998" s="80">
        <v>0</v>
      </c>
      <c r="M998" s="80">
        <v>1</v>
      </c>
      <c r="N998" s="81">
        <v>0</v>
      </c>
      <c r="O998" s="80">
        <v>3</v>
      </c>
      <c r="P998" s="80">
        <v>1</v>
      </c>
      <c r="Q998" s="80">
        <v>2</v>
      </c>
      <c r="R998" s="80">
        <v>0</v>
      </c>
      <c r="S998" s="80">
        <v>0</v>
      </c>
      <c r="T998" s="81">
        <v>1</v>
      </c>
      <c r="U998" s="80">
        <v>3</v>
      </c>
      <c r="V998" s="80">
        <v>2</v>
      </c>
      <c r="W998" s="81">
        <v>0</v>
      </c>
      <c r="X998" s="80">
        <v>0</v>
      </c>
      <c r="Y998" s="80">
        <v>0</v>
      </c>
      <c r="Z998" s="80">
        <v>1</v>
      </c>
      <c r="AA998" s="80">
        <v>1</v>
      </c>
      <c r="AB998" s="80">
        <v>1</v>
      </c>
      <c r="AC998" s="80">
        <v>1</v>
      </c>
      <c r="AD998" s="80">
        <v>1</v>
      </c>
      <c r="AE998" s="80">
        <v>1</v>
      </c>
      <c r="AF998" s="80">
        <v>0</v>
      </c>
      <c r="AG998" s="81">
        <v>1</v>
      </c>
      <c r="AH998" s="80">
        <v>2</v>
      </c>
      <c r="AI998" s="81">
        <v>0</v>
      </c>
      <c r="AJ998" s="81">
        <v>0</v>
      </c>
      <c r="AK998" s="81">
        <v>0</v>
      </c>
      <c r="AL998" s="81">
        <v>0</v>
      </c>
      <c r="AM998" s="80">
        <v>0</v>
      </c>
      <c r="AN998" s="80">
        <v>0</v>
      </c>
      <c r="AO998" s="80">
        <v>0</v>
      </c>
    </row>
    <row r="999" spans="1:41" ht="15.75" x14ac:dyDescent="0.25">
      <c r="A999" s="84"/>
      <c r="B999" s="84"/>
      <c r="C999" s="84"/>
      <c r="D999" s="80" t="s">
        <v>258</v>
      </c>
      <c r="E999" s="80">
        <v>0</v>
      </c>
      <c r="F999" s="80">
        <v>0</v>
      </c>
      <c r="G999" s="80">
        <v>0</v>
      </c>
      <c r="H999" s="81">
        <v>0</v>
      </c>
      <c r="I999" s="81">
        <v>0</v>
      </c>
      <c r="J999" s="81">
        <v>0</v>
      </c>
      <c r="K999" s="81">
        <v>0</v>
      </c>
      <c r="L999" s="80">
        <v>0</v>
      </c>
      <c r="M999" s="81">
        <v>0</v>
      </c>
      <c r="N999" s="81">
        <v>0</v>
      </c>
      <c r="O999" s="81">
        <v>0</v>
      </c>
      <c r="P999" s="80">
        <v>0</v>
      </c>
      <c r="Q999" s="81">
        <v>0</v>
      </c>
      <c r="R999" s="81">
        <v>0</v>
      </c>
      <c r="S999" s="81">
        <v>0</v>
      </c>
      <c r="T999" s="81">
        <v>0</v>
      </c>
      <c r="U999" s="81">
        <v>1</v>
      </c>
      <c r="V999" s="81">
        <v>0</v>
      </c>
      <c r="W999" s="81">
        <v>0</v>
      </c>
      <c r="X999" s="81">
        <v>0</v>
      </c>
      <c r="Y999" s="81">
        <v>0</v>
      </c>
      <c r="Z999" s="81">
        <v>1</v>
      </c>
      <c r="AA999" s="81">
        <v>0</v>
      </c>
      <c r="AB999" s="81">
        <v>0</v>
      </c>
      <c r="AC999" s="80">
        <v>0</v>
      </c>
      <c r="AD999" s="80">
        <v>0</v>
      </c>
      <c r="AE999" s="81">
        <v>0</v>
      </c>
      <c r="AF999" s="81">
        <v>1</v>
      </c>
      <c r="AG999" s="81">
        <v>0</v>
      </c>
      <c r="AH999" s="81">
        <v>0</v>
      </c>
      <c r="AI999" s="81">
        <v>0</v>
      </c>
      <c r="AJ999" s="81">
        <v>0</v>
      </c>
      <c r="AK999" s="81">
        <v>0</v>
      </c>
      <c r="AL999" s="81">
        <v>0</v>
      </c>
      <c r="AM999" s="80">
        <v>0</v>
      </c>
      <c r="AN999" s="80">
        <v>0</v>
      </c>
      <c r="AO999" s="80">
        <v>0</v>
      </c>
    </row>
    <row r="1000" spans="1:41" ht="15.75" x14ac:dyDescent="0.25">
      <c r="A1000" s="84">
        <v>32</v>
      </c>
      <c r="B1000" s="84"/>
      <c r="C1000" s="84" t="s">
        <v>253</v>
      </c>
      <c r="D1000" s="80" t="s">
        <v>245</v>
      </c>
      <c r="E1000" s="80">
        <v>0</v>
      </c>
      <c r="F1000" s="80">
        <v>0</v>
      </c>
      <c r="G1000" s="80">
        <v>0</v>
      </c>
      <c r="H1000" s="81">
        <v>1</v>
      </c>
      <c r="I1000" s="81">
        <v>1</v>
      </c>
      <c r="J1000" s="80">
        <v>1</v>
      </c>
      <c r="K1000" s="80">
        <v>0</v>
      </c>
      <c r="L1000" s="80">
        <v>0</v>
      </c>
      <c r="M1000" s="80">
        <v>0</v>
      </c>
      <c r="N1000" s="80">
        <v>0</v>
      </c>
      <c r="O1000" s="80">
        <v>1</v>
      </c>
      <c r="P1000" s="80">
        <v>1</v>
      </c>
      <c r="Q1000" s="80">
        <v>1</v>
      </c>
      <c r="R1000" s="80">
        <v>0</v>
      </c>
      <c r="S1000" s="81">
        <v>0</v>
      </c>
      <c r="T1000" s="81">
        <v>0</v>
      </c>
      <c r="U1000" s="80">
        <v>3</v>
      </c>
      <c r="V1000" s="80">
        <v>1</v>
      </c>
      <c r="W1000" s="81">
        <v>0</v>
      </c>
      <c r="X1000" s="80">
        <v>0</v>
      </c>
      <c r="Y1000" s="80">
        <v>0</v>
      </c>
      <c r="Z1000" s="80">
        <v>0</v>
      </c>
      <c r="AA1000" s="80">
        <v>0</v>
      </c>
      <c r="AB1000" s="80">
        <v>0</v>
      </c>
      <c r="AC1000" s="80">
        <v>0</v>
      </c>
      <c r="AD1000" s="80">
        <v>0</v>
      </c>
      <c r="AE1000" s="80">
        <v>0</v>
      </c>
      <c r="AF1000" s="80">
        <v>0</v>
      </c>
      <c r="AG1000" s="81">
        <v>1</v>
      </c>
      <c r="AH1000" s="80">
        <v>0</v>
      </c>
      <c r="AI1000" s="81">
        <v>0</v>
      </c>
      <c r="AJ1000" s="81">
        <v>0</v>
      </c>
      <c r="AK1000" s="81">
        <v>0</v>
      </c>
      <c r="AL1000" s="81">
        <v>0</v>
      </c>
      <c r="AM1000" s="80">
        <v>0</v>
      </c>
      <c r="AN1000" s="80">
        <v>0</v>
      </c>
      <c r="AO1000" s="80">
        <v>0</v>
      </c>
    </row>
    <row r="1001" spans="1:41" ht="15.75" x14ac:dyDescent="0.25">
      <c r="A1001" s="84"/>
      <c r="B1001" s="84"/>
      <c r="C1001" s="84"/>
      <c r="D1001" s="80" t="s">
        <v>246</v>
      </c>
      <c r="E1001" s="80">
        <v>0</v>
      </c>
      <c r="F1001" s="80">
        <v>0</v>
      </c>
      <c r="G1001" s="80">
        <v>0</v>
      </c>
      <c r="H1001" s="81">
        <v>1</v>
      </c>
      <c r="I1001" s="81">
        <v>1</v>
      </c>
      <c r="J1001" s="80">
        <v>1</v>
      </c>
      <c r="K1001" s="80">
        <v>0</v>
      </c>
      <c r="L1001" s="80">
        <v>0</v>
      </c>
      <c r="M1001" s="80">
        <v>0</v>
      </c>
      <c r="N1001" s="80">
        <v>0</v>
      </c>
      <c r="O1001" s="80">
        <v>1</v>
      </c>
      <c r="P1001" s="80">
        <v>1</v>
      </c>
      <c r="Q1001" s="80">
        <v>1</v>
      </c>
      <c r="R1001" s="80">
        <v>0</v>
      </c>
      <c r="S1001" s="81">
        <v>0</v>
      </c>
      <c r="T1001" s="81">
        <v>0</v>
      </c>
      <c r="U1001" s="80">
        <v>3</v>
      </c>
      <c r="V1001" s="80">
        <v>1</v>
      </c>
      <c r="W1001" s="81">
        <v>0</v>
      </c>
      <c r="X1001" s="80">
        <v>0</v>
      </c>
      <c r="Y1001" s="80">
        <v>0</v>
      </c>
      <c r="Z1001" s="80">
        <v>0</v>
      </c>
      <c r="AA1001" s="80">
        <v>0</v>
      </c>
      <c r="AB1001" s="80">
        <v>0</v>
      </c>
      <c r="AC1001" s="80">
        <v>0</v>
      </c>
      <c r="AD1001" s="80">
        <v>0</v>
      </c>
      <c r="AE1001" s="80">
        <v>0</v>
      </c>
      <c r="AF1001" s="80">
        <v>0</v>
      </c>
      <c r="AG1001" s="81">
        <v>1</v>
      </c>
      <c r="AH1001" s="80">
        <v>0</v>
      </c>
      <c r="AI1001" s="81">
        <v>0</v>
      </c>
      <c r="AJ1001" s="81">
        <v>0</v>
      </c>
      <c r="AK1001" s="81">
        <v>0</v>
      </c>
      <c r="AL1001" s="81">
        <v>0</v>
      </c>
      <c r="AM1001" s="80">
        <v>0</v>
      </c>
      <c r="AN1001" s="80">
        <v>0</v>
      </c>
      <c r="AO1001" s="80">
        <v>0</v>
      </c>
    </row>
    <row r="1002" spans="1:41" ht="15.75" x14ac:dyDescent="0.25">
      <c r="A1002" s="84"/>
      <c r="B1002" s="84"/>
      <c r="C1002" s="84"/>
      <c r="D1002" s="80" t="s">
        <v>247</v>
      </c>
      <c r="E1002" s="80">
        <v>0</v>
      </c>
      <c r="F1002" s="80">
        <v>0</v>
      </c>
      <c r="G1002" s="80">
        <v>0</v>
      </c>
      <c r="H1002" s="81">
        <v>0</v>
      </c>
      <c r="I1002" s="81">
        <v>0</v>
      </c>
      <c r="J1002" s="80">
        <v>0</v>
      </c>
      <c r="K1002" s="80">
        <v>0</v>
      </c>
      <c r="L1002" s="80">
        <v>0</v>
      </c>
      <c r="M1002" s="80">
        <v>0</v>
      </c>
      <c r="N1002" s="80">
        <v>0</v>
      </c>
      <c r="O1002" s="80">
        <v>0</v>
      </c>
      <c r="P1002" s="80">
        <v>0</v>
      </c>
      <c r="Q1002" s="80">
        <v>0</v>
      </c>
      <c r="R1002" s="80">
        <v>0</v>
      </c>
      <c r="S1002" s="81">
        <v>0</v>
      </c>
      <c r="T1002" s="81">
        <v>0</v>
      </c>
      <c r="U1002" s="80">
        <v>0</v>
      </c>
      <c r="V1002" s="80">
        <v>0</v>
      </c>
      <c r="W1002" s="81">
        <v>0</v>
      </c>
      <c r="X1002" s="80">
        <v>0</v>
      </c>
      <c r="Y1002" s="80">
        <v>0</v>
      </c>
      <c r="Z1002" s="80">
        <v>0</v>
      </c>
      <c r="AA1002" s="80">
        <v>0</v>
      </c>
      <c r="AB1002" s="80">
        <v>0</v>
      </c>
      <c r="AC1002" s="80">
        <v>0</v>
      </c>
      <c r="AD1002" s="80">
        <v>0</v>
      </c>
      <c r="AE1002" s="80">
        <v>0</v>
      </c>
      <c r="AF1002" s="80">
        <v>0</v>
      </c>
      <c r="AG1002" s="81">
        <v>0</v>
      </c>
      <c r="AH1002" s="80">
        <v>0</v>
      </c>
      <c r="AI1002" s="81">
        <v>0</v>
      </c>
      <c r="AJ1002" s="81">
        <v>0</v>
      </c>
      <c r="AK1002" s="81">
        <v>0</v>
      </c>
      <c r="AL1002" s="81">
        <v>0</v>
      </c>
      <c r="AM1002" s="80">
        <v>0</v>
      </c>
      <c r="AN1002" s="80">
        <v>0</v>
      </c>
      <c r="AO1002" s="80">
        <v>0</v>
      </c>
    </row>
    <row r="1003" spans="1:41" ht="15.75" x14ac:dyDescent="0.25">
      <c r="A1003" s="84"/>
      <c r="B1003" s="84"/>
      <c r="C1003" s="84"/>
      <c r="D1003" s="80" t="s">
        <v>248</v>
      </c>
      <c r="E1003" s="80">
        <v>0</v>
      </c>
      <c r="F1003" s="80">
        <v>0</v>
      </c>
      <c r="G1003" s="80">
        <v>0</v>
      </c>
      <c r="H1003" s="81">
        <v>1</v>
      </c>
      <c r="I1003" s="81">
        <v>1</v>
      </c>
      <c r="J1003" s="80">
        <v>1</v>
      </c>
      <c r="K1003" s="80">
        <v>0</v>
      </c>
      <c r="L1003" s="80">
        <v>0</v>
      </c>
      <c r="M1003" s="80">
        <v>0</v>
      </c>
      <c r="N1003" s="80">
        <v>0</v>
      </c>
      <c r="O1003" s="80">
        <v>1</v>
      </c>
      <c r="P1003" s="80">
        <v>1</v>
      </c>
      <c r="Q1003" s="80">
        <v>1</v>
      </c>
      <c r="R1003" s="80">
        <v>0</v>
      </c>
      <c r="S1003" s="81">
        <v>0</v>
      </c>
      <c r="T1003" s="81">
        <v>0</v>
      </c>
      <c r="U1003" s="80">
        <v>3</v>
      </c>
      <c r="V1003" s="80">
        <v>1</v>
      </c>
      <c r="W1003" s="81">
        <v>0</v>
      </c>
      <c r="X1003" s="80">
        <v>0</v>
      </c>
      <c r="Y1003" s="80">
        <v>0</v>
      </c>
      <c r="Z1003" s="80">
        <v>0</v>
      </c>
      <c r="AA1003" s="80">
        <v>0</v>
      </c>
      <c r="AB1003" s="80">
        <v>0</v>
      </c>
      <c r="AC1003" s="80">
        <v>0</v>
      </c>
      <c r="AD1003" s="80">
        <v>0</v>
      </c>
      <c r="AE1003" s="80">
        <v>0</v>
      </c>
      <c r="AF1003" s="80">
        <v>0</v>
      </c>
      <c r="AG1003" s="81">
        <v>1</v>
      </c>
      <c r="AH1003" s="80">
        <v>0</v>
      </c>
      <c r="AI1003" s="81">
        <v>0</v>
      </c>
      <c r="AJ1003" s="81">
        <v>0</v>
      </c>
      <c r="AK1003" s="81">
        <v>0</v>
      </c>
      <c r="AL1003" s="81">
        <v>0</v>
      </c>
      <c r="AM1003" s="80">
        <v>0</v>
      </c>
      <c r="AN1003" s="80">
        <v>0</v>
      </c>
      <c r="AO1003" s="80">
        <v>0</v>
      </c>
    </row>
    <row r="1004" spans="1:41" ht="15.75" x14ac:dyDescent="0.25">
      <c r="A1004" s="84"/>
      <c r="B1004" s="84"/>
      <c r="C1004" s="84"/>
      <c r="D1004" s="80" t="s">
        <v>258</v>
      </c>
      <c r="E1004" s="80">
        <v>0</v>
      </c>
      <c r="F1004" s="80">
        <v>0</v>
      </c>
      <c r="G1004" s="81">
        <v>0</v>
      </c>
      <c r="H1004" s="81">
        <v>0</v>
      </c>
      <c r="I1004" s="81">
        <v>0</v>
      </c>
      <c r="J1004" s="81">
        <v>0</v>
      </c>
      <c r="K1004" s="81">
        <v>0</v>
      </c>
      <c r="L1004" s="80">
        <v>0</v>
      </c>
      <c r="M1004" s="81">
        <v>0</v>
      </c>
      <c r="N1004" s="80">
        <v>0</v>
      </c>
      <c r="O1004" s="81">
        <v>0</v>
      </c>
      <c r="P1004" s="80">
        <v>0</v>
      </c>
      <c r="Q1004" s="81">
        <v>0</v>
      </c>
      <c r="R1004" s="81">
        <v>0</v>
      </c>
      <c r="S1004" s="81">
        <v>0</v>
      </c>
      <c r="T1004" s="81">
        <v>0</v>
      </c>
      <c r="U1004" s="81">
        <v>0</v>
      </c>
      <c r="V1004" s="81">
        <v>0</v>
      </c>
      <c r="W1004" s="81">
        <v>0</v>
      </c>
      <c r="X1004" s="81">
        <v>0</v>
      </c>
      <c r="Y1004" s="81">
        <v>0</v>
      </c>
      <c r="Z1004" s="81">
        <v>0</v>
      </c>
      <c r="AA1004" s="81">
        <v>0</v>
      </c>
      <c r="AB1004" s="81">
        <v>0</v>
      </c>
      <c r="AC1004" s="80">
        <v>0</v>
      </c>
      <c r="AD1004" s="80">
        <v>0</v>
      </c>
      <c r="AE1004" s="81">
        <v>0</v>
      </c>
      <c r="AF1004" s="81">
        <v>0</v>
      </c>
      <c r="AG1004" s="81">
        <v>0</v>
      </c>
      <c r="AH1004" s="81">
        <v>0</v>
      </c>
      <c r="AI1004" s="81">
        <v>0</v>
      </c>
      <c r="AJ1004" s="81">
        <v>0</v>
      </c>
      <c r="AK1004" s="81">
        <v>0</v>
      </c>
      <c r="AL1004" s="81">
        <v>0</v>
      </c>
      <c r="AM1004" s="80">
        <v>0</v>
      </c>
      <c r="AN1004" s="80">
        <v>0</v>
      </c>
      <c r="AO1004" s="80">
        <v>0</v>
      </c>
    </row>
    <row r="1005" spans="1:41" ht="15.75" x14ac:dyDescent="0.25">
      <c r="A1005" s="84">
        <v>33</v>
      </c>
      <c r="B1005" s="84"/>
      <c r="C1005" s="84" t="s">
        <v>171</v>
      </c>
      <c r="D1005" s="80" t="s">
        <v>245</v>
      </c>
      <c r="E1005" s="80">
        <v>0</v>
      </c>
      <c r="F1005" s="80">
        <v>0</v>
      </c>
      <c r="G1005" s="80">
        <v>0</v>
      </c>
      <c r="H1005" s="81">
        <v>1</v>
      </c>
      <c r="I1005" s="81">
        <v>2</v>
      </c>
      <c r="J1005" s="80">
        <v>1</v>
      </c>
      <c r="K1005" s="80">
        <v>0</v>
      </c>
      <c r="L1005" s="80">
        <v>0</v>
      </c>
      <c r="M1005" s="80">
        <v>0</v>
      </c>
      <c r="N1005" s="80">
        <v>0</v>
      </c>
      <c r="O1005" s="80">
        <v>1</v>
      </c>
      <c r="P1005" s="80">
        <v>0</v>
      </c>
      <c r="Q1005" s="80">
        <v>1</v>
      </c>
      <c r="R1005" s="80">
        <v>0</v>
      </c>
      <c r="S1005" s="80">
        <v>0</v>
      </c>
      <c r="T1005" s="81">
        <v>1</v>
      </c>
      <c r="U1005" s="80">
        <v>2</v>
      </c>
      <c r="V1005" s="80">
        <v>1</v>
      </c>
      <c r="W1005" s="81">
        <v>0</v>
      </c>
      <c r="X1005" s="80">
        <v>0</v>
      </c>
      <c r="Y1005" s="80">
        <v>0</v>
      </c>
      <c r="Z1005" s="80">
        <v>0</v>
      </c>
      <c r="AA1005" s="80">
        <v>0</v>
      </c>
      <c r="AB1005" s="80">
        <v>0</v>
      </c>
      <c r="AC1005" s="80">
        <v>0</v>
      </c>
      <c r="AD1005" s="80">
        <v>0</v>
      </c>
      <c r="AE1005" s="80">
        <v>0</v>
      </c>
      <c r="AF1005" s="80">
        <v>1</v>
      </c>
      <c r="AG1005" s="81">
        <v>1</v>
      </c>
      <c r="AH1005" s="80">
        <v>0</v>
      </c>
      <c r="AI1005" s="81">
        <v>0</v>
      </c>
      <c r="AJ1005" s="81">
        <v>0</v>
      </c>
      <c r="AK1005" s="81">
        <v>0</v>
      </c>
      <c r="AL1005" s="81">
        <v>0</v>
      </c>
      <c r="AM1005" s="80">
        <v>0</v>
      </c>
      <c r="AN1005" s="80">
        <v>0</v>
      </c>
      <c r="AO1005" s="80">
        <v>0</v>
      </c>
    </row>
    <row r="1006" spans="1:41" ht="15.75" x14ac:dyDescent="0.25">
      <c r="A1006" s="84"/>
      <c r="B1006" s="84"/>
      <c r="C1006" s="84"/>
      <c r="D1006" s="80" t="s">
        <v>246</v>
      </c>
      <c r="E1006" s="80">
        <v>0</v>
      </c>
      <c r="F1006" s="80">
        <v>0</v>
      </c>
      <c r="G1006" s="80">
        <v>0</v>
      </c>
      <c r="H1006" s="81">
        <v>1</v>
      </c>
      <c r="I1006" s="81">
        <v>2</v>
      </c>
      <c r="J1006" s="80">
        <v>1</v>
      </c>
      <c r="K1006" s="80">
        <v>0</v>
      </c>
      <c r="L1006" s="80">
        <v>0</v>
      </c>
      <c r="M1006" s="80">
        <v>0</v>
      </c>
      <c r="N1006" s="80">
        <v>0</v>
      </c>
      <c r="O1006" s="80">
        <v>1</v>
      </c>
      <c r="P1006" s="80">
        <v>0</v>
      </c>
      <c r="Q1006" s="80">
        <v>1</v>
      </c>
      <c r="R1006" s="80">
        <v>0</v>
      </c>
      <c r="S1006" s="80">
        <v>0</v>
      </c>
      <c r="T1006" s="81">
        <v>1</v>
      </c>
      <c r="U1006" s="80">
        <v>2</v>
      </c>
      <c r="V1006" s="80">
        <v>1</v>
      </c>
      <c r="W1006" s="81">
        <v>0</v>
      </c>
      <c r="X1006" s="80">
        <v>0</v>
      </c>
      <c r="Y1006" s="80">
        <v>0</v>
      </c>
      <c r="Z1006" s="80">
        <v>0</v>
      </c>
      <c r="AA1006" s="80">
        <v>0</v>
      </c>
      <c r="AB1006" s="80">
        <v>0</v>
      </c>
      <c r="AC1006" s="80">
        <v>0</v>
      </c>
      <c r="AD1006" s="80">
        <v>0</v>
      </c>
      <c r="AE1006" s="80">
        <v>0</v>
      </c>
      <c r="AF1006" s="80">
        <v>1</v>
      </c>
      <c r="AG1006" s="81">
        <v>1</v>
      </c>
      <c r="AH1006" s="80">
        <v>0</v>
      </c>
      <c r="AI1006" s="81">
        <v>0</v>
      </c>
      <c r="AJ1006" s="81">
        <v>0</v>
      </c>
      <c r="AK1006" s="81">
        <v>0</v>
      </c>
      <c r="AL1006" s="81">
        <v>0</v>
      </c>
      <c r="AM1006" s="80">
        <v>0</v>
      </c>
      <c r="AN1006" s="80">
        <v>0</v>
      </c>
      <c r="AO1006" s="80">
        <v>0</v>
      </c>
    </row>
    <row r="1007" spans="1:41" ht="15.75" x14ac:dyDescent="0.25">
      <c r="A1007" s="84"/>
      <c r="B1007" s="84"/>
      <c r="C1007" s="84"/>
      <c r="D1007" s="80" t="s">
        <v>247</v>
      </c>
      <c r="E1007" s="80">
        <v>0</v>
      </c>
      <c r="F1007" s="80">
        <v>0</v>
      </c>
      <c r="G1007" s="80">
        <v>0</v>
      </c>
      <c r="H1007" s="81">
        <v>0</v>
      </c>
      <c r="I1007" s="81">
        <v>0</v>
      </c>
      <c r="J1007" s="80">
        <v>0</v>
      </c>
      <c r="K1007" s="80">
        <v>0</v>
      </c>
      <c r="L1007" s="80">
        <v>0</v>
      </c>
      <c r="M1007" s="80">
        <v>0</v>
      </c>
      <c r="N1007" s="80">
        <v>0</v>
      </c>
      <c r="O1007" s="80">
        <v>0</v>
      </c>
      <c r="P1007" s="80">
        <v>0</v>
      </c>
      <c r="Q1007" s="80">
        <v>0</v>
      </c>
      <c r="R1007" s="80">
        <v>0</v>
      </c>
      <c r="S1007" s="80">
        <v>0</v>
      </c>
      <c r="T1007" s="81">
        <v>0</v>
      </c>
      <c r="U1007" s="80">
        <v>0</v>
      </c>
      <c r="V1007" s="80">
        <v>0</v>
      </c>
      <c r="W1007" s="81">
        <v>0</v>
      </c>
      <c r="X1007" s="80">
        <v>0</v>
      </c>
      <c r="Y1007" s="80">
        <v>0</v>
      </c>
      <c r="Z1007" s="80">
        <v>0</v>
      </c>
      <c r="AA1007" s="80">
        <v>0</v>
      </c>
      <c r="AB1007" s="80">
        <v>0</v>
      </c>
      <c r="AC1007" s="80">
        <v>0</v>
      </c>
      <c r="AD1007" s="80">
        <v>0</v>
      </c>
      <c r="AE1007" s="80">
        <v>0</v>
      </c>
      <c r="AF1007" s="80">
        <v>0</v>
      </c>
      <c r="AG1007" s="81">
        <v>0</v>
      </c>
      <c r="AH1007" s="80">
        <v>0</v>
      </c>
      <c r="AI1007" s="81">
        <v>0</v>
      </c>
      <c r="AJ1007" s="81">
        <v>0</v>
      </c>
      <c r="AK1007" s="81">
        <v>0</v>
      </c>
      <c r="AL1007" s="81">
        <v>0</v>
      </c>
      <c r="AM1007" s="80">
        <v>0</v>
      </c>
      <c r="AN1007" s="80">
        <v>0</v>
      </c>
      <c r="AO1007" s="80">
        <v>0</v>
      </c>
    </row>
    <row r="1008" spans="1:41" ht="15.75" x14ac:dyDescent="0.25">
      <c r="A1008" s="84"/>
      <c r="B1008" s="84"/>
      <c r="C1008" s="84"/>
      <c r="D1008" s="80" t="s">
        <v>248</v>
      </c>
      <c r="E1008" s="80">
        <v>0</v>
      </c>
      <c r="F1008" s="80">
        <v>0</v>
      </c>
      <c r="G1008" s="80">
        <v>0</v>
      </c>
      <c r="H1008" s="81">
        <v>1</v>
      </c>
      <c r="I1008" s="81">
        <v>2</v>
      </c>
      <c r="J1008" s="80">
        <v>1</v>
      </c>
      <c r="K1008" s="80">
        <v>0</v>
      </c>
      <c r="L1008" s="80">
        <v>0</v>
      </c>
      <c r="M1008" s="80">
        <v>0</v>
      </c>
      <c r="N1008" s="80">
        <v>0</v>
      </c>
      <c r="O1008" s="80">
        <v>1</v>
      </c>
      <c r="P1008" s="80">
        <v>0</v>
      </c>
      <c r="Q1008" s="80">
        <v>1</v>
      </c>
      <c r="R1008" s="80">
        <v>0</v>
      </c>
      <c r="S1008" s="80">
        <v>0</v>
      </c>
      <c r="T1008" s="81">
        <v>1</v>
      </c>
      <c r="U1008" s="80">
        <v>2</v>
      </c>
      <c r="V1008" s="80">
        <v>1</v>
      </c>
      <c r="W1008" s="81">
        <v>0</v>
      </c>
      <c r="X1008" s="80">
        <v>0</v>
      </c>
      <c r="Y1008" s="80">
        <v>0</v>
      </c>
      <c r="Z1008" s="80">
        <v>0</v>
      </c>
      <c r="AA1008" s="80">
        <v>0</v>
      </c>
      <c r="AB1008" s="80">
        <v>0</v>
      </c>
      <c r="AC1008" s="80">
        <v>0</v>
      </c>
      <c r="AD1008" s="80">
        <v>0</v>
      </c>
      <c r="AE1008" s="80">
        <v>0</v>
      </c>
      <c r="AF1008" s="80">
        <v>1</v>
      </c>
      <c r="AG1008" s="81">
        <v>1</v>
      </c>
      <c r="AH1008" s="80">
        <v>0</v>
      </c>
      <c r="AI1008" s="81">
        <v>0</v>
      </c>
      <c r="AJ1008" s="81">
        <v>0</v>
      </c>
      <c r="AK1008" s="81">
        <v>0</v>
      </c>
      <c r="AL1008" s="81">
        <v>0</v>
      </c>
      <c r="AM1008" s="80">
        <v>0</v>
      </c>
      <c r="AN1008" s="80">
        <v>0</v>
      </c>
      <c r="AO1008" s="80">
        <v>0</v>
      </c>
    </row>
    <row r="1009" spans="1:41" ht="15.75" x14ac:dyDescent="0.25">
      <c r="A1009" s="84"/>
      <c r="B1009" s="84"/>
      <c r="C1009" s="84"/>
      <c r="D1009" s="80" t="s">
        <v>258</v>
      </c>
      <c r="E1009" s="80">
        <v>0</v>
      </c>
      <c r="F1009" s="80">
        <v>0</v>
      </c>
      <c r="G1009" s="81">
        <v>0</v>
      </c>
      <c r="H1009" s="81">
        <v>0</v>
      </c>
      <c r="I1009" s="81">
        <v>0</v>
      </c>
      <c r="J1009" s="81">
        <v>0</v>
      </c>
      <c r="K1009" s="81">
        <v>0</v>
      </c>
      <c r="L1009" s="80">
        <v>0</v>
      </c>
      <c r="M1009" s="80">
        <v>0</v>
      </c>
      <c r="N1009" s="80">
        <v>0</v>
      </c>
      <c r="O1009" s="81">
        <v>0</v>
      </c>
      <c r="P1009" s="80">
        <v>0</v>
      </c>
      <c r="Q1009" s="80">
        <v>0</v>
      </c>
      <c r="R1009" s="81">
        <v>0</v>
      </c>
      <c r="S1009" s="81">
        <v>0</v>
      </c>
      <c r="T1009" s="81">
        <v>0</v>
      </c>
      <c r="U1009" s="81">
        <v>0</v>
      </c>
      <c r="V1009" s="81">
        <v>0</v>
      </c>
      <c r="W1009" s="81">
        <v>0</v>
      </c>
      <c r="X1009" s="81">
        <v>0</v>
      </c>
      <c r="Y1009" s="81">
        <v>0</v>
      </c>
      <c r="Z1009" s="81">
        <v>0</v>
      </c>
      <c r="AA1009" s="81">
        <v>0</v>
      </c>
      <c r="AB1009" s="81">
        <v>0</v>
      </c>
      <c r="AC1009" s="80">
        <v>0</v>
      </c>
      <c r="AD1009" s="80">
        <v>0</v>
      </c>
      <c r="AE1009" s="81">
        <v>0</v>
      </c>
      <c r="AF1009" s="81">
        <v>0</v>
      </c>
      <c r="AG1009" s="81">
        <v>0</v>
      </c>
      <c r="AH1009" s="81">
        <v>0</v>
      </c>
      <c r="AI1009" s="81">
        <v>0</v>
      </c>
      <c r="AJ1009" s="81">
        <v>0</v>
      </c>
      <c r="AK1009" s="81">
        <v>0</v>
      </c>
      <c r="AL1009" s="81">
        <v>0</v>
      </c>
      <c r="AM1009" s="80">
        <v>0</v>
      </c>
      <c r="AN1009" s="80">
        <v>0</v>
      </c>
      <c r="AO1009" s="80">
        <v>0</v>
      </c>
    </row>
    <row r="1010" spans="1:41" ht="15.75" x14ac:dyDescent="0.25">
      <c r="A1010" s="84">
        <v>34</v>
      </c>
      <c r="B1010" s="84"/>
      <c r="C1010" s="84" t="s">
        <v>31</v>
      </c>
      <c r="D1010" s="80" t="s">
        <v>245</v>
      </c>
      <c r="E1010" s="80">
        <v>0</v>
      </c>
      <c r="F1010" s="80">
        <v>0</v>
      </c>
      <c r="G1010" s="80">
        <v>1</v>
      </c>
      <c r="H1010" s="81">
        <v>1</v>
      </c>
      <c r="I1010" s="81">
        <v>1</v>
      </c>
      <c r="J1010" s="80">
        <v>1</v>
      </c>
      <c r="K1010" s="80">
        <v>0</v>
      </c>
      <c r="L1010" s="80">
        <v>1</v>
      </c>
      <c r="M1010" s="80">
        <v>0</v>
      </c>
      <c r="N1010" s="81">
        <v>1</v>
      </c>
      <c r="O1010" s="80">
        <v>1</v>
      </c>
      <c r="P1010" s="80">
        <v>0</v>
      </c>
      <c r="Q1010" s="80">
        <v>1</v>
      </c>
      <c r="R1010" s="80">
        <v>0</v>
      </c>
      <c r="S1010" s="80">
        <v>0</v>
      </c>
      <c r="T1010" s="81">
        <v>0</v>
      </c>
      <c r="U1010" s="80">
        <v>2</v>
      </c>
      <c r="V1010" s="80">
        <v>0</v>
      </c>
      <c r="W1010" s="81">
        <v>1</v>
      </c>
      <c r="X1010" s="80">
        <v>0</v>
      </c>
      <c r="Y1010" s="80">
        <v>1</v>
      </c>
      <c r="Z1010" s="80">
        <v>0</v>
      </c>
      <c r="AA1010" s="80">
        <v>0</v>
      </c>
      <c r="AB1010" s="80">
        <v>1</v>
      </c>
      <c r="AC1010" s="80">
        <v>0</v>
      </c>
      <c r="AD1010" s="80">
        <v>0</v>
      </c>
      <c r="AE1010" s="80">
        <v>0</v>
      </c>
      <c r="AF1010" s="80">
        <v>0</v>
      </c>
      <c r="AG1010" s="81">
        <v>0</v>
      </c>
      <c r="AH1010" s="80">
        <v>0</v>
      </c>
      <c r="AI1010" s="81">
        <v>0</v>
      </c>
      <c r="AJ1010" s="81">
        <v>0</v>
      </c>
      <c r="AK1010" s="81">
        <v>0</v>
      </c>
      <c r="AL1010" s="81">
        <v>0</v>
      </c>
      <c r="AM1010" s="80">
        <v>0</v>
      </c>
      <c r="AN1010" s="80">
        <v>0</v>
      </c>
      <c r="AO1010" s="80">
        <v>0</v>
      </c>
    </row>
    <row r="1011" spans="1:41" ht="15.75" x14ac:dyDescent="0.25">
      <c r="A1011" s="84"/>
      <c r="B1011" s="84"/>
      <c r="C1011" s="84"/>
      <c r="D1011" s="80" t="s">
        <v>246</v>
      </c>
      <c r="E1011" s="80">
        <v>0</v>
      </c>
      <c r="F1011" s="80">
        <v>0</v>
      </c>
      <c r="G1011" s="80">
        <v>1</v>
      </c>
      <c r="H1011" s="81">
        <v>1</v>
      </c>
      <c r="I1011" s="81">
        <v>1</v>
      </c>
      <c r="J1011" s="80">
        <v>1</v>
      </c>
      <c r="K1011" s="80">
        <v>0</v>
      </c>
      <c r="L1011" s="80">
        <v>1</v>
      </c>
      <c r="M1011" s="80">
        <v>0</v>
      </c>
      <c r="N1011" s="81">
        <v>1</v>
      </c>
      <c r="O1011" s="80">
        <v>1</v>
      </c>
      <c r="P1011" s="80">
        <v>0</v>
      </c>
      <c r="Q1011" s="80">
        <v>1</v>
      </c>
      <c r="R1011" s="80">
        <v>0</v>
      </c>
      <c r="S1011" s="80">
        <v>0</v>
      </c>
      <c r="T1011" s="81">
        <v>0</v>
      </c>
      <c r="U1011" s="80">
        <v>2</v>
      </c>
      <c r="V1011" s="80">
        <v>0</v>
      </c>
      <c r="W1011" s="81">
        <v>1</v>
      </c>
      <c r="X1011" s="80">
        <v>0</v>
      </c>
      <c r="Y1011" s="80">
        <v>1</v>
      </c>
      <c r="Z1011" s="80">
        <v>0</v>
      </c>
      <c r="AA1011" s="80">
        <v>0</v>
      </c>
      <c r="AB1011" s="80">
        <v>1</v>
      </c>
      <c r="AC1011" s="80">
        <v>0</v>
      </c>
      <c r="AD1011" s="80">
        <v>0</v>
      </c>
      <c r="AE1011" s="80">
        <v>0</v>
      </c>
      <c r="AF1011" s="80">
        <v>0</v>
      </c>
      <c r="AG1011" s="81">
        <v>0</v>
      </c>
      <c r="AH1011" s="80">
        <v>0</v>
      </c>
      <c r="AI1011" s="81">
        <v>0</v>
      </c>
      <c r="AJ1011" s="81">
        <v>0</v>
      </c>
      <c r="AK1011" s="81">
        <v>0</v>
      </c>
      <c r="AL1011" s="81">
        <v>0</v>
      </c>
      <c r="AM1011" s="80">
        <v>0</v>
      </c>
      <c r="AN1011" s="80">
        <v>0</v>
      </c>
      <c r="AO1011" s="80">
        <v>0</v>
      </c>
    </row>
    <row r="1012" spans="1:41" ht="15.75" x14ac:dyDescent="0.25">
      <c r="A1012" s="84"/>
      <c r="B1012" s="84"/>
      <c r="C1012" s="84"/>
      <c r="D1012" s="80" t="s">
        <v>247</v>
      </c>
      <c r="E1012" s="80">
        <v>0</v>
      </c>
      <c r="F1012" s="80">
        <v>0</v>
      </c>
      <c r="G1012" s="80">
        <v>0</v>
      </c>
      <c r="H1012" s="81">
        <v>0</v>
      </c>
      <c r="I1012" s="81">
        <v>0</v>
      </c>
      <c r="J1012" s="80">
        <v>0</v>
      </c>
      <c r="K1012" s="80">
        <v>0</v>
      </c>
      <c r="L1012" s="80">
        <v>0</v>
      </c>
      <c r="M1012" s="80">
        <v>0</v>
      </c>
      <c r="N1012" s="81">
        <v>0</v>
      </c>
      <c r="O1012" s="80">
        <v>0</v>
      </c>
      <c r="P1012" s="80">
        <v>0</v>
      </c>
      <c r="Q1012" s="80">
        <v>0</v>
      </c>
      <c r="R1012" s="80">
        <v>0</v>
      </c>
      <c r="S1012" s="80">
        <v>0</v>
      </c>
      <c r="T1012" s="81">
        <v>0</v>
      </c>
      <c r="U1012" s="80">
        <v>0</v>
      </c>
      <c r="V1012" s="80">
        <v>0</v>
      </c>
      <c r="W1012" s="81">
        <v>0</v>
      </c>
      <c r="X1012" s="80">
        <v>0</v>
      </c>
      <c r="Y1012" s="80">
        <v>0</v>
      </c>
      <c r="Z1012" s="80">
        <v>0</v>
      </c>
      <c r="AA1012" s="80">
        <v>0</v>
      </c>
      <c r="AB1012" s="80">
        <v>0</v>
      </c>
      <c r="AC1012" s="80">
        <v>0</v>
      </c>
      <c r="AD1012" s="80">
        <v>0</v>
      </c>
      <c r="AE1012" s="80">
        <v>0</v>
      </c>
      <c r="AF1012" s="80">
        <v>0</v>
      </c>
      <c r="AG1012" s="81">
        <v>0</v>
      </c>
      <c r="AH1012" s="80">
        <v>0</v>
      </c>
      <c r="AI1012" s="81">
        <v>0</v>
      </c>
      <c r="AJ1012" s="81">
        <v>0</v>
      </c>
      <c r="AK1012" s="81">
        <v>0</v>
      </c>
      <c r="AL1012" s="81">
        <v>0</v>
      </c>
      <c r="AM1012" s="80">
        <v>0</v>
      </c>
      <c r="AN1012" s="80">
        <v>0</v>
      </c>
      <c r="AO1012" s="80">
        <v>0</v>
      </c>
    </row>
    <row r="1013" spans="1:41" ht="15.75" x14ac:dyDescent="0.25">
      <c r="A1013" s="84"/>
      <c r="B1013" s="84"/>
      <c r="C1013" s="84"/>
      <c r="D1013" s="80" t="s">
        <v>248</v>
      </c>
      <c r="E1013" s="80">
        <v>0</v>
      </c>
      <c r="F1013" s="80">
        <v>0</v>
      </c>
      <c r="G1013" s="80">
        <v>1</v>
      </c>
      <c r="H1013" s="81">
        <v>1</v>
      </c>
      <c r="I1013" s="81">
        <v>1</v>
      </c>
      <c r="J1013" s="80">
        <v>1</v>
      </c>
      <c r="K1013" s="80">
        <v>0</v>
      </c>
      <c r="L1013" s="80">
        <v>1</v>
      </c>
      <c r="M1013" s="80">
        <v>0</v>
      </c>
      <c r="N1013" s="81">
        <v>1</v>
      </c>
      <c r="O1013" s="80">
        <v>1</v>
      </c>
      <c r="P1013" s="80">
        <v>0</v>
      </c>
      <c r="Q1013" s="80">
        <v>0</v>
      </c>
      <c r="R1013" s="80">
        <v>0</v>
      </c>
      <c r="S1013" s="80">
        <v>0</v>
      </c>
      <c r="T1013" s="81">
        <v>0</v>
      </c>
      <c r="U1013" s="80">
        <v>2</v>
      </c>
      <c r="V1013" s="80">
        <v>0</v>
      </c>
      <c r="W1013" s="81">
        <v>1</v>
      </c>
      <c r="X1013" s="80">
        <v>0</v>
      </c>
      <c r="Y1013" s="80">
        <v>1</v>
      </c>
      <c r="Z1013" s="80">
        <v>0</v>
      </c>
      <c r="AA1013" s="80">
        <v>0</v>
      </c>
      <c r="AB1013" s="80">
        <v>1</v>
      </c>
      <c r="AC1013" s="80">
        <v>0</v>
      </c>
      <c r="AD1013" s="80">
        <v>0</v>
      </c>
      <c r="AE1013" s="80">
        <v>0</v>
      </c>
      <c r="AF1013" s="80">
        <v>0</v>
      </c>
      <c r="AG1013" s="81">
        <v>0</v>
      </c>
      <c r="AH1013" s="80">
        <v>0</v>
      </c>
      <c r="AI1013" s="81">
        <v>0</v>
      </c>
      <c r="AJ1013" s="81">
        <v>0</v>
      </c>
      <c r="AK1013" s="81">
        <v>0</v>
      </c>
      <c r="AL1013" s="81">
        <v>0</v>
      </c>
      <c r="AM1013" s="80">
        <v>0</v>
      </c>
      <c r="AN1013" s="80">
        <v>0</v>
      </c>
      <c r="AO1013" s="80">
        <v>0</v>
      </c>
    </row>
    <row r="1014" spans="1:41" ht="15.75" x14ac:dyDescent="0.25">
      <c r="A1014" s="84"/>
      <c r="B1014" s="84"/>
      <c r="C1014" s="84"/>
      <c r="D1014" s="80" t="s">
        <v>258</v>
      </c>
      <c r="E1014" s="80">
        <v>0</v>
      </c>
      <c r="F1014" s="80">
        <v>0</v>
      </c>
      <c r="G1014" s="80">
        <v>0</v>
      </c>
      <c r="H1014" s="80">
        <v>0</v>
      </c>
      <c r="I1014" s="80">
        <v>0</v>
      </c>
      <c r="J1014" s="80">
        <v>0</v>
      </c>
      <c r="K1014" s="80">
        <v>0</v>
      </c>
      <c r="L1014" s="80">
        <v>0</v>
      </c>
      <c r="M1014" s="80">
        <v>0</v>
      </c>
      <c r="N1014" s="80">
        <v>0</v>
      </c>
      <c r="O1014" s="80">
        <v>0</v>
      </c>
      <c r="P1014" s="80">
        <v>0</v>
      </c>
      <c r="Q1014" s="80">
        <v>1</v>
      </c>
      <c r="R1014" s="80">
        <v>0</v>
      </c>
      <c r="S1014" s="80">
        <v>0</v>
      </c>
      <c r="T1014" s="80">
        <v>0</v>
      </c>
      <c r="U1014" s="80">
        <v>0</v>
      </c>
      <c r="V1014" s="80">
        <v>0</v>
      </c>
      <c r="W1014" s="80">
        <v>0</v>
      </c>
      <c r="X1014" s="80">
        <v>0</v>
      </c>
      <c r="Y1014" s="80">
        <v>0</v>
      </c>
      <c r="Z1014" s="80">
        <v>0</v>
      </c>
      <c r="AA1014" s="80">
        <v>0</v>
      </c>
      <c r="AB1014" s="80">
        <v>0</v>
      </c>
      <c r="AC1014" s="80">
        <v>0</v>
      </c>
      <c r="AD1014" s="80">
        <v>0</v>
      </c>
      <c r="AE1014" s="80">
        <v>0</v>
      </c>
      <c r="AF1014" s="80">
        <v>0</v>
      </c>
      <c r="AG1014" s="80">
        <v>0</v>
      </c>
      <c r="AH1014" s="80">
        <v>0</v>
      </c>
      <c r="AI1014" s="80">
        <v>0</v>
      </c>
      <c r="AJ1014" s="80">
        <v>0</v>
      </c>
      <c r="AK1014" s="80">
        <v>0</v>
      </c>
      <c r="AL1014" s="80">
        <v>0</v>
      </c>
      <c r="AM1014" s="80">
        <v>0</v>
      </c>
      <c r="AN1014" s="80">
        <v>0</v>
      </c>
      <c r="AO1014" s="80">
        <v>0</v>
      </c>
    </row>
    <row r="1015" spans="1:41" ht="15.75" x14ac:dyDescent="0.25">
      <c r="A1015" s="84">
        <v>35</v>
      </c>
      <c r="B1015" s="84"/>
      <c r="C1015" s="84" t="s">
        <v>201</v>
      </c>
      <c r="D1015" s="80" t="s">
        <v>245</v>
      </c>
      <c r="E1015" s="80">
        <v>0</v>
      </c>
      <c r="F1015" s="80">
        <v>0</v>
      </c>
      <c r="G1015" s="81">
        <v>0</v>
      </c>
      <c r="H1015" s="81">
        <v>1</v>
      </c>
      <c r="I1015" s="81">
        <v>1</v>
      </c>
      <c r="J1015" s="81">
        <v>1</v>
      </c>
      <c r="K1015" s="81">
        <v>0</v>
      </c>
      <c r="L1015" s="81">
        <v>0</v>
      </c>
      <c r="M1015" s="81">
        <v>0</v>
      </c>
      <c r="N1015" s="81">
        <v>0</v>
      </c>
      <c r="O1015" s="81">
        <v>1</v>
      </c>
      <c r="P1015" s="80">
        <v>0</v>
      </c>
      <c r="Q1015" s="81">
        <v>0</v>
      </c>
      <c r="R1015" s="81">
        <v>0</v>
      </c>
      <c r="S1015" s="81">
        <v>0</v>
      </c>
      <c r="T1015" s="81">
        <v>0</v>
      </c>
      <c r="U1015" s="81">
        <v>2</v>
      </c>
      <c r="V1015" s="81">
        <v>0</v>
      </c>
      <c r="W1015" s="81">
        <v>0</v>
      </c>
      <c r="X1015" s="81">
        <v>0</v>
      </c>
      <c r="Y1015" s="81">
        <v>0</v>
      </c>
      <c r="Z1015" s="81">
        <v>0</v>
      </c>
      <c r="AA1015" s="81">
        <v>0</v>
      </c>
      <c r="AB1015" s="81">
        <v>0</v>
      </c>
      <c r="AC1015" s="80">
        <v>0</v>
      </c>
      <c r="AD1015" s="80">
        <v>0</v>
      </c>
      <c r="AE1015" s="81">
        <v>0</v>
      </c>
      <c r="AF1015" s="81">
        <v>0</v>
      </c>
      <c r="AG1015" s="81">
        <v>1</v>
      </c>
      <c r="AH1015" s="81">
        <v>0</v>
      </c>
      <c r="AI1015" s="81">
        <v>0</v>
      </c>
      <c r="AJ1015" s="81">
        <v>0</v>
      </c>
      <c r="AK1015" s="81">
        <v>0</v>
      </c>
      <c r="AL1015" s="81">
        <v>0</v>
      </c>
      <c r="AM1015" s="80">
        <v>0</v>
      </c>
      <c r="AN1015" s="80">
        <v>0</v>
      </c>
      <c r="AO1015" s="80">
        <v>0</v>
      </c>
    </row>
    <row r="1016" spans="1:41" ht="15.75" x14ac:dyDescent="0.25">
      <c r="A1016" s="84"/>
      <c r="B1016" s="84"/>
      <c r="C1016" s="84"/>
      <c r="D1016" s="80" t="s">
        <v>246</v>
      </c>
      <c r="E1016" s="80">
        <v>0</v>
      </c>
      <c r="F1016" s="80">
        <v>0</v>
      </c>
      <c r="G1016" s="81">
        <v>0</v>
      </c>
      <c r="H1016" s="81">
        <v>1</v>
      </c>
      <c r="I1016" s="81">
        <v>1</v>
      </c>
      <c r="J1016" s="81">
        <v>1</v>
      </c>
      <c r="K1016" s="81">
        <v>0</v>
      </c>
      <c r="L1016" s="81">
        <v>0</v>
      </c>
      <c r="M1016" s="81">
        <v>0</v>
      </c>
      <c r="N1016" s="81">
        <v>0</v>
      </c>
      <c r="O1016" s="81">
        <v>1</v>
      </c>
      <c r="P1016" s="80">
        <v>0</v>
      </c>
      <c r="Q1016" s="81">
        <v>0</v>
      </c>
      <c r="R1016" s="81">
        <v>0</v>
      </c>
      <c r="S1016" s="81">
        <v>0</v>
      </c>
      <c r="T1016" s="81">
        <v>0</v>
      </c>
      <c r="U1016" s="81">
        <v>2</v>
      </c>
      <c r="V1016" s="81">
        <v>0</v>
      </c>
      <c r="W1016" s="81">
        <v>0</v>
      </c>
      <c r="X1016" s="81">
        <v>0</v>
      </c>
      <c r="Y1016" s="81">
        <v>0</v>
      </c>
      <c r="Z1016" s="81">
        <v>0</v>
      </c>
      <c r="AA1016" s="81">
        <v>0</v>
      </c>
      <c r="AB1016" s="81">
        <v>0</v>
      </c>
      <c r="AC1016" s="80">
        <v>0</v>
      </c>
      <c r="AD1016" s="80">
        <v>0</v>
      </c>
      <c r="AE1016" s="81">
        <v>0</v>
      </c>
      <c r="AF1016" s="81">
        <v>0</v>
      </c>
      <c r="AG1016" s="81">
        <v>1</v>
      </c>
      <c r="AH1016" s="81">
        <v>0</v>
      </c>
      <c r="AI1016" s="81">
        <v>0</v>
      </c>
      <c r="AJ1016" s="81">
        <v>0</v>
      </c>
      <c r="AK1016" s="81">
        <v>0</v>
      </c>
      <c r="AL1016" s="81">
        <v>0</v>
      </c>
      <c r="AM1016" s="80">
        <v>0</v>
      </c>
      <c r="AN1016" s="80">
        <v>0</v>
      </c>
      <c r="AO1016" s="80">
        <v>0</v>
      </c>
    </row>
    <row r="1017" spans="1:41" ht="15.75" x14ac:dyDescent="0.25">
      <c r="A1017" s="84"/>
      <c r="B1017" s="84"/>
      <c r="C1017" s="84"/>
      <c r="D1017" s="80" t="s">
        <v>247</v>
      </c>
      <c r="E1017" s="80">
        <v>0</v>
      </c>
      <c r="F1017" s="80">
        <v>0</v>
      </c>
      <c r="G1017" s="81">
        <v>0</v>
      </c>
      <c r="H1017" s="81">
        <v>0</v>
      </c>
      <c r="I1017" s="81">
        <v>0</v>
      </c>
      <c r="J1017" s="81">
        <v>0</v>
      </c>
      <c r="K1017" s="81">
        <v>0</v>
      </c>
      <c r="L1017" s="81">
        <v>0</v>
      </c>
      <c r="M1017" s="81">
        <v>0</v>
      </c>
      <c r="N1017" s="81">
        <v>0</v>
      </c>
      <c r="O1017" s="81">
        <v>0</v>
      </c>
      <c r="P1017" s="80">
        <v>0</v>
      </c>
      <c r="Q1017" s="81">
        <v>0</v>
      </c>
      <c r="R1017" s="81">
        <v>0</v>
      </c>
      <c r="S1017" s="81">
        <v>0</v>
      </c>
      <c r="T1017" s="81">
        <v>0</v>
      </c>
      <c r="U1017" s="81">
        <v>0</v>
      </c>
      <c r="V1017" s="81">
        <v>0</v>
      </c>
      <c r="W1017" s="81">
        <v>0</v>
      </c>
      <c r="X1017" s="81">
        <v>0</v>
      </c>
      <c r="Y1017" s="81">
        <v>0</v>
      </c>
      <c r="Z1017" s="81">
        <v>0</v>
      </c>
      <c r="AA1017" s="81">
        <v>0</v>
      </c>
      <c r="AB1017" s="81">
        <v>0</v>
      </c>
      <c r="AC1017" s="80">
        <v>0</v>
      </c>
      <c r="AD1017" s="80">
        <v>0</v>
      </c>
      <c r="AE1017" s="81">
        <v>0</v>
      </c>
      <c r="AF1017" s="81">
        <v>0</v>
      </c>
      <c r="AG1017" s="81">
        <v>0</v>
      </c>
      <c r="AH1017" s="81">
        <v>0</v>
      </c>
      <c r="AI1017" s="81">
        <v>0</v>
      </c>
      <c r="AJ1017" s="81">
        <v>0</v>
      </c>
      <c r="AK1017" s="81">
        <v>0</v>
      </c>
      <c r="AL1017" s="81">
        <v>0</v>
      </c>
      <c r="AM1017" s="80">
        <v>0</v>
      </c>
      <c r="AN1017" s="80">
        <v>0</v>
      </c>
      <c r="AO1017" s="80">
        <v>0</v>
      </c>
    </row>
    <row r="1018" spans="1:41" ht="15.75" x14ac:dyDescent="0.25">
      <c r="A1018" s="84"/>
      <c r="B1018" s="84"/>
      <c r="C1018" s="84"/>
      <c r="D1018" s="80" t="s">
        <v>248</v>
      </c>
      <c r="E1018" s="80">
        <v>0</v>
      </c>
      <c r="F1018" s="80">
        <v>0</v>
      </c>
      <c r="G1018" s="81">
        <v>0</v>
      </c>
      <c r="H1018" s="81">
        <v>1</v>
      </c>
      <c r="I1018" s="81">
        <v>1</v>
      </c>
      <c r="J1018" s="81">
        <v>1</v>
      </c>
      <c r="K1018" s="81">
        <v>0</v>
      </c>
      <c r="L1018" s="81">
        <v>0</v>
      </c>
      <c r="M1018" s="81">
        <v>0</v>
      </c>
      <c r="N1018" s="81">
        <v>0</v>
      </c>
      <c r="O1018" s="81">
        <v>1</v>
      </c>
      <c r="P1018" s="80">
        <v>0</v>
      </c>
      <c r="Q1018" s="81">
        <v>0</v>
      </c>
      <c r="R1018" s="81">
        <v>0</v>
      </c>
      <c r="S1018" s="81">
        <v>0</v>
      </c>
      <c r="T1018" s="81">
        <v>0</v>
      </c>
      <c r="U1018" s="81">
        <v>2</v>
      </c>
      <c r="V1018" s="81">
        <v>0</v>
      </c>
      <c r="W1018" s="81">
        <v>0</v>
      </c>
      <c r="X1018" s="81">
        <v>0</v>
      </c>
      <c r="Y1018" s="81">
        <v>0</v>
      </c>
      <c r="Z1018" s="81">
        <v>0</v>
      </c>
      <c r="AA1018" s="81">
        <v>0</v>
      </c>
      <c r="AB1018" s="81">
        <v>0</v>
      </c>
      <c r="AC1018" s="80">
        <v>0</v>
      </c>
      <c r="AD1018" s="80">
        <v>0</v>
      </c>
      <c r="AE1018" s="81">
        <v>0</v>
      </c>
      <c r="AF1018" s="81">
        <v>0</v>
      </c>
      <c r="AG1018" s="81">
        <v>1</v>
      </c>
      <c r="AH1018" s="81">
        <v>0</v>
      </c>
      <c r="AI1018" s="81">
        <v>0</v>
      </c>
      <c r="AJ1018" s="81">
        <v>0</v>
      </c>
      <c r="AK1018" s="81">
        <v>0</v>
      </c>
      <c r="AL1018" s="81">
        <v>0</v>
      </c>
      <c r="AM1018" s="80">
        <v>0</v>
      </c>
      <c r="AN1018" s="80">
        <v>0</v>
      </c>
      <c r="AO1018" s="80">
        <v>0</v>
      </c>
    </row>
    <row r="1019" spans="1:41" ht="15.75" x14ac:dyDescent="0.25">
      <c r="A1019" s="84"/>
      <c r="B1019" s="84"/>
      <c r="C1019" s="84"/>
      <c r="D1019" s="80" t="s">
        <v>258</v>
      </c>
      <c r="E1019" s="80">
        <v>0</v>
      </c>
      <c r="F1019" s="80">
        <v>0</v>
      </c>
      <c r="G1019" s="80">
        <v>0</v>
      </c>
      <c r="H1019" s="80">
        <v>0</v>
      </c>
      <c r="I1019" s="80">
        <v>0</v>
      </c>
      <c r="J1019" s="80">
        <v>0</v>
      </c>
      <c r="K1019" s="80">
        <v>0</v>
      </c>
      <c r="L1019" s="80">
        <v>0</v>
      </c>
      <c r="M1019" s="80">
        <v>0</v>
      </c>
      <c r="N1019" s="80">
        <v>0</v>
      </c>
      <c r="O1019" s="80">
        <v>0</v>
      </c>
      <c r="P1019" s="80">
        <v>0</v>
      </c>
      <c r="Q1019" s="80">
        <v>0</v>
      </c>
      <c r="R1019" s="80">
        <v>0</v>
      </c>
      <c r="S1019" s="80">
        <v>0</v>
      </c>
      <c r="T1019" s="80">
        <v>0</v>
      </c>
      <c r="U1019" s="80">
        <v>0</v>
      </c>
      <c r="V1019" s="80">
        <v>0</v>
      </c>
      <c r="W1019" s="80">
        <v>0</v>
      </c>
      <c r="X1019" s="80">
        <v>0</v>
      </c>
      <c r="Y1019" s="80">
        <v>0</v>
      </c>
      <c r="Z1019" s="80">
        <v>0</v>
      </c>
      <c r="AA1019" s="80">
        <v>0</v>
      </c>
      <c r="AB1019" s="80">
        <v>0</v>
      </c>
      <c r="AC1019" s="80">
        <v>0</v>
      </c>
      <c r="AD1019" s="80">
        <v>0</v>
      </c>
      <c r="AE1019" s="80">
        <v>0</v>
      </c>
      <c r="AF1019" s="80">
        <v>0</v>
      </c>
      <c r="AG1019" s="80">
        <v>0</v>
      </c>
      <c r="AH1019" s="80">
        <v>0</v>
      </c>
      <c r="AI1019" s="80">
        <v>0</v>
      </c>
      <c r="AJ1019" s="80">
        <v>0</v>
      </c>
      <c r="AK1019" s="80">
        <v>0</v>
      </c>
      <c r="AL1019" s="80">
        <v>0</v>
      </c>
      <c r="AM1019" s="80">
        <v>0</v>
      </c>
      <c r="AN1019" s="80">
        <v>0</v>
      </c>
      <c r="AO1019" s="80">
        <v>0</v>
      </c>
    </row>
    <row r="1020" spans="1:41" ht="15.75" x14ac:dyDescent="0.25">
      <c r="A1020" s="84">
        <v>36</v>
      </c>
      <c r="B1020" s="84" t="s">
        <v>91</v>
      </c>
      <c r="C1020" s="84" t="s">
        <v>184</v>
      </c>
      <c r="D1020" s="80" t="s">
        <v>245</v>
      </c>
      <c r="E1020" s="80">
        <v>0</v>
      </c>
      <c r="F1020" s="80">
        <v>0</v>
      </c>
      <c r="G1020" s="80">
        <v>0</v>
      </c>
      <c r="H1020" s="81">
        <v>1</v>
      </c>
      <c r="I1020" s="81">
        <v>1</v>
      </c>
      <c r="J1020" s="80">
        <v>1</v>
      </c>
      <c r="K1020" s="80">
        <v>0</v>
      </c>
      <c r="L1020" s="80">
        <v>0</v>
      </c>
      <c r="M1020" s="80">
        <v>0</v>
      </c>
      <c r="N1020" s="81">
        <v>0</v>
      </c>
      <c r="O1020" s="81">
        <v>2</v>
      </c>
      <c r="P1020" s="81">
        <v>0</v>
      </c>
      <c r="Q1020" s="81">
        <v>1</v>
      </c>
      <c r="R1020" s="80">
        <v>0</v>
      </c>
      <c r="S1020" s="80">
        <v>0</v>
      </c>
      <c r="T1020" s="81">
        <v>0</v>
      </c>
      <c r="U1020" s="80">
        <v>1</v>
      </c>
      <c r="V1020" s="81">
        <v>3</v>
      </c>
      <c r="W1020" s="81">
        <v>2</v>
      </c>
      <c r="X1020" s="80">
        <v>1</v>
      </c>
      <c r="Y1020" s="80">
        <v>0</v>
      </c>
      <c r="Z1020" s="80">
        <v>1</v>
      </c>
      <c r="AA1020" s="80">
        <v>2</v>
      </c>
      <c r="AB1020" s="80">
        <v>0</v>
      </c>
      <c r="AC1020" s="80">
        <v>1</v>
      </c>
      <c r="AD1020" s="80">
        <v>0</v>
      </c>
      <c r="AE1020" s="80">
        <v>2</v>
      </c>
      <c r="AF1020" s="80">
        <v>2</v>
      </c>
      <c r="AG1020" s="81">
        <v>0</v>
      </c>
      <c r="AH1020" s="80">
        <v>2</v>
      </c>
      <c r="AI1020" s="81">
        <v>1</v>
      </c>
      <c r="AJ1020" s="81">
        <v>0</v>
      </c>
      <c r="AK1020" s="81">
        <v>0</v>
      </c>
      <c r="AL1020" s="81">
        <v>0</v>
      </c>
      <c r="AM1020" s="80">
        <v>0</v>
      </c>
      <c r="AN1020" s="80">
        <v>0</v>
      </c>
      <c r="AO1020" s="80">
        <v>0</v>
      </c>
    </row>
    <row r="1021" spans="1:41" ht="15.75" x14ac:dyDescent="0.25">
      <c r="A1021" s="84"/>
      <c r="B1021" s="84"/>
      <c r="C1021" s="84"/>
      <c r="D1021" s="80" t="s">
        <v>246</v>
      </c>
      <c r="E1021" s="80">
        <v>1</v>
      </c>
      <c r="F1021" s="80">
        <v>0</v>
      </c>
      <c r="G1021" s="80">
        <v>0</v>
      </c>
      <c r="H1021" s="81">
        <v>1</v>
      </c>
      <c r="I1021" s="81">
        <v>1</v>
      </c>
      <c r="J1021" s="80">
        <v>1</v>
      </c>
      <c r="K1021" s="80">
        <v>0</v>
      </c>
      <c r="L1021" s="80">
        <v>0</v>
      </c>
      <c r="M1021" s="80">
        <v>0</v>
      </c>
      <c r="N1021" s="81">
        <v>0</v>
      </c>
      <c r="O1021" s="81">
        <v>2</v>
      </c>
      <c r="P1021" s="81">
        <v>0</v>
      </c>
      <c r="Q1021" s="81">
        <v>1</v>
      </c>
      <c r="R1021" s="80">
        <v>0</v>
      </c>
      <c r="S1021" s="80">
        <v>0</v>
      </c>
      <c r="T1021" s="81">
        <v>0</v>
      </c>
      <c r="U1021" s="80">
        <v>1</v>
      </c>
      <c r="V1021" s="81">
        <v>3</v>
      </c>
      <c r="W1021" s="81">
        <v>2</v>
      </c>
      <c r="X1021" s="80">
        <v>1</v>
      </c>
      <c r="Y1021" s="80">
        <v>0</v>
      </c>
      <c r="Z1021" s="80">
        <v>1</v>
      </c>
      <c r="AA1021" s="80">
        <v>2</v>
      </c>
      <c r="AB1021" s="80">
        <v>0</v>
      </c>
      <c r="AC1021" s="80">
        <v>1</v>
      </c>
      <c r="AD1021" s="80">
        <v>0</v>
      </c>
      <c r="AE1021" s="80">
        <v>2</v>
      </c>
      <c r="AF1021" s="80">
        <v>2</v>
      </c>
      <c r="AG1021" s="81">
        <v>0</v>
      </c>
      <c r="AH1021" s="80">
        <v>2</v>
      </c>
      <c r="AI1021" s="81">
        <v>1</v>
      </c>
      <c r="AJ1021" s="81">
        <v>0</v>
      </c>
      <c r="AK1021" s="81">
        <v>0</v>
      </c>
      <c r="AL1021" s="81">
        <v>0</v>
      </c>
      <c r="AM1021" s="80">
        <v>0</v>
      </c>
      <c r="AN1021" s="80">
        <v>0</v>
      </c>
      <c r="AO1021" s="80">
        <v>0</v>
      </c>
    </row>
    <row r="1022" spans="1:41" ht="15.75" x14ac:dyDescent="0.25">
      <c r="A1022" s="84"/>
      <c r="B1022" s="84"/>
      <c r="C1022" s="84"/>
      <c r="D1022" s="80" t="s">
        <v>247</v>
      </c>
      <c r="E1022" s="80">
        <v>0</v>
      </c>
      <c r="F1022" s="80">
        <v>0</v>
      </c>
      <c r="G1022" s="80">
        <v>0</v>
      </c>
      <c r="H1022" s="81">
        <v>0</v>
      </c>
      <c r="I1022" s="81">
        <v>0</v>
      </c>
      <c r="J1022" s="80">
        <v>0</v>
      </c>
      <c r="K1022" s="80">
        <v>0</v>
      </c>
      <c r="L1022" s="80">
        <v>0</v>
      </c>
      <c r="M1022" s="80">
        <v>0</v>
      </c>
      <c r="N1022" s="81">
        <v>0</v>
      </c>
      <c r="O1022" s="81">
        <v>0</v>
      </c>
      <c r="P1022" s="81">
        <v>0</v>
      </c>
      <c r="Q1022" s="81">
        <v>0</v>
      </c>
      <c r="R1022" s="80">
        <v>0</v>
      </c>
      <c r="S1022" s="80">
        <v>0</v>
      </c>
      <c r="T1022" s="81">
        <v>0</v>
      </c>
      <c r="U1022" s="80">
        <v>0</v>
      </c>
      <c r="V1022" s="81">
        <v>0</v>
      </c>
      <c r="W1022" s="81">
        <v>0</v>
      </c>
      <c r="X1022" s="80">
        <v>0</v>
      </c>
      <c r="Y1022" s="80">
        <v>0</v>
      </c>
      <c r="Z1022" s="80">
        <v>0</v>
      </c>
      <c r="AA1022" s="80">
        <v>0</v>
      </c>
      <c r="AB1022" s="80">
        <v>0</v>
      </c>
      <c r="AC1022" s="80">
        <v>0</v>
      </c>
      <c r="AD1022" s="80">
        <v>0</v>
      </c>
      <c r="AE1022" s="80">
        <v>0</v>
      </c>
      <c r="AF1022" s="80">
        <v>0</v>
      </c>
      <c r="AG1022" s="81">
        <v>0</v>
      </c>
      <c r="AH1022" s="80">
        <v>0</v>
      </c>
      <c r="AI1022" s="81">
        <v>0</v>
      </c>
      <c r="AJ1022" s="81">
        <v>0</v>
      </c>
      <c r="AK1022" s="81">
        <v>0</v>
      </c>
      <c r="AL1022" s="81">
        <v>0</v>
      </c>
      <c r="AM1022" s="80">
        <v>0</v>
      </c>
      <c r="AN1022" s="80">
        <v>0</v>
      </c>
      <c r="AO1022" s="80">
        <v>0</v>
      </c>
    </row>
    <row r="1023" spans="1:41" ht="15.75" x14ac:dyDescent="0.25">
      <c r="A1023" s="84"/>
      <c r="B1023" s="84"/>
      <c r="C1023" s="84"/>
      <c r="D1023" s="80" t="s">
        <v>248</v>
      </c>
      <c r="E1023" s="80">
        <v>1</v>
      </c>
      <c r="F1023" s="80">
        <v>0</v>
      </c>
      <c r="G1023" s="80">
        <v>0</v>
      </c>
      <c r="H1023" s="81">
        <v>1</v>
      </c>
      <c r="I1023" s="81">
        <v>1</v>
      </c>
      <c r="J1023" s="80">
        <v>1</v>
      </c>
      <c r="K1023" s="80">
        <v>0</v>
      </c>
      <c r="L1023" s="80">
        <v>1</v>
      </c>
      <c r="M1023" s="80">
        <v>0</v>
      </c>
      <c r="N1023" s="81">
        <v>0</v>
      </c>
      <c r="O1023" s="81">
        <v>2</v>
      </c>
      <c r="P1023" s="81">
        <v>0</v>
      </c>
      <c r="Q1023" s="81">
        <v>0</v>
      </c>
      <c r="R1023" s="80">
        <v>0</v>
      </c>
      <c r="S1023" s="80">
        <v>0</v>
      </c>
      <c r="T1023" s="81">
        <v>0</v>
      </c>
      <c r="U1023" s="80">
        <v>1</v>
      </c>
      <c r="V1023" s="81">
        <v>3</v>
      </c>
      <c r="W1023" s="81">
        <v>2</v>
      </c>
      <c r="X1023" s="80">
        <v>1</v>
      </c>
      <c r="Y1023" s="80">
        <v>0</v>
      </c>
      <c r="Z1023" s="80">
        <v>1</v>
      </c>
      <c r="AA1023" s="80">
        <v>2</v>
      </c>
      <c r="AB1023" s="80">
        <v>0</v>
      </c>
      <c r="AC1023" s="80">
        <v>1</v>
      </c>
      <c r="AD1023" s="80">
        <v>0</v>
      </c>
      <c r="AE1023" s="80">
        <v>2</v>
      </c>
      <c r="AF1023" s="80">
        <v>2</v>
      </c>
      <c r="AG1023" s="81">
        <v>0</v>
      </c>
      <c r="AH1023" s="80">
        <v>2</v>
      </c>
      <c r="AI1023" s="81">
        <v>0</v>
      </c>
      <c r="AJ1023" s="81">
        <v>0</v>
      </c>
      <c r="AK1023" s="81">
        <v>0</v>
      </c>
      <c r="AL1023" s="81">
        <v>0</v>
      </c>
      <c r="AM1023" s="80">
        <v>0</v>
      </c>
      <c r="AN1023" s="80">
        <v>0</v>
      </c>
      <c r="AO1023" s="80">
        <v>0</v>
      </c>
    </row>
    <row r="1024" spans="1:41" ht="15.75" x14ac:dyDescent="0.25">
      <c r="A1024" s="84"/>
      <c r="B1024" s="84"/>
      <c r="C1024" s="84"/>
      <c r="D1024" s="80" t="s">
        <v>258</v>
      </c>
      <c r="E1024" s="80">
        <v>0</v>
      </c>
      <c r="F1024" s="80">
        <v>0</v>
      </c>
      <c r="G1024" s="80">
        <v>0</v>
      </c>
      <c r="H1024" s="80">
        <v>0</v>
      </c>
      <c r="I1024" s="80">
        <v>0</v>
      </c>
      <c r="J1024" s="80">
        <v>0</v>
      </c>
      <c r="K1024" s="80">
        <v>0</v>
      </c>
      <c r="L1024" s="80">
        <v>0</v>
      </c>
      <c r="M1024" s="80">
        <v>0</v>
      </c>
      <c r="N1024" s="80">
        <v>0</v>
      </c>
      <c r="O1024" s="80">
        <v>0</v>
      </c>
      <c r="P1024" s="80">
        <v>0</v>
      </c>
      <c r="Q1024" s="80">
        <v>1</v>
      </c>
      <c r="R1024" s="80">
        <v>0</v>
      </c>
      <c r="S1024" s="80">
        <v>0</v>
      </c>
      <c r="T1024" s="80">
        <v>0</v>
      </c>
      <c r="U1024" s="80">
        <v>0</v>
      </c>
      <c r="V1024" s="80">
        <v>0</v>
      </c>
      <c r="W1024" s="80">
        <v>0</v>
      </c>
      <c r="X1024" s="80">
        <v>0</v>
      </c>
      <c r="Y1024" s="80">
        <v>0</v>
      </c>
      <c r="Z1024" s="80">
        <v>0</v>
      </c>
      <c r="AA1024" s="80">
        <v>0</v>
      </c>
      <c r="AB1024" s="80">
        <v>0</v>
      </c>
      <c r="AC1024" s="80">
        <v>0</v>
      </c>
      <c r="AD1024" s="80">
        <v>0</v>
      </c>
      <c r="AE1024" s="80">
        <v>0</v>
      </c>
      <c r="AF1024" s="80">
        <v>0</v>
      </c>
      <c r="AG1024" s="80">
        <v>0</v>
      </c>
      <c r="AH1024" s="80">
        <v>0</v>
      </c>
      <c r="AI1024" s="80">
        <v>1</v>
      </c>
      <c r="AJ1024" s="80">
        <v>0</v>
      </c>
      <c r="AK1024" s="80">
        <v>0</v>
      </c>
      <c r="AL1024" s="80">
        <v>0</v>
      </c>
      <c r="AM1024" s="80">
        <v>0</v>
      </c>
      <c r="AN1024" s="80">
        <v>0</v>
      </c>
      <c r="AO1024" s="80">
        <v>0</v>
      </c>
    </row>
    <row r="1025" spans="1:41" ht="15.75" x14ac:dyDescent="0.25">
      <c r="A1025" s="84">
        <v>37</v>
      </c>
      <c r="B1025" s="84"/>
      <c r="C1025" s="84" t="s">
        <v>254</v>
      </c>
      <c r="D1025" s="80" t="s">
        <v>245</v>
      </c>
      <c r="E1025" s="80">
        <v>0</v>
      </c>
      <c r="F1025" s="80">
        <v>0</v>
      </c>
      <c r="G1025" s="80">
        <v>0</v>
      </c>
      <c r="H1025" s="81">
        <v>0</v>
      </c>
      <c r="I1025" s="81">
        <v>2</v>
      </c>
      <c r="J1025" s="80">
        <v>2</v>
      </c>
      <c r="K1025" s="80">
        <v>0</v>
      </c>
      <c r="L1025" s="80">
        <v>0</v>
      </c>
      <c r="M1025" s="80">
        <v>0</v>
      </c>
      <c r="N1025" s="81">
        <v>1</v>
      </c>
      <c r="O1025" s="81">
        <v>1</v>
      </c>
      <c r="P1025" s="81">
        <v>0</v>
      </c>
      <c r="Q1025" s="81">
        <v>2</v>
      </c>
      <c r="R1025" s="80">
        <v>1</v>
      </c>
      <c r="S1025" s="80">
        <v>0</v>
      </c>
      <c r="T1025" s="81">
        <v>0</v>
      </c>
      <c r="U1025" s="80">
        <v>1</v>
      </c>
      <c r="V1025" s="81">
        <v>2</v>
      </c>
      <c r="W1025" s="81">
        <v>0</v>
      </c>
      <c r="X1025" s="80">
        <v>0</v>
      </c>
      <c r="Y1025" s="80">
        <v>0</v>
      </c>
      <c r="Z1025" s="80">
        <v>1</v>
      </c>
      <c r="AA1025" s="80">
        <v>1</v>
      </c>
      <c r="AB1025" s="80">
        <v>1</v>
      </c>
      <c r="AC1025" s="80">
        <v>1</v>
      </c>
      <c r="AD1025" s="80">
        <v>1</v>
      </c>
      <c r="AE1025" s="80">
        <v>1</v>
      </c>
      <c r="AF1025" s="80">
        <v>1</v>
      </c>
      <c r="AG1025" s="81">
        <v>0</v>
      </c>
      <c r="AH1025" s="80">
        <v>1</v>
      </c>
      <c r="AI1025" s="81">
        <v>0</v>
      </c>
      <c r="AJ1025" s="81">
        <v>0</v>
      </c>
      <c r="AK1025" s="81">
        <v>0</v>
      </c>
      <c r="AL1025" s="81">
        <v>0</v>
      </c>
      <c r="AM1025" s="80">
        <v>0</v>
      </c>
      <c r="AN1025" s="80">
        <v>0</v>
      </c>
      <c r="AO1025" s="80">
        <v>0</v>
      </c>
    </row>
    <row r="1026" spans="1:41" ht="15.75" x14ac:dyDescent="0.25">
      <c r="A1026" s="84"/>
      <c r="B1026" s="84"/>
      <c r="C1026" s="84"/>
      <c r="D1026" s="80" t="s">
        <v>246</v>
      </c>
      <c r="E1026" s="80">
        <v>1</v>
      </c>
      <c r="F1026" s="80">
        <v>0</v>
      </c>
      <c r="G1026" s="80">
        <v>0</v>
      </c>
      <c r="H1026" s="81">
        <v>0</v>
      </c>
      <c r="I1026" s="81">
        <v>1</v>
      </c>
      <c r="J1026" s="80">
        <v>2</v>
      </c>
      <c r="K1026" s="80">
        <v>0</v>
      </c>
      <c r="L1026" s="80">
        <v>0</v>
      </c>
      <c r="M1026" s="80">
        <v>0</v>
      </c>
      <c r="N1026" s="81">
        <v>1</v>
      </c>
      <c r="O1026" s="81">
        <v>1</v>
      </c>
      <c r="P1026" s="81">
        <v>0</v>
      </c>
      <c r="Q1026" s="81">
        <v>2</v>
      </c>
      <c r="R1026" s="80">
        <v>1</v>
      </c>
      <c r="S1026" s="80">
        <v>0</v>
      </c>
      <c r="T1026" s="81">
        <v>0</v>
      </c>
      <c r="U1026" s="80">
        <v>1</v>
      </c>
      <c r="V1026" s="81">
        <v>2</v>
      </c>
      <c r="W1026" s="81">
        <v>0</v>
      </c>
      <c r="X1026" s="80">
        <v>0</v>
      </c>
      <c r="Y1026" s="80">
        <v>0</v>
      </c>
      <c r="Z1026" s="80">
        <v>1</v>
      </c>
      <c r="AA1026" s="80">
        <v>1</v>
      </c>
      <c r="AB1026" s="80">
        <v>1</v>
      </c>
      <c r="AC1026" s="80">
        <v>1</v>
      </c>
      <c r="AD1026" s="80">
        <v>1</v>
      </c>
      <c r="AE1026" s="80">
        <v>1</v>
      </c>
      <c r="AF1026" s="80">
        <v>1</v>
      </c>
      <c r="AG1026" s="81">
        <v>0</v>
      </c>
      <c r="AH1026" s="80">
        <v>1</v>
      </c>
      <c r="AI1026" s="81">
        <v>0</v>
      </c>
      <c r="AJ1026" s="81">
        <v>0</v>
      </c>
      <c r="AK1026" s="81">
        <v>0</v>
      </c>
      <c r="AL1026" s="81">
        <v>0</v>
      </c>
      <c r="AM1026" s="80">
        <v>0</v>
      </c>
      <c r="AN1026" s="80">
        <v>0</v>
      </c>
      <c r="AO1026" s="80">
        <v>0</v>
      </c>
    </row>
    <row r="1027" spans="1:41" ht="15.75" x14ac:dyDescent="0.25">
      <c r="A1027" s="84"/>
      <c r="B1027" s="84"/>
      <c r="C1027" s="84"/>
      <c r="D1027" s="80" t="s">
        <v>247</v>
      </c>
      <c r="E1027" s="80">
        <v>0</v>
      </c>
      <c r="F1027" s="80">
        <v>0</v>
      </c>
      <c r="G1027" s="80">
        <v>0</v>
      </c>
      <c r="H1027" s="81">
        <v>0</v>
      </c>
      <c r="I1027" s="81">
        <v>1</v>
      </c>
      <c r="J1027" s="80">
        <v>0</v>
      </c>
      <c r="K1027" s="80">
        <v>0</v>
      </c>
      <c r="L1027" s="80">
        <v>0</v>
      </c>
      <c r="M1027" s="80">
        <v>0</v>
      </c>
      <c r="N1027" s="81">
        <v>0</v>
      </c>
      <c r="O1027" s="81">
        <v>0</v>
      </c>
      <c r="P1027" s="81">
        <v>0</v>
      </c>
      <c r="Q1027" s="81">
        <v>0</v>
      </c>
      <c r="R1027" s="80">
        <v>0</v>
      </c>
      <c r="S1027" s="80">
        <v>0</v>
      </c>
      <c r="T1027" s="81">
        <v>0</v>
      </c>
      <c r="U1027" s="80">
        <v>0</v>
      </c>
      <c r="V1027" s="81">
        <v>0</v>
      </c>
      <c r="W1027" s="81">
        <v>0</v>
      </c>
      <c r="X1027" s="80">
        <v>0</v>
      </c>
      <c r="Y1027" s="80">
        <v>0</v>
      </c>
      <c r="Z1027" s="80">
        <v>0</v>
      </c>
      <c r="AA1027" s="80">
        <v>0</v>
      </c>
      <c r="AB1027" s="80">
        <v>0</v>
      </c>
      <c r="AC1027" s="80">
        <v>0</v>
      </c>
      <c r="AD1027" s="80">
        <v>0</v>
      </c>
      <c r="AE1027" s="80">
        <v>0</v>
      </c>
      <c r="AF1027" s="80">
        <v>0</v>
      </c>
      <c r="AG1027" s="81">
        <v>0</v>
      </c>
      <c r="AH1027" s="80">
        <v>0</v>
      </c>
      <c r="AI1027" s="81">
        <v>0</v>
      </c>
      <c r="AJ1027" s="81">
        <v>0</v>
      </c>
      <c r="AK1027" s="81">
        <v>0</v>
      </c>
      <c r="AL1027" s="81">
        <v>0</v>
      </c>
      <c r="AM1027" s="80">
        <v>0</v>
      </c>
      <c r="AN1027" s="80">
        <v>0</v>
      </c>
      <c r="AO1027" s="80">
        <v>0</v>
      </c>
    </row>
    <row r="1028" spans="1:41" ht="15.75" x14ac:dyDescent="0.25">
      <c r="A1028" s="84"/>
      <c r="B1028" s="84"/>
      <c r="C1028" s="84"/>
      <c r="D1028" s="80" t="s">
        <v>248</v>
      </c>
      <c r="E1028" s="80">
        <v>1</v>
      </c>
      <c r="F1028" s="80">
        <v>0</v>
      </c>
      <c r="G1028" s="80">
        <v>0</v>
      </c>
      <c r="H1028" s="81">
        <v>0</v>
      </c>
      <c r="I1028" s="81">
        <v>1</v>
      </c>
      <c r="J1028" s="80">
        <v>2</v>
      </c>
      <c r="K1028" s="80">
        <v>0</v>
      </c>
      <c r="L1028" s="80">
        <v>0</v>
      </c>
      <c r="M1028" s="80">
        <v>0</v>
      </c>
      <c r="N1028" s="81">
        <v>1</v>
      </c>
      <c r="O1028" s="81">
        <v>1</v>
      </c>
      <c r="P1028" s="81">
        <v>0</v>
      </c>
      <c r="Q1028" s="81">
        <v>2</v>
      </c>
      <c r="R1028" s="80">
        <v>1</v>
      </c>
      <c r="S1028" s="80">
        <v>0</v>
      </c>
      <c r="T1028" s="81">
        <v>0</v>
      </c>
      <c r="U1028" s="80">
        <v>1</v>
      </c>
      <c r="V1028" s="81">
        <v>2</v>
      </c>
      <c r="W1028" s="81">
        <v>0</v>
      </c>
      <c r="X1028" s="80">
        <v>0</v>
      </c>
      <c r="Y1028" s="80">
        <v>0</v>
      </c>
      <c r="Z1028" s="80">
        <v>1</v>
      </c>
      <c r="AA1028" s="80">
        <v>1</v>
      </c>
      <c r="AB1028" s="80">
        <v>1</v>
      </c>
      <c r="AC1028" s="80">
        <v>1</v>
      </c>
      <c r="AD1028" s="80">
        <v>1</v>
      </c>
      <c r="AE1028" s="80">
        <v>1</v>
      </c>
      <c r="AF1028" s="80">
        <v>1</v>
      </c>
      <c r="AG1028" s="81">
        <v>0</v>
      </c>
      <c r="AH1028" s="80">
        <v>1</v>
      </c>
      <c r="AI1028" s="81">
        <v>0</v>
      </c>
      <c r="AJ1028" s="81">
        <v>0</v>
      </c>
      <c r="AK1028" s="81">
        <v>0</v>
      </c>
      <c r="AL1028" s="81">
        <v>0</v>
      </c>
      <c r="AM1028" s="80">
        <v>0</v>
      </c>
      <c r="AN1028" s="80">
        <v>0</v>
      </c>
      <c r="AO1028" s="80">
        <v>0</v>
      </c>
    </row>
    <row r="1029" spans="1:41" ht="15.75" x14ac:dyDescent="0.25">
      <c r="A1029" s="84"/>
      <c r="B1029" s="84"/>
      <c r="C1029" s="84"/>
      <c r="D1029" s="80" t="s">
        <v>258</v>
      </c>
      <c r="E1029" s="80">
        <v>0</v>
      </c>
      <c r="F1029" s="80">
        <v>0</v>
      </c>
      <c r="G1029" s="80">
        <v>0</v>
      </c>
      <c r="H1029" s="80">
        <v>0</v>
      </c>
      <c r="I1029" s="80">
        <v>0</v>
      </c>
      <c r="J1029" s="80">
        <v>0</v>
      </c>
      <c r="K1029" s="80">
        <v>0</v>
      </c>
      <c r="L1029" s="80">
        <v>0</v>
      </c>
      <c r="M1029" s="80">
        <v>0</v>
      </c>
      <c r="N1029" s="81">
        <v>0</v>
      </c>
      <c r="O1029" s="80">
        <v>0</v>
      </c>
      <c r="P1029" s="80">
        <v>0</v>
      </c>
      <c r="Q1029" s="80">
        <v>0</v>
      </c>
      <c r="R1029" s="80">
        <v>0</v>
      </c>
      <c r="S1029" s="80">
        <v>0</v>
      </c>
      <c r="T1029" s="80">
        <v>0</v>
      </c>
      <c r="U1029" s="80">
        <v>0</v>
      </c>
      <c r="V1029" s="80">
        <v>0</v>
      </c>
      <c r="W1029" s="80">
        <v>0</v>
      </c>
      <c r="X1029" s="80">
        <v>0</v>
      </c>
      <c r="Y1029" s="80">
        <v>0</v>
      </c>
      <c r="Z1029" s="80">
        <v>0</v>
      </c>
      <c r="AA1029" s="80">
        <v>0</v>
      </c>
      <c r="AB1029" s="80">
        <v>0</v>
      </c>
      <c r="AC1029" s="80">
        <v>0</v>
      </c>
      <c r="AD1029" s="80">
        <v>0</v>
      </c>
      <c r="AE1029" s="80">
        <v>0</v>
      </c>
      <c r="AF1029" s="80">
        <v>0</v>
      </c>
      <c r="AG1029" s="80">
        <v>0</v>
      </c>
      <c r="AH1029" s="80">
        <v>0</v>
      </c>
      <c r="AI1029" s="80">
        <v>0</v>
      </c>
      <c r="AJ1029" s="80">
        <v>0</v>
      </c>
      <c r="AK1029" s="80">
        <v>0</v>
      </c>
      <c r="AL1029" s="80">
        <v>0</v>
      </c>
      <c r="AM1029" s="80">
        <v>0</v>
      </c>
      <c r="AN1029" s="80">
        <v>0</v>
      </c>
      <c r="AO1029" s="80">
        <v>0</v>
      </c>
    </row>
    <row r="1030" spans="1:41" ht="15.75" x14ac:dyDescent="0.25">
      <c r="A1030" s="84">
        <v>38</v>
      </c>
      <c r="B1030" s="84"/>
      <c r="C1030" s="84" t="s">
        <v>175</v>
      </c>
      <c r="D1030" s="80" t="s">
        <v>245</v>
      </c>
      <c r="E1030" s="80">
        <v>0</v>
      </c>
      <c r="F1030" s="80">
        <v>0</v>
      </c>
      <c r="G1030" s="80">
        <v>0</v>
      </c>
      <c r="H1030" s="81">
        <v>1</v>
      </c>
      <c r="I1030" s="81">
        <v>0</v>
      </c>
      <c r="J1030" s="80">
        <v>2</v>
      </c>
      <c r="K1030" s="80">
        <v>0</v>
      </c>
      <c r="L1030" s="80">
        <v>0</v>
      </c>
      <c r="M1030" s="80">
        <v>0</v>
      </c>
      <c r="N1030" s="81">
        <v>0</v>
      </c>
      <c r="O1030" s="81">
        <v>1</v>
      </c>
      <c r="P1030" s="81">
        <v>0</v>
      </c>
      <c r="Q1030" s="81">
        <v>1</v>
      </c>
      <c r="R1030" s="80">
        <v>0</v>
      </c>
      <c r="S1030" s="80">
        <v>0</v>
      </c>
      <c r="T1030" s="81">
        <v>0</v>
      </c>
      <c r="U1030" s="80">
        <v>2</v>
      </c>
      <c r="V1030" s="81">
        <v>1</v>
      </c>
      <c r="W1030" s="81">
        <v>1</v>
      </c>
      <c r="X1030" s="80">
        <v>0</v>
      </c>
      <c r="Y1030" s="80">
        <v>0</v>
      </c>
      <c r="Z1030" s="80">
        <v>0</v>
      </c>
      <c r="AA1030" s="80">
        <v>0</v>
      </c>
      <c r="AB1030" s="80">
        <v>0</v>
      </c>
      <c r="AC1030" s="80">
        <v>0</v>
      </c>
      <c r="AD1030" s="80">
        <v>0</v>
      </c>
      <c r="AE1030" s="80">
        <v>0</v>
      </c>
      <c r="AF1030" s="80">
        <v>0</v>
      </c>
      <c r="AG1030" s="81">
        <v>0</v>
      </c>
      <c r="AH1030" s="80">
        <v>0</v>
      </c>
      <c r="AI1030" s="81">
        <v>0</v>
      </c>
      <c r="AJ1030" s="81">
        <v>0</v>
      </c>
      <c r="AK1030" s="81">
        <v>0</v>
      </c>
      <c r="AL1030" s="81">
        <v>0</v>
      </c>
      <c r="AM1030" s="81">
        <v>3</v>
      </c>
      <c r="AN1030" s="81">
        <v>3</v>
      </c>
      <c r="AO1030" s="80">
        <v>0</v>
      </c>
    </row>
    <row r="1031" spans="1:41" ht="15.75" x14ac:dyDescent="0.25">
      <c r="A1031" s="84"/>
      <c r="B1031" s="84"/>
      <c r="C1031" s="84"/>
      <c r="D1031" s="80" t="s">
        <v>246</v>
      </c>
      <c r="E1031" s="80">
        <v>0</v>
      </c>
      <c r="F1031" s="80">
        <v>0</v>
      </c>
      <c r="G1031" s="80">
        <v>0</v>
      </c>
      <c r="H1031" s="81">
        <v>1</v>
      </c>
      <c r="I1031" s="81">
        <v>0</v>
      </c>
      <c r="J1031" s="80">
        <v>2</v>
      </c>
      <c r="K1031" s="80">
        <v>0</v>
      </c>
      <c r="L1031" s="80">
        <v>0</v>
      </c>
      <c r="M1031" s="80">
        <v>0</v>
      </c>
      <c r="N1031" s="81">
        <v>0</v>
      </c>
      <c r="O1031" s="81">
        <v>1</v>
      </c>
      <c r="P1031" s="81">
        <v>0</v>
      </c>
      <c r="Q1031" s="81">
        <v>1</v>
      </c>
      <c r="R1031" s="80">
        <v>0</v>
      </c>
      <c r="S1031" s="80">
        <v>0</v>
      </c>
      <c r="T1031" s="81">
        <v>0</v>
      </c>
      <c r="U1031" s="80">
        <v>2</v>
      </c>
      <c r="V1031" s="81">
        <v>1</v>
      </c>
      <c r="W1031" s="81">
        <v>1</v>
      </c>
      <c r="X1031" s="80">
        <v>0</v>
      </c>
      <c r="Y1031" s="80">
        <v>0</v>
      </c>
      <c r="Z1031" s="80">
        <v>0</v>
      </c>
      <c r="AA1031" s="80">
        <v>0</v>
      </c>
      <c r="AB1031" s="80">
        <v>0</v>
      </c>
      <c r="AC1031" s="80">
        <v>0</v>
      </c>
      <c r="AD1031" s="80">
        <v>0</v>
      </c>
      <c r="AE1031" s="80">
        <v>0</v>
      </c>
      <c r="AF1031" s="80">
        <v>0</v>
      </c>
      <c r="AG1031" s="81">
        <v>0</v>
      </c>
      <c r="AH1031" s="80">
        <v>0</v>
      </c>
      <c r="AI1031" s="81">
        <v>0</v>
      </c>
      <c r="AJ1031" s="81">
        <v>0</v>
      </c>
      <c r="AK1031" s="81">
        <v>0</v>
      </c>
      <c r="AL1031" s="81">
        <v>0</v>
      </c>
      <c r="AM1031" s="81">
        <v>3</v>
      </c>
      <c r="AN1031" s="81">
        <v>3</v>
      </c>
      <c r="AO1031" s="80">
        <v>0</v>
      </c>
    </row>
    <row r="1032" spans="1:41" ht="15.75" x14ac:dyDescent="0.25">
      <c r="A1032" s="84"/>
      <c r="B1032" s="84"/>
      <c r="C1032" s="84"/>
      <c r="D1032" s="80" t="s">
        <v>247</v>
      </c>
      <c r="E1032" s="80">
        <v>0</v>
      </c>
      <c r="F1032" s="80">
        <v>0</v>
      </c>
      <c r="G1032" s="80">
        <v>0</v>
      </c>
      <c r="H1032" s="81">
        <v>0</v>
      </c>
      <c r="I1032" s="81">
        <v>0</v>
      </c>
      <c r="J1032" s="80">
        <v>0</v>
      </c>
      <c r="K1032" s="80">
        <v>0</v>
      </c>
      <c r="L1032" s="80">
        <v>0</v>
      </c>
      <c r="M1032" s="80">
        <v>0</v>
      </c>
      <c r="N1032" s="81">
        <v>0</v>
      </c>
      <c r="O1032" s="81">
        <v>0</v>
      </c>
      <c r="P1032" s="81">
        <v>0</v>
      </c>
      <c r="Q1032" s="81">
        <v>0</v>
      </c>
      <c r="R1032" s="80">
        <v>0</v>
      </c>
      <c r="S1032" s="80">
        <v>0</v>
      </c>
      <c r="T1032" s="81">
        <v>0</v>
      </c>
      <c r="U1032" s="80">
        <v>0</v>
      </c>
      <c r="V1032" s="81">
        <v>0</v>
      </c>
      <c r="W1032" s="81">
        <v>0</v>
      </c>
      <c r="X1032" s="80">
        <v>0</v>
      </c>
      <c r="Y1032" s="80">
        <v>0</v>
      </c>
      <c r="Z1032" s="80">
        <v>0</v>
      </c>
      <c r="AA1032" s="80">
        <v>0</v>
      </c>
      <c r="AB1032" s="80">
        <v>0</v>
      </c>
      <c r="AC1032" s="80">
        <v>0</v>
      </c>
      <c r="AD1032" s="80">
        <v>0</v>
      </c>
      <c r="AE1032" s="80">
        <v>0</v>
      </c>
      <c r="AF1032" s="80">
        <v>0</v>
      </c>
      <c r="AG1032" s="81">
        <v>0</v>
      </c>
      <c r="AH1032" s="80">
        <v>0</v>
      </c>
      <c r="AI1032" s="81">
        <v>0</v>
      </c>
      <c r="AJ1032" s="81">
        <v>0</v>
      </c>
      <c r="AK1032" s="81">
        <v>0</v>
      </c>
      <c r="AL1032" s="81">
        <v>0</v>
      </c>
      <c r="AM1032" s="81">
        <v>0</v>
      </c>
      <c r="AN1032" s="81">
        <v>0</v>
      </c>
      <c r="AO1032" s="80">
        <v>0</v>
      </c>
    </row>
    <row r="1033" spans="1:41" ht="15.75" x14ac:dyDescent="0.25">
      <c r="A1033" s="84"/>
      <c r="B1033" s="84"/>
      <c r="C1033" s="84"/>
      <c r="D1033" s="80" t="s">
        <v>248</v>
      </c>
      <c r="E1033" s="80">
        <v>0</v>
      </c>
      <c r="F1033" s="80">
        <v>0</v>
      </c>
      <c r="G1033" s="80">
        <v>0</v>
      </c>
      <c r="H1033" s="81">
        <v>1</v>
      </c>
      <c r="I1033" s="81">
        <v>0</v>
      </c>
      <c r="J1033" s="80">
        <v>2</v>
      </c>
      <c r="K1033" s="80">
        <v>0</v>
      </c>
      <c r="L1033" s="80">
        <v>0</v>
      </c>
      <c r="M1033" s="80">
        <v>0</v>
      </c>
      <c r="N1033" s="81">
        <v>0</v>
      </c>
      <c r="O1033" s="81">
        <v>1</v>
      </c>
      <c r="P1033" s="81">
        <v>0</v>
      </c>
      <c r="Q1033" s="81">
        <v>1</v>
      </c>
      <c r="R1033" s="80">
        <v>0</v>
      </c>
      <c r="S1033" s="80">
        <v>0</v>
      </c>
      <c r="T1033" s="81">
        <v>0</v>
      </c>
      <c r="U1033" s="80">
        <v>2</v>
      </c>
      <c r="V1033" s="81">
        <v>1</v>
      </c>
      <c r="W1033" s="81">
        <v>1</v>
      </c>
      <c r="X1033" s="80">
        <v>0</v>
      </c>
      <c r="Y1033" s="80">
        <v>0</v>
      </c>
      <c r="Z1033" s="80">
        <v>0</v>
      </c>
      <c r="AA1033" s="80">
        <v>0</v>
      </c>
      <c r="AB1033" s="80">
        <v>0</v>
      </c>
      <c r="AC1033" s="80">
        <v>0</v>
      </c>
      <c r="AD1033" s="80">
        <v>0</v>
      </c>
      <c r="AE1033" s="80">
        <v>0</v>
      </c>
      <c r="AF1033" s="80">
        <v>0</v>
      </c>
      <c r="AG1033" s="81">
        <v>0</v>
      </c>
      <c r="AH1033" s="80">
        <v>0</v>
      </c>
      <c r="AI1033" s="81">
        <v>0</v>
      </c>
      <c r="AJ1033" s="81">
        <v>0</v>
      </c>
      <c r="AK1033" s="81">
        <v>0</v>
      </c>
      <c r="AL1033" s="81">
        <v>0</v>
      </c>
      <c r="AM1033" s="81">
        <v>3</v>
      </c>
      <c r="AN1033" s="81">
        <v>3</v>
      </c>
      <c r="AO1033" s="80">
        <v>0</v>
      </c>
    </row>
    <row r="1034" spans="1:41" ht="15.75" x14ac:dyDescent="0.25">
      <c r="A1034" s="84"/>
      <c r="B1034" s="84"/>
      <c r="C1034" s="84"/>
      <c r="D1034" s="80" t="s">
        <v>258</v>
      </c>
      <c r="E1034" s="80">
        <v>0</v>
      </c>
      <c r="F1034" s="80">
        <v>0</v>
      </c>
      <c r="G1034" s="80">
        <v>0</v>
      </c>
      <c r="H1034" s="80">
        <v>0</v>
      </c>
      <c r="I1034" s="80">
        <v>0</v>
      </c>
      <c r="J1034" s="80">
        <v>0</v>
      </c>
      <c r="K1034" s="80">
        <v>0</v>
      </c>
      <c r="L1034" s="80">
        <v>0</v>
      </c>
      <c r="M1034" s="80">
        <v>0</v>
      </c>
      <c r="N1034" s="80">
        <v>0</v>
      </c>
      <c r="O1034" s="80">
        <v>0</v>
      </c>
      <c r="P1034" s="80">
        <v>0</v>
      </c>
      <c r="Q1034" s="80">
        <v>0</v>
      </c>
      <c r="R1034" s="80">
        <v>0</v>
      </c>
      <c r="S1034" s="80">
        <v>0</v>
      </c>
      <c r="T1034" s="80">
        <v>0</v>
      </c>
      <c r="U1034" s="80">
        <v>0</v>
      </c>
      <c r="V1034" s="80">
        <v>0</v>
      </c>
      <c r="W1034" s="80">
        <v>0</v>
      </c>
      <c r="X1034" s="80">
        <v>0</v>
      </c>
      <c r="Y1034" s="80">
        <v>0</v>
      </c>
      <c r="Z1034" s="80">
        <v>0</v>
      </c>
      <c r="AA1034" s="80">
        <v>0</v>
      </c>
      <c r="AB1034" s="80">
        <v>0</v>
      </c>
      <c r="AC1034" s="80">
        <v>0</v>
      </c>
      <c r="AD1034" s="80">
        <v>0</v>
      </c>
      <c r="AE1034" s="80">
        <v>0</v>
      </c>
      <c r="AF1034" s="80">
        <v>0</v>
      </c>
      <c r="AG1034" s="80">
        <v>0</v>
      </c>
      <c r="AH1034" s="80">
        <v>0</v>
      </c>
      <c r="AI1034" s="80">
        <v>0</v>
      </c>
      <c r="AJ1034" s="80">
        <v>0</v>
      </c>
      <c r="AK1034" s="80">
        <v>0</v>
      </c>
      <c r="AL1034" s="80">
        <v>0</v>
      </c>
      <c r="AM1034" s="80">
        <v>0</v>
      </c>
      <c r="AN1034" s="80">
        <v>0</v>
      </c>
      <c r="AO1034" s="80">
        <v>0</v>
      </c>
    </row>
    <row r="1035" spans="1:41" ht="15.75" x14ac:dyDescent="0.25">
      <c r="A1035" s="84">
        <v>39</v>
      </c>
      <c r="B1035" s="84" t="s">
        <v>169</v>
      </c>
      <c r="C1035" s="84" t="s">
        <v>255</v>
      </c>
      <c r="D1035" s="80" t="s">
        <v>245</v>
      </c>
      <c r="E1035" s="80">
        <v>0</v>
      </c>
      <c r="F1035" s="80">
        <v>0</v>
      </c>
      <c r="G1035" s="80">
        <v>0</v>
      </c>
      <c r="H1035" s="81">
        <v>0</v>
      </c>
      <c r="I1035" s="81">
        <v>2</v>
      </c>
      <c r="J1035" s="80">
        <v>2</v>
      </c>
      <c r="K1035" s="80">
        <v>0</v>
      </c>
      <c r="L1035" s="80">
        <v>0</v>
      </c>
      <c r="M1035" s="80">
        <v>0</v>
      </c>
      <c r="N1035" s="81">
        <v>0</v>
      </c>
      <c r="O1035" s="81">
        <v>1</v>
      </c>
      <c r="P1035" s="81">
        <v>0</v>
      </c>
      <c r="Q1035" s="81">
        <v>0</v>
      </c>
      <c r="R1035" s="80">
        <v>0</v>
      </c>
      <c r="S1035" s="80">
        <v>0</v>
      </c>
      <c r="T1035" s="81">
        <v>0</v>
      </c>
      <c r="U1035" s="81">
        <v>2</v>
      </c>
      <c r="V1035" s="81">
        <v>1</v>
      </c>
      <c r="W1035" s="81">
        <v>0</v>
      </c>
      <c r="X1035" s="81">
        <v>0</v>
      </c>
      <c r="Y1035" s="80">
        <v>0</v>
      </c>
      <c r="Z1035" s="80">
        <v>1</v>
      </c>
      <c r="AA1035" s="80">
        <v>2</v>
      </c>
      <c r="AB1035" s="80">
        <v>1</v>
      </c>
      <c r="AC1035" s="80">
        <v>1</v>
      </c>
      <c r="AD1035" s="80">
        <v>0</v>
      </c>
      <c r="AE1035" s="80">
        <v>1</v>
      </c>
      <c r="AF1035" s="80">
        <v>1</v>
      </c>
      <c r="AG1035" s="81">
        <v>1</v>
      </c>
      <c r="AH1035" s="80">
        <v>2</v>
      </c>
      <c r="AI1035" s="81">
        <v>1</v>
      </c>
      <c r="AJ1035" s="81">
        <v>1</v>
      </c>
      <c r="AK1035" s="81">
        <v>0</v>
      </c>
      <c r="AL1035" s="81">
        <v>0</v>
      </c>
      <c r="AM1035" s="80">
        <v>0</v>
      </c>
      <c r="AN1035" s="80">
        <v>0</v>
      </c>
      <c r="AO1035" s="80">
        <v>0</v>
      </c>
    </row>
    <row r="1036" spans="1:41" ht="15.75" x14ac:dyDescent="0.25">
      <c r="A1036" s="84"/>
      <c r="B1036" s="84"/>
      <c r="C1036" s="84"/>
      <c r="D1036" s="80" t="s">
        <v>246</v>
      </c>
      <c r="E1036" s="80">
        <v>1</v>
      </c>
      <c r="F1036" s="80">
        <v>0</v>
      </c>
      <c r="G1036" s="80">
        <v>0</v>
      </c>
      <c r="H1036" s="81">
        <v>1</v>
      </c>
      <c r="I1036" s="81">
        <v>1</v>
      </c>
      <c r="J1036" s="80">
        <v>1</v>
      </c>
      <c r="K1036" s="80">
        <v>0</v>
      </c>
      <c r="L1036" s="80">
        <v>0</v>
      </c>
      <c r="M1036" s="80">
        <v>0</v>
      </c>
      <c r="N1036" s="81">
        <v>0</v>
      </c>
      <c r="O1036" s="81">
        <v>1</v>
      </c>
      <c r="P1036" s="81">
        <v>0</v>
      </c>
      <c r="Q1036" s="81">
        <v>0</v>
      </c>
      <c r="R1036" s="80">
        <v>0</v>
      </c>
      <c r="S1036" s="80">
        <v>0</v>
      </c>
      <c r="T1036" s="81">
        <v>0</v>
      </c>
      <c r="U1036" s="81">
        <v>2</v>
      </c>
      <c r="V1036" s="81">
        <v>1</v>
      </c>
      <c r="W1036" s="81">
        <v>0</v>
      </c>
      <c r="X1036" s="81">
        <v>0</v>
      </c>
      <c r="Y1036" s="80">
        <v>0</v>
      </c>
      <c r="Z1036" s="80">
        <v>1</v>
      </c>
      <c r="AA1036" s="80">
        <v>2</v>
      </c>
      <c r="AB1036" s="80">
        <v>1</v>
      </c>
      <c r="AC1036" s="80">
        <v>1</v>
      </c>
      <c r="AD1036" s="80">
        <v>0</v>
      </c>
      <c r="AE1036" s="80">
        <v>1</v>
      </c>
      <c r="AF1036" s="80">
        <v>1</v>
      </c>
      <c r="AG1036" s="81">
        <v>1</v>
      </c>
      <c r="AH1036" s="80">
        <v>1</v>
      </c>
      <c r="AI1036" s="81">
        <v>1</v>
      </c>
      <c r="AJ1036" s="81">
        <v>0</v>
      </c>
      <c r="AK1036" s="81">
        <v>0</v>
      </c>
      <c r="AL1036" s="81">
        <v>0</v>
      </c>
      <c r="AM1036" s="80">
        <v>0</v>
      </c>
      <c r="AN1036" s="80">
        <v>0</v>
      </c>
      <c r="AO1036" s="80">
        <v>0</v>
      </c>
    </row>
    <row r="1037" spans="1:41" ht="15.75" x14ac:dyDescent="0.25">
      <c r="A1037" s="84"/>
      <c r="B1037" s="84"/>
      <c r="C1037" s="84"/>
      <c r="D1037" s="80" t="s">
        <v>247</v>
      </c>
      <c r="E1037" s="80">
        <v>0</v>
      </c>
      <c r="F1037" s="80">
        <v>0</v>
      </c>
      <c r="G1037" s="80">
        <v>0</v>
      </c>
      <c r="H1037" s="81">
        <v>0</v>
      </c>
      <c r="I1037" s="81">
        <v>1</v>
      </c>
      <c r="J1037" s="80">
        <v>1</v>
      </c>
      <c r="K1037" s="80">
        <v>0</v>
      </c>
      <c r="L1037" s="80">
        <v>0</v>
      </c>
      <c r="M1037" s="80">
        <v>0</v>
      </c>
      <c r="N1037" s="81">
        <v>0</v>
      </c>
      <c r="O1037" s="81">
        <v>0</v>
      </c>
      <c r="P1037" s="81">
        <v>0</v>
      </c>
      <c r="Q1037" s="81">
        <v>0</v>
      </c>
      <c r="R1037" s="80">
        <v>0</v>
      </c>
      <c r="S1037" s="80">
        <v>0</v>
      </c>
      <c r="T1037" s="81">
        <v>0</v>
      </c>
      <c r="U1037" s="81">
        <v>0</v>
      </c>
      <c r="V1037" s="81">
        <v>0</v>
      </c>
      <c r="W1037" s="81">
        <v>0</v>
      </c>
      <c r="X1037" s="81">
        <v>0</v>
      </c>
      <c r="Y1037" s="80">
        <v>0</v>
      </c>
      <c r="Z1037" s="80">
        <v>0</v>
      </c>
      <c r="AA1037" s="80">
        <v>0</v>
      </c>
      <c r="AB1037" s="80">
        <v>0</v>
      </c>
      <c r="AC1037" s="80">
        <v>0</v>
      </c>
      <c r="AD1037" s="80">
        <v>0</v>
      </c>
      <c r="AE1037" s="80">
        <v>0</v>
      </c>
      <c r="AF1037" s="80">
        <v>0</v>
      </c>
      <c r="AG1037" s="81">
        <v>0</v>
      </c>
      <c r="AH1037" s="80">
        <v>1</v>
      </c>
      <c r="AI1037" s="81">
        <v>0</v>
      </c>
      <c r="AJ1037" s="81">
        <v>0</v>
      </c>
      <c r="AK1037" s="81">
        <v>0</v>
      </c>
      <c r="AL1037" s="81">
        <v>0</v>
      </c>
      <c r="AM1037" s="80">
        <v>0</v>
      </c>
      <c r="AN1037" s="80">
        <v>0</v>
      </c>
      <c r="AO1037" s="80">
        <v>0</v>
      </c>
    </row>
    <row r="1038" spans="1:41" ht="15.75" x14ac:dyDescent="0.25">
      <c r="A1038" s="84"/>
      <c r="B1038" s="84"/>
      <c r="C1038" s="84"/>
      <c r="D1038" s="80" t="s">
        <v>248</v>
      </c>
      <c r="E1038" s="80">
        <v>1</v>
      </c>
      <c r="F1038" s="80">
        <v>0</v>
      </c>
      <c r="G1038" s="80">
        <v>0</v>
      </c>
      <c r="H1038" s="81">
        <v>1</v>
      </c>
      <c r="I1038" s="81">
        <v>1</v>
      </c>
      <c r="J1038" s="80">
        <v>1</v>
      </c>
      <c r="K1038" s="80">
        <v>0</v>
      </c>
      <c r="L1038" s="80">
        <v>0</v>
      </c>
      <c r="M1038" s="80">
        <v>0</v>
      </c>
      <c r="N1038" s="81">
        <v>0</v>
      </c>
      <c r="O1038" s="81">
        <v>1</v>
      </c>
      <c r="P1038" s="81">
        <v>0</v>
      </c>
      <c r="Q1038" s="81">
        <v>0</v>
      </c>
      <c r="R1038" s="80">
        <v>0</v>
      </c>
      <c r="S1038" s="80">
        <v>0</v>
      </c>
      <c r="T1038" s="81">
        <v>0</v>
      </c>
      <c r="U1038" s="81">
        <v>2</v>
      </c>
      <c r="V1038" s="81">
        <v>1</v>
      </c>
      <c r="W1038" s="81">
        <v>0</v>
      </c>
      <c r="X1038" s="81">
        <v>0</v>
      </c>
      <c r="Y1038" s="80">
        <v>0</v>
      </c>
      <c r="Z1038" s="80">
        <v>1</v>
      </c>
      <c r="AA1038" s="80">
        <v>2</v>
      </c>
      <c r="AB1038" s="80">
        <v>1</v>
      </c>
      <c r="AC1038" s="80">
        <v>1</v>
      </c>
      <c r="AD1038" s="80">
        <v>0</v>
      </c>
      <c r="AE1038" s="80">
        <v>1</v>
      </c>
      <c r="AF1038" s="80">
        <v>1</v>
      </c>
      <c r="AG1038" s="81">
        <v>1</v>
      </c>
      <c r="AH1038" s="80">
        <v>1</v>
      </c>
      <c r="AI1038" s="81">
        <v>1</v>
      </c>
      <c r="AJ1038" s="81">
        <v>0</v>
      </c>
      <c r="AK1038" s="81">
        <v>0</v>
      </c>
      <c r="AL1038" s="81">
        <v>0</v>
      </c>
      <c r="AM1038" s="80">
        <v>0</v>
      </c>
      <c r="AN1038" s="80">
        <v>0</v>
      </c>
      <c r="AO1038" s="80">
        <v>0</v>
      </c>
    </row>
    <row r="1039" spans="1:41" ht="15.75" x14ac:dyDescent="0.25">
      <c r="A1039" s="84"/>
      <c r="B1039" s="84"/>
      <c r="C1039" s="84"/>
      <c r="D1039" s="80" t="s">
        <v>258</v>
      </c>
      <c r="E1039" s="80">
        <v>0</v>
      </c>
      <c r="F1039" s="80">
        <v>0</v>
      </c>
      <c r="G1039" s="80">
        <v>0</v>
      </c>
      <c r="H1039" s="81">
        <v>0</v>
      </c>
      <c r="I1039" s="81">
        <v>0</v>
      </c>
      <c r="J1039" s="80">
        <v>0</v>
      </c>
      <c r="K1039" s="80">
        <v>0</v>
      </c>
      <c r="L1039" s="80">
        <v>0</v>
      </c>
      <c r="M1039" s="80">
        <v>0</v>
      </c>
      <c r="N1039" s="80">
        <v>0</v>
      </c>
      <c r="O1039" s="80">
        <v>0</v>
      </c>
      <c r="P1039" s="80">
        <v>0</v>
      </c>
      <c r="Q1039" s="80">
        <v>0</v>
      </c>
      <c r="R1039" s="80">
        <v>0</v>
      </c>
      <c r="S1039" s="80">
        <v>0</v>
      </c>
      <c r="T1039" s="80">
        <v>0</v>
      </c>
      <c r="U1039" s="80">
        <v>0</v>
      </c>
      <c r="V1039" s="80">
        <v>0</v>
      </c>
      <c r="W1039" s="80">
        <v>0</v>
      </c>
      <c r="X1039" s="80">
        <v>0</v>
      </c>
      <c r="Y1039" s="80">
        <v>0</v>
      </c>
      <c r="Z1039" s="80">
        <v>0</v>
      </c>
      <c r="AA1039" s="80">
        <v>0</v>
      </c>
      <c r="AB1039" s="80">
        <v>0</v>
      </c>
      <c r="AC1039" s="80">
        <v>0</v>
      </c>
      <c r="AD1039" s="80">
        <v>0</v>
      </c>
      <c r="AE1039" s="80">
        <v>0</v>
      </c>
      <c r="AF1039" s="80">
        <v>0</v>
      </c>
      <c r="AG1039" s="80">
        <v>0</v>
      </c>
      <c r="AH1039" s="80">
        <v>0</v>
      </c>
      <c r="AI1039" s="80">
        <v>0</v>
      </c>
      <c r="AJ1039" s="80">
        <v>0</v>
      </c>
      <c r="AK1039" s="80">
        <v>0</v>
      </c>
      <c r="AL1039" s="80">
        <v>0</v>
      </c>
      <c r="AM1039" s="80">
        <v>0</v>
      </c>
      <c r="AN1039" s="80">
        <v>0</v>
      </c>
      <c r="AO1039" s="80">
        <v>0</v>
      </c>
    </row>
    <row r="1040" spans="1:41" ht="15.75" x14ac:dyDescent="0.25">
      <c r="A1040" s="84">
        <v>40</v>
      </c>
      <c r="B1040" s="84"/>
      <c r="C1040" s="84" t="s">
        <v>256</v>
      </c>
      <c r="D1040" s="80" t="s">
        <v>245</v>
      </c>
      <c r="E1040" s="80">
        <v>0</v>
      </c>
      <c r="F1040" s="80">
        <v>0</v>
      </c>
      <c r="G1040" s="80">
        <v>0</v>
      </c>
      <c r="H1040" s="81">
        <v>1</v>
      </c>
      <c r="I1040" s="81">
        <v>1</v>
      </c>
      <c r="J1040" s="80">
        <v>0</v>
      </c>
      <c r="K1040" s="80">
        <v>0</v>
      </c>
      <c r="L1040" s="80">
        <v>0</v>
      </c>
      <c r="M1040" s="80">
        <v>0</v>
      </c>
      <c r="N1040" s="81">
        <v>1</v>
      </c>
      <c r="O1040" s="81">
        <v>1</v>
      </c>
      <c r="P1040" s="81">
        <v>0</v>
      </c>
      <c r="Q1040" s="81">
        <v>0</v>
      </c>
      <c r="R1040" s="80">
        <v>0</v>
      </c>
      <c r="S1040" s="80">
        <v>0</v>
      </c>
      <c r="T1040" s="81">
        <v>1</v>
      </c>
      <c r="U1040" s="81">
        <v>1</v>
      </c>
      <c r="V1040" s="81">
        <v>0</v>
      </c>
      <c r="W1040" s="81">
        <v>0</v>
      </c>
      <c r="X1040" s="81">
        <v>0</v>
      </c>
      <c r="Y1040" s="80">
        <v>0</v>
      </c>
      <c r="Z1040" s="80">
        <v>0</v>
      </c>
      <c r="AA1040" s="80">
        <v>0</v>
      </c>
      <c r="AB1040" s="80">
        <v>0</v>
      </c>
      <c r="AC1040" s="80">
        <v>0</v>
      </c>
      <c r="AD1040" s="80">
        <v>1</v>
      </c>
      <c r="AE1040" s="80">
        <v>0</v>
      </c>
      <c r="AF1040" s="80">
        <v>1</v>
      </c>
      <c r="AG1040" s="81">
        <v>1</v>
      </c>
      <c r="AH1040" s="80">
        <v>0</v>
      </c>
      <c r="AI1040" s="81">
        <v>0</v>
      </c>
      <c r="AJ1040" s="81">
        <v>0</v>
      </c>
      <c r="AK1040" s="81">
        <v>0</v>
      </c>
      <c r="AL1040" s="81">
        <v>0</v>
      </c>
      <c r="AM1040" s="80">
        <v>0</v>
      </c>
      <c r="AN1040" s="80">
        <v>0</v>
      </c>
      <c r="AO1040" s="80">
        <v>0</v>
      </c>
    </row>
    <row r="1041" spans="1:41" ht="15.75" x14ac:dyDescent="0.25">
      <c r="A1041" s="84"/>
      <c r="B1041" s="84"/>
      <c r="C1041" s="84"/>
      <c r="D1041" s="80" t="s">
        <v>246</v>
      </c>
      <c r="E1041" s="80">
        <v>0</v>
      </c>
      <c r="F1041" s="80">
        <v>0</v>
      </c>
      <c r="G1041" s="80">
        <v>0</v>
      </c>
      <c r="H1041" s="81">
        <v>1</v>
      </c>
      <c r="I1041" s="81">
        <v>1</v>
      </c>
      <c r="J1041" s="80">
        <v>0</v>
      </c>
      <c r="K1041" s="80">
        <v>0</v>
      </c>
      <c r="L1041" s="80">
        <v>0</v>
      </c>
      <c r="M1041" s="80">
        <v>0</v>
      </c>
      <c r="N1041" s="81">
        <v>1</v>
      </c>
      <c r="O1041" s="81">
        <v>1</v>
      </c>
      <c r="P1041" s="81">
        <v>0</v>
      </c>
      <c r="Q1041" s="81">
        <v>0</v>
      </c>
      <c r="R1041" s="80">
        <v>0</v>
      </c>
      <c r="S1041" s="80">
        <v>0</v>
      </c>
      <c r="T1041" s="81">
        <v>1</v>
      </c>
      <c r="U1041" s="81">
        <v>1</v>
      </c>
      <c r="V1041" s="81">
        <v>0</v>
      </c>
      <c r="W1041" s="81">
        <v>0</v>
      </c>
      <c r="X1041" s="81">
        <v>0</v>
      </c>
      <c r="Y1041" s="80">
        <v>0</v>
      </c>
      <c r="Z1041" s="80">
        <v>0</v>
      </c>
      <c r="AA1041" s="80">
        <v>0</v>
      </c>
      <c r="AB1041" s="80">
        <v>0</v>
      </c>
      <c r="AC1041" s="80">
        <v>0</v>
      </c>
      <c r="AD1041" s="80">
        <v>1</v>
      </c>
      <c r="AE1041" s="80">
        <v>0</v>
      </c>
      <c r="AF1041" s="80">
        <v>1</v>
      </c>
      <c r="AG1041" s="81">
        <v>1</v>
      </c>
      <c r="AH1041" s="80">
        <v>0</v>
      </c>
      <c r="AI1041" s="81">
        <v>0</v>
      </c>
      <c r="AJ1041" s="81">
        <v>0</v>
      </c>
      <c r="AK1041" s="81">
        <v>0</v>
      </c>
      <c r="AL1041" s="81">
        <v>0</v>
      </c>
      <c r="AM1041" s="80">
        <v>0</v>
      </c>
      <c r="AN1041" s="80">
        <v>0</v>
      </c>
      <c r="AO1041" s="80">
        <v>0</v>
      </c>
    </row>
    <row r="1042" spans="1:41" ht="15.75" x14ac:dyDescent="0.25">
      <c r="A1042" s="84"/>
      <c r="B1042" s="84"/>
      <c r="C1042" s="84"/>
      <c r="D1042" s="80" t="s">
        <v>247</v>
      </c>
      <c r="E1042" s="80">
        <v>0</v>
      </c>
      <c r="F1042" s="80">
        <v>0</v>
      </c>
      <c r="G1042" s="80">
        <v>0</v>
      </c>
      <c r="H1042" s="81">
        <v>0</v>
      </c>
      <c r="I1042" s="81">
        <v>0</v>
      </c>
      <c r="J1042" s="80">
        <v>0</v>
      </c>
      <c r="K1042" s="80">
        <v>0</v>
      </c>
      <c r="L1042" s="80">
        <v>0</v>
      </c>
      <c r="M1042" s="80">
        <v>0</v>
      </c>
      <c r="N1042" s="81">
        <v>0</v>
      </c>
      <c r="O1042" s="81">
        <v>0</v>
      </c>
      <c r="P1042" s="81">
        <v>0</v>
      </c>
      <c r="Q1042" s="81">
        <v>0</v>
      </c>
      <c r="R1042" s="80">
        <v>0</v>
      </c>
      <c r="S1042" s="80">
        <v>0</v>
      </c>
      <c r="T1042" s="81">
        <v>0</v>
      </c>
      <c r="U1042" s="81">
        <v>0</v>
      </c>
      <c r="V1042" s="81">
        <v>0</v>
      </c>
      <c r="W1042" s="81">
        <v>0</v>
      </c>
      <c r="X1042" s="81">
        <v>0</v>
      </c>
      <c r="Y1042" s="80">
        <v>0</v>
      </c>
      <c r="Z1042" s="80">
        <v>0</v>
      </c>
      <c r="AA1042" s="80">
        <v>0</v>
      </c>
      <c r="AB1042" s="80">
        <v>0</v>
      </c>
      <c r="AC1042" s="80">
        <v>0</v>
      </c>
      <c r="AD1042" s="80">
        <v>0</v>
      </c>
      <c r="AE1042" s="80">
        <v>0</v>
      </c>
      <c r="AF1042" s="80">
        <v>0</v>
      </c>
      <c r="AG1042" s="81">
        <v>0</v>
      </c>
      <c r="AH1042" s="80">
        <v>0</v>
      </c>
      <c r="AI1042" s="81">
        <v>0</v>
      </c>
      <c r="AJ1042" s="81">
        <v>0</v>
      </c>
      <c r="AK1042" s="81">
        <v>0</v>
      </c>
      <c r="AL1042" s="81">
        <v>0</v>
      </c>
      <c r="AM1042" s="80">
        <v>0</v>
      </c>
      <c r="AN1042" s="80">
        <v>0</v>
      </c>
      <c r="AO1042" s="80">
        <v>0</v>
      </c>
    </row>
    <row r="1043" spans="1:41" ht="15.75" x14ac:dyDescent="0.25">
      <c r="A1043" s="84"/>
      <c r="B1043" s="84"/>
      <c r="C1043" s="84"/>
      <c r="D1043" s="80" t="s">
        <v>248</v>
      </c>
      <c r="E1043" s="80">
        <v>0</v>
      </c>
      <c r="F1043" s="80">
        <v>0</v>
      </c>
      <c r="G1043" s="80">
        <v>0</v>
      </c>
      <c r="H1043" s="81">
        <v>1</v>
      </c>
      <c r="I1043" s="81">
        <v>1</v>
      </c>
      <c r="J1043" s="80">
        <v>0</v>
      </c>
      <c r="K1043" s="80">
        <v>0</v>
      </c>
      <c r="L1043" s="80">
        <v>0</v>
      </c>
      <c r="M1043" s="80">
        <v>0</v>
      </c>
      <c r="N1043" s="81">
        <v>1</v>
      </c>
      <c r="O1043" s="81">
        <v>1</v>
      </c>
      <c r="P1043" s="81">
        <v>0</v>
      </c>
      <c r="Q1043" s="81">
        <v>0</v>
      </c>
      <c r="R1043" s="80">
        <v>0</v>
      </c>
      <c r="S1043" s="80">
        <v>0</v>
      </c>
      <c r="T1043" s="81">
        <v>1</v>
      </c>
      <c r="U1043" s="81">
        <v>1</v>
      </c>
      <c r="V1043" s="81">
        <v>0</v>
      </c>
      <c r="W1043" s="81">
        <v>0</v>
      </c>
      <c r="X1043" s="81">
        <v>0</v>
      </c>
      <c r="Y1043" s="80">
        <v>0</v>
      </c>
      <c r="Z1043" s="80">
        <v>0</v>
      </c>
      <c r="AA1043" s="80">
        <v>0</v>
      </c>
      <c r="AB1043" s="80">
        <v>0</v>
      </c>
      <c r="AC1043" s="80">
        <v>0</v>
      </c>
      <c r="AD1043" s="80">
        <v>1</v>
      </c>
      <c r="AE1043" s="80">
        <v>0</v>
      </c>
      <c r="AF1043" s="80">
        <v>1</v>
      </c>
      <c r="AG1043" s="81">
        <v>1</v>
      </c>
      <c r="AH1043" s="80">
        <v>0</v>
      </c>
      <c r="AI1043" s="81">
        <v>0</v>
      </c>
      <c r="AJ1043" s="81">
        <v>0</v>
      </c>
      <c r="AK1043" s="81">
        <v>0</v>
      </c>
      <c r="AL1043" s="81">
        <v>0</v>
      </c>
      <c r="AM1043" s="80">
        <v>0</v>
      </c>
      <c r="AN1043" s="80">
        <v>0</v>
      </c>
      <c r="AO1043" s="80">
        <v>0</v>
      </c>
    </row>
    <row r="1044" spans="1:41" ht="15.75" x14ac:dyDescent="0.25">
      <c r="A1044" s="84"/>
      <c r="B1044" s="84"/>
      <c r="C1044" s="84"/>
      <c r="D1044" s="80" t="s">
        <v>258</v>
      </c>
      <c r="E1044" s="80">
        <v>0</v>
      </c>
      <c r="F1044" s="80">
        <v>0</v>
      </c>
      <c r="G1044" s="80">
        <v>0</v>
      </c>
      <c r="H1044" s="80">
        <v>0</v>
      </c>
      <c r="I1044" s="80">
        <v>0</v>
      </c>
      <c r="J1044" s="80">
        <v>0</v>
      </c>
      <c r="K1044" s="80">
        <v>0</v>
      </c>
      <c r="L1044" s="80">
        <v>0</v>
      </c>
      <c r="M1044" s="80">
        <v>0</v>
      </c>
      <c r="N1044" s="80">
        <v>0</v>
      </c>
      <c r="O1044" s="80">
        <v>0</v>
      </c>
      <c r="P1044" s="80">
        <v>0</v>
      </c>
      <c r="Q1044" s="81">
        <v>0</v>
      </c>
      <c r="R1044" s="80">
        <v>0</v>
      </c>
      <c r="S1044" s="80">
        <v>0</v>
      </c>
      <c r="T1044" s="80">
        <v>0</v>
      </c>
      <c r="U1044" s="80">
        <v>0</v>
      </c>
      <c r="V1044" s="80">
        <v>0</v>
      </c>
      <c r="W1044" s="80">
        <v>0</v>
      </c>
      <c r="X1044" s="80">
        <v>0</v>
      </c>
      <c r="Y1044" s="80">
        <v>0</v>
      </c>
      <c r="Z1044" s="80">
        <v>0</v>
      </c>
      <c r="AA1044" s="80">
        <v>0</v>
      </c>
      <c r="AB1044" s="80">
        <v>0</v>
      </c>
      <c r="AC1044" s="80">
        <v>0</v>
      </c>
      <c r="AD1044" s="80">
        <v>0</v>
      </c>
      <c r="AE1044" s="80">
        <v>0</v>
      </c>
      <c r="AF1044" s="80">
        <v>0</v>
      </c>
      <c r="AG1044" s="80">
        <v>0</v>
      </c>
      <c r="AH1044" s="80">
        <v>0</v>
      </c>
      <c r="AI1044" s="80">
        <v>0</v>
      </c>
      <c r="AJ1044" s="80">
        <v>0</v>
      </c>
      <c r="AK1044" s="80">
        <v>0</v>
      </c>
      <c r="AL1044" s="80">
        <v>0</v>
      </c>
      <c r="AM1044" s="80">
        <v>0</v>
      </c>
      <c r="AN1044" s="80">
        <v>0</v>
      </c>
      <c r="AO1044" s="80">
        <v>0</v>
      </c>
    </row>
    <row r="1045" spans="1:41" ht="15.75" x14ac:dyDescent="0.25">
      <c r="A1045" s="84">
        <v>41</v>
      </c>
      <c r="B1045" s="84"/>
      <c r="C1045" s="84" t="s">
        <v>773</v>
      </c>
      <c r="D1045" s="80" t="s">
        <v>245</v>
      </c>
      <c r="E1045" s="80">
        <v>0</v>
      </c>
      <c r="F1045" s="80">
        <v>0</v>
      </c>
      <c r="G1045" s="80">
        <v>0</v>
      </c>
      <c r="H1045" s="80">
        <v>1</v>
      </c>
      <c r="I1045" s="80">
        <v>1</v>
      </c>
      <c r="J1045" s="80">
        <v>1</v>
      </c>
      <c r="K1045" s="80">
        <v>0</v>
      </c>
      <c r="L1045" s="80">
        <v>0</v>
      </c>
      <c r="M1045" s="80">
        <v>0</v>
      </c>
      <c r="N1045" s="80">
        <v>0</v>
      </c>
      <c r="O1045" s="80">
        <v>1</v>
      </c>
      <c r="P1045" s="80">
        <v>0</v>
      </c>
      <c r="Q1045" s="80">
        <v>0</v>
      </c>
      <c r="R1045" s="80">
        <v>0</v>
      </c>
      <c r="S1045" s="80">
        <v>0</v>
      </c>
      <c r="T1045" s="80">
        <v>0</v>
      </c>
      <c r="U1045" s="80">
        <v>1</v>
      </c>
      <c r="V1045" s="80">
        <v>0</v>
      </c>
      <c r="W1045" s="80">
        <v>0</v>
      </c>
      <c r="X1045" s="80">
        <v>0</v>
      </c>
      <c r="Y1045" s="80">
        <v>0</v>
      </c>
      <c r="Z1045" s="80">
        <v>0</v>
      </c>
      <c r="AA1045" s="80">
        <v>0</v>
      </c>
      <c r="AB1045" s="80">
        <v>0</v>
      </c>
      <c r="AC1045" s="80">
        <v>0</v>
      </c>
      <c r="AD1045" s="80">
        <v>0</v>
      </c>
      <c r="AE1045" s="80">
        <v>0</v>
      </c>
      <c r="AF1045" s="80">
        <v>0</v>
      </c>
      <c r="AG1045" s="80">
        <v>0</v>
      </c>
      <c r="AH1045" s="80">
        <v>0</v>
      </c>
      <c r="AI1045" s="80">
        <v>0</v>
      </c>
      <c r="AJ1045" s="80">
        <v>0</v>
      </c>
      <c r="AK1045" s="80">
        <v>0</v>
      </c>
      <c r="AL1045" s="80">
        <v>0</v>
      </c>
      <c r="AM1045" s="80">
        <v>0</v>
      </c>
      <c r="AN1045" s="80">
        <v>0</v>
      </c>
      <c r="AO1045" s="80">
        <v>0</v>
      </c>
    </row>
    <row r="1046" spans="1:41" ht="15.75" x14ac:dyDescent="0.25">
      <c r="A1046" s="84"/>
      <c r="B1046" s="84"/>
      <c r="C1046" s="84"/>
      <c r="D1046" s="80" t="s">
        <v>246</v>
      </c>
      <c r="E1046" s="80">
        <v>0</v>
      </c>
      <c r="F1046" s="80">
        <v>0</v>
      </c>
      <c r="G1046" s="80">
        <v>0</v>
      </c>
      <c r="H1046" s="80">
        <v>0</v>
      </c>
      <c r="I1046" s="80">
        <v>1</v>
      </c>
      <c r="J1046" s="80">
        <v>1</v>
      </c>
      <c r="K1046" s="80">
        <v>0</v>
      </c>
      <c r="L1046" s="80">
        <v>0</v>
      </c>
      <c r="M1046" s="80">
        <v>0</v>
      </c>
      <c r="N1046" s="80">
        <v>0</v>
      </c>
      <c r="O1046" s="80">
        <v>0</v>
      </c>
      <c r="P1046" s="80">
        <v>0</v>
      </c>
      <c r="Q1046" s="80">
        <v>0</v>
      </c>
      <c r="R1046" s="80">
        <v>0</v>
      </c>
      <c r="S1046" s="80">
        <v>0</v>
      </c>
      <c r="T1046" s="80">
        <v>0</v>
      </c>
      <c r="U1046" s="80">
        <v>0</v>
      </c>
      <c r="V1046" s="80">
        <v>0</v>
      </c>
      <c r="W1046" s="80">
        <v>0</v>
      </c>
      <c r="X1046" s="80">
        <v>0</v>
      </c>
      <c r="Y1046" s="80">
        <v>0</v>
      </c>
      <c r="Z1046" s="80">
        <v>0</v>
      </c>
      <c r="AA1046" s="80">
        <v>0</v>
      </c>
      <c r="AB1046" s="80">
        <v>0</v>
      </c>
      <c r="AC1046" s="80">
        <v>0</v>
      </c>
      <c r="AD1046" s="80">
        <v>0</v>
      </c>
      <c r="AE1046" s="80">
        <v>0</v>
      </c>
      <c r="AF1046" s="80">
        <v>0</v>
      </c>
      <c r="AG1046" s="80">
        <v>0</v>
      </c>
      <c r="AH1046" s="80">
        <v>0</v>
      </c>
      <c r="AI1046" s="80">
        <v>0</v>
      </c>
      <c r="AJ1046" s="80">
        <v>0</v>
      </c>
      <c r="AK1046" s="80">
        <v>0</v>
      </c>
      <c r="AL1046" s="80">
        <v>0</v>
      </c>
      <c r="AM1046" s="80">
        <v>0</v>
      </c>
      <c r="AN1046" s="80">
        <v>0</v>
      </c>
      <c r="AO1046" s="80">
        <v>0</v>
      </c>
    </row>
    <row r="1047" spans="1:41" ht="15.75" x14ac:dyDescent="0.25">
      <c r="A1047" s="84"/>
      <c r="B1047" s="84"/>
      <c r="C1047" s="84"/>
      <c r="D1047" s="80" t="s">
        <v>247</v>
      </c>
      <c r="E1047" s="80">
        <v>0</v>
      </c>
      <c r="F1047" s="80">
        <v>0</v>
      </c>
      <c r="G1047" s="80">
        <v>0</v>
      </c>
      <c r="H1047" s="80">
        <v>1</v>
      </c>
      <c r="I1047" s="80">
        <v>0</v>
      </c>
      <c r="J1047" s="80">
        <v>0</v>
      </c>
      <c r="K1047" s="80">
        <v>0</v>
      </c>
      <c r="L1047" s="80">
        <v>0</v>
      </c>
      <c r="M1047" s="80">
        <v>0</v>
      </c>
      <c r="N1047" s="80">
        <v>0</v>
      </c>
      <c r="O1047" s="80">
        <v>1</v>
      </c>
      <c r="P1047" s="80">
        <v>0</v>
      </c>
      <c r="Q1047" s="80">
        <v>0</v>
      </c>
      <c r="R1047" s="80">
        <v>0</v>
      </c>
      <c r="S1047" s="80">
        <v>0</v>
      </c>
      <c r="T1047" s="80">
        <v>0</v>
      </c>
      <c r="U1047" s="80">
        <v>1</v>
      </c>
      <c r="V1047" s="80">
        <v>0</v>
      </c>
      <c r="W1047" s="80">
        <v>0</v>
      </c>
      <c r="X1047" s="80">
        <v>0</v>
      </c>
      <c r="Y1047" s="80">
        <v>0</v>
      </c>
      <c r="Z1047" s="80">
        <v>0</v>
      </c>
      <c r="AA1047" s="80">
        <v>0</v>
      </c>
      <c r="AB1047" s="80">
        <v>0</v>
      </c>
      <c r="AC1047" s="80">
        <v>0</v>
      </c>
      <c r="AD1047" s="80">
        <v>0</v>
      </c>
      <c r="AE1047" s="80">
        <v>0</v>
      </c>
      <c r="AF1047" s="80">
        <v>0</v>
      </c>
      <c r="AG1047" s="80">
        <v>0</v>
      </c>
      <c r="AH1047" s="80">
        <v>0</v>
      </c>
      <c r="AI1047" s="80">
        <v>0</v>
      </c>
      <c r="AJ1047" s="80">
        <v>0</v>
      </c>
      <c r="AK1047" s="80">
        <v>0</v>
      </c>
      <c r="AL1047" s="80">
        <v>0</v>
      </c>
      <c r="AM1047" s="80">
        <v>0</v>
      </c>
      <c r="AN1047" s="80">
        <v>0</v>
      </c>
      <c r="AO1047" s="80">
        <v>0</v>
      </c>
    </row>
    <row r="1048" spans="1:41" ht="15.75" x14ac:dyDescent="0.25">
      <c r="A1048" s="84"/>
      <c r="B1048" s="84"/>
      <c r="C1048" s="84"/>
      <c r="D1048" s="80" t="s">
        <v>248</v>
      </c>
      <c r="E1048" s="80">
        <v>0</v>
      </c>
      <c r="F1048" s="80">
        <v>0</v>
      </c>
      <c r="G1048" s="80">
        <v>0</v>
      </c>
      <c r="H1048" s="80">
        <v>0</v>
      </c>
      <c r="I1048" s="80">
        <v>1</v>
      </c>
      <c r="J1048" s="80">
        <v>1</v>
      </c>
      <c r="K1048" s="80">
        <v>0</v>
      </c>
      <c r="L1048" s="80">
        <v>0</v>
      </c>
      <c r="M1048" s="80">
        <v>0</v>
      </c>
      <c r="N1048" s="80">
        <v>0</v>
      </c>
      <c r="O1048" s="80">
        <v>0</v>
      </c>
      <c r="P1048" s="80">
        <v>0</v>
      </c>
      <c r="Q1048" s="80">
        <v>0</v>
      </c>
      <c r="R1048" s="80">
        <v>0</v>
      </c>
      <c r="S1048" s="80">
        <v>0</v>
      </c>
      <c r="T1048" s="80">
        <v>0</v>
      </c>
      <c r="U1048" s="80">
        <v>0</v>
      </c>
      <c r="V1048" s="80">
        <v>0</v>
      </c>
      <c r="W1048" s="80">
        <v>0</v>
      </c>
      <c r="X1048" s="80">
        <v>0</v>
      </c>
      <c r="Y1048" s="80">
        <v>0</v>
      </c>
      <c r="Z1048" s="80">
        <v>0</v>
      </c>
      <c r="AA1048" s="80">
        <v>0</v>
      </c>
      <c r="AB1048" s="80">
        <v>0</v>
      </c>
      <c r="AC1048" s="80">
        <v>0</v>
      </c>
      <c r="AD1048" s="80">
        <v>0</v>
      </c>
      <c r="AE1048" s="80">
        <v>0</v>
      </c>
      <c r="AF1048" s="80">
        <v>0</v>
      </c>
      <c r="AG1048" s="80">
        <v>0</v>
      </c>
      <c r="AH1048" s="80">
        <v>0</v>
      </c>
      <c r="AI1048" s="80">
        <v>0</v>
      </c>
      <c r="AJ1048" s="80">
        <v>0</v>
      </c>
      <c r="AK1048" s="80">
        <v>0</v>
      </c>
      <c r="AL1048" s="80">
        <v>0</v>
      </c>
      <c r="AM1048" s="80">
        <v>0</v>
      </c>
      <c r="AN1048" s="80">
        <v>0</v>
      </c>
      <c r="AO1048" s="80">
        <v>0</v>
      </c>
    </row>
    <row r="1049" spans="1:41" ht="15.75" x14ac:dyDescent="0.25">
      <c r="A1049" s="84"/>
      <c r="B1049" s="84"/>
      <c r="C1049" s="84"/>
      <c r="D1049" s="80" t="s">
        <v>258</v>
      </c>
      <c r="E1049" s="80">
        <v>0</v>
      </c>
      <c r="F1049" s="80">
        <v>0</v>
      </c>
      <c r="G1049" s="80">
        <v>0</v>
      </c>
      <c r="H1049" s="80">
        <v>0</v>
      </c>
      <c r="I1049" s="80">
        <v>0</v>
      </c>
      <c r="J1049" s="80">
        <v>0</v>
      </c>
      <c r="K1049" s="80">
        <v>0</v>
      </c>
      <c r="L1049" s="80">
        <v>0</v>
      </c>
      <c r="M1049" s="80">
        <v>0</v>
      </c>
      <c r="N1049" s="80">
        <v>0</v>
      </c>
      <c r="O1049" s="80">
        <v>0</v>
      </c>
      <c r="P1049" s="80">
        <v>0</v>
      </c>
      <c r="Q1049" s="80">
        <v>0</v>
      </c>
      <c r="R1049" s="80">
        <v>0</v>
      </c>
      <c r="S1049" s="80">
        <v>0</v>
      </c>
      <c r="T1049" s="80">
        <v>0</v>
      </c>
      <c r="U1049" s="80">
        <v>0</v>
      </c>
      <c r="V1049" s="80">
        <v>0</v>
      </c>
      <c r="W1049" s="80">
        <v>0</v>
      </c>
      <c r="X1049" s="80">
        <v>0</v>
      </c>
      <c r="Y1049" s="80">
        <v>0</v>
      </c>
      <c r="Z1049" s="80">
        <v>0</v>
      </c>
      <c r="AA1049" s="80">
        <v>0</v>
      </c>
      <c r="AB1049" s="80">
        <v>0</v>
      </c>
      <c r="AC1049" s="80">
        <v>0</v>
      </c>
      <c r="AD1049" s="80">
        <v>0</v>
      </c>
      <c r="AE1049" s="80">
        <v>0</v>
      </c>
      <c r="AF1049" s="80">
        <v>0</v>
      </c>
      <c r="AG1049" s="80">
        <v>0</v>
      </c>
      <c r="AH1049" s="80">
        <v>0</v>
      </c>
      <c r="AI1049" s="80">
        <v>0</v>
      </c>
      <c r="AJ1049" s="80">
        <v>0</v>
      </c>
      <c r="AK1049" s="80">
        <v>0</v>
      </c>
      <c r="AL1049" s="80">
        <v>0</v>
      </c>
      <c r="AM1049" s="80">
        <v>0</v>
      </c>
      <c r="AN1049" s="80">
        <v>0</v>
      </c>
      <c r="AO1049" s="80">
        <v>0</v>
      </c>
    </row>
    <row r="1050" spans="1:41" ht="15.75" x14ac:dyDescent="0.25">
      <c r="A1050" s="84">
        <v>42</v>
      </c>
      <c r="B1050" s="84" t="s">
        <v>257</v>
      </c>
      <c r="C1050" s="84" t="s">
        <v>257</v>
      </c>
      <c r="D1050" s="80" t="s">
        <v>245</v>
      </c>
      <c r="E1050" s="80">
        <v>0</v>
      </c>
      <c r="F1050" s="80">
        <v>0</v>
      </c>
      <c r="G1050" s="80">
        <v>0</v>
      </c>
      <c r="H1050" s="81">
        <v>0</v>
      </c>
      <c r="I1050" s="81">
        <v>1</v>
      </c>
      <c r="J1050" s="80">
        <v>1</v>
      </c>
      <c r="K1050" s="80">
        <v>0</v>
      </c>
      <c r="L1050" s="80">
        <v>0</v>
      </c>
      <c r="M1050" s="80">
        <v>1</v>
      </c>
      <c r="N1050" s="81">
        <v>1</v>
      </c>
      <c r="O1050" s="81">
        <v>1</v>
      </c>
      <c r="P1050" s="80">
        <v>1</v>
      </c>
      <c r="Q1050" s="81">
        <v>1</v>
      </c>
      <c r="R1050" s="80">
        <v>0</v>
      </c>
      <c r="S1050" s="80">
        <v>0</v>
      </c>
      <c r="T1050" s="81">
        <v>0</v>
      </c>
      <c r="U1050" s="81">
        <v>2</v>
      </c>
      <c r="V1050" s="81">
        <v>1</v>
      </c>
      <c r="W1050" s="81">
        <v>0</v>
      </c>
      <c r="X1050" s="81">
        <v>0</v>
      </c>
      <c r="Y1050" s="81">
        <v>0</v>
      </c>
      <c r="Z1050" s="81">
        <v>0</v>
      </c>
      <c r="AA1050" s="81">
        <v>0</v>
      </c>
      <c r="AB1050" s="81">
        <v>0</v>
      </c>
      <c r="AC1050" s="81">
        <v>0</v>
      </c>
      <c r="AD1050" s="81">
        <v>0</v>
      </c>
      <c r="AE1050" s="81">
        <v>0</v>
      </c>
      <c r="AF1050" s="81">
        <v>0</v>
      </c>
      <c r="AG1050" s="81">
        <v>0</v>
      </c>
      <c r="AH1050" s="81">
        <v>0</v>
      </c>
      <c r="AI1050" s="81">
        <v>0</v>
      </c>
      <c r="AJ1050" s="81">
        <v>0</v>
      </c>
      <c r="AK1050" s="81">
        <v>0</v>
      </c>
      <c r="AL1050" s="81">
        <v>0</v>
      </c>
      <c r="AM1050" s="80">
        <v>0</v>
      </c>
      <c r="AN1050" s="80">
        <v>0</v>
      </c>
      <c r="AO1050" s="80">
        <v>0</v>
      </c>
    </row>
    <row r="1051" spans="1:41" ht="15.75" x14ac:dyDescent="0.25">
      <c r="A1051" s="84"/>
      <c r="B1051" s="84"/>
      <c r="C1051" s="84"/>
      <c r="D1051" s="80" t="s">
        <v>246</v>
      </c>
      <c r="E1051" s="80">
        <v>0</v>
      </c>
      <c r="F1051" s="80">
        <v>0</v>
      </c>
      <c r="G1051" s="80">
        <v>0</v>
      </c>
      <c r="H1051" s="80">
        <v>0</v>
      </c>
      <c r="I1051" s="81">
        <v>1</v>
      </c>
      <c r="J1051" s="80">
        <v>1</v>
      </c>
      <c r="K1051" s="80">
        <v>0</v>
      </c>
      <c r="L1051" s="80">
        <v>0</v>
      </c>
      <c r="M1051" s="80">
        <v>1</v>
      </c>
      <c r="N1051" s="81">
        <v>1</v>
      </c>
      <c r="O1051" s="81">
        <v>1</v>
      </c>
      <c r="P1051" s="80">
        <v>1</v>
      </c>
      <c r="Q1051" s="81">
        <v>1</v>
      </c>
      <c r="R1051" s="80">
        <v>0</v>
      </c>
      <c r="S1051" s="80">
        <v>0</v>
      </c>
      <c r="T1051" s="81">
        <v>0</v>
      </c>
      <c r="U1051" s="81">
        <v>2</v>
      </c>
      <c r="V1051" s="81">
        <v>1</v>
      </c>
      <c r="W1051" s="81">
        <v>0</v>
      </c>
      <c r="X1051" s="81">
        <v>0</v>
      </c>
      <c r="Y1051" s="81">
        <v>0</v>
      </c>
      <c r="Z1051" s="81">
        <v>0</v>
      </c>
      <c r="AA1051" s="81">
        <v>0</v>
      </c>
      <c r="AB1051" s="81">
        <v>0</v>
      </c>
      <c r="AC1051" s="81">
        <v>0</v>
      </c>
      <c r="AD1051" s="81">
        <v>0</v>
      </c>
      <c r="AE1051" s="81">
        <v>0</v>
      </c>
      <c r="AF1051" s="81">
        <v>0</v>
      </c>
      <c r="AG1051" s="81">
        <v>0</v>
      </c>
      <c r="AH1051" s="81">
        <v>0</v>
      </c>
      <c r="AI1051" s="81">
        <v>0</v>
      </c>
      <c r="AJ1051" s="81">
        <v>0</v>
      </c>
      <c r="AK1051" s="81">
        <v>0</v>
      </c>
      <c r="AL1051" s="81">
        <v>0</v>
      </c>
      <c r="AM1051" s="80">
        <v>0</v>
      </c>
      <c r="AN1051" s="80">
        <v>0</v>
      </c>
      <c r="AO1051" s="80">
        <v>0</v>
      </c>
    </row>
    <row r="1052" spans="1:41" ht="15.75" x14ac:dyDescent="0.25">
      <c r="A1052" s="84"/>
      <c r="B1052" s="84"/>
      <c r="C1052" s="84"/>
      <c r="D1052" s="80" t="s">
        <v>247</v>
      </c>
      <c r="E1052" s="80">
        <v>0</v>
      </c>
      <c r="F1052" s="80">
        <v>0</v>
      </c>
      <c r="G1052" s="80">
        <v>0</v>
      </c>
      <c r="H1052" s="80">
        <v>0</v>
      </c>
      <c r="I1052" s="81">
        <v>0</v>
      </c>
      <c r="J1052" s="80">
        <v>0</v>
      </c>
      <c r="K1052" s="80">
        <v>0</v>
      </c>
      <c r="L1052" s="80">
        <v>0</v>
      </c>
      <c r="M1052" s="80">
        <v>0</v>
      </c>
      <c r="N1052" s="81">
        <v>0</v>
      </c>
      <c r="O1052" s="81">
        <v>0</v>
      </c>
      <c r="P1052" s="80">
        <v>0</v>
      </c>
      <c r="Q1052" s="81">
        <v>0</v>
      </c>
      <c r="R1052" s="80">
        <v>0</v>
      </c>
      <c r="S1052" s="80">
        <v>0</v>
      </c>
      <c r="T1052" s="81">
        <v>0</v>
      </c>
      <c r="U1052" s="81">
        <v>0</v>
      </c>
      <c r="V1052" s="81">
        <v>0</v>
      </c>
      <c r="W1052" s="81">
        <v>0</v>
      </c>
      <c r="X1052" s="81">
        <v>0</v>
      </c>
      <c r="Y1052" s="81">
        <v>0</v>
      </c>
      <c r="Z1052" s="81">
        <v>0</v>
      </c>
      <c r="AA1052" s="81">
        <v>0</v>
      </c>
      <c r="AB1052" s="81">
        <v>0</v>
      </c>
      <c r="AC1052" s="81">
        <v>0</v>
      </c>
      <c r="AD1052" s="81">
        <v>0</v>
      </c>
      <c r="AE1052" s="81">
        <v>0</v>
      </c>
      <c r="AF1052" s="81">
        <v>0</v>
      </c>
      <c r="AG1052" s="81">
        <v>0</v>
      </c>
      <c r="AH1052" s="81">
        <v>0</v>
      </c>
      <c r="AI1052" s="81">
        <v>0</v>
      </c>
      <c r="AJ1052" s="81">
        <v>0</v>
      </c>
      <c r="AK1052" s="81">
        <v>0</v>
      </c>
      <c r="AL1052" s="81">
        <v>0</v>
      </c>
      <c r="AM1052" s="80">
        <v>0</v>
      </c>
      <c r="AN1052" s="80">
        <v>0</v>
      </c>
      <c r="AO1052" s="80">
        <v>0</v>
      </c>
    </row>
    <row r="1053" spans="1:41" ht="15.75" x14ac:dyDescent="0.25">
      <c r="A1053" s="84"/>
      <c r="B1053" s="84"/>
      <c r="C1053" s="84"/>
      <c r="D1053" s="80" t="s">
        <v>248</v>
      </c>
      <c r="E1053" s="80">
        <v>0</v>
      </c>
      <c r="F1053" s="80">
        <v>0</v>
      </c>
      <c r="G1053" s="80">
        <v>0</v>
      </c>
      <c r="H1053" s="80">
        <v>0</v>
      </c>
      <c r="I1053" s="81">
        <v>1</v>
      </c>
      <c r="J1053" s="80">
        <v>1</v>
      </c>
      <c r="K1053" s="80">
        <v>0</v>
      </c>
      <c r="L1053" s="80">
        <v>0</v>
      </c>
      <c r="M1053" s="80">
        <v>1</v>
      </c>
      <c r="N1053" s="81">
        <v>1</v>
      </c>
      <c r="O1053" s="81">
        <v>1</v>
      </c>
      <c r="P1053" s="80">
        <v>1</v>
      </c>
      <c r="Q1053" s="81">
        <v>1</v>
      </c>
      <c r="R1053" s="80">
        <v>0</v>
      </c>
      <c r="S1053" s="80">
        <v>0</v>
      </c>
      <c r="T1053" s="81">
        <v>0</v>
      </c>
      <c r="U1053" s="81">
        <v>0</v>
      </c>
      <c r="V1053" s="81">
        <v>1</v>
      </c>
      <c r="W1053" s="81">
        <v>0</v>
      </c>
      <c r="X1053" s="81">
        <v>0</v>
      </c>
      <c r="Y1053" s="81">
        <v>0</v>
      </c>
      <c r="Z1053" s="81">
        <v>0</v>
      </c>
      <c r="AA1053" s="81">
        <v>0</v>
      </c>
      <c r="AB1053" s="81">
        <v>0</v>
      </c>
      <c r="AC1053" s="81">
        <v>0</v>
      </c>
      <c r="AD1053" s="81">
        <v>0</v>
      </c>
      <c r="AE1053" s="81">
        <v>0</v>
      </c>
      <c r="AF1053" s="81">
        <v>0</v>
      </c>
      <c r="AG1053" s="81">
        <v>0</v>
      </c>
      <c r="AH1053" s="81">
        <v>0</v>
      </c>
      <c r="AI1053" s="81">
        <v>0</v>
      </c>
      <c r="AJ1053" s="81">
        <v>0</v>
      </c>
      <c r="AK1053" s="81">
        <v>0</v>
      </c>
      <c r="AL1053" s="81">
        <v>0</v>
      </c>
      <c r="AM1053" s="80">
        <v>0</v>
      </c>
      <c r="AN1053" s="80">
        <v>0</v>
      </c>
      <c r="AO1053" s="80">
        <v>0</v>
      </c>
    </row>
    <row r="1054" spans="1:41" ht="15.75" x14ac:dyDescent="0.25">
      <c r="A1054" s="84"/>
      <c r="B1054" s="84"/>
      <c r="C1054" s="84"/>
      <c r="D1054" s="80" t="s">
        <v>258</v>
      </c>
      <c r="E1054" s="80">
        <v>0</v>
      </c>
      <c r="F1054" s="80">
        <v>0</v>
      </c>
      <c r="G1054" s="80">
        <v>0</v>
      </c>
      <c r="H1054" s="80">
        <v>0</v>
      </c>
      <c r="I1054" s="80">
        <v>0</v>
      </c>
      <c r="J1054" s="80">
        <v>0</v>
      </c>
      <c r="K1054" s="80">
        <v>0</v>
      </c>
      <c r="L1054" s="80">
        <v>0</v>
      </c>
      <c r="M1054" s="80">
        <v>0</v>
      </c>
      <c r="N1054" s="80">
        <v>0</v>
      </c>
      <c r="O1054" s="80">
        <v>0</v>
      </c>
      <c r="P1054" s="80">
        <v>0</v>
      </c>
      <c r="Q1054" s="80">
        <v>0</v>
      </c>
      <c r="R1054" s="80">
        <v>0</v>
      </c>
      <c r="S1054" s="80">
        <v>0</v>
      </c>
      <c r="T1054" s="80">
        <v>0</v>
      </c>
      <c r="U1054" s="80">
        <v>2</v>
      </c>
      <c r="V1054" s="80">
        <v>0</v>
      </c>
      <c r="W1054" s="80">
        <v>0</v>
      </c>
      <c r="X1054" s="80">
        <v>0</v>
      </c>
      <c r="Y1054" s="80">
        <v>0</v>
      </c>
      <c r="Z1054" s="80">
        <v>0</v>
      </c>
      <c r="AA1054" s="80">
        <v>0</v>
      </c>
      <c r="AB1054" s="80">
        <v>0</v>
      </c>
      <c r="AC1054" s="80">
        <v>0</v>
      </c>
      <c r="AD1054" s="80">
        <v>0</v>
      </c>
      <c r="AE1054" s="80">
        <v>0</v>
      </c>
      <c r="AF1054" s="80">
        <v>0</v>
      </c>
      <c r="AG1054" s="80">
        <v>0</v>
      </c>
      <c r="AH1054" s="80">
        <v>0</v>
      </c>
      <c r="AI1054" s="80">
        <v>0</v>
      </c>
      <c r="AJ1054" s="80">
        <v>0</v>
      </c>
      <c r="AK1054" s="80">
        <v>0</v>
      </c>
      <c r="AL1054" s="80">
        <v>0</v>
      </c>
      <c r="AM1054" s="80">
        <v>0</v>
      </c>
      <c r="AN1054" s="80">
        <v>0</v>
      </c>
      <c r="AO1054" s="80">
        <v>0</v>
      </c>
    </row>
    <row r="1055" spans="1:41" ht="15.75" x14ac:dyDescent="0.25">
      <c r="A1055" s="84">
        <v>43</v>
      </c>
      <c r="B1055" s="84"/>
      <c r="C1055" s="84" t="s">
        <v>264</v>
      </c>
      <c r="D1055" s="80" t="s">
        <v>245</v>
      </c>
      <c r="E1055" s="80">
        <v>0</v>
      </c>
      <c r="F1055" s="80">
        <v>0</v>
      </c>
      <c r="G1055" s="80">
        <v>0</v>
      </c>
      <c r="H1055" s="80">
        <v>1</v>
      </c>
      <c r="I1055" s="80">
        <v>1</v>
      </c>
      <c r="J1055" s="80">
        <v>1</v>
      </c>
      <c r="K1055" s="80">
        <v>0</v>
      </c>
      <c r="L1055" s="80">
        <v>1</v>
      </c>
      <c r="M1055" s="80">
        <v>0</v>
      </c>
      <c r="N1055" s="80">
        <v>0</v>
      </c>
      <c r="O1055" s="80">
        <v>0</v>
      </c>
      <c r="P1055" s="80">
        <v>0</v>
      </c>
      <c r="Q1055" s="80">
        <v>1</v>
      </c>
      <c r="R1055" s="80">
        <v>0</v>
      </c>
      <c r="S1055" s="80">
        <v>0</v>
      </c>
      <c r="T1055" s="80">
        <v>0</v>
      </c>
      <c r="U1055" s="80">
        <v>2</v>
      </c>
      <c r="V1055" s="80">
        <v>0</v>
      </c>
      <c r="W1055" s="80">
        <v>0</v>
      </c>
      <c r="X1055" s="80">
        <v>0</v>
      </c>
      <c r="Y1055" s="80">
        <v>0</v>
      </c>
      <c r="Z1055" s="80">
        <v>0</v>
      </c>
      <c r="AA1055" s="80">
        <v>0</v>
      </c>
      <c r="AB1055" s="80">
        <v>0</v>
      </c>
      <c r="AC1055" s="80">
        <v>0</v>
      </c>
      <c r="AD1055" s="80">
        <v>0</v>
      </c>
      <c r="AE1055" s="80">
        <v>0</v>
      </c>
      <c r="AF1055" s="80">
        <v>0</v>
      </c>
      <c r="AG1055" s="80">
        <v>0</v>
      </c>
      <c r="AH1055" s="80">
        <v>0</v>
      </c>
      <c r="AI1055" s="80">
        <v>0</v>
      </c>
      <c r="AJ1055" s="80">
        <v>0</v>
      </c>
      <c r="AK1055" s="80">
        <v>0</v>
      </c>
      <c r="AL1055" s="80">
        <v>0</v>
      </c>
      <c r="AM1055" s="80">
        <v>0</v>
      </c>
      <c r="AN1055" s="80">
        <v>0</v>
      </c>
      <c r="AO1055" s="80">
        <v>0</v>
      </c>
    </row>
    <row r="1056" spans="1:41" ht="15.75" x14ac:dyDescent="0.25">
      <c r="A1056" s="84"/>
      <c r="B1056" s="84"/>
      <c r="C1056" s="84"/>
      <c r="D1056" s="80" t="s">
        <v>246</v>
      </c>
      <c r="E1056" s="80">
        <v>0</v>
      </c>
      <c r="F1056" s="80">
        <v>0</v>
      </c>
      <c r="G1056" s="80">
        <v>0</v>
      </c>
      <c r="H1056" s="80">
        <v>1</v>
      </c>
      <c r="I1056" s="80">
        <v>1</v>
      </c>
      <c r="J1056" s="80">
        <v>1</v>
      </c>
      <c r="K1056" s="80">
        <v>0</v>
      </c>
      <c r="L1056" s="80">
        <v>1</v>
      </c>
      <c r="M1056" s="80">
        <v>0</v>
      </c>
      <c r="N1056" s="80">
        <v>0</v>
      </c>
      <c r="O1056" s="80">
        <v>0</v>
      </c>
      <c r="P1056" s="80">
        <v>0</v>
      </c>
      <c r="Q1056" s="80">
        <v>1</v>
      </c>
      <c r="R1056" s="80">
        <v>0</v>
      </c>
      <c r="S1056" s="80">
        <v>0</v>
      </c>
      <c r="T1056" s="80">
        <v>0</v>
      </c>
      <c r="U1056" s="80">
        <v>2</v>
      </c>
      <c r="V1056" s="80">
        <v>0</v>
      </c>
      <c r="W1056" s="80">
        <v>0</v>
      </c>
      <c r="X1056" s="80">
        <v>0</v>
      </c>
      <c r="Y1056" s="80">
        <v>0</v>
      </c>
      <c r="Z1056" s="80">
        <v>0</v>
      </c>
      <c r="AA1056" s="80">
        <v>0</v>
      </c>
      <c r="AB1056" s="80">
        <v>0</v>
      </c>
      <c r="AC1056" s="80">
        <v>0</v>
      </c>
      <c r="AD1056" s="80">
        <v>0</v>
      </c>
      <c r="AE1056" s="80">
        <v>0</v>
      </c>
      <c r="AF1056" s="80">
        <v>0</v>
      </c>
      <c r="AG1056" s="80">
        <v>0</v>
      </c>
      <c r="AH1056" s="80">
        <v>0</v>
      </c>
      <c r="AI1056" s="80">
        <v>0</v>
      </c>
      <c r="AJ1056" s="80">
        <v>0</v>
      </c>
      <c r="AK1056" s="80">
        <v>0</v>
      </c>
      <c r="AL1056" s="80">
        <v>0</v>
      </c>
      <c r="AM1056" s="80">
        <v>0</v>
      </c>
      <c r="AN1056" s="80">
        <v>0</v>
      </c>
      <c r="AO1056" s="80">
        <v>0</v>
      </c>
    </row>
    <row r="1057" spans="1:41" ht="15.75" x14ac:dyDescent="0.25">
      <c r="A1057" s="84"/>
      <c r="B1057" s="84"/>
      <c r="C1057" s="84"/>
      <c r="D1057" s="80" t="s">
        <v>247</v>
      </c>
      <c r="E1057" s="80">
        <v>0</v>
      </c>
      <c r="F1057" s="80">
        <v>0</v>
      </c>
      <c r="G1057" s="80">
        <v>0</v>
      </c>
      <c r="H1057" s="80">
        <v>0</v>
      </c>
      <c r="I1057" s="80">
        <v>0</v>
      </c>
      <c r="J1057" s="80">
        <v>0</v>
      </c>
      <c r="K1057" s="80">
        <v>0</v>
      </c>
      <c r="L1057" s="80">
        <v>0</v>
      </c>
      <c r="M1057" s="80">
        <v>0</v>
      </c>
      <c r="N1057" s="80">
        <v>0</v>
      </c>
      <c r="O1057" s="80">
        <v>0</v>
      </c>
      <c r="P1057" s="80">
        <v>0</v>
      </c>
      <c r="Q1057" s="80">
        <v>0</v>
      </c>
      <c r="R1057" s="80">
        <v>0</v>
      </c>
      <c r="S1057" s="80">
        <v>0</v>
      </c>
      <c r="T1057" s="80">
        <v>0</v>
      </c>
      <c r="U1057" s="80">
        <v>0</v>
      </c>
      <c r="V1057" s="80">
        <v>0</v>
      </c>
      <c r="W1057" s="80">
        <v>0</v>
      </c>
      <c r="X1057" s="80">
        <v>0</v>
      </c>
      <c r="Y1057" s="80">
        <v>0</v>
      </c>
      <c r="Z1057" s="80">
        <v>0</v>
      </c>
      <c r="AA1057" s="80">
        <v>0</v>
      </c>
      <c r="AB1057" s="80">
        <v>0</v>
      </c>
      <c r="AC1057" s="80">
        <v>0</v>
      </c>
      <c r="AD1057" s="80">
        <v>0</v>
      </c>
      <c r="AE1057" s="80">
        <v>0</v>
      </c>
      <c r="AF1057" s="80">
        <v>0</v>
      </c>
      <c r="AG1057" s="80">
        <v>0</v>
      </c>
      <c r="AH1057" s="80">
        <v>0</v>
      </c>
      <c r="AI1057" s="80">
        <v>0</v>
      </c>
      <c r="AJ1057" s="80">
        <v>0</v>
      </c>
      <c r="AK1057" s="80">
        <v>0</v>
      </c>
      <c r="AL1057" s="80">
        <v>0</v>
      </c>
      <c r="AM1057" s="80">
        <v>0</v>
      </c>
      <c r="AN1057" s="80">
        <v>0</v>
      </c>
      <c r="AO1057" s="80">
        <v>0</v>
      </c>
    </row>
    <row r="1058" spans="1:41" ht="15.75" x14ac:dyDescent="0.25">
      <c r="A1058" s="84"/>
      <c r="B1058" s="84"/>
      <c r="C1058" s="84"/>
      <c r="D1058" s="80" t="s">
        <v>248</v>
      </c>
      <c r="E1058" s="80">
        <v>0</v>
      </c>
      <c r="F1058" s="80">
        <v>0</v>
      </c>
      <c r="G1058" s="80">
        <v>0</v>
      </c>
      <c r="H1058" s="80">
        <v>1</v>
      </c>
      <c r="I1058" s="80">
        <v>0</v>
      </c>
      <c r="J1058" s="80">
        <v>1</v>
      </c>
      <c r="K1058" s="80">
        <v>0</v>
      </c>
      <c r="L1058" s="80">
        <v>1</v>
      </c>
      <c r="M1058" s="80">
        <v>0</v>
      </c>
      <c r="N1058" s="80">
        <v>0</v>
      </c>
      <c r="O1058" s="80">
        <v>0</v>
      </c>
      <c r="P1058" s="80">
        <v>0</v>
      </c>
      <c r="Q1058" s="80">
        <v>1</v>
      </c>
      <c r="R1058" s="80">
        <v>0</v>
      </c>
      <c r="S1058" s="80">
        <v>0</v>
      </c>
      <c r="T1058" s="80">
        <v>0</v>
      </c>
      <c r="U1058" s="80">
        <v>2</v>
      </c>
      <c r="V1058" s="80">
        <v>0</v>
      </c>
      <c r="W1058" s="80">
        <v>0</v>
      </c>
      <c r="X1058" s="80">
        <v>0</v>
      </c>
      <c r="Y1058" s="80">
        <v>0</v>
      </c>
      <c r="Z1058" s="80">
        <v>0</v>
      </c>
      <c r="AA1058" s="80">
        <v>0</v>
      </c>
      <c r="AB1058" s="80">
        <v>0</v>
      </c>
      <c r="AC1058" s="80">
        <v>0</v>
      </c>
      <c r="AD1058" s="80">
        <v>0</v>
      </c>
      <c r="AE1058" s="80">
        <v>0</v>
      </c>
      <c r="AF1058" s="80">
        <v>0</v>
      </c>
      <c r="AG1058" s="80">
        <v>0</v>
      </c>
      <c r="AH1058" s="80">
        <v>0</v>
      </c>
      <c r="AI1058" s="80">
        <v>0</v>
      </c>
      <c r="AJ1058" s="80">
        <v>0</v>
      </c>
      <c r="AK1058" s="80">
        <v>0</v>
      </c>
      <c r="AL1058" s="80">
        <v>0</v>
      </c>
      <c r="AM1058" s="80">
        <v>0</v>
      </c>
      <c r="AN1058" s="80">
        <v>0</v>
      </c>
      <c r="AO1058" s="80">
        <v>0</v>
      </c>
    </row>
    <row r="1059" spans="1:41" ht="15.75" x14ac:dyDescent="0.25">
      <c r="A1059" s="84"/>
      <c r="B1059" s="84"/>
      <c r="C1059" s="84"/>
      <c r="D1059" s="80" t="s">
        <v>258</v>
      </c>
      <c r="E1059" s="80">
        <v>0</v>
      </c>
      <c r="F1059" s="80">
        <v>0</v>
      </c>
      <c r="G1059" s="80">
        <v>0</v>
      </c>
      <c r="H1059" s="80">
        <v>0</v>
      </c>
      <c r="I1059" s="80">
        <v>1</v>
      </c>
      <c r="J1059" s="80">
        <v>0</v>
      </c>
      <c r="K1059" s="80">
        <v>0</v>
      </c>
      <c r="L1059" s="80">
        <v>0</v>
      </c>
      <c r="M1059" s="80">
        <v>0</v>
      </c>
      <c r="N1059" s="80">
        <v>0</v>
      </c>
      <c r="O1059" s="80">
        <v>0</v>
      </c>
      <c r="P1059" s="80">
        <v>0</v>
      </c>
      <c r="Q1059" s="80">
        <v>0</v>
      </c>
      <c r="R1059" s="80">
        <v>0</v>
      </c>
      <c r="S1059" s="80">
        <v>0</v>
      </c>
      <c r="T1059" s="80">
        <v>0</v>
      </c>
      <c r="U1059" s="80">
        <v>0</v>
      </c>
      <c r="V1059" s="80">
        <v>0</v>
      </c>
      <c r="W1059" s="80">
        <v>0</v>
      </c>
      <c r="X1059" s="80">
        <v>0</v>
      </c>
      <c r="Y1059" s="80">
        <v>0</v>
      </c>
      <c r="Z1059" s="80">
        <v>0</v>
      </c>
      <c r="AA1059" s="80">
        <v>0</v>
      </c>
      <c r="AB1059" s="80">
        <v>0</v>
      </c>
      <c r="AC1059" s="80">
        <v>0</v>
      </c>
      <c r="AD1059" s="80">
        <v>0</v>
      </c>
      <c r="AE1059" s="80">
        <v>0</v>
      </c>
      <c r="AF1059" s="80">
        <v>0</v>
      </c>
      <c r="AG1059" s="80">
        <v>0</v>
      </c>
      <c r="AH1059" s="80">
        <v>0</v>
      </c>
      <c r="AI1059" s="80">
        <v>0</v>
      </c>
      <c r="AJ1059" s="80">
        <v>0</v>
      </c>
      <c r="AK1059" s="80">
        <v>0</v>
      </c>
      <c r="AL1059" s="80">
        <v>0</v>
      </c>
      <c r="AM1059" s="80">
        <v>0</v>
      </c>
      <c r="AN1059" s="80">
        <v>0</v>
      </c>
      <c r="AO1059" s="80">
        <v>0</v>
      </c>
    </row>
    <row r="1060" spans="1:41" ht="15.75" x14ac:dyDescent="0.25">
      <c r="A1060" s="84">
        <v>44</v>
      </c>
      <c r="B1060" s="84"/>
      <c r="C1060" s="84" t="s">
        <v>265</v>
      </c>
      <c r="D1060" s="80" t="s">
        <v>245</v>
      </c>
      <c r="E1060" s="80">
        <v>0</v>
      </c>
      <c r="F1060" s="80">
        <v>0</v>
      </c>
      <c r="G1060" s="80">
        <v>0</v>
      </c>
      <c r="H1060" s="80">
        <v>0</v>
      </c>
      <c r="I1060" s="80">
        <v>1</v>
      </c>
      <c r="J1060" s="80">
        <v>0</v>
      </c>
      <c r="K1060" s="80">
        <v>0</v>
      </c>
      <c r="L1060" s="80">
        <v>0</v>
      </c>
      <c r="M1060" s="80">
        <v>0</v>
      </c>
      <c r="N1060" s="80">
        <v>0</v>
      </c>
      <c r="O1060" s="80">
        <v>0</v>
      </c>
      <c r="P1060" s="80">
        <v>1</v>
      </c>
      <c r="Q1060" s="80">
        <v>1</v>
      </c>
      <c r="R1060" s="80">
        <v>0</v>
      </c>
      <c r="S1060" s="80">
        <v>0</v>
      </c>
      <c r="T1060" s="80">
        <v>0</v>
      </c>
      <c r="U1060" s="80">
        <v>2</v>
      </c>
      <c r="V1060" s="80">
        <v>1</v>
      </c>
      <c r="W1060" s="80">
        <v>0</v>
      </c>
      <c r="X1060" s="80">
        <v>0</v>
      </c>
      <c r="Y1060" s="80">
        <v>0</v>
      </c>
      <c r="Z1060" s="80">
        <v>1</v>
      </c>
      <c r="AA1060" s="80">
        <v>0</v>
      </c>
      <c r="AB1060" s="80">
        <v>1</v>
      </c>
      <c r="AC1060" s="80">
        <v>0</v>
      </c>
      <c r="AD1060" s="80">
        <v>1</v>
      </c>
      <c r="AE1060" s="80">
        <v>1</v>
      </c>
      <c r="AF1060" s="80">
        <v>0</v>
      </c>
      <c r="AG1060" s="80">
        <v>0</v>
      </c>
      <c r="AH1060" s="80">
        <v>0</v>
      </c>
      <c r="AI1060" s="80">
        <v>0</v>
      </c>
      <c r="AJ1060" s="80">
        <v>0</v>
      </c>
      <c r="AK1060" s="80">
        <v>0</v>
      </c>
      <c r="AL1060" s="80">
        <v>0</v>
      </c>
      <c r="AM1060" s="80">
        <v>0</v>
      </c>
      <c r="AN1060" s="80">
        <v>0</v>
      </c>
      <c r="AO1060" s="80">
        <v>0</v>
      </c>
    </row>
    <row r="1061" spans="1:41" ht="15.75" x14ac:dyDescent="0.25">
      <c r="A1061" s="84"/>
      <c r="B1061" s="84"/>
      <c r="C1061" s="84"/>
      <c r="D1061" s="80" t="s">
        <v>246</v>
      </c>
      <c r="E1061" s="80">
        <v>0</v>
      </c>
      <c r="F1061" s="80">
        <v>0</v>
      </c>
      <c r="G1061" s="80">
        <v>0</v>
      </c>
      <c r="H1061" s="80">
        <v>0</v>
      </c>
      <c r="I1061" s="80">
        <v>1</v>
      </c>
      <c r="J1061" s="80">
        <v>0</v>
      </c>
      <c r="K1061" s="80">
        <v>0</v>
      </c>
      <c r="L1061" s="80">
        <v>0</v>
      </c>
      <c r="M1061" s="80">
        <v>0</v>
      </c>
      <c r="N1061" s="80">
        <v>0</v>
      </c>
      <c r="O1061" s="80">
        <v>0</v>
      </c>
      <c r="P1061" s="80">
        <v>1</v>
      </c>
      <c r="Q1061" s="80">
        <v>1</v>
      </c>
      <c r="R1061" s="80">
        <v>0</v>
      </c>
      <c r="S1061" s="80">
        <v>0</v>
      </c>
      <c r="T1061" s="80">
        <v>0</v>
      </c>
      <c r="U1061" s="80">
        <v>2</v>
      </c>
      <c r="V1061" s="80">
        <v>1</v>
      </c>
      <c r="W1061" s="80">
        <v>0</v>
      </c>
      <c r="X1061" s="80">
        <v>0</v>
      </c>
      <c r="Y1061" s="80">
        <v>0</v>
      </c>
      <c r="Z1061" s="80">
        <v>1</v>
      </c>
      <c r="AA1061" s="80">
        <v>0</v>
      </c>
      <c r="AB1061" s="80">
        <v>1</v>
      </c>
      <c r="AC1061" s="80">
        <v>0</v>
      </c>
      <c r="AD1061" s="80">
        <v>1</v>
      </c>
      <c r="AE1061" s="80">
        <v>1</v>
      </c>
      <c r="AF1061" s="80">
        <v>0</v>
      </c>
      <c r="AG1061" s="80">
        <v>0</v>
      </c>
      <c r="AH1061" s="80">
        <v>0</v>
      </c>
      <c r="AI1061" s="80">
        <v>0</v>
      </c>
      <c r="AJ1061" s="80">
        <v>0</v>
      </c>
      <c r="AK1061" s="80">
        <v>0</v>
      </c>
      <c r="AL1061" s="80">
        <v>0</v>
      </c>
      <c r="AM1061" s="80">
        <v>0</v>
      </c>
      <c r="AN1061" s="80">
        <v>0</v>
      </c>
      <c r="AO1061" s="80">
        <v>0</v>
      </c>
    </row>
    <row r="1062" spans="1:41" ht="15.75" x14ac:dyDescent="0.25">
      <c r="A1062" s="84"/>
      <c r="B1062" s="84"/>
      <c r="C1062" s="84"/>
      <c r="D1062" s="80" t="s">
        <v>247</v>
      </c>
      <c r="E1062" s="80">
        <v>0</v>
      </c>
      <c r="F1062" s="80">
        <v>0</v>
      </c>
      <c r="G1062" s="80">
        <v>0</v>
      </c>
      <c r="H1062" s="80">
        <v>0</v>
      </c>
      <c r="I1062" s="80">
        <v>0</v>
      </c>
      <c r="J1062" s="80">
        <v>0</v>
      </c>
      <c r="K1062" s="80">
        <v>0</v>
      </c>
      <c r="L1062" s="80">
        <v>0</v>
      </c>
      <c r="M1062" s="80">
        <v>0</v>
      </c>
      <c r="N1062" s="80">
        <v>0</v>
      </c>
      <c r="O1062" s="80">
        <v>0</v>
      </c>
      <c r="P1062" s="80">
        <v>0</v>
      </c>
      <c r="Q1062" s="80">
        <v>0</v>
      </c>
      <c r="R1062" s="80">
        <v>0</v>
      </c>
      <c r="S1062" s="80">
        <v>0</v>
      </c>
      <c r="T1062" s="80">
        <v>0</v>
      </c>
      <c r="U1062" s="80">
        <v>0</v>
      </c>
      <c r="V1062" s="80">
        <v>0</v>
      </c>
      <c r="W1062" s="80">
        <v>0</v>
      </c>
      <c r="X1062" s="80">
        <v>0</v>
      </c>
      <c r="Y1062" s="80">
        <v>0</v>
      </c>
      <c r="Z1062" s="80">
        <v>0</v>
      </c>
      <c r="AA1062" s="80">
        <v>0</v>
      </c>
      <c r="AB1062" s="80">
        <v>0</v>
      </c>
      <c r="AC1062" s="80">
        <v>0</v>
      </c>
      <c r="AD1062" s="80">
        <v>0</v>
      </c>
      <c r="AE1062" s="80">
        <v>0</v>
      </c>
      <c r="AF1062" s="80">
        <v>0</v>
      </c>
      <c r="AG1062" s="80">
        <v>0</v>
      </c>
      <c r="AH1062" s="80">
        <v>0</v>
      </c>
      <c r="AI1062" s="80">
        <v>0</v>
      </c>
      <c r="AJ1062" s="80">
        <v>0</v>
      </c>
      <c r="AK1062" s="80">
        <v>0</v>
      </c>
      <c r="AL1062" s="80">
        <v>0</v>
      </c>
      <c r="AM1062" s="80">
        <v>0</v>
      </c>
      <c r="AN1062" s="80">
        <v>0</v>
      </c>
      <c r="AO1062" s="80">
        <v>0</v>
      </c>
    </row>
    <row r="1063" spans="1:41" ht="15.75" x14ac:dyDescent="0.25">
      <c r="A1063" s="84"/>
      <c r="B1063" s="84"/>
      <c r="C1063" s="84"/>
      <c r="D1063" s="80" t="s">
        <v>248</v>
      </c>
      <c r="E1063" s="80">
        <v>0</v>
      </c>
      <c r="F1063" s="80">
        <v>0</v>
      </c>
      <c r="G1063" s="80">
        <v>0</v>
      </c>
      <c r="H1063" s="80">
        <v>0</v>
      </c>
      <c r="I1063" s="80">
        <v>1</v>
      </c>
      <c r="J1063" s="80">
        <v>0</v>
      </c>
      <c r="K1063" s="80">
        <v>0</v>
      </c>
      <c r="L1063" s="80">
        <v>0</v>
      </c>
      <c r="M1063" s="80">
        <v>0</v>
      </c>
      <c r="N1063" s="80">
        <v>0</v>
      </c>
      <c r="O1063" s="80">
        <v>0</v>
      </c>
      <c r="P1063" s="80">
        <v>1</v>
      </c>
      <c r="Q1063" s="80">
        <v>1</v>
      </c>
      <c r="R1063" s="80">
        <v>0</v>
      </c>
      <c r="S1063" s="80">
        <v>0</v>
      </c>
      <c r="T1063" s="80">
        <v>0</v>
      </c>
      <c r="U1063" s="80">
        <v>2</v>
      </c>
      <c r="V1063" s="80">
        <v>1</v>
      </c>
      <c r="W1063" s="80">
        <v>0</v>
      </c>
      <c r="X1063" s="80">
        <v>0</v>
      </c>
      <c r="Y1063" s="80">
        <v>0</v>
      </c>
      <c r="Z1063" s="80">
        <v>1</v>
      </c>
      <c r="AA1063" s="80">
        <v>0</v>
      </c>
      <c r="AB1063" s="80">
        <v>1</v>
      </c>
      <c r="AC1063" s="80">
        <v>0</v>
      </c>
      <c r="AD1063" s="80">
        <v>1</v>
      </c>
      <c r="AE1063" s="80">
        <v>1</v>
      </c>
      <c r="AF1063" s="80">
        <v>0</v>
      </c>
      <c r="AG1063" s="80">
        <v>0</v>
      </c>
      <c r="AH1063" s="80">
        <v>0</v>
      </c>
      <c r="AI1063" s="80">
        <v>0</v>
      </c>
      <c r="AJ1063" s="80">
        <v>0</v>
      </c>
      <c r="AK1063" s="80">
        <v>0</v>
      </c>
      <c r="AL1063" s="80">
        <v>0</v>
      </c>
      <c r="AM1063" s="80">
        <v>0</v>
      </c>
      <c r="AN1063" s="80">
        <v>0</v>
      </c>
      <c r="AO1063" s="80">
        <v>0</v>
      </c>
    </row>
    <row r="1064" spans="1:41" ht="15.75" x14ac:dyDescent="0.25">
      <c r="A1064" s="84"/>
      <c r="B1064" s="84"/>
      <c r="C1064" s="84"/>
      <c r="D1064" s="80" t="s">
        <v>258</v>
      </c>
      <c r="E1064" s="80">
        <v>0</v>
      </c>
      <c r="F1064" s="80">
        <v>0</v>
      </c>
      <c r="G1064" s="80">
        <v>0</v>
      </c>
      <c r="H1064" s="80">
        <v>0</v>
      </c>
      <c r="I1064" s="80">
        <v>0</v>
      </c>
      <c r="J1064" s="80">
        <v>0</v>
      </c>
      <c r="K1064" s="80">
        <v>0</v>
      </c>
      <c r="L1064" s="80">
        <v>0</v>
      </c>
      <c r="M1064" s="80">
        <v>0</v>
      </c>
      <c r="N1064" s="80">
        <v>0</v>
      </c>
      <c r="O1064" s="80">
        <v>0</v>
      </c>
      <c r="P1064" s="80">
        <v>0</v>
      </c>
      <c r="Q1064" s="80">
        <v>0</v>
      </c>
      <c r="R1064" s="80">
        <v>0</v>
      </c>
      <c r="S1064" s="80">
        <v>0</v>
      </c>
      <c r="T1064" s="80">
        <v>0</v>
      </c>
      <c r="U1064" s="80">
        <v>0</v>
      </c>
      <c r="V1064" s="80">
        <v>0</v>
      </c>
      <c r="W1064" s="80">
        <v>0</v>
      </c>
      <c r="X1064" s="80">
        <v>0</v>
      </c>
      <c r="Y1064" s="80">
        <v>0</v>
      </c>
      <c r="Z1064" s="80">
        <v>0</v>
      </c>
      <c r="AA1064" s="80">
        <v>0</v>
      </c>
      <c r="AB1064" s="80">
        <v>0</v>
      </c>
      <c r="AC1064" s="80">
        <v>0</v>
      </c>
      <c r="AD1064" s="80">
        <v>0</v>
      </c>
      <c r="AE1064" s="80">
        <v>0</v>
      </c>
      <c r="AF1064" s="80">
        <v>0</v>
      </c>
      <c r="AG1064" s="80">
        <v>0</v>
      </c>
      <c r="AH1064" s="80">
        <v>0</v>
      </c>
      <c r="AI1064" s="80">
        <v>0</v>
      </c>
      <c r="AJ1064" s="80">
        <v>0</v>
      </c>
      <c r="AK1064" s="80">
        <v>0</v>
      </c>
      <c r="AL1064" s="80">
        <v>0</v>
      </c>
      <c r="AM1064" s="80">
        <v>0</v>
      </c>
      <c r="AN1064" s="80">
        <v>0</v>
      </c>
      <c r="AO1064" s="80">
        <v>0</v>
      </c>
    </row>
    <row r="1065" spans="1:41" ht="15.75" x14ac:dyDescent="0.25">
      <c r="A1065" s="84"/>
      <c r="B1065" s="84"/>
      <c r="C1065" s="84"/>
      <c r="D1065" s="80"/>
      <c r="E1065" s="80"/>
      <c r="F1065" s="80"/>
      <c r="G1065" s="80"/>
      <c r="H1065" s="80"/>
      <c r="I1065" s="80"/>
      <c r="J1065" s="80"/>
      <c r="K1065" s="80"/>
      <c r="L1065" s="80"/>
      <c r="M1065" s="80"/>
      <c r="N1065" s="80"/>
      <c r="O1065" s="80"/>
      <c r="P1065" s="80"/>
      <c r="Q1065" s="80"/>
      <c r="R1065" s="80"/>
      <c r="S1065" s="80"/>
      <c r="T1065" s="80"/>
      <c r="U1065" s="80"/>
      <c r="V1065" s="80"/>
      <c r="W1065" s="80"/>
      <c r="X1065" s="80"/>
      <c r="Y1065" s="80"/>
      <c r="Z1065" s="80"/>
      <c r="AA1065" s="80"/>
      <c r="AB1065" s="80"/>
      <c r="AC1065" s="80"/>
      <c r="AD1065" s="80"/>
      <c r="AE1065" s="80"/>
      <c r="AF1065" s="80"/>
      <c r="AG1065" s="80"/>
      <c r="AH1065" s="80"/>
      <c r="AI1065" s="80"/>
      <c r="AJ1065" s="80"/>
      <c r="AK1065" s="80"/>
      <c r="AL1065" s="80"/>
      <c r="AM1065" s="147"/>
      <c r="AN1065" s="147"/>
      <c r="AO1065" s="147"/>
    </row>
    <row r="1066" spans="1:41" ht="18.75" x14ac:dyDescent="0.3">
      <c r="A1066" s="145"/>
      <c r="B1066" s="145"/>
      <c r="C1066" s="146" t="s">
        <v>771</v>
      </c>
      <c r="D1066" s="135" t="s">
        <v>245</v>
      </c>
      <c r="E1066" s="135">
        <f>E865+E870+E875+E880+E885+E890+E895+E900+E905+E910+E915+E920+E925+E930+E935+E940+E945+E950+E955+E960+E965+E970+E975+E980+E985+E990+E995+E1000+E1005+E1010+E1015+E1020+E1025+E1030+E1035+E1040+E1045+E1050+E1055+E1060</f>
        <v>0</v>
      </c>
      <c r="F1066" s="135">
        <f t="shared" ref="F1066:AO1066" si="22">F865+F870+F875+F880+F885+F890+F895+F900+F905+F910+F915+F920+F925+F930+F935+F940+F945+F950+F955+F960+F965+F970+F975+F980+F985+F990+F995+F1000+F1005+F1010+F1015+F1020+F1025+F1030+F1035+F1040+F1045+F1050+F1055+F1060</f>
        <v>1</v>
      </c>
      <c r="G1066" s="135">
        <f t="shared" si="22"/>
        <v>3</v>
      </c>
      <c r="H1066" s="135">
        <f t="shared" si="22"/>
        <v>44</v>
      </c>
      <c r="I1066" s="135">
        <f t="shared" si="22"/>
        <v>64</v>
      </c>
      <c r="J1066" s="135">
        <f t="shared" si="22"/>
        <v>49</v>
      </c>
      <c r="K1066" s="135">
        <f t="shared" si="22"/>
        <v>4</v>
      </c>
      <c r="L1066" s="135">
        <f t="shared" si="22"/>
        <v>7</v>
      </c>
      <c r="M1066" s="135">
        <f t="shared" si="22"/>
        <v>8</v>
      </c>
      <c r="N1066" s="135">
        <f t="shared" si="22"/>
        <v>14</v>
      </c>
      <c r="O1066" s="135">
        <f t="shared" si="22"/>
        <v>43</v>
      </c>
      <c r="P1066" s="135">
        <f t="shared" si="22"/>
        <v>7</v>
      </c>
      <c r="Q1066" s="135">
        <f t="shared" si="22"/>
        <v>37</v>
      </c>
      <c r="R1066" s="135">
        <f t="shared" si="22"/>
        <v>15</v>
      </c>
      <c r="S1066" s="135">
        <f t="shared" si="22"/>
        <v>0</v>
      </c>
      <c r="T1066" s="135">
        <f t="shared" si="22"/>
        <v>7</v>
      </c>
      <c r="U1066" s="135">
        <f t="shared" si="22"/>
        <v>70</v>
      </c>
      <c r="V1066" s="135">
        <f t="shared" si="22"/>
        <v>47</v>
      </c>
      <c r="W1066" s="135">
        <f t="shared" si="22"/>
        <v>19</v>
      </c>
      <c r="X1066" s="135">
        <f t="shared" si="22"/>
        <v>10</v>
      </c>
      <c r="Y1066" s="135">
        <f t="shared" si="22"/>
        <v>3</v>
      </c>
      <c r="Z1066" s="135">
        <f t="shared" si="22"/>
        <v>33</v>
      </c>
      <c r="AA1066" s="135">
        <f t="shared" si="22"/>
        <v>27</v>
      </c>
      <c r="AB1066" s="135">
        <f t="shared" si="22"/>
        <v>22</v>
      </c>
      <c r="AC1066" s="135">
        <f t="shared" si="22"/>
        <v>10</v>
      </c>
      <c r="AD1066" s="135">
        <f t="shared" si="22"/>
        <v>10</v>
      </c>
      <c r="AE1066" s="135">
        <f t="shared" si="22"/>
        <v>17</v>
      </c>
      <c r="AF1066" s="135">
        <f t="shared" si="22"/>
        <v>10</v>
      </c>
      <c r="AG1066" s="135">
        <f t="shared" si="22"/>
        <v>30</v>
      </c>
      <c r="AH1066" s="135">
        <f t="shared" si="22"/>
        <v>21</v>
      </c>
      <c r="AI1066" s="135">
        <f t="shared" si="22"/>
        <v>3</v>
      </c>
      <c r="AJ1066" s="135">
        <f t="shared" si="22"/>
        <v>1</v>
      </c>
      <c r="AK1066" s="135">
        <f t="shared" si="22"/>
        <v>0</v>
      </c>
      <c r="AL1066" s="135">
        <f t="shared" si="22"/>
        <v>1</v>
      </c>
      <c r="AM1066" s="135">
        <f t="shared" si="22"/>
        <v>12</v>
      </c>
      <c r="AN1066" s="135">
        <f t="shared" si="22"/>
        <v>6</v>
      </c>
      <c r="AO1066" s="135">
        <f t="shared" si="22"/>
        <v>2</v>
      </c>
    </row>
    <row r="1067" spans="1:41" ht="18.75" x14ac:dyDescent="0.3">
      <c r="A1067" s="145"/>
      <c r="B1067" s="145"/>
      <c r="C1067" s="146"/>
      <c r="D1067" s="135" t="s">
        <v>246</v>
      </c>
      <c r="E1067" s="135">
        <f t="shared" ref="E1067:AO1067" si="23">E866+E871+E876+E881+E886+E891+E896+E901+E906+E911+E916+E921+E926+E931+E936+E941+E946+E951+E956+E961+E966+E971+E976+E981+E986+E991+E996+E1001+E1006+E1011+E1016+E1021+E1026+E1031+E1036+E1041+E1046+E1051+E1056+E1061</f>
        <v>8</v>
      </c>
      <c r="F1067" s="135">
        <f t="shared" si="23"/>
        <v>1</v>
      </c>
      <c r="G1067" s="135">
        <f t="shared" si="23"/>
        <v>3</v>
      </c>
      <c r="H1067" s="135">
        <f t="shared" si="23"/>
        <v>38</v>
      </c>
      <c r="I1067" s="135">
        <f t="shared" si="23"/>
        <v>53</v>
      </c>
      <c r="J1067" s="135">
        <f t="shared" si="23"/>
        <v>45</v>
      </c>
      <c r="K1067" s="135">
        <f t="shared" si="23"/>
        <v>3</v>
      </c>
      <c r="L1067" s="135">
        <f t="shared" si="23"/>
        <v>6</v>
      </c>
      <c r="M1067" s="135">
        <f t="shared" si="23"/>
        <v>7</v>
      </c>
      <c r="N1067" s="135">
        <f t="shared" si="23"/>
        <v>14</v>
      </c>
      <c r="O1067" s="135">
        <f t="shared" si="23"/>
        <v>42</v>
      </c>
      <c r="P1067" s="135">
        <f t="shared" si="23"/>
        <v>6</v>
      </c>
      <c r="Q1067" s="135">
        <f t="shared" si="23"/>
        <v>36</v>
      </c>
      <c r="R1067" s="135">
        <f t="shared" si="23"/>
        <v>14</v>
      </c>
      <c r="S1067" s="135">
        <f t="shared" si="23"/>
        <v>0</v>
      </c>
      <c r="T1067" s="135">
        <f t="shared" si="23"/>
        <v>7</v>
      </c>
      <c r="U1067" s="135">
        <f t="shared" si="23"/>
        <v>69</v>
      </c>
      <c r="V1067" s="135">
        <f t="shared" si="23"/>
        <v>47</v>
      </c>
      <c r="W1067" s="135">
        <f t="shared" si="23"/>
        <v>19</v>
      </c>
      <c r="X1067" s="135">
        <f t="shared" si="23"/>
        <v>10</v>
      </c>
      <c r="Y1067" s="135">
        <f t="shared" si="23"/>
        <v>3</v>
      </c>
      <c r="Z1067" s="135">
        <f t="shared" si="23"/>
        <v>33</v>
      </c>
      <c r="AA1067" s="135">
        <f t="shared" si="23"/>
        <v>26</v>
      </c>
      <c r="AB1067" s="135">
        <f t="shared" si="23"/>
        <v>22</v>
      </c>
      <c r="AC1067" s="135">
        <f t="shared" si="23"/>
        <v>9</v>
      </c>
      <c r="AD1067" s="135">
        <f t="shared" si="23"/>
        <v>10</v>
      </c>
      <c r="AE1067" s="135">
        <f t="shared" si="23"/>
        <v>17</v>
      </c>
      <c r="AF1067" s="135">
        <f t="shared" si="23"/>
        <v>9</v>
      </c>
      <c r="AG1067" s="135">
        <f t="shared" si="23"/>
        <v>29</v>
      </c>
      <c r="AH1067" s="135">
        <f t="shared" si="23"/>
        <v>19</v>
      </c>
      <c r="AI1067" s="135">
        <f t="shared" si="23"/>
        <v>3</v>
      </c>
      <c r="AJ1067" s="135">
        <f t="shared" si="23"/>
        <v>0</v>
      </c>
      <c r="AK1067" s="135">
        <f t="shared" si="23"/>
        <v>0</v>
      </c>
      <c r="AL1067" s="135">
        <f t="shared" si="23"/>
        <v>1</v>
      </c>
      <c r="AM1067" s="135">
        <f t="shared" si="23"/>
        <v>12</v>
      </c>
      <c r="AN1067" s="135">
        <f t="shared" si="23"/>
        <v>6</v>
      </c>
      <c r="AO1067" s="135">
        <f t="shared" si="23"/>
        <v>2</v>
      </c>
    </row>
    <row r="1068" spans="1:41" ht="18.75" x14ac:dyDescent="0.3">
      <c r="A1068" s="145"/>
      <c r="B1068" s="145"/>
      <c r="C1068" s="146"/>
      <c r="D1068" s="135" t="s">
        <v>247</v>
      </c>
      <c r="E1068" s="135">
        <f t="shared" ref="E1068:AO1068" si="24">E867+E872+E877+E882+E887+E892+E897+E902+E907+E912+E917+E922+E927+E932+E937+E942+E947+E952+E957+E962+E967+E972+E977+E982+E987+E992+E997+E1002+E1007+E1012+E1017+E1022+E1027+E1032+E1037+E1042+E1047+E1052+E1057+E1062</f>
        <v>0</v>
      </c>
      <c r="F1068" s="135">
        <f t="shared" si="24"/>
        <v>0</v>
      </c>
      <c r="G1068" s="135">
        <f t="shared" si="24"/>
        <v>0</v>
      </c>
      <c r="H1068" s="135">
        <f t="shared" si="24"/>
        <v>7</v>
      </c>
      <c r="I1068" s="135">
        <f t="shared" si="24"/>
        <v>11</v>
      </c>
      <c r="J1068" s="135">
        <f t="shared" si="24"/>
        <v>4</v>
      </c>
      <c r="K1068" s="135">
        <f t="shared" si="24"/>
        <v>1</v>
      </c>
      <c r="L1068" s="135">
        <f t="shared" si="24"/>
        <v>1</v>
      </c>
      <c r="M1068" s="135">
        <f t="shared" si="24"/>
        <v>1</v>
      </c>
      <c r="N1068" s="135">
        <f t="shared" si="24"/>
        <v>0</v>
      </c>
      <c r="O1068" s="135">
        <f t="shared" si="24"/>
        <v>1</v>
      </c>
      <c r="P1068" s="135">
        <f t="shared" si="24"/>
        <v>1</v>
      </c>
      <c r="Q1068" s="135">
        <f t="shared" si="24"/>
        <v>1</v>
      </c>
      <c r="R1068" s="135">
        <f t="shared" si="24"/>
        <v>1</v>
      </c>
      <c r="S1068" s="135">
        <f t="shared" si="24"/>
        <v>1</v>
      </c>
      <c r="T1068" s="135">
        <f t="shared" si="24"/>
        <v>1</v>
      </c>
      <c r="U1068" s="135">
        <f t="shared" si="24"/>
        <v>1</v>
      </c>
      <c r="V1068" s="135">
        <f t="shared" si="24"/>
        <v>0</v>
      </c>
      <c r="W1068" s="135">
        <f t="shared" si="24"/>
        <v>0</v>
      </c>
      <c r="X1068" s="135">
        <f t="shared" si="24"/>
        <v>0</v>
      </c>
      <c r="Y1068" s="135">
        <f t="shared" si="24"/>
        <v>0</v>
      </c>
      <c r="Z1068" s="135">
        <f t="shared" si="24"/>
        <v>0</v>
      </c>
      <c r="AA1068" s="135">
        <f t="shared" si="24"/>
        <v>1</v>
      </c>
      <c r="AB1068" s="135">
        <f t="shared" si="24"/>
        <v>0</v>
      </c>
      <c r="AC1068" s="135">
        <f t="shared" si="24"/>
        <v>1</v>
      </c>
      <c r="AD1068" s="135">
        <f t="shared" si="24"/>
        <v>0</v>
      </c>
      <c r="AE1068" s="135">
        <f t="shared" si="24"/>
        <v>0</v>
      </c>
      <c r="AF1068" s="135">
        <f t="shared" si="24"/>
        <v>1</v>
      </c>
      <c r="AG1068" s="135">
        <f t="shared" si="24"/>
        <v>1</v>
      </c>
      <c r="AH1068" s="135">
        <f t="shared" si="24"/>
        <v>2</v>
      </c>
      <c r="AI1068" s="135">
        <f t="shared" si="24"/>
        <v>0</v>
      </c>
      <c r="AJ1068" s="135">
        <f t="shared" si="24"/>
        <v>0</v>
      </c>
      <c r="AK1068" s="135">
        <f t="shared" si="24"/>
        <v>0</v>
      </c>
      <c r="AL1068" s="135">
        <f t="shared" si="24"/>
        <v>0</v>
      </c>
      <c r="AM1068" s="135">
        <f t="shared" si="24"/>
        <v>0</v>
      </c>
      <c r="AN1068" s="135">
        <f t="shared" si="24"/>
        <v>0</v>
      </c>
      <c r="AO1068" s="135">
        <f t="shared" si="24"/>
        <v>0</v>
      </c>
    </row>
    <row r="1069" spans="1:41" ht="15.75" x14ac:dyDescent="0.25">
      <c r="A1069" s="147"/>
      <c r="B1069" s="147"/>
      <c r="C1069" s="148"/>
      <c r="D1069" s="135" t="s">
        <v>248</v>
      </c>
      <c r="E1069" s="135">
        <f t="shared" ref="E1069:AO1069" si="25">E868+E873+E878+E883+E888+E893+E898+E903+E908+E913+E918+E923+E928+E933+E938+E943+E948+E953+E958+E963+E968+E973+E978+E983+E988+E993+E998+E1003+E1008+E1013+E1018+E1023+E1028+E1033+E1038+E1043+E1048+E1053+E1058+E1063</f>
        <v>8</v>
      </c>
      <c r="F1069" s="135">
        <f t="shared" si="25"/>
        <v>1</v>
      </c>
      <c r="G1069" s="135">
        <f t="shared" si="25"/>
        <v>3</v>
      </c>
      <c r="H1069" s="135">
        <f t="shared" si="25"/>
        <v>38</v>
      </c>
      <c r="I1069" s="135">
        <f t="shared" si="25"/>
        <v>50</v>
      </c>
      <c r="J1069" s="135">
        <f t="shared" si="25"/>
        <v>45</v>
      </c>
      <c r="K1069" s="135">
        <f t="shared" si="25"/>
        <v>2</v>
      </c>
      <c r="L1069" s="135">
        <f t="shared" si="25"/>
        <v>4</v>
      </c>
      <c r="M1069" s="135">
        <f t="shared" si="25"/>
        <v>7</v>
      </c>
      <c r="N1069" s="135">
        <f t="shared" si="25"/>
        <v>13</v>
      </c>
      <c r="O1069" s="135">
        <f t="shared" si="25"/>
        <v>42</v>
      </c>
      <c r="P1069" s="135">
        <f t="shared" si="25"/>
        <v>6</v>
      </c>
      <c r="Q1069" s="135">
        <f t="shared" si="25"/>
        <v>29</v>
      </c>
      <c r="R1069" s="135">
        <f t="shared" si="25"/>
        <v>9</v>
      </c>
      <c r="S1069" s="135">
        <f t="shared" si="25"/>
        <v>0</v>
      </c>
      <c r="T1069" s="135">
        <f t="shared" si="25"/>
        <v>6</v>
      </c>
      <c r="U1069" s="135">
        <f t="shared" si="25"/>
        <v>65</v>
      </c>
      <c r="V1069" s="135">
        <f t="shared" si="25"/>
        <v>44</v>
      </c>
      <c r="W1069" s="135">
        <f t="shared" si="25"/>
        <v>14</v>
      </c>
      <c r="X1069" s="135">
        <f t="shared" si="25"/>
        <v>10</v>
      </c>
      <c r="Y1069" s="135">
        <f t="shared" si="25"/>
        <v>3</v>
      </c>
      <c r="Z1069" s="135">
        <f t="shared" si="25"/>
        <v>30</v>
      </c>
      <c r="AA1069" s="135">
        <f t="shared" si="25"/>
        <v>24</v>
      </c>
      <c r="AB1069" s="135">
        <f t="shared" si="25"/>
        <v>21</v>
      </c>
      <c r="AC1069" s="135">
        <f t="shared" si="25"/>
        <v>7</v>
      </c>
      <c r="AD1069" s="135">
        <f t="shared" si="25"/>
        <v>10</v>
      </c>
      <c r="AE1069" s="135">
        <f t="shared" si="25"/>
        <v>16</v>
      </c>
      <c r="AF1069" s="135">
        <f t="shared" si="25"/>
        <v>7</v>
      </c>
      <c r="AG1069" s="135">
        <f t="shared" si="25"/>
        <v>28</v>
      </c>
      <c r="AH1069" s="135">
        <f t="shared" si="25"/>
        <v>18</v>
      </c>
      <c r="AI1069" s="135">
        <f t="shared" si="25"/>
        <v>2</v>
      </c>
      <c r="AJ1069" s="135">
        <f t="shared" si="25"/>
        <v>0</v>
      </c>
      <c r="AK1069" s="135">
        <f t="shared" si="25"/>
        <v>0</v>
      </c>
      <c r="AL1069" s="135">
        <f t="shared" si="25"/>
        <v>1</v>
      </c>
      <c r="AM1069" s="135">
        <f t="shared" si="25"/>
        <v>10</v>
      </c>
      <c r="AN1069" s="135">
        <f t="shared" si="25"/>
        <v>6</v>
      </c>
      <c r="AO1069" s="135">
        <f t="shared" si="25"/>
        <v>2</v>
      </c>
    </row>
    <row r="1070" spans="1:41" ht="15.75" x14ac:dyDescent="0.25">
      <c r="A1070" s="147"/>
      <c r="B1070" s="147"/>
      <c r="C1070" s="148"/>
      <c r="D1070" s="135" t="s">
        <v>258</v>
      </c>
      <c r="E1070" s="135">
        <f t="shared" ref="E1070:AO1070" si="26">E869+E874+E879+E884+E889+E894+E899+E904+E909+E914+E919+E924+E929+E934+E939+E944+E949+E954+E959+E964+E969+E974+E979+E984+E989+E994+E999+E1004+E1009+E1014+E1019+E1024+E1029+E1034+E1039+E1044+E1049+E1054+E1059+E1064</f>
        <v>0</v>
      </c>
      <c r="F1070" s="135">
        <f t="shared" si="26"/>
        <v>0</v>
      </c>
      <c r="G1070" s="135">
        <f t="shared" si="26"/>
        <v>0</v>
      </c>
      <c r="H1070" s="135">
        <f t="shared" si="26"/>
        <v>0</v>
      </c>
      <c r="I1070" s="135">
        <f t="shared" si="26"/>
        <v>3</v>
      </c>
      <c r="J1070" s="135">
        <f t="shared" si="26"/>
        <v>0</v>
      </c>
      <c r="K1070" s="135">
        <f t="shared" si="26"/>
        <v>1</v>
      </c>
      <c r="L1070" s="135">
        <f t="shared" si="26"/>
        <v>3</v>
      </c>
      <c r="M1070" s="135">
        <f t="shared" si="26"/>
        <v>0</v>
      </c>
      <c r="N1070" s="135">
        <f t="shared" si="26"/>
        <v>1</v>
      </c>
      <c r="O1070" s="135">
        <f t="shared" si="26"/>
        <v>0</v>
      </c>
      <c r="P1070" s="135">
        <f t="shared" si="26"/>
        <v>0</v>
      </c>
      <c r="Q1070" s="135">
        <f t="shared" si="26"/>
        <v>7</v>
      </c>
      <c r="R1070" s="135">
        <f t="shared" si="26"/>
        <v>5</v>
      </c>
      <c r="S1070" s="135">
        <f t="shared" si="26"/>
        <v>0</v>
      </c>
      <c r="T1070" s="135">
        <f t="shared" si="26"/>
        <v>1</v>
      </c>
      <c r="U1070" s="135">
        <f t="shared" si="26"/>
        <v>4</v>
      </c>
      <c r="V1070" s="135">
        <f t="shared" si="26"/>
        <v>3</v>
      </c>
      <c r="W1070" s="135">
        <f t="shared" si="26"/>
        <v>5</v>
      </c>
      <c r="X1070" s="135">
        <f t="shared" si="26"/>
        <v>0</v>
      </c>
      <c r="Y1070" s="135">
        <f t="shared" si="26"/>
        <v>0</v>
      </c>
      <c r="Z1070" s="135">
        <f t="shared" si="26"/>
        <v>3</v>
      </c>
      <c r="AA1070" s="135">
        <f t="shared" si="26"/>
        <v>1</v>
      </c>
      <c r="AB1070" s="135">
        <f t="shared" si="26"/>
        <v>1</v>
      </c>
      <c r="AC1070" s="135">
        <f t="shared" si="26"/>
        <v>2</v>
      </c>
      <c r="AD1070" s="135">
        <f t="shared" si="26"/>
        <v>0</v>
      </c>
      <c r="AE1070" s="135">
        <f t="shared" si="26"/>
        <v>1</v>
      </c>
      <c r="AF1070" s="135">
        <f t="shared" si="26"/>
        <v>2</v>
      </c>
      <c r="AG1070" s="135">
        <f t="shared" si="26"/>
        <v>1</v>
      </c>
      <c r="AH1070" s="135">
        <f t="shared" si="26"/>
        <v>1</v>
      </c>
      <c r="AI1070" s="135">
        <f t="shared" si="26"/>
        <v>1</v>
      </c>
      <c r="AJ1070" s="135">
        <f t="shared" si="26"/>
        <v>0</v>
      </c>
      <c r="AK1070" s="135">
        <f t="shared" si="26"/>
        <v>0</v>
      </c>
      <c r="AL1070" s="135">
        <f t="shared" si="26"/>
        <v>0</v>
      </c>
      <c r="AM1070" s="135">
        <f t="shared" si="26"/>
        <v>2</v>
      </c>
      <c r="AN1070" s="135">
        <f t="shared" si="26"/>
        <v>0</v>
      </c>
      <c r="AO1070" s="135">
        <f t="shared" si="26"/>
        <v>0</v>
      </c>
    </row>
  </sheetData>
  <mergeCells count="17">
    <mergeCell ref="A2:AO2"/>
    <mergeCell ref="C14:C18"/>
    <mergeCell ref="C19:C23"/>
    <mergeCell ref="C24:C28"/>
    <mergeCell ref="C460:C464"/>
    <mergeCell ref="A222:AO222"/>
    <mergeCell ref="C234:C238"/>
    <mergeCell ref="C244:C248"/>
    <mergeCell ref="A443:AO443"/>
    <mergeCell ref="C455:C459"/>
    <mergeCell ref="C239:C243"/>
    <mergeCell ref="C880:C884"/>
    <mergeCell ref="A653:AO653"/>
    <mergeCell ref="C665:C669"/>
    <mergeCell ref="C670:C674"/>
    <mergeCell ref="A863:AO863"/>
    <mergeCell ref="C875:C879"/>
  </mergeCells>
  <pageMargins left="0.27559055118110237" right="0.19685039370078741" top="0.35433070866141736" bottom="0.35433070866141736" header="0.31496062992125984" footer="0.31496062992125984"/>
  <pageSetup paperSize="9" scale="80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Q257"/>
  <sheetViews>
    <sheetView workbookViewId="0">
      <selection activeCell="C17" sqref="C17"/>
    </sheetView>
  </sheetViews>
  <sheetFormatPr defaultRowHeight="15" x14ac:dyDescent="0.25"/>
  <cols>
    <col min="1" max="1" width="5.42578125" style="6" bestFit="1" customWidth="1"/>
    <col min="2" max="2" width="29.42578125" style="6" customWidth="1"/>
    <col min="3" max="3" width="35.5703125" style="6" customWidth="1"/>
    <col min="4" max="4" width="15.85546875" style="6" customWidth="1"/>
    <col min="5" max="5" width="12" style="6" customWidth="1"/>
    <col min="6" max="6" width="12.140625" style="6" customWidth="1"/>
    <col min="7" max="7" width="11.85546875" style="6" customWidth="1"/>
    <col min="8" max="16384" width="9.140625" style="6"/>
  </cols>
  <sheetData>
    <row r="2" spans="1:17" ht="20.25" x14ac:dyDescent="0.3">
      <c r="A2" s="635" t="s">
        <v>1662</v>
      </c>
      <c r="B2" s="635"/>
      <c r="C2" s="635"/>
      <c r="D2" s="635"/>
      <c r="E2" s="635"/>
      <c r="F2" s="635"/>
      <c r="G2" s="635"/>
    </row>
    <row r="3" spans="1:17" s="127" customFormat="1" ht="18.75" x14ac:dyDescent="0.25">
      <c r="A3" s="126" t="s">
        <v>313</v>
      </c>
      <c r="B3" s="126" t="s">
        <v>1</v>
      </c>
      <c r="C3" s="153" t="s">
        <v>182</v>
      </c>
      <c r="D3" s="126" t="s">
        <v>309</v>
      </c>
      <c r="E3" s="126" t="s">
        <v>310</v>
      </c>
      <c r="F3" s="126" t="s">
        <v>311</v>
      </c>
      <c r="G3" s="126" t="s">
        <v>312</v>
      </c>
      <c r="H3" s="152"/>
      <c r="I3" s="152"/>
      <c r="J3" s="152"/>
      <c r="K3" s="152"/>
      <c r="L3" s="152"/>
      <c r="M3" s="152"/>
      <c r="N3" s="152"/>
      <c r="O3" s="152"/>
      <c r="P3" s="152"/>
      <c r="Q3" s="152"/>
    </row>
    <row r="4" spans="1:17" s="127" customFormat="1" ht="25.5" customHeight="1" x14ac:dyDescent="0.25">
      <c r="A4" s="126">
        <v>1</v>
      </c>
      <c r="B4" s="500" t="s">
        <v>16</v>
      </c>
      <c r="C4" s="153" t="s">
        <v>17</v>
      </c>
      <c r="D4" s="241">
        <v>1</v>
      </c>
      <c r="E4" s="241">
        <v>2</v>
      </c>
      <c r="F4" s="241">
        <v>0</v>
      </c>
      <c r="G4" s="241">
        <v>1</v>
      </c>
    </row>
    <row r="5" spans="1:17" s="127" customFormat="1" ht="18.75" x14ac:dyDescent="0.25">
      <c r="A5" s="126">
        <v>2</v>
      </c>
      <c r="B5" s="500"/>
      <c r="C5" s="153" t="s">
        <v>19</v>
      </c>
      <c r="D5" s="241">
        <v>1</v>
      </c>
      <c r="E5" s="241">
        <v>1</v>
      </c>
      <c r="F5" s="241">
        <v>1</v>
      </c>
      <c r="G5" s="241">
        <v>1</v>
      </c>
    </row>
    <row r="6" spans="1:17" s="127" customFormat="1" ht="18.75" x14ac:dyDescent="0.25">
      <c r="A6" s="126">
        <v>3</v>
      </c>
      <c r="B6" s="126" t="s">
        <v>20</v>
      </c>
      <c r="C6" s="153" t="s">
        <v>20</v>
      </c>
      <c r="D6" s="241">
        <v>1</v>
      </c>
      <c r="E6" s="241">
        <v>1</v>
      </c>
      <c r="F6" s="241">
        <v>1</v>
      </c>
      <c r="G6" s="241"/>
    </row>
    <row r="7" spans="1:17" s="127" customFormat="1" ht="18.75" x14ac:dyDescent="0.25">
      <c r="A7" s="126">
        <v>4</v>
      </c>
      <c r="B7" s="502" t="s">
        <v>21</v>
      </c>
      <c r="C7" s="153" t="s">
        <v>21</v>
      </c>
      <c r="D7" s="241"/>
      <c r="E7" s="241">
        <v>1</v>
      </c>
      <c r="F7" s="241">
        <v>1</v>
      </c>
      <c r="G7" s="241">
        <v>1</v>
      </c>
    </row>
    <row r="8" spans="1:17" s="127" customFormat="1" ht="18.75" x14ac:dyDescent="0.25">
      <c r="A8" s="126">
        <v>5</v>
      </c>
      <c r="B8" s="502"/>
      <c r="C8" s="153" t="s">
        <v>22</v>
      </c>
      <c r="D8" s="241">
        <v>1</v>
      </c>
      <c r="E8" s="241">
        <v>3</v>
      </c>
      <c r="F8" s="241">
        <v>1</v>
      </c>
      <c r="G8" s="241">
        <v>1</v>
      </c>
    </row>
    <row r="9" spans="1:17" s="127" customFormat="1" ht="18.75" x14ac:dyDescent="0.25">
      <c r="A9" s="126">
        <v>6</v>
      </c>
      <c r="B9" s="502"/>
      <c r="C9" s="153" t="s">
        <v>335</v>
      </c>
      <c r="D9" s="241"/>
      <c r="E9" s="241"/>
      <c r="F9" s="241">
        <v>1</v>
      </c>
      <c r="G9" s="241"/>
    </row>
    <row r="10" spans="1:17" s="127" customFormat="1" ht="18.75" x14ac:dyDescent="0.25">
      <c r="A10" s="126">
        <v>7</v>
      </c>
      <c r="B10" s="502"/>
      <c r="C10" s="153" t="s">
        <v>269</v>
      </c>
      <c r="D10" s="241">
        <v>0</v>
      </c>
      <c r="E10" s="241">
        <v>1</v>
      </c>
      <c r="F10" s="241">
        <v>1</v>
      </c>
      <c r="G10" s="241">
        <v>1</v>
      </c>
    </row>
    <row r="11" spans="1:17" s="127" customFormat="1" ht="18.75" x14ac:dyDescent="0.25">
      <c r="A11" s="126">
        <v>8</v>
      </c>
      <c r="B11" s="500" t="s">
        <v>23</v>
      </c>
      <c r="C11" s="153" t="s">
        <v>23</v>
      </c>
      <c r="D11" s="241">
        <v>1</v>
      </c>
      <c r="E11" s="241">
        <v>2</v>
      </c>
      <c r="F11" s="241">
        <v>1</v>
      </c>
      <c r="G11" s="241"/>
    </row>
    <row r="12" spans="1:17" s="127" customFormat="1" ht="18.75" x14ac:dyDescent="0.25">
      <c r="A12" s="126"/>
      <c r="B12" s="500"/>
      <c r="C12" s="153" t="s">
        <v>24</v>
      </c>
      <c r="D12" s="241">
        <v>3</v>
      </c>
      <c r="E12" s="241">
        <v>3</v>
      </c>
      <c r="F12" s="241">
        <v>0</v>
      </c>
      <c r="G12" s="241"/>
    </row>
    <row r="13" spans="1:17" s="127" customFormat="1" ht="18.75" x14ac:dyDescent="0.25">
      <c r="A13" s="126">
        <v>9</v>
      </c>
      <c r="B13" s="500"/>
      <c r="C13" s="153" t="s">
        <v>821</v>
      </c>
      <c r="D13" s="241">
        <v>1</v>
      </c>
      <c r="E13" s="241">
        <v>0</v>
      </c>
      <c r="F13" s="241">
        <v>0</v>
      </c>
      <c r="G13" s="241"/>
    </row>
    <row r="14" spans="1:17" s="127" customFormat="1" ht="18.75" x14ac:dyDescent="0.25">
      <c r="A14" s="126">
        <v>10</v>
      </c>
      <c r="B14" s="500" t="s">
        <v>25</v>
      </c>
      <c r="C14" s="153" t="s">
        <v>27</v>
      </c>
      <c r="D14" s="241">
        <v>1</v>
      </c>
      <c r="E14" s="241">
        <v>3</v>
      </c>
      <c r="F14" s="241">
        <v>2</v>
      </c>
      <c r="G14" s="241"/>
    </row>
    <row r="15" spans="1:17" s="127" customFormat="1" ht="18.75" x14ac:dyDescent="0.25">
      <c r="A15" s="126">
        <v>11</v>
      </c>
      <c r="B15" s="500"/>
      <c r="C15" s="153" t="s">
        <v>26</v>
      </c>
      <c r="D15" s="241">
        <v>1</v>
      </c>
      <c r="E15" s="241">
        <v>2</v>
      </c>
      <c r="F15" s="241">
        <v>1</v>
      </c>
      <c r="G15" s="241"/>
    </row>
    <row r="16" spans="1:17" s="127" customFormat="1" ht="18.75" x14ac:dyDescent="0.25">
      <c r="A16" s="126">
        <v>12</v>
      </c>
      <c r="B16" s="500"/>
      <c r="C16" s="153" t="s">
        <v>268</v>
      </c>
      <c r="D16" s="241">
        <v>0</v>
      </c>
      <c r="E16" s="241">
        <v>0</v>
      </c>
      <c r="F16" s="241">
        <v>1</v>
      </c>
      <c r="G16" s="241"/>
    </row>
    <row r="17" spans="1:7" s="127" customFormat="1" ht="18.75" x14ac:dyDescent="0.25">
      <c r="A17" s="126">
        <v>13</v>
      </c>
      <c r="B17" s="500" t="s">
        <v>28</v>
      </c>
      <c r="C17" s="153" t="s">
        <v>29</v>
      </c>
      <c r="D17" s="241">
        <v>1</v>
      </c>
      <c r="E17" s="241">
        <v>7</v>
      </c>
      <c r="F17" s="241">
        <v>0</v>
      </c>
      <c r="G17" s="241">
        <v>1</v>
      </c>
    </row>
    <row r="18" spans="1:7" s="127" customFormat="1" ht="18.75" x14ac:dyDescent="0.25">
      <c r="A18" s="126">
        <v>14</v>
      </c>
      <c r="B18" s="500"/>
      <c r="C18" s="153" t="s">
        <v>30</v>
      </c>
      <c r="D18" s="241">
        <v>1</v>
      </c>
      <c r="E18" s="241">
        <v>1</v>
      </c>
      <c r="F18" s="241">
        <v>1</v>
      </c>
      <c r="G18" s="241">
        <v>1</v>
      </c>
    </row>
    <row r="19" spans="1:7" s="127" customFormat="1" ht="18.75" x14ac:dyDescent="0.25">
      <c r="A19" s="126">
        <v>15</v>
      </c>
      <c r="B19" s="500"/>
      <c r="C19" s="153" t="s">
        <v>31</v>
      </c>
      <c r="D19" s="241">
        <v>1</v>
      </c>
      <c r="E19" s="241">
        <v>6</v>
      </c>
      <c r="F19" s="241">
        <v>1</v>
      </c>
      <c r="G19" s="241">
        <v>1</v>
      </c>
    </row>
    <row r="20" spans="1:7" s="127" customFormat="1" ht="18.75" x14ac:dyDescent="0.25">
      <c r="A20" s="126"/>
      <c r="B20" s="500"/>
      <c r="C20" s="153" t="s">
        <v>32</v>
      </c>
      <c r="D20" s="241">
        <v>1</v>
      </c>
      <c r="E20" s="241">
        <v>4</v>
      </c>
      <c r="F20" s="241">
        <v>1</v>
      </c>
      <c r="G20" s="241">
        <v>1</v>
      </c>
    </row>
    <row r="21" spans="1:7" s="127" customFormat="1" ht="18.75" x14ac:dyDescent="0.25">
      <c r="A21" s="126">
        <v>16</v>
      </c>
      <c r="B21" s="500"/>
      <c r="C21" s="153" t="s">
        <v>201</v>
      </c>
      <c r="D21" s="241">
        <v>1</v>
      </c>
      <c r="E21" s="241">
        <v>3</v>
      </c>
      <c r="F21" s="241">
        <v>1</v>
      </c>
      <c r="G21" s="241">
        <v>0</v>
      </c>
    </row>
    <row r="22" spans="1:7" s="127" customFormat="1" ht="18.75" x14ac:dyDescent="0.25">
      <c r="A22" s="126">
        <v>17</v>
      </c>
      <c r="B22" s="484" t="s">
        <v>33</v>
      </c>
      <c r="C22" s="153" t="s">
        <v>33</v>
      </c>
      <c r="D22" s="241">
        <v>1</v>
      </c>
      <c r="E22" s="241">
        <v>6</v>
      </c>
      <c r="F22" s="241">
        <v>5</v>
      </c>
      <c r="G22" s="241"/>
    </row>
    <row r="23" spans="1:7" s="127" customFormat="1" ht="18.75" x14ac:dyDescent="0.25">
      <c r="A23" s="126">
        <v>18</v>
      </c>
      <c r="B23" s="486"/>
      <c r="C23" s="153" t="s">
        <v>34</v>
      </c>
      <c r="D23" s="241">
        <v>1</v>
      </c>
      <c r="E23" s="241">
        <v>2</v>
      </c>
      <c r="F23" s="241">
        <v>1</v>
      </c>
      <c r="G23" s="241"/>
    </row>
    <row r="24" spans="1:7" s="127" customFormat="1" ht="18.75" x14ac:dyDescent="0.25">
      <c r="A24" s="126">
        <v>19</v>
      </c>
      <c r="B24" s="486"/>
      <c r="C24" s="153" t="s">
        <v>35</v>
      </c>
      <c r="D24" s="241">
        <v>3</v>
      </c>
      <c r="E24" s="241">
        <v>0</v>
      </c>
      <c r="F24" s="241">
        <v>2</v>
      </c>
      <c r="G24" s="241"/>
    </row>
    <row r="25" spans="1:7" s="127" customFormat="1" ht="18.75" x14ac:dyDescent="0.25">
      <c r="A25" s="126">
        <v>20</v>
      </c>
      <c r="B25" s="486"/>
      <c r="C25" s="153" t="s">
        <v>36</v>
      </c>
      <c r="D25" s="241">
        <v>1</v>
      </c>
      <c r="E25" s="241">
        <v>4</v>
      </c>
      <c r="F25" s="241">
        <v>1</v>
      </c>
      <c r="G25" s="241"/>
    </row>
    <row r="26" spans="1:7" s="127" customFormat="1" ht="18.75" x14ac:dyDescent="0.25">
      <c r="A26" s="126">
        <v>21</v>
      </c>
      <c r="B26" s="486"/>
      <c r="C26" s="153" t="s">
        <v>37</v>
      </c>
      <c r="D26" s="241">
        <v>1</v>
      </c>
      <c r="E26" s="241">
        <v>1</v>
      </c>
      <c r="F26" s="241">
        <v>1</v>
      </c>
      <c r="G26" s="241"/>
    </row>
    <row r="27" spans="1:7" s="127" customFormat="1" ht="18.75" x14ac:dyDescent="0.25">
      <c r="A27" s="126">
        <v>22</v>
      </c>
      <c r="B27" s="486"/>
      <c r="C27" s="153" t="s">
        <v>141</v>
      </c>
      <c r="D27" s="241">
        <v>1</v>
      </c>
      <c r="E27" s="241">
        <v>0</v>
      </c>
      <c r="F27" s="241">
        <v>1</v>
      </c>
      <c r="G27" s="241"/>
    </row>
    <row r="28" spans="1:7" s="127" customFormat="1" ht="18.75" x14ac:dyDescent="0.25">
      <c r="A28" s="126">
        <v>23</v>
      </c>
      <c r="B28" s="485"/>
      <c r="C28" s="153" t="s">
        <v>305</v>
      </c>
      <c r="D28" s="241">
        <v>1</v>
      </c>
      <c r="E28" s="241">
        <v>0</v>
      </c>
      <c r="F28" s="241">
        <v>1</v>
      </c>
      <c r="G28" s="241"/>
    </row>
    <row r="29" spans="1:7" s="127" customFormat="1" ht="18.75" x14ac:dyDescent="0.25">
      <c r="A29" s="126">
        <v>24</v>
      </c>
      <c r="B29" s="500" t="s">
        <v>38</v>
      </c>
      <c r="C29" s="153" t="s">
        <v>38</v>
      </c>
      <c r="D29" s="241">
        <v>1</v>
      </c>
      <c r="E29" s="241">
        <v>2</v>
      </c>
      <c r="F29" s="241">
        <v>1</v>
      </c>
      <c r="G29" s="241">
        <v>1</v>
      </c>
    </row>
    <row r="30" spans="1:7" s="127" customFormat="1" ht="18.75" x14ac:dyDescent="0.25">
      <c r="A30" s="126">
        <v>25</v>
      </c>
      <c r="B30" s="500"/>
      <c r="C30" s="153" t="s">
        <v>39</v>
      </c>
      <c r="D30" s="241">
        <v>1</v>
      </c>
      <c r="E30" s="241">
        <v>1</v>
      </c>
      <c r="F30" s="241">
        <v>1</v>
      </c>
      <c r="G30" s="241">
        <v>1</v>
      </c>
    </row>
    <row r="31" spans="1:7" s="127" customFormat="1" ht="18.75" x14ac:dyDescent="0.25">
      <c r="A31" s="126">
        <v>26</v>
      </c>
      <c r="B31" s="500" t="s">
        <v>88</v>
      </c>
      <c r="C31" s="153" t="s">
        <v>88</v>
      </c>
      <c r="D31" s="241">
        <v>1</v>
      </c>
      <c r="E31" s="241">
        <v>2</v>
      </c>
      <c r="F31" s="241">
        <v>1</v>
      </c>
      <c r="G31" s="241"/>
    </row>
    <row r="32" spans="1:7" s="127" customFormat="1" ht="18.75" x14ac:dyDescent="0.25">
      <c r="A32" s="126">
        <v>27</v>
      </c>
      <c r="B32" s="500"/>
      <c r="C32" s="153" t="s">
        <v>41</v>
      </c>
      <c r="D32" s="241">
        <v>1</v>
      </c>
      <c r="E32" s="241">
        <v>0</v>
      </c>
      <c r="F32" s="241">
        <v>0</v>
      </c>
      <c r="G32" s="241"/>
    </row>
    <row r="33" spans="1:7" s="127" customFormat="1" ht="18.75" x14ac:dyDescent="0.25">
      <c r="A33" s="126">
        <v>28</v>
      </c>
      <c r="B33" s="500"/>
      <c r="C33" s="153" t="s">
        <v>42</v>
      </c>
      <c r="D33" s="241">
        <v>1</v>
      </c>
      <c r="E33" s="241">
        <v>0</v>
      </c>
      <c r="F33" s="241">
        <v>1</v>
      </c>
      <c r="G33" s="241"/>
    </row>
    <row r="34" spans="1:7" s="127" customFormat="1" ht="18.75" x14ac:dyDescent="0.25">
      <c r="A34" s="126"/>
      <c r="B34" s="484" t="s">
        <v>43</v>
      </c>
      <c r="C34" s="153" t="s">
        <v>89</v>
      </c>
      <c r="D34" s="241">
        <v>0</v>
      </c>
      <c r="E34" s="241">
        <v>0</v>
      </c>
      <c r="F34" s="241">
        <v>1</v>
      </c>
      <c r="G34" s="241">
        <v>1</v>
      </c>
    </row>
    <row r="35" spans="1:7" s="127" customFormat="1" ht="18.75" x14ac:dyDescent="0.25">
      <c r="A35" s="126">
        <v>29</v>
      </c>
      <c r="B35" s="486"/>
      <c r="C35" s="153" t="s">
        <v>44</v>
      </c>
      <c r="D35" s="241">
        <v>1</v>
      </c>
      <c r="E35" s="241">
        <v>2</v>
      </c>
      <c r="F35" s="241">
        <v>1</v>
      </c>
      <c r="G35" s="241">
        <v>1</v>
      </c>
    </row>
    <row r="36" spans="1:7" s="127" customFormat="1" ht="18.75" x14ac:dyDescent="0.25">
      <c r="A36" s="126">
        <v>30</v>
      </c>
      <c r="B36" s="485"/>
      <c r="C36" s="153" t="s">
        <v>45</v>
      </c>
      <c r="D36" s="241">
        <v>1</v>
      </c>
      <c r="E36" s="241">
        <v>0</v>
      </c>
      <c r="F36" s="241">
        <v>1</v>
      </c>
      <c r="G36" s="241">
        <v>1</v>
      </c>
    </row>
    <row r="37" spans="1:7" s="127" customFormat="1" ht="18.75" x14ac:dyDescent="0.25">
      <c r="A37" s="126">
        <v>31</v>
      </c>
      <c r="B37" s="484" t="s">
        <v>46</v>
      </c>
      <c r="C37" s="153" t="s">
        <v>47</v>
      </c>
      <c r="D37" s="241">
        <v>1</v>
      </c>
      <c r="E37" s="241">
        <v>4</v>
      </c>
      <c r="F37" s="241">
        <v>1</v>
      </c>
      <c r="G37" s="241">
        <v>1</v>
      </c>
    </row>
    <row r="38" spans="1:7" s="127" customFormat="1" ht="18.75" x14ac:dyDescent="0.25">
      <c r="A38" s="126">
        <v>32</v>
      </c>
      <c r="B38" s="486"/>
      <c r="C38" s="153" t="s">
        <v>48</v>
      </c>
      <c r="D38" s="241">
        <v>1</v>
      </c>
      <c r="E38" s="241">
        <v>1</v>
      </c>
      <c r="F38" s="241">
        <v>0</v>
      </c>
      <c r="G38" s="241">
        <v>1</v>
      </c>
    </row>
    <row r="39" spans="1:7" s="127" customFormat="1" ht="18.75" x14ac:dyDescent="0.25">
      <c r="A39" s="126">
        <v>33</v>
      </c>
      <c r="B39" s="485"/>
      <c r="C39" s="153" t="s">
        <v>314</v>
      </c>
      <c r="D39" s="241">
        <v>0</v>
      </c>
      <c r="E39" s="241">
        <v>1</v>
      </c>
      <c r="F39" s="241">
        <v>1</v>
      </c>
      <c r="G39" s="241">
        <v>1</v>
      </c>
    </row>
    <row r="40" spans="1:7" s="127" customFormat="1" ht="18.75" x14ac:dyDescent="0.25">
      <c r="A40" s="126">
        <v>34</v>
      </c>
      <c r="B40" s="484" t="s">
        <v>49</v>
      </c>
      <c r="C40" s="153" t="s">
        <v>49</v>
      </c>
      <c r="D40" s="241">
        <v>1</v>
      </c>
      <c r="E40" s="241">
        <v>2</v>
      </c>
      <c r="F40" s="241">
        <v>1</v>
      </c>
      <c r="G40" s="241">
        <v>1</v>
      </c>
    </row>
    <row r="41" spans="1:7" s="127" customFormat="1" ht="18.75" x14ac:dyDescent="0.25">
      <c r="A41" s="126">
        <v>35</v>
      </c>
      <c r="B41" s="486"/>
      <c r="C41" s="153" t="s">
        <v>50</v>
      </c>
      <c r="D41" s="241">
        <v>3</v>
      </c>
      <c r="E41" s="241">
        <v>0</v>
      </c>
      <c r="F41" s="241">
        <v>0</v>
      </c>
      <c r="G41" s="241">
        <v>1</v>
      </c>
    </row>
    <row r="42" spans="1:7" s="127" customFormat="1" ht="18.75" x14ac:dyDescent="0.25">
      <c r="A42" s="126">
        <v>36</v>
      </c>
      <c r="B42" s="485"/>
      <c r="C42" s="153" t="s">
        <v>51</v>
      </c>
      <c r="D42" s="241">
        <v>1</v>
      </c>
      <c r="E42" s="241">
        <v>3</v>
      </c>
      <c r="F42" s="241">
        <v>3</v>
      </c>
      <c r="G42" s="241">
        <v>1</v>
      </c>
    </row>
    <row r="43" spans="1:7" s="127" customFormat="1" ht="19.5" customHeight="1" x14ac:dyDescent="0.25">
      <c r="A43" s="126">
        <v>37</v>
      </c>
      <c r="B43" s="500" t="s">
        <v>52</v>
      </c>
      <c r="C43" s="153" t="s">
        <v>53</v>
      </c>
      <c r="D43" s="241">
        <v>1</v>
      </c>
      <c r="E43" s="241">
        <v>2</v>
      </c>
      <c r="F43" s="241">
        <v>2</v>
      </c>
      <c r="G43" s="241"/>
    </row>
    <row r="44" spans="1:7" s="127" customFormat="1" ht="18.75" x14ac:dyDescent="0.25">
      <c r="A44" s="126">
        <v>38</v>
      </c>
      <c r="B44" s="500"/>
      <c r="C44" s="153" t="s">
        <v>54</v>
      </c>
      <c r="D44" s="241">
        <v>1</v>
      </c>
      <c r="E44" s="241">
        <v>1</v>
      </c>
      <c r="F44" s="241">
        <v>2</v>
      </c>
      <c r="G44" s="241"/>
    </row>
    <row r="45" spans="1:7" s="127" customFormat="1" ht="18.75" x14ac:dyDescent="0.25">
      <c r="A45" s="126">
        <v>39</v>
      </c>
      <c r="B45" s="500"/>
      <c r="C45" s="153" t="s">
        <v>55</v>
      </c>
      <c r="D45" s="241">
        <v>1</v>
      </c>
      <c r="E45" s="241">
        <v>2</v>
      </c>
      <c r="F45" s="241">
        <v>1</v>
      </c>
      <c r="G45" s="241"/>
    </row>
    <row r="46" spans="1:7" s="127" customFormat="1" ht="18.75" x14ac:dyDescent="0.25">
      <c r="A46" s="126">
        <v>40</v>
      </c>
      <c r="B46" s="500"/>
      <c r="C46" s="153" t="s">
        <v>56</v>
      </c>
      <c r="D46" s="241">
        <v>1</v>
      </c>
      <c r="E46" s="241">
        <v>3</v>
      </c>
      <c r="F46" s="241">
        <v>3</v>
      </c>
      <c r="G46" s="241"/>
    </row>
    <row r="47" spans="1:7" s="127" customFormat="1" ht="18.75" x14ac:dyDescent="0.25">
      <c r="A47" s="126">
        <v>41</v>
      </c>
      <c r="B47" s="500"/>
      <c r="C47" s="153" t="s">
        <v>57</v>
      </c>
      <c r="D47" s="241">
        <v>1</v>
      </c>
      <c r="E47" s="241">
        <v>1</v>
      </c>
      <c r="F47" s="241">
        <v>1</v>
      </c>
      <c r="G47" s="241"/>
    </row>
    <row r="48" spans="1:7" s="127" customFormat="1" ht="18.75" x14ac:dyDescent="0.25">
      <c r="A48" s="126">
        <v>42</v>
      </c>
      <c r="B48" s="500"/>
      <c r="C48" s="153" t="s">
        <v>58</v>
      </c>
      <c r="D48" s="241">
        <v>1</v>
      </c>
      <c r="E48" s="241">
        <v>1</v>
      </c>
      <c r="F48" s="241">
        <v>0</v>
      </c>
      <c r="G48" s="241"/>
    </row>
    <row r="49" spans="1:17" s="127" customFormat="1" ht="18.75" x14ac:dyDescent="0.25">
      <c r="A49" s="126">
        <v>43</v>
      </c>
      <c r="B49" s="500"/>
      <c r="C49" s="153" t="s">
        <v>59</v>
      </c>
      <c r="D49" s="241">
        <v>1</v>
      </c>
      <c r="E49" s="241">
        <v>0</v>
      </c>
      <c r="F49" s="241">
        <v>0</v>
      </c>
      <c r="G49" s="241"/>
    </row>
    <row r="50" spans="1:17" s="127" customFormat="1" ht="18.75" x14ac:dyDescent="0.25">
      <c r="A50" s="126"/>
      <c r="B50" s="126"/>
      <c r="C50" s="153" t="s">
        <v>60</v>
      </c>
      <c r="D50" s="241">
        <f>SUM(D4:D49)</f>
        <v>46</v>
      </c>
      <c r="E50" s="241">
        <f>SUM(E4:E49)</f>
        <v>81</v>
      </c>
      <c r="F50" s="241">
        <f>SUM(F4:F49)</f>
        <v>49</v>
      </c>
      <c r="G50" s="241">
        <f>SUM(G4:G49)</f>
        <v>20</v>
      </c>
    </row>
    <row r="55" spans="1:17" ht="20.25" x14ac:dyDescent="0.3">
      <c r="A55" s="635" t="s">
        <v>1490</v>
      </c>
      <c r="B55" s="635"/>
      <c r="C55" s="635"/>
      <c r="D55" s="635"/>
      <c r="E55" s="635"/>
      <c r="F55" s="635"/>
      <c r="G55" s="635"/>
    </row>
    <row r="56" spans="1:17" s="127" customFormat="1" ht="18.75" x14ac:dyDescent="0.25">
      <c r="A56" s="126" t="s">
        <v>313</v>
      </c>
      <c r="B56" s="126" t="s">
        <v>1</v>
      </c>
      <c r="C56" s="153" t="s">
        <v>182</v>
      </c>
      <c r="D56" s="126" t="s">
        <v>309</v>
      </c>
      <c r="E56" s="126" t="s">
        <v>310</v>
      </c>
      <c r="F56" s="126" t="s">
        <v>311</v>
      </c>
      <c r="G56" s="126" t="s">
        <v>312</v>
      </c>
      <c r="H56" s="152"/>
      <c r="I56" s="152"/>
      <c r="J56" s="152"/>
      <c r="K56" s="152"/>
      <c r="L56" s="152"/>
      <c r="M56" s="152"/>
      <c r="N56" s="152"/>
      <c r="O56" s="152"/>
      <c r="P56" s="152"/>
      <c r="Q56" s="152"/>
    </row>
    <row r="57" spans="1:17" s="386" customFormat="1" ht="18.75" x14ac:dyDescent="0.25">
      <c r="A57" s="368">
        <v>1</v>
      </c>
      <c r="B57" s="636" t="s">
        <v>16</v>
      </c>
      <c r="C57" s="371" t="s">
        <v>17</v>
      </c>
      <c r="D57" s="385">
        <v>1</v>
      </c>
      <c r="E57" s="385">
        <v>2</v>
      </c>
      <c r="F57" s="385">
        <v>0</v>
      </c>
      <c r="G57" s="385">
        <v>1</v>
      </c>
    </row>
    <row r="58" spans="1:17" s="386" customFormat="1" ht="18.75" x14ac:dyDescent="0.25">
      <c r="A58" s="368">
        <v>2</v>
      </c>
      <c r="B58" s="636"/>
      <c r="C58" s="371" t="s">
        <v>19</v>
      </c>
      <c r="D58" s="385">
        <v>1</v>
      </c>
      <c r="E58" s="385">
        <v>1</v>
      </c>
      <c r="F58" s="385">
        <v>1</v>
      </c>
      <c r="G58" s="385">
        <v>1</v>
      </c>
    </row>
    <row r="59" spans="1:17" s="386" customFormat="1" ht="18.75" x14ac:dyDescent="0.25">
      <c r="A59" s="368">
        <v>3</v>
      </c>
      <c r="B59" s="368" t="s">
        <v>20</v>
      </c>
      <c r="C59" s="371" t="s">
        <v>20</v>
      </c>
      <c r="D59" s="385">
        <v>1</v>
      </c>
      <c r="E59" s="385">
        <v>1</v>
      </c>
      <c r="F59" s="385">
        <v>1</v>
      </c>
      <c r="G59" s="385"/>
    </row>
    <row r="60" spans="1:17" s="386" customFormat="1" ht="18.75" x14ac:dyDescent="0.25">
      <c r="A60" s="368">
        <v>4</v>
      </c>
      <c r="B60" s="502" t="s">
        <v>21</v>
      </c>
      <c r="C60" s="371" t="s">
        <v>21</v>
      </c>
      <c r="D60" s="385"/>
      <c r="E60" s="385">
        <v>1</v>
      </c>
      <c r="F60" s="385">
        <v>1</v>
      </c>
      <c r="G60" s="385">
        <v>1</v>
      </c>
    </row>
    <row r="61" spans="1:17" s="386" customFormat="1" ht="18.75" x14ac:dyDescent="0.25">
      <c r="A61" s="368">
        <v>5</v>
      </c>
      <c r="B61" s="502"/>
      <c r="C61" s="371" t="s">
        <v>22</v>
      </c>
      <c r="D61" s="385">
        <v>1</v>
      </c>
      <c r="E61" s="385">
        <v>3</v>
      </c>
      <c r="F61" s="385">
        <v>1</v>
      </c>
      <c r="G61" s="385">
        <v>1</v>
      </c>
    </row>
    <row r="62" spans="1:17" s="386" customFormat="1" ht="18.75" x14ac:dyDescent="0.25">
      <c r="A62" s="368">
        <v>6</v>
      </c>
      <c r="B62" s="502"/>
      <c r="C62" s="371" t="s">
        <v>335</v>
      </c>
      <c r="D62" s="385"/>
      <c r="E62" s="385"/>
      <c r="F62" s="385">
        <v>1</v>
      </c>
      <c r="G62" s="385"/>
    </row>
    <row r="63" spans="1:17" s="386" customFormat="1" ht="18.75" x14ac:dyDescent="0.25">
      <c r="A63" s="368">
        <v>7</v>
      </c>
      <c r="B63" s="502"/>
      <c r="C63" s="371" t="s">
        <v>269</v>
      </c>
      <c r="D63" s="385">
        <v>0</v>
      </c>
      <c r="E63" s="385">
        <v>1</v>
      </c>
      <c r="F63" s="385">
        <v>1</v>
      </c>
      <c r="G63" s="385">
        <v>1</v>
      </c>
    </row>
    <row r="64" spans="1:17" s="386" customFormat="1" ht="18.75" x14ac:dyDescent="0.25">
      <c r="A64" s="368">
        <v>8</v>
      </c>
      <c r="B64" s="500" t="s">
        <v>23</v>
      </c>
      <c r="C64" s="371" t="s">
        <v>23</v>
      </c>
      <c r="D64" s="385">
        <v>1</v>
      </c>
      <c r="E64" s="385">
        <v>2</v>
      </c>
      <c r="F64" s="385">
        <v>1</v>
      </c>
      <c r="G64" s="385"/>
    </row>
    <row r="65" spans="1:7" s="386" customFormat="1" ht="18.75" x14ac:dyDescent="0.25">
      <c r="A65" s="368"/>
      <c r="B65" s="500"/>
      <c r="C65" s="371" t="s">
        <v>24</v>
      </c>
      <c r="D65" s="385">
        <v>3</v>
      </c>
      <c r="E65" s="385">
        <v>3</v>
      </c>
      <c r="F65" s="385">
        <v>0</v>
      </c>
      <c r="G65" s="385"/>
    </row>
    <row r="66" spans="1:7" s="386" customFormat="1" ht="18.75" x14ac:dyDescent="0.25">
      <c r="A66" s="368">
        <v>9</v>
      </c>
      <c r="B66" s="500"/>
      <c r="C66" s="371" t="s">
        <v>821</v>
      </c>
      <c r="D66" s="385">
        <v>1</v>
      </c>
      <c r="E66" s="385">
        <v>0</v>
      </c>
      <c r="F66" s="385">
        <v>0</v>
      </c>
      <c r="G66" s="385"/>
    </row>
    <row r="67" spans="1:7" s="386" customFormat="1" ht="18.75" x14ac:dyDescent="0.25">
      <c r="A67" s="368">
        <v>10</v>
      </c>
      <c r="B67" s="500" t="s">
        <v>25</v>
      </c>
      <c r="C67" s="371" t="s">
        <v>27</v>
      </c>
      <c r="D67" s="385">
        <v>1</v>
      </c>
      <c r="E67" s="385">
        <v>3</v>
      </c>
      <c r="F67" s="385">
        <v>2</v>
      </c>
      <c r="G67" s="385"/>
    </row>
    <row r="68" spans="1:7" s="386" customFormat="1" ht="18.75" x14ac:dyDescent="0.25">
      <c r="A68" s="368">
        <v>11</v>
      </c>
      <c r="B68" s="500"/>
      <c r="C68" s="371" t="s">
        <v>26</v>
      </c>
      <c r="D68" s="385">
        <v>1</v>
      </c>
      <c r="E68" s="385">
        <v>2</v>
      </c>
      <c r="F68" s="385">
        <v>1</v>
      </c>
      <c r="G68" s="385"/>
    </row>
    <row r="69" spans="1:7" s="386" customFormat="1" ht="18.75" x14ac:dyDescent="0.25">
      <c r="A69" s="368">
        <v>12</v>
      </c>
      <c r="B69" s="500"/>
      <c r="C69" s="371" t="s">
        <v>268</v>
      </c>
      <c r="D69" s="385">
        <v>0</v>
      </c>
      <c r="E69" s="385">
        <v>0</v>
      </c>
      <c r="F69" s="385">
        <v>1</v>
      </c>
      <c r="G69" s="385"/>
    </row>
    <row r="70" spans="1:7" s="386" customFormat="1" ht="18.75" x14ac:dyDescent="0.25">
      <c r="A70" s="368">
        <v>13</v>
      </c>
      <c r="B70" s="500" t="s">
        <v>28</v>
      </c>
      <c r="C70" s="371" t="s">
        <v>29</v>
      </c>
      <c r="D70" s="385">
        <v>1</v>
      </c>
      <c r="E70" s="385">
        <v>7</v>
      </c>
      <c r="F70" s="385">
        <v>0</v>
      </c>
      <c r="G70" s="385">
        <v>1</v>
      </c>
    </row>
    <row r="71" spans="1:7" s="386" customFormat="1" ht="18.75" x14ac:dyDescent="0.25">
      <c r="A71" s="368">
        <v>14</v>
      </c>
      <c r="B71" s="500"/>
      <c r="C71" s="371" t="s">
        <v>30</v>
      </c>
      <c r="D71" s="385">
        <v>1</v>
      </c>
      <c r="E71" s="385">
        <v>1</v>
      </c>
      <c r="F71" s="385">
        <v>1</v>
      </c>
      <c r="G71" s="385">
        <v>1</v>
      </c>
    </row>
    <row r="72" spans="1:7" s="386" customFormat="1" ht="18.75" x14ac:dyDescent="0.25">
      <c r="A72" s="368">
        <v>15</v>
      </c>
      <c r="B72" s="500"/>
      <c r="C72" s="371" t="s">
        <v>31</v>
      </c>
      <c r="D72" s="385">
        <v>1</v>
      </c>
      <c r="E72" s="385">
        <v>6</v>
      </c>
      <c r="F72" s="385">
        <v>1</v>
      </c>
      <c r="G72" s="385">
        <v>1</v>
      </c>
    </row>
    <row r="73" spans="1:7" s="386" customFormat="1" ht="18.75" x14ac:dyDescent="0.25">
      <c r="A73" s="368"/>
      <c r="B73" s="500"/>
      <c r="C73" s="371" t="s">
        <v>32</v>
      </c>
      <c r="D73" s="385">
        <v>1</v>
      </c>
      <c r="E73" s="385">
        <v>4</v>
      </c>
      <c r="F73" s="385">
        <v>1</v>
      </c>
      <c r="G73" s="385">
        <v>1</v>
      </c>
    </row>
    <row r="74" spans="1:7" s="386" customFormat="1" ht="18.75" x14ac:dyDescent="0.25">
      <c r="A74" s="368">
        <v>16</v>
      </c>
      <c r="B74" s="500"/>
      <c r="C74" s="371" t="s">
        <v>201</v>
      </c>
      <c r="D74" s="385">
        <v>1</v>
      </c>
      <c r="E74" s="385">
        <v>3</v>
      </c>
      <c r="F74" s="385">
        <v>1</v>
      </c>
      <c r="G74" s="385">
        <v>0</v>
      </c>
    </row>
    <row r="75" spans="1:7" s="386" customFormat="1" ht="18.75" x14ac:dyDescent="0.25">
      <c r="A75" s="368">
        <v>17</v>
      </c>
      <c r="B75" s="484" t="s">
        <v>33</v>
      </c>
      <c r="C75" s="371" t="s">
        <v>33</v>
      </c>
      <c r="D75" s="385">
        <v>1</v>
      </c>
      <c r="E75" s="385">
        <v>6</v>
      </c>
      <c r="F75" s="385">
        <v>5</v>
      </c>
      <c r="G75" s="385"/>
    </row>
    <row r="76" spans="1:7" s="386" customFormat="1" ht="18.75" x14ac:dyDescent="0.25">
      <c r="A76" s="368">
        <v>18</v>
      </c>
      <c r="B76" s="486"/>
      <c r="C76" s="371" t="s">
        <v>34</v>
      </c>
      <c r="D76" s="385">
        <v>1</v>
      </c>
      <c r="E76" s="385">
        <v>2</v>
      </c>
      <c r="F76" s="385">
        <v>1</v>
      </c>
      <c r="G76" s="385"/>
    </row>
    <row r="77" spans="1:7" s="386" customFormat="1" ht="18.75" x14ac:dyDescent="0.25">
      <c r="A77" s="368">
        <v>19</v>
      </c>
      <c r="B77" s="486"/>
      <c r="C77" s="371" t="s">
        <v>35</v>
      </c>
      <c r="D77" s="385">
        <v>3</v>
      </c>
      <c r="E77" s="385">
        <v>0</v>
      </c>
      <c r="F77" s="385">
        <v>2</v>
      </c>
      <c r="G77" s="385"/>
    </row>
    <row r="78" spans="1:7" s="386" customFormat="1" ht="18.75" x14ac:dyDescent="0.25">
      <c r="A78" s="368">
        <v>20</v>
      </c>
      <c r="B78" s="486"/>
      <c r="C78" s="371" t="s">
        <v>36</v>
      </c>
      <c r="D78" s="385">
        <v>1</v>
      </c>
      <c r="E78" s="385">
        <v>4</v>
      </c>
      <c r="F78" s="385">
        <v>1</v>
      </c>
      <c r="G78" s="385"/>
    </row>
    <row r="79" spans="1:7" s="386" customFormat="1" ht="18.75" x14ac:dyDescent="0.25">
      <c r="A79" s="368">
        <v>21</v>
      </c>
      <c r="B79" s="486"/>
      <c r="C79" s="371" t="s">
        <v>37</v>
      </c>
      <c r="D79" s="385">
        <v>1</v>
      </c>
      <c r="E79" s="385">
        <v>1</v>
      </c>
      <c r="F79" s="385">
        <v>1</v>
      </c>
      <c r="G79" s="385"/>
    </row>
    <row r="80" spans="1:7" s="386" customFormat="1" ht="18.75" x14ac:dyDescent="0.25">
      <c r="A80" s="368">
        <v>22</v>
      </c>
      <c r="B80" s="486"/>
      <c r="C80" s="371" t="s">
        <v>141</v>
      </c>
      <c r="D80" s="385">
        <v>1</v>
      </c>
      <c r="E80" s="385">
        <v>0</v>
      </c>
      <c r="F80" s="385">
        <v>1</v>
      </c>
      <c r="G80" s="385"/>
    </row>
    <row r="81" spans="1:7" s="127" customFormat="1" ht="18.75" x14ac:dyDescent="0.25">
      <c r="A81" s="126">
        <v>23</v>
      </c>
      <c r="B81" s="485"/>
      <c r="C81" s="153" t="s">
        <v>305</v>
      </c>
      <c r="D81" s="241">
        <v>1</v>
      </c>
      <c r="E81" s="241">
        <v>0</v>
      </c>
      <c r="F81" s="241">
        <v>1</v>
      </c>
      <c r="G81" s="241"/>
    </row>
    <row r="82" spans="1:7" s="386" customFormat="1" ht="18.75" x14ac:dyDescent="0.25">
      <c r="A82" s="368">
        <v>24</v>
      </c>
      <c r="B82" s="500" t="s">
        <v>38</v>
      </c>
      <c r="C82" s="371" t="s">
        <v>38</v>
      </c>
      <c r="D82" s="385">
        <v>1</v>
      </c>
      <c r="E82" s="385">
        <v>2</v>
      </c>
      <c r="F82" s="385">
        <v>1</v>
      </c>
      <c r="G82" s="385">
        <v>1</v>
      </c>
    </row>
    <row r="83" spans="1:7" s="386" customFormat="1" ht="18.75" x14ac:dyDescent="0.25">
      <c r="A83" s="368">
        <v>25</v>
      </c>
      <c r="B83" s="500"/>
      <c r="C83" s="371" t="s">
        <v>39</v>
      </c>
      <c r="D83" s="385">
        <v>1</v>
      </c>
      <c r="E83" s="385">
        <v>1</v>
      </c>
      <c r="F83" s="385">
        <v>1</v>
      </c>
      <c r="G83" s="385">
        <v>1</v>
      </c>
    </row>
    <row r="84" spans="1:7" s="386" customFormat="1" ht="18.75" x14ac:dyDescent="0.25">
      <c r="A84" s="368">
        <v>26</v>
      </c>
      <c r="B84" s="500" t="s">
        <v>88</v>
      </c>
      <c r="C84" s="371" t="s">
        <v>88</v>
      </c>
      <c r="D84" s="385">
        <v>1</v>
      </c>
      <c r="E84" s="385">
        <v>2</v>
      </c>
      <c r="F84" s="385">
        <v>1</v>
      </c>
      <c r="G84" s="385"/>
    </row>
    <row r="85" spans="1:7" s="386" customFormat="1" ht="18.75" x14ac:dyDescent="0.25">
      <c r="A85" s="368">
        <v>27</v>
      </c>
      <c r="B85" s="500"/>
      <c r="C85" s="371" t="s">
        <v>41</v>
      </c>
      <c r="D85" s="385">
        <v>1</v>
      </c>
      <c r="E85" s="385">
        <v>0</v>
      </c>
      <c r="F85" s="385">
        <v>0</v>
      </c>
      <c r="G85" s="385"/>
    </row>
    <row r="86" spans="1:7" s="386" customFormat="1" ht="18.75" x14ac:dyDescent="0.25">
      <c r="A86" s="368">
        <v>28</v>
      </c>
      <c r="B86" s="500"/>
      <c r="C86" s="371" t="s">
        <v>42</v>
      </c>
      <c r="D86" s="385">
        <v>1</v>
      </c>
      <c r="E86" s="385">
        <v>0</v>
      </c>
      <c r="F86" s="385">
        <v>1</v>
      </c>
      <c r="G86" s="385"/>
    </row>
    <row r="87" spans="1:7" s="386" customFormat="1" ht="18.75" x14ac:dyDescent="0.25">
      <c r="A87" s="368"/>
      <c r="B87" s="484" t="s">
        <v>43</v>
      </c>
      <c r="C87" s="371" t="s">
        <v>89</v>
      </c>
      <c r="D87" s="385">
        <v>0</v>
      </c>
      <c r="E87" s="385">
        <v>0</v>
      </c>
      <c r="F87" s="385">
        <v>1</v>
      </c>
      <c r="G87" s="385">
        <v>1</v>
      </c>
    </row>
    <row r="88" spans="1:7" s="386" customFormat="1" ht="18.75" x14ac:dyDescent="0.25">
      <c r="A88" s="368">
        <v>29</v>
      </c>
      <c r="B88" s="486"/>
      <c r="C88" s="371" t="s">
        <v>44</v>
      </c>
      <c r="D88" s="385">
        <v>1</v>
      </c>
      <c r="E88" s="385">
        <v>2</v>
      </c>
      <c r="F88" s="385">
        <v>1</v>
      </c>
      <c r="G88" s="385">
        <v>1</v>
      </c>
    </row>
    <row r="89" spans="1:7" s="386" customFormat="1" ht="18.75" x14ac:dyDescent="0.25">
      <c r="A89" s="368">
        <v>30</v>
      </c>
      <c r="B89" s="485"/>
      <c r="C89" s="371" t="s">
        <v>45</v>
      </c>
      <c r="D89" s="385">
        <v>1</v>
      </c>
      <c r="E89" s="385">
        <v>0</v>
      </c>
      <c r="F89" s="385">
        <v>1</v>
      </c>
      <c r="G89" s="385">
        <v>1</v>
      </c>
    </row>
    <row r="90" spans="1:7" s="386" customFormat="1" ht="18.75" x14ac:dyDescent="0.25">
      <c r="A90" s="368">
        <v>31</v>
      </c>
      <c r="B90" s="484" t="s">
        <v>46</v>
      </c>
      <c r="C90" s="371" t="s">
        <v>47</v>
      </c>
      <c r="D90" s="385">
        <v>1</v>
      </c>
      <c r="E90" s="385">
        <v>4</v>
      </c>
      <c r="F90" s="385">
        <v>1</v>
      </c>
      <c r="G90" s="385">
        <v>1</v>
      </c>
    </row>
    <row r="91" spans="1:7" s="386" customFormat="1" ht="18.75" x14ac:dyDescent="0.25">
      <c r="A91" s="368">
        <v>32</v>
      </c>
      <c r="B91" s="486"/>
      <c r="C91" s="371" t="s">
        <v>48</v>
      </c>
      <c r="D91" s="385">
        <v>1</v>
      </c>
      <c r="E91" s="385">
        <v>1</v>
      </c>
      <c r="F91" s="385">
        <v>0</v>
      </c>
      <c r="G91" s="385">
        <v>1</v>
      </c>
    </row>
    <row r="92" spans="1:7" s="386" customFormat="1" ht="18.75" x14ac:dyDescent="0.25">
      <c r="A92" s="368">
        <v>33</v>
      </c>
      <c r="B92" s="485"/>
      <c r="C92" s="371" t="s">
        <v>314</v>
      </c>
      <c r="D92" s="385">
        <v>0</v>
      </c>
      <c r="E92" s="385">
        <v>1</v>
      </c>
      <c r="F92" s="385">
        <v>1</v>
      </c>
      <c r="G92" s="385">
        <v>1</v>
      </c>
    </row>
    <row r="93" spans="1:7" s="386" customFormat="1" ht="18.75" x14ac:dyDescent="0.25">
      <c r="A93" s="368">
        <v>34</v>
      </c>
      <c r="B93" s="632" t="s">
        <v>49</v>
      </c>
      <c r="C93" s="371" t="s">
        <v>49</v>
      </c>
      <c r="D93" s="385">
        <v>1</v>
      </c>
      <c r="E93" s="385">
        <v>2</v>
      </c>
      <c r="F93" s="385">
        <v>1</v>
      </c>
      <c r="G93" s="385">
        <v>1</v>
      </c>
    </row>
    <row r="94" spans="1:7" s="386" customFormat="1" ht="18.75" x14ac:dyDescent="0.25">
      <c r="A94" s="368">
        <v>35</v>
      </c>
      <c r="B94" s="633"/>
      <c r="C94" s="371" t="s">
        <v>50</v>
      </c>
      <c r="D94" s="385">
        <v>3</v>
      </c>
      <c r="E94" s="385">
        <v>0</v>
      </c>
      <c r="F94" s="385">
        <v>0</v>
      </c>
      <c r="G94" s="385">
        <v>1</v>
      </c>
    </row>
    <row r="95" spans="1:7" s="386" customFormat="1" ht="18.75" x14ac:dyDescent="0.25">
      <c r="A95" s="368">
        <v>36</v>
      </c>
      <c r="B95" s="634"/>
      <c r="C95" s="371" t="s">
        <v>51</v>
      </c>
      <c r="D95" s="385">
        <v>1</v>
      </c>
      <c r="E95" s="385">
        <v>3</v>
      </c>
      <c r="F95" s="385">
        <v>3</v>
      </c>
      <c r="G95" s="385">
        <v>1</v>
      </c>
    </row>
    <row r="96" spans="1:7" s="386" customFormat="1" ht="19.5" customHeight="1" x14ac:dyDescent="0.25">
      <c r="A96" s="368">
        <v>37</v>
      </c>
      <c r="B96" s="500" t="s">
        <v>52</v>
      </c>
      <c r="C96" s="371" t="s">
        <v>53</v>
      </c>
      <c r="D96" s="385">
        <v>1</v>
      </c>
      <c r="E96" s="385">
        <v>2</v>
      </c>
      <c r="F96" s="385">
        <v>2</v>
      </c>
      <c r="G96" s="385"/>
    </row>
    <row r="97" spans="1:17" s="386" customFormat="1" ht="18.75" x14ac:dyDescent="0.25">
      <c r="A97" s="368">
        <v>38</v>
      </c>
      <c r="B97" s="500"/>
      <c r="C97" s="371" t="s">
        <v>54</v>
      </c>
      <c r="D97" s="385">
        <v>1</v>
      </c>
      <c r="E97" s="385">
        <v>1</v>
      </c>
      <c r="F97" s="385">
        <v>2</v>
      </c>
      <c r="G97" s="385"/>
    </row>
    <row r="98" spans="1:17" s="386" customFormat="1" ht="18.75" x14ac:dyDescent="0.25">
      <c r="A98" s="368">
        <v>39</v>
      </c>
      <c r="B98" s="500"/>
      <c r="C98" s="371" t="s">
        <v>55</v>
      </c>
      <c r="D98" s="385">
        <v>1</v>
      </c>
      <c r="E98" s="385">
        <v>2</v>
      </c>
      <c r="F98" s="385">
        <v>1</v>
      </c>
      <c r="G98" s="385"/>
    </row>
    <row r="99" spans="1:17" s="386" customFormat="1" ht="18.75" x14ac:dyDescent="0.25">
      <c r="A99" s="368">
        <v>40</v>
      </c>
      <c r="B99" s="500"/>
      <c r="C99" s="371" t="s">
        <v>56</v>
      </c>
      <c r="D99" s="385">
        <v>1</v>
      </c>
      <c r="E99" s="385">
        <v>3</v>
      </c>
      <c r="F99" s="385">
        <v>3</v>
      </c>
      <c r="G99" s="385"/>
    </row>
    <row r="100" spans="1:17" s="386" customFormat="1" ht="18.75" x14ac:dyDescent="0.25">
      <c r="A100" s="368">
        <v>41</v>
      </c>
      <c r="B100" s="500"/>
      <c r="C100" s="371" t="s">
        <v>57</v>
      </c>
      <c r="D100" s="385">
        <v>1</v>
      </c>
      <c r="E100" s="385">
        <v>1</v>
      </c>
      <c r="F100" s="385">
        <v>1</v>
      </c>
      <c r="G100" s="385"/>
    </row>
    <row r="101" spans="1:17" s="386" customFormat="1" ht="18.75" x14ac:dyDescent="0.25">
      <c r="A101" s="368">
        <v>42</v>
      </c>
      <c r="B101" s="500"/>
      <c r="C101" s="371" t="s">
        <v>58</v>
      </c>
      <c r="D101" s="385">
        <v>1</v>
      </c>
      <c r="E101" s="385">
        <v>1</v>
      </c>
      <c r="F101" s="385">
        <v>0</v>
      </c>
      <c r="G101" s="385"/>
    </row>
    <row r="102" spans="1:17" s="386" customFormat="1" ht="18.75" x14ac:dyDescent="0.25">
      <c r="A102" s="368">
        <v>43</v>
      </c>
      <c r="B102" s="500"/>
      <c r="C102" s="371" t="s">
        <v>59</v>
      </c>
      <c r="D102" s="385">
        <v>1</v>
      </c>
      <c r="E102" s="385">
        <v>0</v>
      </c>
      <c r="F102" s="385">
        <v>0</v>
      </c>
      <c r="G102" s="385"/>
    </row>
    <row r="103" spans="1:17" s="127" customFormat="1" ht="18.75" x14ac:dyDescent="0.25">
      <c r="A103" s="126"/>
      <c r="B103" s="126"/>
      <c r="C103" s="153" t="s">
        <v>60</v>
      </c>
      <c r="D103" s="241">
        <f>SUM(D57:D102)</f>
        <v>46</v>
      </c>
      <c r="E103" s="241">
        <f>SUM(E57:E102)</f>
        <v>81</v>
      </c>
      <c r="F103" s="241">
        <f>SUM(F57:F102)</f>
        <v>49</v>
      </c>
      <c r="G103" s="241">
        <f>SUM(G57:G102)</f>
        <v>20</v>
      </c>
    </row>
    <row r="108" spans="1:17" ht="20.25" x14ac:dyDescent="0.3">
      <c r="A108" s="635" t="s">
        <v>1241</v>
      </c>
      <c r="B108" s="635"/>
      <c r="C108" s="635"/>
      <c r="D108" s="635"/>
      <c r="E108" s="635"/>
      <c r="F108" s="635"/>
      <c r="G108" s="635"/>
    </row>
    <row r="109" spans="1:17" s="127" customFormat="1" ht="18.75" x14ac:dyDescent="0.25">
      <c r="A109" s="126" t="s">
        <v>313</v>
      </c>
      <c r="B109" s="126" t="s">
        <v>1</v>
      </c>
      <c r="C109" s="153" t="s">
        <v>182</v>
      </c>
      <c r="D109" s="126" t="s">
        <v>309</v>
      </c>
      <c r="E109" s="126" t="s">
        <v>310</v>
      </c>
      <c r="F109" s="126" t="s">
        <v>311</v>
      </c>
      <c r="G109" s="126" t="s">
        <v>312</v>
      </c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</row>
    <row r="110" spans="1:17" s="127" customFormat="1" ht="18.75" x14ac:dyDescent="0.25">
      <c r="A110" s="126">
        <v>1</v>
      </c>
      <c r="B110" s="500" t="s">
        <v>16</v>
      </c>
      <c r="C110" s="153" t="s">
        <v>17</v>
      </c>
      <c r="D110" s="241">
        <v>1</v>
      </c>
      <c r="E110" s="241">
        <v>3</v>
      </c>
      <c r="F110" s="241">
        <v>0</v>
      </c>
      <c r="G110" s="241">
        <v>1</v>
      </c>
    </row>
    <row r="111" spans="1:17" s="127" customFormat="1" ht="18.75" x14ac:dyDescent="0.25">
      <c r="A111" s="126">
        <v>2</v>
      </c>
      <c r="B111" s="500"/>
      <c r="C111" s="153" t="s">
        <v>19</v>
      </c>
      <c r="D111" s="241">
        <v>1</v>
      </c>
      <c r="E111" s="241">
        <v>1</v>
      </c>
      <c r="F111" s="241">
        <v>1</v>
      </c>
      <c r="G111" s="241">
        <v>1</v>
      </c>
    </row>
    <row r="112" spans="1:17" s="287" customFormat="1" ht="18.75" x14ac:dyDescent="0.25">
      <c r="A112" s="126">
        <v>3</v>
      </c>
      <c r="B112" s="126" t="s">
        <v>20</v>
      </c>
      <c r="C112" s="153" t="s">
        <v>20</v>
      </c>
      <c r="D112" s="241">
        <v>1</v>
      </c>
      <c r="E112" s="241">
        <v>1</v>
      </c>
      <c r="F112" s="241">
        <v>1</v>
      </c>
      <c r="G112" s="241"/>
    </row>
    <row r="113" spans="1:7" s="127" customFormat="1" ht="18.75" x14ac:dyDescent="0.25">
      <c r="A113" s="126">
        <v>4</v>
      </c>
      <c r="B113" s="502" t="s">
        <v>21</v>
      </c>
      <c r="C113" s="153" t="s">
        <v>21</v>
      </c>
      <c r="D113" s="241"/>
      <c r="E113" s="241">
        <v>1</v>
      </c>
      <c r="F113" s="241">
        <v>1</v>
      </c>
      <c r="G113" s="241">
        <v>1</v>
      </c>
    </row>
    <row r="114" spans="1:7" s="127" customFormat="1" ht="18.75" x14ac:dyDescent="0.25">
      <c r="A114" s="126">
        <v>5</v>
      </c>
      <c r="B114" s="502"/>
      <c r="C114" s="153" t="s">
        <v>22</v>
      </c>
      <c r="D114" s="241">
        <v>1</v>
      </c>
      <c r="E114" s="241">
        <v>3</v>
      </c>
      <c r="F114" s="241">
        <v>1</v>
      </c>
      <c r="G114" s="241">
        <v>1</v>
      </c>
    </row>
    <row r="115" spans="1:7" s="127" customFormat="1" ht="18.75" x14ac:dyDescent="0.25">
      <c r="A115" s="126">
        <v>6</v>
      </c>
      <c r="B115" s="502"/>
      <c r="C115" s="153" t="s">
        <v>335</v>
      </c>
      <c r="D115" s="241"/>
      <c r="E115" s="241"/>
      <c r="F115" s="241">
        <v>1</v>
      </c>
      <c r="G115" s="241"/>
    </row>
    <row r="116" spans="1:7" s="127" customFormat="1" ht="18.75" x14ac:dyDescent="0.25">
      <c r="A116" s="126">
        <v>7</v>
      </c>
      <c r="B116" s="502"/>
      <c r="C116" s="153" t="s">
        <v>269</v>
      </c>
      <c r="D116" s="241">
        <v>0</v>
      </c>
      <c r="E116" s="241">
        <v>1</v>
      </c>
      <c r="F116" s="241">
        <v>1</v>
      </c>
      <c r="G116" s="241"/>
    </row>
    <row r="117" spans="1:7" s="127" customFormat="1" ht="18.75" x14ac:dyDescent="0.25">
      <c r="A117" s="126">
        <v>8</v>
      </c>
      <c r="B117" s="500" t="s">
        <v>23</v>
      </c>
      <c r="C117" s="153" t="s">
        <v>23</v>
      </c>
      <c r="D117" s="241">
        <v>1</v>
      </c>
      <c r="E117" s="241">
        <v>2</v>
      </c>
      <c r="F117" s="241">
        <v>1</v>
      </c>
      <c r="G117" s="241"/>
    </row>
    <row r="118" spans="1:7" s="127" customFormat="1" ht="18.75" x14ac:dyDescent="0.25">
      <c r="A118" s="126"/>
      <c r="B118" s="500"/>
      <c r="C118" s="153" t="s">
        <v>24</v>
      </c>
      <c r="D118" s="241">
        <v>2</v>
      </c>
      <c r="E118" s="241">
        <v>3</v>
      </c>
      <c r="F118" s="241">
        <v>0</v>
      </c>
      <c r="G118" s="241"/>
    </row>
    <row r="119" spans="1:7" s="127" customFormat="1" ht="18.75" x14ac:dyDescent="0.25">
      <c r="A119" s="126">
        <v>9</v>
      </c>
      <c r="B119" s="500"/>
      <c r="C119" s="153" t="s">
        <v>821</v>
      </c>
      <c r="D119" s="241">
        <v>1</v>
      </c>
      <c r="E119" s="241">
        <v>0</v>
      </c>
      <c r="F119" s="241">
        <v>0</v>
      </c>
      <c r="G119" s="241"/>
    </row>
    <row r="120" spans="1:7" s="127" customFormat="1" ht="18.75" x14ac:dyDescent="0.25">
      <c r="A120" s="126">
        <v>10</v>
      </c>
      <c r="B120" s="500" t="s">
        <v>25</v>
      </c>
      <c r="C120" s="153" t="s">
        <v>27</v>
      </c>
      <c r="D120" s="241">
        <v>1</v>
      </c>
      <c r="E120" s="241">
        <v>3</v>
      </c>
      <c r="F120" s="241">
        <v>2</v>
      </c>
      <c r="G120" s="241"/>
    </row>
    <row r="121" spans="1:7" s="127" customFormat="1" ht="18.75" x14ac:dyDescent="0.25">
      <c r="A121" s="126">
        <v>11</v>
      </c>
      <c r="B121" s="500"/>
      <c r="C121" s="153" t="s">
        <v>26</v>
      </c>
      <c r="D121" s="241">
        <v>1</v>
      </c>
      <c r="E121" s="241">
        <v>2</v>
      </c>
      <c r="F121" s="241">
        <v>1</v>
      </c>
      <c r="G121" s="241"/>
    </row>
    <row r="122" spans="1:7" s="127" customFormat="1" ht="18.75" x14ac:dyDescent="0.25">
      <c r="A122" s="126">
        <v>12</v>
      </c>
      <c r="B122" s="500"/>
      <c r="C122" s="153" t="s">
        <v>268</v>
      </c>
      <c r="D122" s="241">
        <v>0</v>
      </c>
      <c r="E122" s="241">
        <v>0</v>
      </c>
      <c r="F122" s="241">
        <v>1</v>
      </c>
      <c r="G122" s="241"/>
    </row>
    <row r="123" spans="1:7" s="127" customFormat="1" ht="18.75" x14ac:dyDescent="0.25">
      <c r="A123" s="126">
        <v>13</v>
      </c>
      <c r="B123" s="500" t="s">
        <v>28</v>
      </c>
      <c r="C123" s="153" t="s">
        <v>29</v>
      </c>
      <c r="D123" s="241">
        <v>1</v>
      </c>
      <c r="E123" s="241">
        <v>7</v>
      </c>
      <c r="F123" s="241">
        <v>0</v>
      </c>
      <c r="G123" s="241">
        <v>1</v>
      </c>
    </row>
    <row r="124" spans="1:7" s="127" customFormat="1" ht="18.75" x14ac:dyDescent="0.25">
      <c r="A124" s="126">
        <v>14</v>
      </c>
      <c r="B124" s="500"/>
      <c r="C124" s="153" t="s">
        <v>30</v>
      </c>
      <c r="D124" s="241">
        <v>1</v>
      </c>
      <c r="E124" s="241">
        <v>1</v>
      </c>
      <c r="F124" s="241">
        <v>1</v>
      </c>
      <c r="G124" s="241">
        <v>1</v>
      </c>
    </row>
    <row r="125" spans="1:7" s="127" customFormat="1" ht="18.75" x14ac:dyDescent="0.25">
      <c r="A125" s="126">
        <v>15</v>
      </c>
      <c r="B125" s="500"/>
      <c r="C125" s="153" t="s">
        <v>31</v>
      </c>
      <c r="D125" s="241">
        <v>1</v>
      </c>
      <c r="E125" s="241">
        <v>6</v>
      </c>
      <c r="F125" s="241">
        <v>1</v>
      </c>
      <c r="G125" s="241">
        <v>1</v>
      </c>
    </row>
    <row r="126" spans="1:7" s="127" customFormat="1" ht="18.75" x14ac:dyDescent="0.25">
      <c r="A126" s="126"/>
      <c r="B126" s="500"/>
      <c r="C126" s="153" t="s">
        <v>32</v>
      </c>
      <c r="D126" s="241">
        <v>1</v>
      </c>
      <c r="E126" s="241">
        <v>4</v>
      </c>
      <c r="F126" s="241">
        <v>1</v>
      </c>
      <c r="G126" s="241">
        <v>1</v>
      </c>
    </row>
    <row r="127" spans="1:7" s="127" customFormat="1" ht="18.75" x14ac:dyDescent="0.25">
      <c r="A127" s="126">
        <v>16</v>
      </c>
      <c r="B127" s="500"/>
      <c r="C127" s="153" t="s">
        <v>201</v>
      </c>
      <c r="D127" s="241">
        <v>1</v>
      </c>
      <c r="E127" s="241">
        <v>3</v>
      </c>
      <c r="F127" s="241">
        <v>1</v>
      </c>
      <c r="G127" s="241">
        <v>0</v>
      </c>
    </row>
    <row r="128" spans="1:7" s="127" customFormat="1" ht="18.75" x14ac:dyDescent="0.25">
      <c r="A128" s="126">
        <v>17</v>
      </c>
      <c r="B128" s="484" t="s">
        <v>33</v>
      </c>
      <c r="C128" s="153" t="s">
        <v>33</v>
      </c>
      <c r="D128" s="241">
        <v>1</v>
      </c>
      <c r="E128" s="241">
        <v>6</v>
      </c>
      <c r="F128" s="241">
        <v>5</v>
      </c>
      <c r="G128" s="241"/>
    </row>
    <row r="129" spans="1:7" s="127" customFormat="1" ht="18.75" x14ac:dyDescent="0.25">
      <c r="A129" s="126">
        <v>18</v>
      </c>
      <c r="B129" s="486"/>
      <c r="C129" s="153" t="s">
        <v>34</v>
      </c>
      <c r="D129" s="241">
        <v>1</v>
      </c>
      <c r="E129" s="241">
        <v>2</v>
      </c>
      <c r="F129" s="241">
        <v>1</v>
      </c>
      <c r="G129" s="241"/>
    </row>
    <row r="130" spans="1:7" s="127" customFormat="1" ht="18.75" x14ac:dyDescent="0.25">
      <c r="A130" s="126">
        <v>19</v>
      </c>
      <c r="B130" s="486"/>
      <c r="C130" s="153" t="s">
        <v>35</v>
      </c>
      <c r="D130" s="241">
        <v>3</v>
      </c>
      <c r="E130" s="241">
        <v>0</v>
      </c>
      <c r="F130" s="241">
        <v>2</v>
      </c>
      <c r="G130" s="241"/>
    </row>
    <row r="131" spans="1:7" s="127" customFormat="1" ht="18.75" x14ac:dyDescent="0.25">
      <c r="A131" s="126">
        <v>20</v>
      </c>
      <c r="B131" s="486"/>
      <c r="C131" s="153" t="s">
        <v>36</v>
      </c>
      <c r="D131" s="241">
        <v>1</v>
      </c>
      <c r="E131" s="241">
        <v>4</v>
      </c>
      <c r="F131" s="241">
        <v>1</v>
      </c>
      <c r="G131" s="241"/>
    </row>
    <row r="132" spans="1:7" s="127" customFormat="1" ht="18.75" x14ac:dyDescent="0.25">
      <c r="A132" s="126">
        <v>21</v>
      </c>
      <c r="B132" s="486"/>
      <c r="C132" s="153" t="s">
        <v>37</v>
      </c>
      <c r="D132" s="241">
        <v>1</v>
      </c>
      <c r="E132" s="241">
        <v>1</v>
      </c>
      <c r="F132" s="241">
        <v>1</v>
      </c>
      <c r="G132" s="241"/>
    </row>
    <row r="133" spans="1:7" s="127" customFormat="1" ht="18.75" x14ac:dyDescent="0.25">
      <c r="A133" s="126">
        <v>22</v>
      </c>
      <c r="B133" s="486"/>
      <c r="C133" s="153" t="s">
        <v>141</v>
      </c>
      <c r="D133" s="241">
        <v>1</v>
      </c>
      <c r="E133" s="241">
        <v>0</v>
      </c>
      <c r="F133" s="241">
        <v>1</v>
      </c>
      <c r="G133" s="241"/>
    </row>
    <row r="134" spans="1:7" s="127" customFormat="1" ht="18.75" x14ac:dyDescent="0.25">
      <c r="A134" s="126">
        <v>23</v>
      </c>
      <c r="B134" s="485"/>
      <c r="C134" s="153" t="s">
        <v>305</v>
      </c>
      <c r="D134" s="241">
        <v>1</v>
      </c>
      <c r="E134" s="241">
        <v>1</v>
      </c>
      <c r="F134" s="241"/>
      <c r="G134" s="241"/>
    </row>
    <row r="135" spans="1:7" s="127" customFormat="1" ht="18.75" x14ac:dyDescent="0.25">
      <c r="A135" s="126">
        <v>24</v>
      </c>
      <c r="B135" s="500" t="s">
        <v>38</v>
      </c>
      <c r="C135" s="153" t="s">
        <v>38</v>
      </c>
      <c r="D135" s="241">
        <v>1</v>
      </c>
      <c r="E135" s="241">
        <v>5</v>
      </c>
      <c r="F135" s="241">
        <v>2</v>
      </c>
      <c r="G135" s="241">
        <v>1</v>
      </c>
    </row>
    <row r="136" spans="1:7" s="127" customFormat="1" ht="18.75" x14ac:dyDescent="0.25">
      <c r="A136" s="126">
        <v>25</v>
      </c>
      <c r="B136" s="500"/>
      <c r="C136" s="153" t="s">
        <v>39</v>
      </c>
      <c r="D136" s="241">
        <v>1</v>
      </c>
      <c r="E136" s="241">
        <v>1</v>
      </c>
      <c r="F136" s="241">
        <v>1</v>
      </c>
      <c r="G136" s="241">
        <v>1</v>
      </c>
    </row>
    <row r="137" spans="1:7" s="127" customFormat="1" ht="18.75" x14ac:dyDescent="0.25">
      <c r="A137" s="126">
        <v>26</v>
      </c>
      <c r="B137" s="500" t="s">
        <v>88</v>
      </c>
      <c r="C137" s="153" t="s">
        <v>88</v>
      </c>
      <c r="D137" s="241">
        <v>1</v>
      </c>
      <c r="E137" s="241">
        <v>2</v>
      </c>
      <c r="F137" s="241">
        <v>1</v>
      </c>
      <c r="G137" s="241"/>
    </row>
    <row r="138" spans="1:7" s="127" customFormat="1" ht="18.75" x14ac:dyDescent="0.25">
      <c r="A138" s="126">
        <v>27</v>
      </c>
      <c r="B138" s="500"/>
      <c r="C138" s="153" t="s">
        <v>41</v>
      </c>
      <c r="D138" s="241">
        <v>1</v>
      </c>
      <c r="E138" s="241">
        <v>0</v>
      </c>
      <c r="F138" s="241">
        <v>0</v>
      </c>
      <c r="G138" s="241"/>
    </row>
    <row r="139" spans="1:7" s="127" customFormat="1" ht="18.75" x14ac:dyDescent="0.25">
      <c r="A139" s="126">
        <v>28</v>
      </c>
      <c r="B139" s="500"/>
      <c r="C139" s="153" t="s">
        <v>42</v>
      </c>
      <c r="D139" s="241">
        <v>1</v>
      </c>
      <c r="E139" s="241">
        <v>0</v>
      </c>
      <c r="F139" s="241">
        <v>1</v>
      </c>
      <c r="G139" s="241"/>
    </row>
    <row r="140" spans="1:7" s="127" customFormat="1" ht="18.75" x14ac:dyDescent="0.25">
      <c r="A140" s="126"/>
      <c r="B140" s="484" t="s">
        <v>43</v>
      </c>
      <c r="C140" s="153" t="s">
        <v>89</v>
      </c>
      <c r="D140" s="241">
        <v>0</v>
      </c>
      <c r="E140" s="241">
        <v>0</v>
      </c>
      <c r="F140" s="241">
        <v>1</v>
      </c>
      <c r="G140" s="241">
        <v>1</v>
      </c>
    </row>
    <row r="141" spans="1:7" s="127" customFormat="1" ht="18.75" x14ac:dyDescent="0.25">
      <c r="A141" s="126">
        <v>29</v>
      </c>
      <c r="B141" s="486"/>
      <c r="C141" s="153" t="s">
        <v>44</v>
      </c>
      <c r="D141" s="241">
        <v>1</v>
      </c>
      <c r="E141" s="241">
        <v>2</v>
      </c>
      <c r="F141" s="241">
        <v>1</v>
      </c>
      <c r="G141" s="241">
        <v>1</v>
      </c>
    </row>
    <row r="142" spans="1:7" s="127" customFormat="1" ht="18.75" x14ac:dyDescent="0.25">
      <c r="A142" s="126">
        <v>30</v>
      </c>
      <c r="B142" s="485"/>
      <c r="C142" s="153" t="s">
        <v>45</v>
      </c>
      <c r="D142" s="241">
        <v>1</v>
      </c>
      <c r="E142" s="241">
        <v>0</v>
      </c>
      <c r="F142" s="241">
        <v>1</v>
      </c>
      <c r="G142" s="241">
        <v>1</v>
      </c>
    </row>
    <row r="143" spans="1:7" s="127" customFormat="1" ht="18.75" x14ac:dyDescent="0.25">
      <c r="A143" s="126">
        <v>31</v>
      </c>
      <c r="B143" s="484" t="s">
        <v>46</v>
      </c>
      <c r="C143" s="153" t="s">
        <v>47</v>
      </c>
      <c r="D143" s="241">
        <v>1</v>
      </c>
      <c r="E143" s="241">
        <v>4</v>
      </c>
      <c r="F143" s="241">
        <v>1</v>
      </c>
      <c r="G143" s="241">
        <v>1</v>
      </c>
    </row>
    <row r="144" spans="1:7" s="127" customFormat="1" ht="18.75" x14ac:dyDescent="0.25">
      <c r="A144" s="126">
        <v>32</v>
      </c>
      <c r="B144" s="486"/>
      <c r="C144" s="153" t="s">
        <v>48</v>
      </c>
      <c r="D144" s="241">
        <v>1</v>
      </c>
      <c r="E144" s="241">
        <v>1</v>
      </c>
      <c r="F144" s="241">
        <v>0</v>
      </c>
      <c r="G144" s="241">
        <v>1</v>
      </c>
    </row>
    <row r="145" spans="1:7" s="127" customFormat="1" ht="18.75" x14ac:dyDescent="0.25">
      <c r="A145" s="126">
        <v>33</v>
      </c>
      <c r="B145" s="485"/>
      <c r="C145" s="153" t="s">
        <v>314</v>
      </c>
      <c r="D145" s="241">
        <v>0</v>
      </c>
      <c r="E145" s="241">
        <v>1</v>
      </c>
      <c r="F145" s="241">
        <v>1</v>
      </c>
      <c r="G145" s="241">
        <v>1</v>
      </c>
    </row>
    <row r="146" spans="1:7" s="127" customFormat="1" ht="18.75" x14ac:dyDescent="0.25">
      <c r="A146" s="126">
        <v>34</v>
      </c>
      <c r="B146" s="484" t="s">
        <v>49</v>
      </c>
      <c r="C146" s="153" t="s">
        <v>49</v>
      </c>
      <c r="D146" s="241">
        <v>1</v>
      </c>
      <c r="E146" s="241">
        <v>2</v>
      </c>
      <c r="F146" s="241">
        <v>1</v>
      </c>
      <c r="G146" s="241">
        <v>1</v>
      </c>
    </row>
    <row r="147" spans="1:7" s="127" customFormat="1" ht="18.75" x14ac:dyDescent="0.25">
      <c r="A147" s="126">
        <v>35</v>
      </c>
      <c r="B147" s="486"/>
      <c r="C147" s="153" t="s">
        <v>50</v>
      </c>
      <c r="D147" s="241">
        <v>3</v>
      </c>
      <c r="E147" s="241">
        <v>0</v>
      </c>
      <c r="F147" s="241">
        <v>0</v>
      </c>
      <c r="G147" s="241">
        <v>1</v>
      </c>
    </row>
    <row r="148" spans="1:7" s="127" customFormat="1" ht="18.75" x14ac:dyDescent="0.25">
      <c r="A148" s="126">
        <v>36</v>
      </c>
      <c r="B148" s="485"/>
      <c r="C148" s="153" t="s">
        <v>51</v>
      </c>
      <c r="D148" s="241">
        <v>1</v>
      </c>
      <c r="E148" s="241">
        <v>3</v>
      </c>
      <c r="F148" s="241">
        <v>3</v>
      </c>
      <c r="G148" s="241">
        <v>1</v>
      </c>
    </row>
    <row r="149" spans="1:7" s="127" customFormat="1" ht="19.5" customHeight="1" x14ac:dyDescent="0.25">
      <c r="A149" s="126">
        <v>37</v>
      </c>
      <c r="B149" s="500" t="s">
        <v>52</v>
      </c>
      <c r="C149" s="153" t="s">
        <v>53</v>
      </c>
      <c r="D149" s="241">
        <v>1</v>
      </c>
      <c r="E149" s="241">
        <v>2</v>
      </c>
      <c r="F149" s="241">
        <v>2</v>
      </c>
      <c r="G149" s="241"/>
    </row>
    <row r="150" spans="1:7" s="127" customFormat="1" ht="18.75" x14ac:dyDescent="0.25">
      <c r="A150" s="126">
        <v>38</v>
      </c>
      <c r="B150" s="500"/>
      <c r="C150" s="153" t="s">
        <v>54</v>
      </c>
      <c r="D150" s="241">
        <v>1</v>
      </c>
      <c r="E150" s="241">
        <v>1</v>
      </c>
      <c r="F150" s="241">
        <v>2</v>
      </c>
      <c r="G150" s="241"/>
    </row>
    <row r="151" spans="1:7" s="127" customFormat="1" ht="18.75" x14ac:dyDescent="0.25">
      <c r="A151" s="126">
        <v>39</v>
      </c>
      <c r="B151" s="500"/>
      <c r="C151" s="153" t="s">
        <v>55</v>
      </c>
      <c r="D151" s="241">
        <v>1</v>
      </c>
      <c r="E151" s="241">
        <v>2</v>
      </c>
      <c r="F151" s="241">
        <v>1</v>
      </c>
      <c r="G151" s="241"/>
    </row>
    <row r="152" spans="1:7" s="127" customFormat="1" ht="18.75" x14ac:dyDescent="0.25">
      <c r="A152" s="126">
        <v>40</v>
      </c>
      <c r="B152" s="500"/>
      <c r="C152" s="153" t="s">
        <v>56</v>
      </c>
      <c r="D152" s="241">
        <v>1</v>
      </c>
      <c r="E152" s="241">
        <v>3</v>
      </c>
      <c r="F152" s="241">
        <v>3</v>
      </c>
      <c r="G152" s="241"/>
    </row>
    <row r="153" spans="1:7" s="127" customFormat="1" ht="18.75" x14ac:dyDescent="0.25">
      <c r="A153" s="126">
        <v>41</v>
      </c>
      <c r="B153" s="500"/>
      <c r="C153" s="153" t="s">
        <v>57</v>
      </c>
      <c r="D153" s="241">
        <v>1</v>
      </c>
      <c r="E153" s="241">
        <v>1</v>
      </c>
      <c r="F153" s="241">
        <v>1</v>
      </c>
      <c r="G153" s="241"/>
    </row>
    <row r="154" spans="1:7" s="127" customFormat="1" ht="18.75" x14ac:dyDescent="0.25">
      <c r="A154" s="126">
        <v>42</v>
      </c>
      <c r="B154" s="500"/>
      <c r="C154" s="153" t="s">
        <v>58</v>
      </c>
      <c r="D154" s="241">
        <v>1</v>
      </c>
      <c r="E154" s="241">
        <v>1</v>
      </c>
      <c r="F154" s="241">
        <v>0</v>
      </c>
      <c r="G154" s="241"/>
    </row>
    <row r="155" spans="1:7" s="127" customFormat="1" ht="18.75" x14ac:dyDescent="0.25">
      <c r="A155" s="126">
        <v>43</v>
      </c>
      <c r="B155" s="500"/>
      <c r="C155" s="153" t="s">
        <v>59</v>
      </c>
      <c r="D155" s="241">
        <v>1</v>
      </c>
      <c r="E155" s="241">
        <v>0</v>
      </c>
      <c r="F155" s="241">
        <v>0</v>
      </c>
      <c r="G155" s="241"/>
    </row>
    <row r="156" spans="1:7" s="127" customFormat="1" ht="18.75" x14ac:dyDescent="0.25">
      <c r="A156" s="126"/>
      <c r="B156" s="126"/>
      <c r="C156" s="153" t="s">
        <v>60</v>
      </c>
      <c r="D156" s="241">
        <f>SUM(D110:D155)</f>
        <v>45</v>
      </c>
      <c r="E156" s="241">
        <f>SUM(E110:E155)</f>
        <v>86</v>
      </c>
      <c r="F156" s="241">
        <f>SUM(F110:F155)</f>
        <v>49</v>
      </c>
      <c r="G156" s="241">
        <f>SUM(G110:G155)</f>
        <v>19</v>
      </c>
    </row>
    <row r="160" spans="1:7" ht="20.25" x14ac:dyDescent="0.3">
      <c r="A160" s="637" t="s">
        <v>1081</v>
      </c>
      <c r="B160" s="637"/>
      <c r="C160" s="637"/>
      <c r="D160" s="637"/>
      <c r="E160" s="637"/>
      <c r="F160" s="637"/>
      <c r="G160" s="637"/>
    </row>
    <row r="161" spans="1:17" s="127" customFormat="1" ht="18.75" x14ac:dyDescent="0.25">
      <c r="A161" s="126" t="s">
        <v>313</v>
      </c>
      <c r="B161" s="126" t="s">
        <v>1</v>
      </c>
      <c r="C161" s="153" t="s">
        <v>182</v>
      </c>
      <c r="D161" s="126" t="s">
        <v>309</v>
      </c>
      <c r="E161" s="126" t="s">
        <v>310</v>
      </c>
      <c r="F161" s="126" t="s">
        <v>311</v>
      </c>
      <c r="G161" s="126" t="s">
        <v>312</v>
      </c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</row>
    <row r="162" spans="1:17" s="127" customFormat="1" ht="18.75" x14ac:dyDescent="0.25">
      <c r="A162" s="126">
        <v>1</v>
      </c>
      <c r="B162" s="500" t="s">
        <v>16</v>
      </c>
      <c r="C162" s="153" t="s">
        <v>17</v>
      </c>
      <c r="D162" s="241">
        <v>1</v>
      </c>
      <c r="E162" s="241">
        <v>3</v>
      </c>
      <c r="F162" s="241">
        <v>0</v>
      </c>
      <c r="G162" s="241">
        <v>1</v>
      </c>
    </row>
    <row r="163" spans="1:17" s="127" customFormat="1" ht="18.75" x14ac:dyDescent="0.25">
      <c r="A163" s="126">
        <v>2</v>
      </c>
      <c r="B163" s="500"/>
      <c r="C163" s="153" t="s">
        <v>19</v>
      </c>
      <c r="D163" s="241">
        <v>1</v>
      </c>
      <c r="E163" s="241">
        <v>1</v>
      </c>
      <c r="F163" s="241">
        <v>1</v>
      </c>
      <c r="G163" s="241">
        <v>1</v>
      </c>
    </row>
    <row r="164" spans="1:17" s="127" customFormat="1" ht="18.75" x14ac:dyDescent="0.25">
      <c r="A164" s="126">
        <v>3</v>
      </c>
      <c r="B164" s="126" t="s">
        <v>20</v>
      </c>
      <c r="C164" s="153" t="s">
        <v>20</v>
      </c>
      <c r="D164" s="241">
        <v>1</v>
      </c>
      <c r="E164" s="241">
        <v>1</v>
      </c>
      <c r="F164" s="241">
        <v>1</v>
      </c>
      <c r="G164" s="241"/>
    </row>
    <row r="165" spans="1:17" s="127" customFormat="1" ht="18.75" x14ac:dyDescent="0.25">
      <c r="A165" s="126">
        <v>4</v>
      </c>
      <c r="B165" s="502" t="s">
        <v>21</v>
      </c>
      <c r="C165" s="153" t="s">
        <v>21</v>
      </c>
      <c r="D165" s="241"/>
      <c r="E165" s="241">
        <v>1</v>
      </c>
      <c r="F165" s="241">
        <v>1</v>
      </c>
      <c r="G165" s="241">
        <v>1</v>
      </c>
    </row>
    <row r="166" spans="1:17" s="127" customFormat="1" ht="18.75" x14ac:dyDescent="0.25">
      <c r="A166" s="126">
        <v>5</v>
      </c>
      <c r="B166" s="502"/>
      <c r="C166" s="153" t="s">
        <v>22</v>
      </c>
      <c r="D166" s="241">
        <v>1</v>
      </c>
      <c r="E166" s="241">
        <v>3</v>
      </c>
      <c r="F166" s="241">
        <v>1</v>
      </c>
      <c r="G166" s="241">
        <v>1</v>
      </c>
    </row>
    <row r="167" spans="1:17" s="127" customFormat="1" ht="18.75" x14ac:dyDescent="0.25">
      <c r="A167" s="126">
        <v>6</v>
      </c>
      <c r="B167" s="502"/>
      <c r="C167" s="153" t="s">
        <v>335</v>
      </c>
      <c r="D167" s="241"/>
      <c r="E167" s="241"/>
      <c r="F167" s="241">
        <v>1</v>
      </c>
      <c r="G167" s="241"/>
    </row>
    <row r="168" spans="1:17" s="127" customFormat="1" ht="18.75" x14ac:dyDescent="0.25">
      <c r="A168" s="126">
        <v>7</v>
      </c>
      <c r="B168" s="502"/>
      <c r="C168" s="153" t="s">
        <v>269</v>
      </c>
      <c r="D168" s="241">
        <v>0</v>
      </c>
      <c r="E168" s="241">
        <v>1</v>
      </c>
      <c r="F168" s="241">
        <v>1</v>
      </c>
      <c r="G168" s="241"/>
    </row>
    <row r="169" spans="1:17" s="127" customFormat="1" ht="18.75" x14ac:dyDescent="0.25">
      <c r="A169" s="126">
        <v>8</v>
      </c>
      <c r="B169" s="500" t="s">
        <v>23</v>
      </c>
      <c r="C169" s="153" t="s">
        <v>23</v>
      </c>
      <c r="D169" s="241">
        <v>2</v>
      </c>
      <c r="E169" s="241">
        <v>3</v>
      </c>
      <c r="F169" s="241">
        <v>1</v>
      </c>
      <c r="G169" s="241"/>
    </row>
    <row r="170" spans="1:17" s="127" customFormat="1" ht="18.75" x14ac:dyDescent="0.25">
      <c r="A170" s="126">
        <v>9</v>
      </c>
      <c r="B170" s="500"/>
      <c r="C170" s="153" t="s">
        <v>24</v>
      </c>
      <c r="D170" s="241">
        <v>2</v>
      </c>
      <c r="E170" s="241">
        <v>3</v>
      </c>
      <c r="F170" s="241">
        <v>2</v>
      </c>
      <c r="G170" s="241"/>
    </row>
    <row r="171" spans="1:17" s="127" customFormat="1" ht="18.75" x14ac:dyDescent="0.25">
      <c r="A171" s="126">
        <v>10</v>
      </c>
      <c r="B171" s="500" t="s">
        <v>25</v>
      </c>
      <c r="C171" s="153" t="s">
        <v>27</v>
      </c>
      <c r="D171" s="241">
        <v>1</v>
      </c>
      <c r="E171" s="241">
        <v>3</v>
      </c>
      <c r="F171" s="241">
        <v>2</v>
      </c>
      <c r="G171" s="241"/>
    </row>
    <row r="172" spans="1:17" s="127" customFormat="1" ht="18.75" x14ac:dyDescent="0.25">
      <c r="A172" s="126">
        <v>11</v>
      </c>
      <c r="B172" s="500"/>
      <c r="C172" s="153" t="s">
        <v>26</v>
      </c>
      <c r="D172" s="241">
        <v>1</v>
      </c>
      <c r="E172" s="241">
        <v>2</v>
      </c>
      <c r="F172" s="241">
        <v>1</v>
      </c>
      <c r="G172" s="241"/>
    </row>
    <row r="173" spans="1:17" s="127" customFormat="1" ht="18.75" x14ac:dyDescent="0.25">
      <c r="A173" s="126">
        <v>12</v>
      </c>
      <c r="B173" s="500"/>
      <c r="C173" s="153" t="s">
        <v>268</v>
      </c>
      <c r="D173" s="241">
        <v>0</v>
      </c>
      <c r="E173" s="241">
        <v>0</v>
      </c>
      <c r="F173" s="241">
        <v>1</v>
      </c>
      <c r="G173" s="241"/>
    </row>
    <row r="174" spans="1:17" s="127" customFormat="1" ht="18.75" x14ac:dyDescent="0.25">
      <c r="A174" s="126">
        <v>13</v>
      </c>
      <c r="B174" s="500" t="s">
        <v>28</v>
      </c>
      <c r="C174" s="153" t="s">
        <v>29</v>
      </c>
      <c r="D174" s="241">
        <v>1</v>
      </c>
      <c r="E174" s="241">
        <v>7</v>
      </c>
      <c r="F174" s="241">
        <v>0</v>
      </c>
      <c r="G174" s="241">
        <v>1</v>
      </c>
    </row>
    <row r="175" spans="1:17" s="127" customFormat="1" ht="18.75" x14ac:dyDescent="0.25">
      <c r="A175" s="126">
        <v>14</v>
      </c>
      <c r="B175" s="500"/>
      <c r="C175" s="153" t="s">
        <v>30</v>
      </c>
      <c r="D175" s="241">
        <v>1</v>
      </c>
      <c r="E175" s="241">
        <v>1</v>
      </c>
      <c r="F175" s="241">
        <v>1</v>
      </c>
      <c r="G175" s="241">
        <v>1</v>
      </c>
    </row>
    <row r="176" spans="1:17" s="127" customFormat="1" ht="18.75" x14ac:dyDescent="0.25">
      <c r="A176" s="126">
        <v>15</v>
      </c>
      <c r="B176" s="500"/>
      <c r="C176" s="153" t="s">
        <v>31</v>
      </c>
      <c r="D176" s="241">
        <v>1</v>
      </c>
      <c r="E176" s="241">
        <v>6</v>
      </c>
      <c r="F176" s="241">
        <v>1</v>
      </c>
      <c r="G176" s="241">
        <v>1</v>
      </c>
    </row>
    <row r="177" spans="1:7" s="127" customFormat="1" ht="18.75" x14ac:dyDescent="0.25">
      <c r="A177" s="126"/>
      <c r="B177" s="500"/>
      <c r="C177" s="153" t="s">
        <v>32</v>
      </c>
      <c r="D177" s="241">
        <v>1</v>
      </c>
      <c r="E177" s="241">
        <v>4</v>
      </c>
      <c r="F177" s="241">
        <v>1</v>
      </c>
      <c r="G177" s="241">
        <v>1</v>
      </c>
    </row>
    <row r="178" spans="1:7" s="127" customFormat="1" ht="18.75" x14ac:dyDescent="0.25">
      <c r="A178" s="126">
        <v>16</v>
      </c>
      <c r="B178" s="500"/>
      <c r="C178" s="153" t="s">
        <v>201</v>
      </c>
      <c r="D178" s="241">
        <v>1</v>
      </c>
      <c r="E178" s="241">
        <v>3</v>
      </c>
      <c r="F178" s="241">
        <v>1</v>
      </c>
      <c r="G178" s="241"/>
    </row>
    <row r="179" spans="1:7" s="127" customFormat="1" ht="18.75" x14ac:dyDescent="0.25">
      <c r="A179" s="126">
        <v>17</v>
      </c>
      <c r="B179" s="484" t="s">
        <v>33</v>
      </c>
      <c r="C179" s="153" t="s">
        <v>33</v>
      </c>
      <c r="D179" s="241">
        <v>1</v>
      </c>
      <c r="E179" s="241">
        <v>6</v>
      </c>
      <c r="F179" s="241">
        <v>5</v>
      </c>
      <c r="G179" s="241"/>
    </row>
    <row r="180" spans="1:7" s="127" customFormat="1" ht="18.75" x14ac:dyDescent="0.25">
      <c r="A180" s="126">
        <v>18</v>
      </c>
      <c r="B180" s="486"/>
      <c r="C180" s="153" t="s">
        <v>34</v>
      </c>
      <c r="D180" s="241">
        <v>1</v>
      </c>
      <c r="E180" s="241">
        <v>2</v>
      </c>
      <c r="F180" s="241">
        <v>1</v>
      </c>
      <c r="G180" s="241"/>
    </row>
    <row r="181" spans="1:7" s="127" customFormat="1" ht="18.75" x14ac:dyDescent="0.25">
      <c r="A181" s="126">
        <v>19</v>
      </c>
      <c r="B181" s="486"/>
      <c r="C181" s="153" t="s">
        <v>35</v>
      </c>
      <c r="D181" s="241">
        <v>3</v>
      </c>
      <c r="E181" s="241">
        <v>0</v>
      </c>
      <c r="F181" s="241">
        <v>2</v>
      </c>
      <c r="G181" s="241"/>
    </row>
    <row r="182" spans="1:7" s="127" customFormat="1" ht="18.75" x14ac:dyDescent="0.25">
      <c r="A182" s="126">
        <v>20</v>
      </c>
      <c r="B182" s="486"/>
      <c r="C182" s="153" t="s">
        <v>36</v>
      </c>
      <c r="D182" s="241">
        <v>1</v>
      </c>
      <c r="E182" s="241">
        <v>4</v>
      </c>
      <c r="F182" s="241">
        <v>1</v>
      </c>
      <c r="G182" s="241"/>
    </row>
    <row r="183" spans="1:7" s="127" customFormat="1" ht="18.75" x14ac:dyDescent="0.25">
      <c r="A183" s="126">
        <v>21</v>
      </c>
      <c r="B183" s="486"/>
      <c r="C183" s="153" t="s">
        <v>37</v>
      </c>
      <c r="D183" s="241">
        <v>1</v>
      </c>
      <c r="E183" s="241">
        <v>1</v>
      </c>
      <c r="F183" s="241">
        <v>1</v>
      </c>
      <c r="G183" s="241"/>
    </row>
    <row r="184" spans="1:7" s="127" customFormat="1" ht="18.75" x14ac:dyDescent="0.25">
      <c r="A184" s="126">
        <v>22</v>
      </c>
      <c r="B184" s="486"/>
      <c r="C184" s="153" t="s">
        <v>141</v>
      </c>
      <c r="D184" s="241">
        <v>1</v>
      </c>
      <c r="E184" s="241">
        <v>0</v>
      </c>
      <c r="F184" s="241">
        <v>1</v>
      </c>
      <c r="G184" s="241"/>
    </row>
    <row r="185" spans="1:7" s="127" customFormat="1" ht="18.75" x14ac:dyDescent="0.25">
      <c r="A185" s="126">
        <v>23</v>
      </c>
      <c r="B185" s="485"/>
      <c r="C185" s="153" t="s">
        <v>305</v>
      </c>
      <c r="D185" s="241">
        <v>1</v>
      </c>
      <c r="E185" s="241">
        <v>1</v>
      </c>
      <c r="F185" s="241"/>
      <c r="G185" s="241"/>
    </row>
    <row r="186" spans="1:7" s="127" customFormat="1" ht="18.75" x14ac:dyDescent="0.25">
      <c r="A186" s="126">
        <v>24</v>
      </c>
      <c r="B186" s="500" t="s">
        <v>38</v>
      </c>
      <c r="C186" s="153" t="s">
        <v>38</v>
      </c>
      <c r="D186" s="241">
        <v>1</v>
      </c>
      <c r="E186" s="241">
        <v>2</v>
      </c>
      <c r="F186" s="241">
        <v>1</v>
      </c>
      <c r="G186" s="241">
        <v>1</v>
      </c>
    </row>
    <row r="187" spans="1:7" s="127" customFormat="1" ht="18.75" x14ac:dyDescent="0.25">
      <c r="A187" s="126">
        <v>25</v>
      </c>
      <c r="B187" s="500"/>
      <c r="C187" s="153" t="s">
        <v>39</v>
      </c>
      <c r="D187" s="241">
        <v>1</v>
      </c>
      <c r="E187" s="241">
        <v>1</v>
      </c>
      <c r="F187" s="241">
        <v>1</v>
      </c>
      <c r="G187" s="241">
        <v>1</v>
      </c>
    </row>
    <row r="188" spans="1:7" s="127" customFormat="1" ht="18.75" x14ac:dyDescent="0.25">
      <c r="A188" s="126">
        <v>26</v>
      </c>
      <c r="B188" s="500" t="s">
        <v>88</v>
      </c>
      <c r="C188" s="153" t="s">
        <v>88</v>
      </c>
      <c r="D188" s="241">
        <v>1</v>
      </c>
      <c r="E188" s="241">
        <v>2</v>
      </c>
      <c r="F188" s="241">
        <v>1</v>
      </c>
      <c r="G188" s="241"/>
    </row>
    <row r="189" spans="1:7" s="127" customFormat="1" ht="18.75" x14ac:dyDescent="0.25">
      <c r="A189" s="126">
        <v>27</v>
      </c>
      <c r="B189" s="500"/>
      <c r="C189" s="153" t="s">
        <v>41</v>
      </c>
      <c r="D189" s="241">
        <v>1</v>
      </c>
      <c r="E189" s="241">
        <v>0</v>
      </c>
      <c r="F189" s="241">
        <v>0</v>
      </c>
      <c r="G189" s="241"/>
    </row>
    <row r="190" spans="1:7" s="127" customFormat="1" ht="18.75" x14ac:dyDescent="0.25">
      <c r="A190" s="126">
        <v>28</v>
      </c>
      <c r="B190" s="500"/>
      <c r="C190" s="153" t="s">
        <v>42</v>
      </c>
      <c r="D190" s="241">
        <v>1</v>
      </c>
      <c r="E190" s="241">
        <v>0</v>
      </c>
      <c r="F190" s="241">
        <v>1</v>
      </c>
      <c r="G190" s="241"/>
    </row>
    <row r="191" spans="1:7" s="127" customFormat="1" ht="18.75" x14ac:dyDescent="0.25">
      <c r="A191" s="126"/>
      <c r="B191" s="484" t="s">
        <v>43</v>
      </c>
      <c r="C191" s="153" t="s">
        <v>89</v>
      </c>
      <c r="D191" s="241">
        <v>0</v>
      </c>
      <c r="E191" s="241">
        <v>0</v>
      </c>
      <c r="F191" s="241">
        <v>1</v>
      </c>
      <c r="G191" s="241">
        <v>0</v>
      </c>
    </row>
    <row r="192" spans="1:7" s="127" customFormat="1" ht="18.75" x14ac:dyDescent="0.25">
      <c r="A192" s="126">
        <v>29</v>
      </c>
      <c r="B192" s="486"/>
      <c r="C192" s="153" t="s">
        <v>44</v>
      </c>
      <c r="D192" s="241">
        <v>1</v>
      </c>
      <c r="E192" s="241">
        <v>2</v>
      </c>
      <c r="F192" s="241">
        <v>1</v>
      </c>
      <c r="G192" s="241">
        <v>1</v>
      </c>
    </row>
    <row r="193" spans="1:7" s="127" customFormat="1" ht="18.75" x14ac:dyDescent="0.25">
      <c r="A193" s="126">
        <v>30</v>
      </c>
      <c r="B193" s="485"/>
      <c r="C193" s="153" t="s">
        <v>45</v>
      </c>
      <c r="D193" s="241">
        <v>1</v>
      </c>
      <c r="E193" s="241">
        <v>0</v>
      </c>
      <c r="F193" s="241">
        <v>1</v>
      </c>
      <c r="G193" s="241">
        <v>1</v>
      </c>
    </row>
    <row r="194" spans="1:7" s="127" customFormat="1" ht="18.75" x14ac:dyDescent="0.25">
      <c r="A194" s="126">
        <v>31</v>
      </c>
      <c r="B194" s="484" t="s">
        <v>46</v>
      </c>
      <c r="C194" s="153" t="s">
        <v>47</v>
      </c>
      <c r="D194" s="241">
        <v>1</v>
      </c>
      <c r="E194" s="241">
        <v>4</v>
      </c>
      <c r="F194" s="241">
        <v>1</v>
      </c>
      <c r="G194" s="241">
        <v>1</v>
      </c>
    </row>
    <row r="195" spans="1:7" s="127" customFormat="1" ht="18.75" x14ac:dyDescent="0.25">
      <c r="A195" s="126">
        <v>32</v>
      </c>
      <c r="B195" s="486"/>
      <c r="C195" s="153" t="s">
        <v>48</v>
      </c>
      <c r="D195" s="241">
        <v>1</v>
      </c>
      <c r="E195" s="241">
        <v>1</v>
      </c>
      <c r="F195" s="241">
        <v>0</v>
      </c>
      <c r="G195" s="241">
        <v>1</v>
      </c>
    </row>
    <row r="196" spans="1:7" s="127" customFormat="1" ht="18.75" x14ac:dyDescent="0.25">
      <c r="A196" s="126">
        <v>33</v>
      </c>
      <c r="B196" s="485"/>
      <c r="C196" s="153" t="s">
        <v>314</v>
      </c>
      <c r="D196" s="241">
        <v>0</v>
      </c>
      <c r="E196" s="241">
        <v>1</v>
      </c>
      <c r="F196" s="241">
        <v>1</v>
      </c>
      <c r="G196" s="241">
        <v>1</v>
      </c>
    </row>
    <row r="197" spans="1:7" s="127" customFormat="1" ht="18.75" x14ac:dyDescent="0.25">
      <c r="A197" s="126">
        <v>34</v>
      </c>
      <c r="B197" s="484" t="s">
        <v>49</v>
      </c>
      <c r="C197" s="153" t="s">
        <v>49</v>
      </c>
      <c r="D197" s="241">
        <v>1</v>
      </c>
      <c r="E197" s="241">
        <v>2</v>
      </c>
      <c r="F197" s="241">
        <v>1</v>
      </c>
      <c r="G197" s="241">
        <v>1</v>
      </c>
    </row>
    <row r="198" spans="1:7" s="127" customFormat="1" ht="18.75" x14ac:dyDescent="0.25">
      <c r="A198" s="126">
        <v>35</v>
      </c>
      <c r="B198" s="486"/>
      <c r="C198" s="153" t="s">
        <v>50</v>
      </c>
      <c r="D198" s="241">
        <v>3</v>
      </c>
      <c r="E198" s="241">
        <v>0</v>
      </c>
      <c r="F198" s="241">
        <v>0</v>
      </c>
      <c r="G198" s="241">
        <v>1</v>
      </c>
    </row>
    <row r="199" spans="1:7" s="127" customFormat="1" ht="18.75" x14ac:dyDescent="0.25">
      <c r="A199" s="126">
        <v>36</v>
      </c>
      <c r="B199" s="485"/>
      <c r="C199" s="153" t="s">
        <v>51</v>
      </c>
      <c r="D199" s="241">
        <v>1</v>
      </c>
      <c r="E199" s="241">
        <v>3</v>
      </c>
      <c r="F199" s="241">
        <v>3</v>
      </c>
      <c r="G199" s="241"/>
    </row>
    <row r="200" spans="1:7" s="127" customFormat="1" ht="19.5" customHeight="1" x14ac:dyDescent="0.25">
      <c r="A200" s="126">
        <v>37</v>
      </c>
      <c r="B200" s="500" t="s">
        <v>52</v>
      </c>
      <c r="C200" s="153" t="s">
        <v>53</v>
      </c>
      <c r="D200" s="241">
        <v>1</v>
      </c>
      <c r="E200" s="241">
        <v>2</v>
      </c>
      <c r="F200" s="241">
        <v>2</v>
      </c>
      <c r="G200" s="241"/>
    </row>
    <row r="201" spans="1:7" s="127" customFormat="1" ht="18.75" x14ac:dyDescent="0.25">
      <c r="A201" s="126">
        <v>38</v>
      </c>
      <c r="B201" s="500"/>
      <c r="C201" s="153" t="s">
        <v>54</v>
      </c>
      <c r="D201" s="241">
        <v>1</v>
      </c>
      <c r="E201" s="241">
        <v>1</v>
      </c>
      <c r="F201" s="241">
        <v>2</v>
      </c>
      <c r="G201" s="241"/>
    </row>
    <row r="202" spans="1:7" s="127" customFormat="1" ht="18.75" x14ac:dyDescent="0.25">
      <c r="A202" s="126">
        <v>39</v>
      </c>
      <c r="B202" s="500"/>
      <c r="C202" s="153" t="s">
        <v>55</v>
      </c>
      <c r="D202" s="241">
        <v>1</v>
      </c>
      <c r="E202" s="241">
        <v>2</v>
      </c>
      <c r="F202" s="241">
        <v>1</v>
      </c>
      <c r="G202" s="241"/>
    </row>
    <row r="203" spans="1:7" s="127" customFormat="1" ht="18.75" x14ac:dyDescent="0.25">
      <c r="A203" s="126">
        <v>40</v>
      </c>
      <c r="B203" s="500"/>
      <c r="C203" s="153" t="s">
        <v>56</v>
      </c>
      <c r="D203" s="241">
        <v>1</v>
      </c>
      <c r="E203" s="241">
        <v>3</v>
      </c>
      <c r="F203" s="241">
        <v>3</v>
      </c>
      <c r="G203" s="241"/>
    </row>
    <row r="204" spans="1:7" s="127" customFormat="1" ht="18.75" x14ac:dyDescent="0.25">
      <c r="A204" s="126">
        <v>41</v>
      </c>
      <c r="B204" s="500"/>
      <c r="C204" s="153" t="s">
        <v>57</v>
      </c>
      <c r="D204" s="241">
        <v>1</v>
      </c>
      <c r="E204" s="241">
        <v>1</v>
      </c>
      <c r="F204" s="241">
        <v>1</v>
      </c>
      <c r="G204" s="241"/>
    </row>
    <row r="205" spans="1:7" s="127" customFormat="1" ht="18.75" x14ac:dyDescent="0.25">
      <c r="A205" s="126">
        <v>42</v>
      </c>
      <c r="B205" s="500"/>
      <c r="C205" s="153" t="s">
        <v>58</v>
      </c>
      <c r="D205" s="241">
        <v>1</v>
      </c>
      <c r="E205" s="241">
        <v>1</v>
      </c>
      <c r="F205" s="241">
        <v>0</v>
      </c>
      <c r="G205" s="241"/>
    </row>
    <row r="206" spans="1:7" s="127" customFormat="1" ht="18.75" x14ac:dyDescent="0.25">
      <c r="A206" s="126">
        <v>43</v>
      </c>
      <c r="B206" s="500"/>
      <c r="C206" s="153" t="s">
        <v>59</v>
      </c>
      <c r="D206" s="241">
        <v>1</v>
      </c>
      <c r="E206" s="241">
        <v>0</v>
      </c>
      <c r="F206" s="241">
        <v>0</v>
      </c>
      <c r="G206" s="241"/>
    </row>
    <row r="207" spans="1:7" s="127" customFormat="1" ht="18.75" x14ac:dyDescent="0.25">
      <c r="A207" s="233"/>
      <c r="B207" s="233"/>
      <c r="C207" s="234" t="s">
        <v>60</v>
      </c>
      <c r="D207" s="28">
        <f>SUM(D162:D206)</f>
        <v>45</v>
      </c>
      <c r="E207" s="28">
        <f>SUM(E162:E206)</f>
        <v>84</v>
      </c>
      <c r="F207" s="28">
        <f>SUM(F162:F206)</f>
        <v>50</v>
      </c>
      <c r="G207" s="28">
        <f>SUM(G162:G206)</f>
        <v>17</v>
      </c>
    </row>
    <row r="210" spans="1:17" ht="20.25" x14ac:dyDescent="0.3">
      <c r="A210" s="637" t="s">
        <v>785</v>
      </c>
      <c r="B210" s="637"/>
      <c r="C210" s="637"/>
      <c r="D210" s="637"/>
      <c r="E210" s="637"/>
      <c r="F210" s="637"/>
      <c r="G210" s="637"/>
    </row>
    <row r="211" spans="1:17" s="127" customFormat="1" ht="18.75" x14ac:dyDescent="0.25">
      <c r="A211" s="126" t="s">
        <v>313</v>
      </c>
      <c r="B211" s="126" t="s">
        <v>1</v>
      </c>
      <c r="C211" s="153" t="s">
        <v>182</v>
      </c>
      <c r="D211" s="126" t="s">
        <v>309</v>
      </c>
      <c r="E211" s="126" t="s">
        <v>310</v>
      </c>
      <c r="F211" s="126" t="s">
        <v>311</v>
      </c>
      <c r="G211" s="126" t="s">
        <v>312</v>
      </c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</row>
    <row r="212" spans="1:17" s="127" customFormat="1" ht="18.75" x14ac:dyDescent="0.25">
      <c r="A212" s="126">
        <v>1</v>
      </c>
      <c r="B212" s="500" t="s">
        <v>16</v>
      </c>
      <c r="C212" s="153" t="s">
        <v>17</v>
      </c>
      <c r="D212" s="241">
        <v>1</v>
      </c>
      <c r="E212" s="241">
        <v>3</v>
      </c>
      <c r="F212" s="241">
        <v>0</v>
      </c>
      <c r="G212" s="241">
        <v>1</v>
      </c>
    </row>
    <row r="213" spans="1:17" s="127" customFormat="1" ht="18.75" x14ac:dyDescent="0.25">
      <c r="A213" s="126">
        <v>2</v>
      </c>
      <c r="B213" s="500"/>
      <c r="C213" s="153" t="s">
        <v>19</v>
      </c>
      <c r="D213" s="241">
        <v>1</v>
      </c>
      <c r="E213" s="241">
        <v>1</v>
      </c>
      <c r="F213" s="241">
        <v>1</v>
      </c>
      <c r="G213" s="241">
        <v>1</v>
      </c>
    </row>
    <row r="214" spans="1:17" s="127" customFormat="1" ht="18.75" x14ac:dyDescent="0.25">
      <c r="A214" s="126">
        <v>3</v>
      </c>
      <c r="B214" s="126" t="s">
        <v>20</v>
      </c>
      <c r="C214" s="153" t="s">
        <v>20</v>
      </c>
      <c r="D214" s="241">
        <v>1</v>
      </c>
      <c r="E214" s="241">
        <v>1</v>
      </c>
      <c r="F214" s="241">
        <v>1</v>
      </c>
      <c r="G214" s="241"/>
    </row>
    <row r="215" spans="1:17" s="127" customFormat="1" ht="18.75" x14ac:dyDescent="0.25">
      <c r="A215" s="126">
        <v>4</v>
      </c>
      <c r="B215" s="502" t="s">
        <v>21</v>
      </c>
      <c r="C215" s="153" t="s">
        <v>21</v>
      </c>
      <c r="D215" s="241"/>
      <c r="E215" s="241">
        <v>1</v>
      </c>
      <c r="F215" s="241">
        <v>1</v>
      </c>
      <c r="G215" s="241">
        <v>1</v>
      </c>
    </row>
    <row r="216" spans="1:17" s="127" customFormat="1" ht="18.75" x14ac:dyDescent="0.25">
      <c r="A216" s="126">
        <v>5</v>
      </c>
      <c r="B216" s="502"/>
      <c r="C216" s="153" t="s">
        <v>22</v>
      </c>
      <c r="D216" s="241">
        <v>1</v>
      </c>
      <c r="E216" s="241">
        <v>3</v>
      </c>
      <c r="F216" s="241">
        <v>1</v>
      </c>
      <c r="G216" s="241">
        <v>1</v>
      </c>
    </row>
    <row r="217" spans="1:17" s="127" customFormat="1" ht="18.75" x14ac:dyDescent="0.25">
      <c r="A217" s="126">
        <v>6</v>
      </c>
      <c r="B217" s="502"/>
      <c r="C217" s="153" t="s">
        <v>335</v>
      </c>
      <c r="D217" s="241"/>
      <c r="E217" s="241"/>
      <c r="F217" s="241">
        <v>1</v>
      </c>
      <c r="G217" s="241"/>
    </row>
    <row r="218" spans="1:17" s="127" customFormat="1" ht="18.75" x14ac:dyDescent="0.25">
      <c r="A218" s="126">
        <v>7</v>
      </c>
      <c r="B218" s="502"/>
      <c r="C218" s="153" t="s">
        <v>269</v>
      </c>
      <c r="D218" s="241">
        <v>0</v>
      </c>
      <c r="E218" s="241">
        <v>1</v>
      </c>
      <c r="F218" s="241">
        <v>1</v>
      </c>
      <c r="G218" s="241"/>
    </row>
    <row r="219" spans="1:17" s="127" customFormat="1" ht="18.75" x14ac:dyDescent="0.25">
      <c r="A219" s="126">
        <v>8</v>
      </c>
      <c r="B219" s="500" t="s">
        <v>23</v>
      </c>
      <c r="C219" s="153" t="s">
        <v>23</v>
      </c>
      <c r="D219" s="241">
        <v>2</v>
      </c>
      <c r="E219" s="241">
        <v>3</v>
      </c>
      <c r="F219" s="241">
        <v>1</v>
      </c>
      <c r="G219" s="241"/>
    </row>
    <row r="220" spans="1:17" s="127" customFormat="1" ht="18.75" x14ac:dyDescent="0.25">
      <c r="A220" s="126">
        <v>9</v>
      </c>
      <c r="B220" s="500"/>
      <c r="C220" s="153" t="s">
        <v>24</v>
      </c>
      <c r="D220" s="241">
        <v>2</v>
      </c>
      <c r="E220" s="241">
        <v>3</v>
      </c>
      <c r="F220" s="241">
        <v>2</v>
      </c>
      <c r="G220" s="241"/>
    </row>
    <row r="221" spans="1:17" s="127" customFormat="1" ht="18.75" x14ac:dyDescent="0.25">
      <c r="A221" s="126">
        <v>10</v>
      </c>
      <c r="B221" s="500" t="s">
        <v>25</v>
      </c>
      <c r="C221" s="153" t="s">
        <v>27</v>
      </c>
      <c r="D221" s="241">
        <v>1</v>
      </c>
      <c r="E221" s="241">
        <v>3</v>
      </c>
      <c r="F221" s="241">
        <v>2</v>
      </c>
      <c r="G221" s="241"/>
    </row>
    <row r="222" spans="1:17" s="127" customFormat="1" ht="18.75" x14ac:dyDescent="0.25">
      <c r="A222" s="126">
        <v>11</v>
      </c>
      <c r="B222" s="500"/>
      <c r="C222" s="153" t="s">
        <v>26</v>
      </c>
      <c r="D222" s="241">
        <v>1</v>
      </c>
      <c r="E222" s="241">
        <v>2</v>
      </c>
      <c r="F222" s="241">
        <v>1</v>
      </c>
      <c r="G222" s="241"/>
    </row>
    <row r="223" spans="1:17" s="127" customFormat="1" ht="18.75" x14ac:dyDescent="0.25">
      <c r="A223" s="126">
        <v>12</v>
      </c>
      <c r="B223" s="500"/>
      <c r="C223" s="153" t="s">
        <v>268</v>
      </c>
      <c r="D223" s="241">
        <v>0</v>
      </c>
      <c r="E223" s="241">
        <v>0</v>
      </c>
      <c r="F223" s="241">
        <v>1</v>
      </c>
      <c r="G223" s="241"/>
    </row>
    <row r="224" spans="1:17" s="127" customFormat="1" ht="18.75" x14ac:dyDescent="0.25">
      <c r="A224" s="126">
        <v>13</v>
      </c>
      <c r="B224" s="500" t="s">
        <v>28</v>
      </c>
      <c r="C224" s="153" t="s">
        <v>29</v>
      </c>
      <c r="D224" s="241">
        <v>1</v>
      </c>
      <c r="E224" s="241">
        <v>7</v>
      </c>
      <c r="F224" s="241">
        <v>0</v>
      </c>
      <c r="G224" s="241">
        <v>1</v>
      </c>
    </row>
    <row r="225" spans="1:7" s="127" customFormat="1" ht="18.75" x14ac:dyDescent="0.25">
      <c r="A225" s="126">
        <v>14</v>
      </c>
      <c r="B225" s="500"/>
      <c r="C225" s="153" t="s">
        <v>30</v>
      </c>
      <c r="D225" s="241">
        <v>1</v>
      </c>
      <c r="E225" s="241">
        <v>1</v>
      </c>
      <c r="F225" s="241">
        <v>1</v>
      </c>
      <c r="G225" s="241">
        <v>1</v>
      </c>
    </row>
    <row r="226" spans="1:7" s="127" customFormat="1" ht="18.75" x14ac:dyDescent="0.25">
      <c r="A226" s="126">
        <v>15</v>
      </c>
      <c r="B226" s="500"/>
      <c r="C226" s="153" t="s">
        <v>31</v>
      </c>
      <c r="D226" s="241">
        <v>1</v>
      </c>
      <c r="E226" s="241">
        <v>6</v>
      </c>
      <c r="F226" s="241">
        <v>1</v>
      </c>
      <c r="G226" s="241">
        <v>1</v>
      </c>
    </row>
    <row r="227" spans="1:7" s="127" customFormat="1" ht="18.75" x14ac:dyDescent="0.25">
      <c r="A227" s="126"/>
      <c r="B227" s="500"/>
      <c r="C227" s="153" t="s">
        <v>32</v>
      </c>
      <c r="D227" s="241">
        <v>1</v>
      </c>
      <c r="E227" s="241">
        <v>4</v>
      </c>
      <c r="F227" s="241">
        <v>1</v>
      </c>
      <c r="G227" s="241">
        <v>1</v>
      </c>
    </row>
    <row r="228" spans="1:7" s="127" customFormat="1" ht="18.75" x14ac:dyDescent="0.25">
      <c r="A228" s="126">
        <v>16</v>
      </c>
      <c r="B228" s="500"/>
      <c r="C228" s="153" t="s">
        <v>201</v>
      </c>
      <c r="D228" s="241">
        <v>1</v>
      </c>
      <c r="E228" s="241">
        <v>3</v>
      </c>
      <c r="F228" s="241">
        <v>1</v>
      </c>
      <c r="G228" s="241"/>
    </row>
    <row r="229" spans="1:7" s="127" customFormat="1" ht="18.75" x14ac:dyDescent="0.25">
      <c r="A229" s="126">
        <v>17</v>
      </c>
      <c r="B229" s="484" t="s">
        <v>33</v>
      </c>
      <c r="C229" s="153" t="s">
        <v>33</v>
      </c>
      <c r="D229" s="241">
        <v>1</v>
      </c>
      <c r="E229" s="241">
        <v>6</v>
      </c>
      <c r="F229" s="241">
        <v>5</v>
      </c>
      <c r="G229" s="241"/>
    </row>
    <row r="230" spans="1:7" s="127" customFormat="1" ht="18.75" x14ac:dyDescent="0.25">
      <c r="A230" s="126">
        <v>18</v>
      </c>
      <c r="B230" s="486"/>
      <c r="C230" s="153" t="s">
        <v>34</v>
      </c>
      <c r="D230" s="241">
        <v>1</v>
      </c>
      <c r="E230" s="241">
        <v>2</v>
      </c>
      <c r="F230" s="241">
        <v>1</v>
      </c>
      <c r="G230" s="241"/>
    </row>
    <row r="231" spans="1:7" s="127" customFormat="1" ht="18.75" x14ac:dyDescent="0.25">
      <c r="A231" s="126">
        <v>19</v>
      </c>
      <c r="B231" s="486"/>
      <c r="C231" s="153" t="s">
        <v>35</v>
      </c>
      <c r="D231" s="241">
        <v>3</v>
      </c>
      <c r="E231" s="241">
        <v>0</v>
      </c>
      <c r="F231" s="241">
        <v>2</v>
      </c>
      <c r="G231" s="241"/>
    </row>
    <row r="232" spans="1:7" s="127" customFormat="1" ht="18.75" x14ac:dyDescent="0.25">
      <c r="A232" s="126">
        <v>20</v>
      </c>
      <c r="B232" s="486"/>
      <c r="C232" s="153" t="s">
        <v>36</v>
      </c>
      <c r="D232" s="241">
        <v>1</v>
      </c>
      <c r="E232" s="241">
        <v>4</v>
      </c>
      <c r="F232" s="241">
        <v>1</v>
      </c>
      <c r="G232" s="241"/>
    </row>
    <row r="233" spans="1:7" s="127" customFormat="1" ht="18.75" x14ac:dyDescent="0.25">
      <c r="A233" s="126">
        <v>21</v>
      </c>
      <c r="B233" s="486"/>
      <c r="C233" s="153" t="s">
        <v>37</v>
      </c>
      <c r="D233" s="241">
        <v>1</v>
      </c>
      <c r="E233" s="241">
        <v>1</v>
      </c>
      <c r="F233" s="241">
        <v>1</v>
      </c>
      <c r="G233" s="241"/>
    </row>
    <row r="234" spans="1:7" s="127" customFormat="1" ht="18.75" x14ac:dyDescent="0.25">
      <c r="A234" s="126">
        <v>22</v>
      </c>
      <c r="B234" s="486"/>
      <c r="C234" s="153" t="s">
        <v>141</v>
      </c>
      <c r="D234" s="241">
        <v>1</v>
      </c>
      <c r="E234" s="241">
        <v>0</v>
      </c>
      <c r="F234" s="241">
        <v>1</v>
      </c>
      <c r="G234" s="241"/>
    </row>
    <row r="235" spans="1:7" s="127" customFormat="1" ht="18.75" x14ac:dyDescent="0.25">
      <c r="A235" s="126">
        <v>23</v>
      </c>
      <c r="B235" s="485"/>
      <c r="C235" s="153" t="s">
        <v>305</v>
      </c>
      <c r="D235" s="241">
        <v>1</v>
      </c>
      <c r="E235" s="241">
        <v>1</v>
      </c>
      <c r="F235" s="241"/>
      <c r="G235" s="241"/>
    </row>
    <row r="236" spans="1:7" s="127" customFormat="1" ht="18.75" x14ac:dyDescent="0.25">
      <c r="A236" s="126">
        <v>24</v>
      </c>
      <c r="B236" s="500" t="s">
        <v>38</v>
      </c>
      <c r="C236" s="153" t="s">
        <v>38</v>
      </c>
      <c r="D236" s="241">
        <v>1</v>
      </c>
      <c r="E236" s="241">
        <v>2</v>
      </c>
      <c r="F236" s="241">
        <v>1</v>
      </c>
      <c r="G236" s="241">
        <v>1</v>
      </c>
    </row>
    <row r="237" spans="1:7" s="127" customFormat="1" ht="18.75" x14ac:dyDescent="0.25">
      <c r="A237" s="126">
        <v>25</v>
      </c>
      <c r="B237" s="500"/>
      <c r="C237" s="153" t="s">
        <v>39</v>
      </c>
      <c r="D237" s="241">
        <v>1</v>
      </c>
      <c r="E237" s="241">
        <v>1</v>
      </c>
      <c r="F237" s="241">
        <v>1</v>
      </c>
      <c r="G237" s="241">
        <v>1</v>
      </c>
    </row>
    <row r="238" spans="1:7" s="127" customFormat="1" ht="18.75" x14ac:dyDescent="0.25">
      <c r="A238" s="126">
        <v>26</v>
      </c>
      <c r="B238" s="500" t="s">
        <v>88</v>
      </c>
      <c r="C238" s="153" t="s">
        <v>88</v>
      </c>
      <c r="D238" s="241">
        <v>1</v>
      </c>
      <c r="E238" s="241">
        <v>2</v>
      </c>
      <c r="F238" s="241">
        <v>1</v>
      </c>
      <c r="G238" s="241"/>
    </row>
    <row r="239" spans="1:7" s="127" customFormat="1" ht="18.75" x14ac:dyDescent="0.25">
      <c r="A239" s="126">
        <v>27</v>
      </c>
      <c r="B239" s="500"/>
      <c r="C239" s="153" t="s">
        <v>41</v>
      </c>
      <c r="D239" s="241">
        <v>1</v>
      </c>
      <c r="E239" s="241">
        <v>0</v>
      </c>
      <c r="F239" s="241">
        <v>0</v>
      </c>
      <c r="G239" s="241"/>
    </row>
    <row r="240" spans="1:7" s="127" customFormat="1" ht="18.75" x14ac:dyDescent="0.25">
      <c r="A240" s="126">
        <v>28</v>
      </c>
      <c r="B240" s="500"/>
      <c r="C240" s="153" t="s">
        <v>42</v>
      </c>
      <c r="D240" s="241">
        <v>1</v>
      </c>
      <c r="E240" s="241">
        <v>0</v>
      </c>
      <c r="F240" s="241">
        <v>1</v>
      </c>
      <c r="G240" s="241"/>
    </row>
    <row r="241" spans="1:7" s="127" customFormat="1" ht="18.75" x14ac:dyDescent="0.25">
      <c r="A241" s="126"/>
      <c r="B241" s="484" t="s">
        <v>43</v>
      </c>
      <c r="C241" s="153" t="s">
        <v>89</v>
      </c>
      <c r="D241" s="241">
        <v>0</v>
      </c>
      <c r="E241" s="241">
        <v>0</v>
      </c>
      <c r="F241" s="241">
        <v>1</v>
      </c>
      <c r="G241" s="241">
        <v>0</v>
      </c>
    </row>
    <row r="242" spans="1:7" s="127" customFormat="1" ht="18.75" x14ac:dyDescent="0.25">
      <c r="A242" s="126">
        <v>29</v>
      </c>
      <c r="B242" s="486"/>
      <c r="C242" s="153" t="s">
        <v>44</v>
      </c>
      <c r="D242" s="241">
        <v>1</v>
      </c>
      <c r="E242" s="241">
        <v>2</v>
      </c>
      <c r="F242" s="241">
        <v>1</v>
      </c>
      <c r="G242" s="241">
        <v>1</v>
      </c>
    </row>
    <row r="243" spans="1:7" s="127" customFormat="1" ht="18.75" x14ac:dyDescent="0.25">
      <c r="A243" s="126">
        <v>30</v>
      </c>
      <c r="B243" s="485"/>
      <c r="C243" s="153" t="s">
        <v>45</v>
      </c>
      <c r="D243" s="241">
        <v>1</v>
      </c>
      <c r="E243" s="241">
        <v>0</v>
      </c>
      <c r="F243" s="241">
        <v>1</v>
      </c>
      <c r="G243" s="241">
        <v>1</v>
      </c>
    </row>
    <row r="244" spans="1:7" s="127" customFormat="1" ht="18.75" x14ac:dyDescent="0.25">
      <c r="A244" s="126">
        <v>31</v>
      </c>
      <c r="B244" s="484" t="s">
        <v>46</v>
      </c>
      <c r="C244" s="153" t="s">
        <v>47</v>
      </c>
      <c r="D244" s="241">
        <v>1</v>
      </c>
      <c r="E244" s="241">
        <v>4</v>
      </c>
      <c r="F244" s="241">
        <v>1</v>
      </c>
      <c r="G244" s="241">
        <v>1</v>
      </c>
    </row>
    <row r="245" spans="1:7" s="127" customFormat="1" ht="18.75" x14ac:dyDescent="0.25">
      <c r="A245" s="126">
        <v>32</v>
      </c>
      <c r="B245" s="486"/>
      <c r="C245" s="153" t="s">
        <v>48</v>
      </c>
      <c r="D245" s="241">
        <v>1</v>
      </c>
      <c r="E245" s="241">
        <v>1</v>
      </c>
      <c r="F245" s="241">
        <v>0</v>
      </c>
      <c r="G245" s="241">
        <v>1</v>
      </c>
    </row>
    <row r="246" spans="1:7" s="127" customFormat="1" ht="18.75" x14ac:dyDescent="0.25">
      <c r="A246" s="126">
        <v>33</v>
      </c>
      <c r="B246" s="485"/>
      <c r="C246" s="153" t="s">
        <v>314</v>
      </c>
      <c r="D246" s="241">
        <v>0</v>
      </c>
      <c r="E246" s="241">
        <v>1</v>
      </c>
      <c r="F246" s="241">
        <v>1</v>
      </c>
      <c r="G246" s="241">
        <v>1</v>
      </c>
    </row>
    <row r="247" spans="1:7" s="127" customFormat="1" ht="18.75" x14ac:dyDescent="0.25">
      <c r="A247" s="126">
        <v>34</v>
      </c>
      <c r="B247" s="484" t="s">
        <v>49</v>
      </c>
      <c r="C247" s="153" t="s">
        <v>49</v>
      </c>
      <c r="D247" s="241">
        <v>1</v>
      </c>
      <c r="E247" s="241">
        <v>2</v>
      </c>
      <c r="F247" s="241">
        <v>1</v>
      </c>
      <c r="G247" s="241">
        <v>1</v>
      </c>
    </row>
    <row r="248" spans="1:7" s="127" customFormat="1" ht="18.75" x14ac:dyDescent="0.25">
      <c r="A248" s="126">
        <v>35</v>
      </c>
      <c r="B248" s="486"/>
      <c r="C248" s="153" t="s">
        <v>50</v>
      </c>
      <c r="D248" s="241">
        <v>3</v>
      </c>
      <c r="E248" s="241">
        <v>0</v>
      </c>
      <c r="F248" s="241">
        <v>0</v>
      </c>
      <c r="G248" s="241">
        <v>1</v>
      </c>
    </row>
    <row r="249" spans="1:7" s="127" customFormat="1" ht="18.75" x14ac:dyDescent="0.25">
      <c r="A249" s="126">
        <v>36</v>
      </c>
      <c r="B249" s="485"/>
      <c r="C249" s="153" t="s">
        <v>51</v>
      </c>
      <c r="D249" s="241">
        <v>1</v>
      </c>
      <c r="E249" s="241">
        <v>3</v>
      </c>
      <c r="F249" s="241">
        <v>3</v>
      </c>
      <c r="G249" s="241"/>
    </row>
    <row r="250" spans="1:7" s="127" customFormat="1" ht="19.5" customHeight="1" x14ac:dyDescent="0.25">
      <c r="A250" s="126">
        <v>37</v>
      </c>
      <c r="B250" s="500" t="s">
        <v>52</v>
      </c>
      <c r="C250" s="153" t="s">
        <v>53</v>
      </c>
      <c r="D250" s="241">
        <v>1</v>
      </c>
      <c r="E250" s="241">
        <v>2</v>
      </c>
      <c r="F250" s="241">
        <v>2</v>
      </c>
      <c r="G250" s="241"/>
    </row>
    <row r="251" spans="1:7" s="127" customFormat="1" ht="18.75" x14ac:dyDescent="0.25">
      <c r="A251" s="126">
        <v>38</v>
      </c>
      <c r="B251" s="500"/>
      <c r="C251" s="153" t="s">
        <v>54</v>
      </c>
      <c r="D251" s="241">
        <v>1</v>
      </c>
      <c r="E251" s="241">
        <v>1</v>
      </c>
      <c r="F251" s="241">
        <v>2</v>
      </c>
      <c r="G251" s="241"/>
    </row>
    <row r="252" spans="1:7" s="127" customFormat="1" ht="18.75" x14ac:dyDescent="0.25">
      <c r="A252" s="126">
        <v>39</v>
      </c>
      <c r="B252" s="500"/>
      <c r="C252" s="153" t="s">
        <v>55</v>
      </c>
      <c r="D252" s="241">
        <v>1</v>
      </c>
      <c r="E252" s="241">
        <v>2</v>
      </c>
      <c r="F252" s="241">
        <v>1</v>
      </c>
      <c r="G252" s="241"/>
    </row>
    <row r="253" spans="1:7" s="127" customFormat="1" ht="18.75" x14ac:dyDescent="0.25">
      <c r="A253" s="126">
        <v>40</v>
      </c>
      <c r="B253" s="500"/>
      <c r="C253" s="153" t="s">
        <v>56</v>
      </c>
      <c r="D253" s="241">
        <v>1</v>
      </c>
      <c r="E253" s="241">
        <v>3</v>
      </c>
      <c r="F253" s="241">
        <v>3</v>
      </c>
      <c r="G253" s="241"/>
    </row>
    <row r="254" spans="1:7" s="127" customFormat="1" ht="18.75" x14ac:dyDescent="0.25">
      <c r="A254" s="126">
        <v>41</v>
      </c>
      <c r="B254" s="500"/>
      <c r="C254" s="153" t="s">
        <v>57</v>
      </c>
      <c r="D254" s="241">
        <v>1</v>
      </c>
      <c r="E254" s="241">
        <v>1</v>
      </c>
      <c r="F254" s="241">
        <v>1</v>
      </c>
      <c r="G254" s="241"/>
    </row>
    <row r="255" spans="1:7" s="127" customFormat="1" ht="18.75" x14ac:dyDescent="0.25">
      <c r="A255" s="126">
        <v>42</v>
      </c>
      <c r="B255" s="500"/>
      <c r="C255" s="153" t="s">
        <v>58</v>
      </c>
      <c r="D255" s="241">
        <v>1</v>
      </c>
      <c r="E255" s="241">
        <v>1</v>
      </c>
      <c r="F255" s="241">
        <v>0</v>
      </c>
      <c r="G255" s="241"/>
    </row>
    <row r="256" spans="1:7" s="127" customFormat="1" ht="18.75" x14ac:dyDescent="0.25">
      <c r="A256" s="126">
        <v>43</v>
      </c>
      <c r="B256" s="500"/>
      <c r="C256" s="153" t="s">
        <v>59</v>
      </c>
      <c r="D256" s="241">
        <v>1</v>
      </c>
      <c r="E256" s="241">
        <v>0</v>
      </c>
      <c r="F256" s="241">
        <v>0</v>
      </c>
      <c r="G256" s="241"/>
    </row>
    <row r="257" spans="1:7" s="127" customFormat="1" ht="18.75" x14ac:dyDescent="0.25">
      <c r="A257" s="233"/>
      <c r="B257" s="233"/>
      <c r="C257" s="234" t="s">
        <v>60</v>
      </c>
      <c r="D257" s="28">
        <f>SUM(D212:D256)</f>
        <v>45</v>
      </c>
      <c r="E257" s="28">
        <f>SUM(E212:E256)</f>
        <v>84</v>
      </c>
      <c r="F257" s="28">
        <f>SUM(F212:F256)</f>
        <v>50</v>
      </c>
      <c r="G257" s="28">
        <f>SUM(G212:G256)</f>
        <v>17</v>
      </c>
    </row>
  </sheetData>
  <mergeCells count="65">
    <mergeCell ref="B37:B39"/>
    <mergeCell ref="B40:B42"/>
    <mergeCell ref="B43:B49"/>
    <mergeCell ref="B17:B21"/>
    <mergeCell ref="B22:B28"/>
    <mergeCell ref="B29:B30"/>
    <mergeCell ref="B31:B33"/>
    <mergeCell ref="B34:B36"/>
    <mergeCell ref="A2:G2"/>
    <mergeCell ref="B4:B5"/>
    <mergeCell ref="B7:B10"/>
    <mergeCell ref="B11:B13"/>
    <mergeCell ref="B14:B16"/>
    <mergeCell ref="B244:B246"/>
    <mergeCell ref="B247:B249"/>
    <mergeCell ref="B250:B256"/>
    <mergeCell ref="B224:B228"/>
    <mergeCell ref="B229:B235"/>
    <mergeCell ref="B236:B237"/>
    <mergeCell ref="B238:B240"/>
    <mergeCell ref="B241:B243"/>
    <mergeCell ref="A210:G210"/>
    <mergeCell ref="B212:B213"/>
    <mergeCell ref="B215:B218"/>
    <mergeCell ref="B219:B220"/>
    <mergeCell ref="B221:B223"/>
    <mergeCell ref="A160:G160"/>
    <mergeCell ref="B162:B163"/>
    <mergeCell ref="B165:B168"/>
    <mergeCell ref="B169:B170"/>
    <mergeCell ref="B171:B173"/>
    <mergeCell ref="B194:B196"/>
    <mergeCell ref="B197:B199"/>
    <mergeCell ref="B200:B206"/>
    <mergeCell ref="B174:B178"/>
    <mergeCell ref="B179:B185"/>
    <mergeCell ref="B186:B187"/>
    <mergeCell ref="B188:B190"/>
    <mergeCell ref="B191:B193"/>
    <mergeCell ref="A108:G108"/>
    <mergeCell ref="B110:B111"/>
    <mergeCell ref="B113:B116"/>
    <mergeCell ref="B117:B119"/>
    <mergeCell ref="B120:B122"/>
    <mergeCell ref="B143:B145"/>
    <mergeCell ref="B146:B148"/>
    <mergeCell ref="B149:B155"/>
    <mergeCell ref="B123:B127"/>
    <mergeCell ref="B128:B134"/>
    <mergeCell ref="B135:B136"/>
    <mergeCell ref="B137:B139"/>
    <mergeCell ref="B140:B142"/>
    <mergeCell ref="A55:G55"/>
    <mergeCell ref="B57:B58"/>
    <mergeCell ref="B60:B63"/>
    <mergeCell ref="B64:B66"/>
    <mergeCell ref="B67:B69"/>
    <mergeCell ref="B90:B92"/>
    <mergeCell ref="B93:B95"/>
    <mergeCell ref="B96:B102"/>
    <mergeCell ref="B70:B74"/>
    <mergeCell ref="B75:B81"/>
    <mergeCell ref="B82:B83"/>
    <mergeCell ref="B84:B86"/>
    <mergeCell ref="B87:B89"/>
  </mergeCells>
  <pageMargins left="0.70866141732283472" right="0.70866141732283472" top="0.35433070866141736" bottom="0.31496062992125984" header="0.31496062992125984" footer="0.31496062992125984"/>
  <pageSetup paperSize="9" orientation="landscape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50"/>
  <sheetViews>
    <sheetView workbookViewId="0">
      <selection activeCell="A2" sqref="A2"/>
    </sheetView>
  </sheetViews>
  <sheetFormatPr defaultRowHeight="15" x14ac:dyDescent="0.25"/>
  <cols>
    <col min="1" max="1" width="5.42578125" style="6" bestFit="1" customWidth="1"/>
    <col min="2" max="2" width="13.28515625" style="6" bestFit="1" customWidth="1"/>
    <col min="3" max="3" width="17.5703125" style="6" bestFit="1" customWidth="1"/>
    <col min="4" max="4" width="22" style="6" bestFit="1" customWidth="1"/>
    <col min="5" max="5" width="9.140625" style="6"/>
    <col min="6" max="6" width="13" style="6" customWidth="1"/>
    <col min="7" max="7" width="13.140625" style="6" customWidth="1"/>
    <col min="8" max="8" width="19.140625" style="6" customWidth="1"/>
    <col min="9" max="9" width="16.28515625" style="6" customWidth="1"/>
    <col min="10" max="10" width="14.85546875" style="6" customWidth="1"/>
    <col min="11" max="11" width="11.7109375" style="6" customWidth="1"/>
    <col min="12" max="12" width="15.7109375" style="6" customWidth="1"/>
    <col min="13" max="13" width="15.28515625" style="6" customWidth="1"/>
    <col min="14" max="17" width="9.140625" style="6"/>
    <col min="18" max="18" width="18.28515625" style="6" customWidth="1"/>
    <col min="19" max="16384" width="9.140625" style="6"/>
  </cols>
  <sheetData>
    <row r="1" spans="1:17" s="73" customFormat="1" ht="56.25" x14ac:dyDescent="0.25">
      <c r="A1" s="58" t="s">
        <v>313</v>
      </c>
      <c r="B1" s="58" t="s">
        <v>1</v>
      </c>
      <c r="C1" s="71" t="s">
        <v>182</v>
      </c>
      <c r="D1" s="71"/>
      <c r="E1" s="71" t="s">
        <v>368</v>
      </c>
      <c r="F1" s="71" t="s">
        <v>369</v>
      </c>
      <c r="G1" s="71" t="s">
        <v>370</v>
      </c>
      <c r="H1" s="71" t="s">
        <v>266</v>
      </c>
      <c r="I1" s="153" t="s">
        <v>371</v>
      </c>
      <c r="J1" s="153" t="s">
        <v>372</v>
      </c>
      <c r="K1" s="153" t="s">
        <v>373</v>
      </c>
      <c r="L1" s="153" t="s">
        <v>374</v>
      </c>
      <c r="M1" s="153" t="s">
        <v>375</v>
      </c>
      <c r="N1" s="153" t="s">
        <v>385</v>
      </c>
      <c r="O1" s="152"/>
      <c r="P1" s="152"/>
      <c r="Q1" s="152"/>
    </row>
    <row r="2" spans="1:17" s="73" customFormat="1" ht="21" x14ac:dyDescent="0.25">
      <c r="A2" s="126">
        <v>1</v>
      </c>
      <c r="B2" s="500" t="s">
        <v>16</v>
      </c>
      <c r="C2" s="153" t="s">
        <v>17</v>
      </c>
      <c r="D2" s="153" t="s">
        <v>378</v>
      </c>
      <c r="E2" s="72">
        <v>1</v>
      </c>
      <c r="F2" s="72"/>
      <c r="G2" s="72"/>
      <c r="H2" s="72"/>
      <c r="I2" s="72"/>
      <c r="J2" s="72"/>
      <c r="K2" s="72">
        <v>1</v>
      </c>
      <c r="L2" s="72"/>
      <c r="M2" s="72">
        <v>1</v>
      </c>
      <c r="N2" s="155">
        <f>SUM(E2:M2)</f>
        <v>3</v>
      </c>
    </row>
    <row r="3" spans="1:17" s="73" customFormat="1" ht="21" x14ac:dyDescent="0.25">
      <c r="A3" s="126">
        <v>2</v>
      </c>
      <c r="B3" s="500"/>
      <c r="C3" s="153" t="s">
        <v>19</v>
      </c>
      <c r="D3" s="153" t="s">
        <v>380</v>
      </c>
      <c r="E3" s="72"/>
      <c r="F3" s="72"/>
      <c r="G3" s="72"/>
      <c r="H3" s="72"/>
      <c r="I3" s="72"/>
      <c r="J3" s="72"/>
      <c r="K3" s="72"/>
      <c r="L3" s="72">
        <v>1</v>
      </c>
      <c r="M3" s="72">
        <v>1</v>
      </c>
      <c r="N3" s="155">
        <f t="shared" ref="N3:N49" si="0">SUM(E3:M3)</f>
        <v>2</v>
      </c>
    </row>
    <row r="4" spans="1:17" s="73" customFormat="1" ht="21" x14ac:dyDescent="0.25">
      <c r="A4" s="126">
        <v>3</v>
      </c>
      <c r="B4" s="500"/>
      <c r="C4" s="153" t="s">
        <v>383</v>
      </c>
      <c r="D4" s="153" t="s">
        <v>384</v>
      </c>
      <c r="E4" s="72"/>
      <c r="F4" s="72"/>
      <c r="G4" s="72"/>
      <c r="H4" s="72"/>
      <c r="I4" s="72"/>
      <c r="J4" s="72"/>
      <c r="K4" s="72"/>
      <c r="L4" s="72">
        <v>1</v>
      </c>
      <c r="M4" s="72">
        <v>1</v>
      </c>
      <c r="N4" s="155">
        <f t="shared" si="0"/>
        <v>2</v>
      </c>
    </row>
    <row r="5" spans="1:17" s="73" customFormat="1" ht="21" x14ac:dyDescent="0.25">
      <c r="A5" s="126">
        <v>4</v>
      </c>
      <c r="B5" s="500"/>
      <c r="C5" s="153" t="s">
        <v>377</v>
      </c>
      <c r="D5" s="153" t="s">
        <v>380</v>
      </c>
      <c r="E5" s="72"/>
      <c r="F5" s="72"/>
      <c r="G5" s="72"/>
      <c r="H5" s="72"/>
      <c r="I5" s="72"/>
      <c r="J5" s="72"/>
      <c r="K5" s="72"/>
      <c r="L5" s="72">
        <v>1</v>
      </c>
      <c r="M5" s="72">
        <v>1</v>
      </c>
      <c r="N5" s="155">
        <f t="shared" si="0"/>
        <v>2</v>
      </c>
    </row>
    <row r="6" spans="1:17" s="73" customFormat="1" ht="21" x14ac:dyDescent="0.25">
      <c r="A6" s="126">
        <v>5</v>
      </c>
      <c r="B6" s="126" t="s">
        <v>20</v>
      </c>
      <c r="C6" s="153" t="s">
        <v>20</v>
      </c>
      <c r="D6" s="153" t="s">
        <v>378</v>
      </c>
      <c r="E6" s="72">
        <v>1</v>
      </c>
      <c r="F6" s="72"/>
      <c r="G6" s="72"/>
      <c r="H6" s="72"/>
      <c r="I6" s="72"/>
      <c r="J6" s="72"/>
      <c r="K6" s="72">
        <v>1</v>
      </c>
      <c r="L6" s="72"/>
      <c r="M6" s="72">
        <v>1</v>
      </c>
      <c r="N6" s="155">
        <f t="shared" si="0"/>
        <v>3</v>
      </c>
    </row>
    <row r="7" spans="1:17" s="73" customFormat="1" ht="21" x14ac:dyDescent="0.25">
      <c r="A7" s="126">
        <v>6</v>
      </c>
      <c r="B7" s="502" t="s">
        <v>21</v>
      </c>
      <c r="C7" s="153" t="s">
        <v>21</v>
      </c>
      <c r="D7" s="153" t="s">
        <v>378</v>
      </c>
      <c r="E7" s="72">
        <v>1</v>
      </c>
      <c r="F7" s="72"/>
      <c r="G7" s="72"/>
      <c r="H7" s="72"/>
      <c r="I7" s="72"/>
      <c r="J7" s="72"/>
      <c r="K7" s="72">
        <v>1</v>
      </c>
      <c r="L7" s="72"/>
      <c r="M7" s="72">
        <v>1</v>
      </c>
      <c r="N7" s="155">
        <f t="shared" si="0"/>
        <v>3</v>
      </c>
    </row>
    <row r="8" spans="1:17" s="73" customFormat="1" ht="21" x14ac:dyDescent="0.25">
      <c r="A8" s="126">
        <v>7</v>
      </c>
      <c r="B8" s="502"/>
      <c r="C8" s="153" t="s">
        <v>22</v>
      </c>
      <c r="D8" s="153" t="s">
        <v>380</v>
      </c>
      <c r="E8" s="72"/>
      <c r="F8" s="72"/>
      <c r="G8" s="72"/>
      <c r="H8" s="72"/>
      <c r="I8" s="72"/>
      <c r="J8" s="72"/>
      <c r="K8" s="72"/>
      <c r="L8" s="72">
        <v>1</v>
      </c>
      <c r="M8" s="72">
        <v>1</v>
      </c>
      <c r="N8" s="155">
        <f t="shared" si="0"/>
        <v>2</v>
      </c>
    </row>
    <row r="9" spans="1:17" s="73" customFormat="1" ht="21" x14ac:dyDescent="0.25">
      <c r="A9" s="126">
        <v>8</v>
      </c>
      <c r="B9" s="502"/>
      <c r="C9" s="153" t="s">
        <v>376</v>
      </c>
      <c r="D9" s="153" t="s">
        <v>380</v>
      </c>
      <c r="E9" s="72"/>
      <c r="F9" s="72"/>
      <c r="G9" s="72"/>
      <c r="H9" s="72"/>
      <c r="I9" s="72"/>
      <c r="J9" s="72"/>
      <c r="K9" s="72"/>
      <c r="L9" s="72">
        <v>1</v>
      </c>
      <c r="M9" s="72">
        <v>1</v>
      </c>
      <c r="N9" s="155">
        <f t="shared" si="0"/>
        <v>2</v>
      </c>
    </row>
    <row r="10" spans="1:17" s="73" customFormat="1" ht="21" x14ac:dyDescent="0.25">
      <c r="A10" s="126">
        <v>9</v>
      </c>
      <c r="B10" s="502"/>
      <c r="C10" s="153" t="s">
        <v>269</v>
      </c>
      <c r="D10" s="153" t="s">
        <v>380</v>
      </c>
      <c r="E10" s="72"/>
      <c r="F10" s="72"/>
      <c r="G10" s="72"/>
      <c r="H10" s="72"/>
      <c r="I10" s="72"/>
      <c r="J10" s="72"/>
      <c r="K10" s="72"/>
      <c r="L10" s="72">
        <v>1</v>
      </c>
      <c r="M10" s="72">
        <v>1</v>
      </c>
      <c r="N10" s="155">
        <f t="shared" si="0"/>
        <v>2</v>
      </c>
    </row>
    <row r="11" spans="1:17" s="73" customFormat="1" ht="21" x14ac:dyDescent="0.25">
      <c r="A11" s="126">
        <v>10</v>
      </c>
      <c r="B11" s="500" t="s">
        <v>23</v>
      </c>
      <c r="C11" s="153" t="s">
        <v>23</v>
      </c>
      <c r="D11" s="153" t="s">
        <v>378</v>
      </c>
      <c r="E11" s="72">
        <v>1</v>
      </c>
      <c r="F11" s="72"/>
      <c r="G11" s="72"/>
      <c r="H11" s="72"/>
      <c r="I11" s="72"/>
      <c r="J11" s="72"/>
      <c r="K11" s="72">
        <v>1</v>
      </c>
      <c r="L11" s="72"/>
      <c r="M11" s="72">
        <v>1</v>
      </c>
      <c r="N11" s="155">
        <f t="shared" si="0"/>
        <v>3</v>
      </c>
    </row>
    <row r="12" spans="1:17" s="73" customFormat="1" ht="21" x14ac:dyDescent="0.25">
      <c r="A12" s="126">
        <v>11</v>
      </c>
      <c r="B12" s="500"/>
      <c r="C12" s="153" t="s">
        <v>24</v>
      </c>
      <c r="D12" s="153" t="s">
        <v>380</v>
      </c>
      <c r="E12" s="72"/>
      <c r="F12" s="72"/>
      <c r="G12" s="72"/>
      <c r="H12" s="72"/>
      <c r="I12" s="72"/>
      <c r="J12" s="72"/>
      <c r="K12" s="72"/>
      <c r="L12" s="72">
        <v>1</v>
      </c>
      <c r="M12" s="72">
        <v>1</v>
      </c>
      <c r="N12" s="155">
        <f t="shared" si="0"/>
        <v>2</v>
      </c>
    </row>
    <row r="13" spans="1:17" s="73" customFormat="1" ht="21" x14ac:dyDescent="0.25">
      <c r="A13" s="126">
        <v>12</v>
      </c>
      <c r="B13" s="500" t="s">
        <v>25</v>
      </c>
      <c r="C13" s="153" t="s">
        <v>26</v>
      </c>
      <c r="D13" s="153" t="s">
        <v>380</v>
      </c>
      <c r="E13" s="72"/>
      <c r="F13" s="72"/>
      <c r="G13" s="72"/>
      <c r="H13" s="72"/>
      <c r="I13" s="72"/>
      <c r="J13" s="72"/>
      <c r="K13" s="72"/>
      <c r="L13" s="72">
        <v>1</v>
      </c>
      <c r="M13" s="72">
        <v>1</v>
      </c>
      <c r="N13" s="155">
        <f t="shared" si="0"/>
        <v>2</v>
      </c>
    </row>
    <row r="14" spans="1:17" s="73" customFormat="1" ht="21" x14ac:dyDescent="0.25">
      <c r="A14" s="126">
        <v>13</v>
      </c>
      <c r="B14" s="500"/>
      <c r="C14" s="153" t="s">
        <v>27</v>
      </c>
      <c r="D14" s="153" t="s">
        <v>378</v>
      </c>
      <c r="E14" s="72">
        <v>1</v>
      </c>
      <c r="F14" s="72"/>
      <c r="G14" s="72"/>
      <c r="H14" s="72"/>
      <c r="I14" s="72"/>
      <c r="J14" s="72"/>
      <c r="K14" s="72">
        <v>1</v>
      </c>
      <c r="L14" s="72"/>
      <c r="M14" s="72">
        <v>1</v>
      </c>
      <c r="N14" s="155">
        <f t="shared" si="0"/>
        <v>3</v>
      </c>
    </row>
    <row r="15" spans="1:17" s="73" customFormat="1" ht="21" x14ac:dyDescent="0.25">
      <c r="A15" s="126">
        <v>14</v>
      </c>
      <c r="B15" s="500"/>
      <c r="C15" s="153" t="s">
        <v>268</v>
      </c>
      <c r="D15" s="153" t="s">
        <v>380</v>
      </c>
      <c r="E15" s="72"/>
      <c r="F15" s="72"/>
      <c r="G15" s="72"/>
      <c r="H15" s="72"/>
      <c r="I15" s="72"/>
      <c r="J15" s="72"/>
      <c r="K15" s="72"/>
      <c r="L15" s="72">
        <v>1</v>
      </c>
      <c r="M15" s="72">
        <v>1</v>
      </c>
      <c r="N15" s="155">
        <f t="shared" si="0"/>
        <v>2</v>
      </c>
    </row>
    <row r="16" spans="1:17" s="73" customFormat="1" ht="21" x14ac:dyDescent="0.25">
      <c r="A16" s="126">
        <v>15</v>
      </c>
      <c r="B16" s="500" t="s">
        <v>28</v>
      </c>
      <c r="C16" s="153" t="s">
        <v>29</v>
      </c>
      <c r="D16" s="153" t="s">
        <v>381</v>
      </c>
      <c r="E16" s="72">
        <v>1</v>
      </c>
      <c r="F16" s="72"/>
      <c r="G16" s="72"/>
      <c r="H16" s="72"/>
      <c r="I16" s="72"/>
      <c r="J16" s="72"/>
      <c r="K16" s="72">
        <v>1</v>
      </c>
      <c r="L16" s="72">
        <v>1</v>
      </c>
      <c r="M16" s="72">
        <v>1</v>
      </c>
      <c r="N16" s="155">
        <f t="shared" si="0"/>
        <v>4</v>
      </c>
    </row>
    <row r="17" spans="1:14" s="73" customFormat="1" ht="21" x14ac:dyDescent="0.25">
      <c r="A17" s="126">
        <v>16</v>
      </c>
      <c r="B17" s="500"/>
      <c r="C17" s="153" t="s">
        <v>30</v>
      </c>
      <c r="D17" s="153" t="s">
        <v>382</v>
      </c>
      <c r="E17" s="72">
        <v>1</v>
      </c>
      <c r="F17" s="72"/>
      <c r="G17" s="72"/>
      <c r="H17" s="72"/>
      <c r="I17" s="72"/>
      <c r="J17" s="72"/>
      <c r="K17" s="72">
        <v>1</v>
      </c>
      <c r="L17" s="72"/>
      <c r="M17" s="72">
        <v>1</v>
      </c>
      <c r="N17" s="155">
        <f t="shared" si="0"/>
        <v>3</v>
      </c>
    </row>
    <row r="18" spans="1:14" s="73" customFormat="1" ht="21" x14ac:dyDescent="0.25">
      <c r="A18" s="126">
        <v>17</v>
      </c>
      <c r="B18" s="500"/>
      <c r="C18" s="153" t="s">
        <v>31</v>
      </c>
      <c r="D18" s="153" t="s">
        <v>379</v>
      </c>
      <c r="E18" s="72">
        <v>1</v>
      </c>
      <c r="F18" s="72"/>
      <c r="G18" s="72"/>
      <c r="H18" s="72"/>
      <c r="I18" s="72">
        <v>1</v>
      </c>
      <c r="J18" s="72"/>
      <c r="K18" s="72">
        <v>1</v>
      </c>
      <c r="L18" s="72">
        <v>1</v>
      </c>
      <c r="M18" s="72">
        <v>1</v>
      </c>
      <c r="N18" s="155">
        <f t="shared" si="0"/>
        <v>5</v>
      </c>
    </row>
    <row r="19" spans="1:14" s="73" customFormat="1" ht="21" x14ac:dyDescent="0.25">
      <c r="A19" s="126">
        <v>18</v>
      </c>
      <c r="B19" s="500"/>
      <c r="C19" s="153" t="s">
        <v>32</v>
      </c>
      <c r="D19" s="153" t="s">
        <v>382</v>
      </c>
      <c r="E19" s="72">
        <v>1</v>
      </c>
      <c r="F19" s="72"/>
      <c r="G19" s="72"/>
      <c r="H19" s="72"/>
      <c r="I19" s="72"/>
      <c r="J19" s="72"/>
      <c r="K19" s="72">
        <v>1</v>
      </c>
      <c r="L19" s="72"/>
      <c r="M19" s="72">
        <v>1</v>
      </c>
      <c r="N19" s="155">
        <f t="shared" si="0"/>
        <v>3</v>
      </c>
    </row>
    <row r="20" spans="1:14" s="73" customFormat="1" ht="21" x14ac:dyDescent="0.25">
      <c r="A20" s="126">
        <v>19</v>
      </c>
      <c r="B20" s="500"/>
      <c r="C20" s="153" t="s">
        <v>201</v>
      </c>
      <c r="D20" s="153" t="s">
        <v>379</v>
      </c>
      <c r="E20" s="72">
        <v>1</v>
      </c>
      <c r="F20" s="72"/>
      <c r="G20" s="72"/>
      <c r="H20" s="72"/>
      <c r="I20" s="72">
        <v>1</v>
      </c>
      <c r="J20" s="72"/>
      <c r="K20" s="72">
        <v>1</v>
      </c>
      <c r="L20" s="72">
        <v>1</v>
      </c>
      <c r="M20" s="72">
        <v>1</v>
      </c>
      <c r="N20" s="155">
        <f t="shared" si="0"/>
        <v>5</v>
      </c>
    </row>
    <row r="21" spans="1:14" s="73" customFormat="1" ht="21" x14ac:dyDescent="0.25">
      <c r="A21" s="126">
        <v>20</v>
      </c>
      <c r="B21" s="500" t="s">
        <v>33</v>
      </c>
      <c r="C21" s="153" t="s">
        <v>33</v>
      </c>
      <c r="D21" s="153" t="s">
        <v>381</v>
      </c>
      <c r="E21" s="72"/>
      <c r="F21" s="72">
        <v>1</v>
      </c>
      <c r="G21" s="72">
        <v>4</v>
      </c>
      <c r="H21" s="72">
        <v>1</v>
      </c>
      <c r="I21" s="72">
        <v>1</v>
      </c>
      <c r="J21" s="72">
        <v>3</v>
      </c>
      <c r="K21" s="72">
        <v>1</v>
      </c>
      <c r="L21" s="72">
        <v>8</v>
      </c>
      <c r="M21" s="72">
        <v>1</v>
      </c>
      <c r="N21" s="155">
        <f t="shared" si="0"/>
        <v>20</v>
      </c>
    </row>
    <row r="22" spans="1:14" s="73" customFormat="1" ht="21" x14ac:dyDescent="0.25">
      <c r="A22" s="126">
        <v>21</v>
      </c>
      <c r="B22" s="500"/>
      <c r="C22" s="153" t="s">
        <v>34</v>
      </c>
      <c r="D22" s="153" t="s">
        <v>382</v>
      </c>
      <c r="E22" s="72">
        <v>1</v>
      </c>
      <c r="F22" s="72"/>
      <c r="G22" s="72"/>
      <c r="H22" s="72"/>
      <c r="I22" s="72"/>
      <c r="J22" s="72"/>
      <c r="K22" s="72">
        <v>1</v>
      </c>
      <c r="L22" s="72"/>
      <c r="M22" s="72">
        <v>1</v>
      </c>
      <c r="N22" s="155">
        <f t="shared" si="0"/>
        <v>3</v>
      </c>
    </row>
    <row r="23" spans="1:14" s="73" customFormat="1" ht="21" x14ac:dyDescent="0.25">
      <c r="A23" s="126">
        <v>22</v>
      </c>
      <c r="B23" s="500"/>
      <c r="C23" s="153" t="s">
        <v>35</v>
      </c>
      <c r="D23" s="153" t="s">
        <v>382</v>
      </c>
      <c r="E23" s="72">
        <v>1</v>
      </c>
      <c r="F23" s="72"/>
      <c r="G23" s="72"/>
      <c r="H23" s="72"/>
      <c r="I23" s="72"/>
      <c r="J23" s="72"/>
      <c r="K23" s="72">
        <v>1</v>
      </c>
      <c r="L23" s="72"/>
      <c r="M23" s="72">
        <v>1</v>
      </c>
      <c r="N23" s="155">
        <f t="shared" si="0"/>
        <v>3</v>
      </c>
    </row>
    <row r="24" spans="1:14" s="73" customFormat="1" ht="21" x14ac:dyDescent="0.25">
      <c r="A24" s="126">
        <v>23</v>
      </c>
      <c r="B24" s="500"/>
      <c r="C24" s="153" t="s">
        <v>36</v>
      </c>
      <c r="D24" s="153" t="s">
        <v>382</v>
      </c>
      <c r="E24" s="72">
        <v>1</v>
      </c>
      <c r="F24" s="72"/>
      <c r="G24" s="72"/>
      <c r="H24" s="72"/>
      <c r="I24" s="72"/>
      <c r="J24" s="72"/>
      <c r="K24" s="72">
        <v>1</v>
      </c>
      <c r="L24" s="72"/>
      <c r="M24" s="72">
        <v>1</v>
      </c>
      <c r="N24" s="155">
        <f t="shared" si="0"/>
        <v>3</v>
      </c>
    </row>
    <row r="25" spans="1:14" s="73" customFormat="1" ht="21" x14ac:dyDescent="0.25">
      <c r="A25" s="126">
        <v>24</v>
      </c>
      <c r="B25" s="500"/>
      <c r="C25" s="153" t="s">
        <v>37</v>
      </c>
      <c r="D25" s="153" t="s">
        <v>379</v>
      </c>
      <c r="E25" s="72">
        <v>1</v>
      </c>
      <c r="F25" s="72"/>
      <c r="G25" s="72"/>
      <c r="H25" s="72"/>
      <c r="I25" s="72">
        <v>1</v>
      </c>
      <c r="J25" s="72"/>
      <c r="K25" s="72">
        <v>1</v>
      </c>
      <c r="L25" s="72">
        <v>1</v>
      </c>
      <c r="M25" s="72">
        <v>1</v>
      </c>
      <c r="N25" s="155">
        <f t="shared" si="0"/>
        <v>5</v>
      </c>
    </row>
    <row r="26" spans="1:14" s="73" customFormat="1" ht="21" x14ac:dyDescent="0.25">
      <c r="A26" s="126">
        <v>25</v>
      </c>
      <c r="B26" s="500"/>
      <c r="C26" s="153" t="s">
        <v>141</v>
      </c>
      <c r="D26" s="153" t="s">
        <v>382</v>
      </c>
      <c r="E26" s="72">
        <v>1</v>
      </c>
      <c r="F26" s="72" t="s">
        <v>317</v>
      </c>
      <c r="G26" s="72"/>
      <c r="H26" s="72"/>
      <c r="I26" s="72"/>
      <c r="J26" s="72"/>
      <c r="K26" s="72">
        <v>1</v>
      </c>
      <c r="L26" s="72"/>
      <c r="M26" s="72">
        <v>1</v>
      </c>
      <c r="N26" s="155">
        <f t="shared" si="0"/>
        <v>3</v>
      </c>
    </row>
    <row r="27" spans="1:14" s="73" customFormat="1" ht="21" x14ac:dyDescent="0.25">
      <c r="A27" s="126">
        <v>26</v>
      </c>
      <c r="B27" s="500"/>
      <c r="C27" s="153" t="s">
        <v>305</v>
      </c>
      <c r="D27" s="153" t="s">
        <v>382</v>
      </c>
      <c r="E27" s="72">
        <v>1</v>
      </c>
      <c r="F27" s="72"/>
      <c r="G27" s="72"/>
      <c r="H27" s="72"/>
      <c r="I27" s="72"/>
      <c r="J27" s="72"/>
      <c r="K27" s="72">
        <v>1</v>
      </c>
      <c r="L27" s="72"/>
      <c r="M27" s="72">
        <v>1</v>
      </c>
      <c r="N27" s="155">
        <f t="shared" si="0"/>
        <v>3</v>
      </c>
    </row>
    <row r="28" spans="1:14" s="73" customFormat="1" ht="21" x14ac:dyDescent="0.25">
      <c r="A28" s="126">
        <v>27</v>
      </c>
      <c r="B28" s="500" t="s">
        <v>38</v>
      </c>
      <c r="C28" s="153" t="s">
        <v>38</v>
      </c>
      <c r="D28" s="153" t="s">
        <v>378</v>
      </c>
      <c r="E28" s="72">
        <v>1</v>
      </c>
      <c r="F28" s="72"/>
      <c r="G28" s="72"/>
      <c r="H28" s="72"/>
      <c r="I28" s="72"/>
      <c r="J28" s="72"/>
      <c r="K28" s="72">
        <v>1</v>
      </c>
      <c r="L28" s="72"/>
      <c r="M28" s="72">
        <v>1</v>
      </c>
      <c r="N28" s="155">
        <f t="shared" si="0"/>
        <v>3</v>
      </c>
    </row>
    <row r="29" spans="1:14" s="73" customFormat="1" ht="21" x14ac:dyDescent="0.25">
      <c r="A29" s="126">
        <v>28</v>
      </c>
      <c r="B29" s="500"/>
      <c r="C29" s="153" t="s">
        <v>39</v>
      </c>
      <c r="D29" s="153" t="s">
        <v>380</v>
      </c>
      <c r="E29" s="72"/>
      <c r="F29" s="72"/>
      <c r="G29" s="72"/>
      <c r="H29" s="72"/>
      <c r="I29" s="72"/>
      <c r="J29" s="72"/>
      <c r="K29" s="72"/>
      <c r="L29" s="72">
        <v>1</v>
      </c>
      <c r="M29" s="72">
        <v>1</v>
      </c>
      <c r="N29" s="155">
        <f t="shared" si="0"/>
        <v>2</v>
      </c>
    </row>
    <row r="30" spans="1:14" s="73" customFormat="1" ht="21" x14ac:dyDescent="0.25">
      <c r="A30" s="126">
        <v>29</v>
      </c>
      <c r="B30" s="500" t="s">
        <v>88</v>
      </c>
      <c r="C30" s="153" t="s">
        <v>88</v>
      </c>
      <c r="D30" s="153" t="s">
        <v>378</v>
      </c>
      <c r="E30" s="72">
        <v>1</v>
      </c>
      <c r="F30" s="72"/>
      <c r="G30" s="72"/>
      <c r="H30" s="72"/>
      <c r="I30" s="72"/>
      <c r="J30" s="72"/>
      <c r="K30" s="72">
        <v>1</v>
      </c>
      <c r="L30" s="72"/>
      <c r="M30" s="72">
        <v>1</v>
      </c>
      <c r="N30" s="155">
        <f t="shared" si="0"/>
        <v>3</v>
      </c>
    </row>
    <row r="31" spans="1:14" s="73" customFormat="1" ht="21" x14ac:dyDescent="0.25">
      <c r="A31" s="126">
        <v>30</v>
      </c>
      <c r="B31" s="500"/>
      <c r="C31" s="153" t="s">
        <v>41</v>
      </c>
      <c r="D31" s="153" t="s">
        <v>380</v>
      </c>
      <c r="E31" s="72"/>
      <c r="F31" s="72"/>
      <c r="G31" s="72"/>
      <c r="H31" s="72"/>
      <c r="I31" s="72"/>
      <c r="J31" s="72"/>
      <c r="K31" s="72"/>
      <c r="L31" s="72">
        <v>1</v>
      </c>
      <c r="M31" s="72">
        <v>1</v>
      </c>
      <c r="N31" s="155">
        <f t="shared" si="0"/>
        <v>2</v>
      </c>
    </row>
    <row r="32" spans="1:14" s="73" customFormat="1" ht="21" x14ac:dyDescent="0.25">
      <c r="A32" s="126">
        <v>31</v>
      </c>
      <c r="B32" s="500"/>
      <c r="C32" s="153" t="s">
        <v>42</v>
      </c>
      <c r="D32" s="153" t="s">
        <v>380</v>
      </c>
      <c r="E32" s="72"/>
      <c r="F32" s="72"/>
      <c r="G32" s="72"/>
      <c r="H32" s="72"/>
      <c r="I32" s="72"/>
      <c r="J32" s="72"/>
      <c r="K32" s="72"/>
      <c r="L32" s="72">
        <v>1</v>
      </c>
      <c r="M32" s="72">
        <v>1</v>
      </c>
      <c r="N32" s="155">
        <f t="shared" si="0"/>
        <v>2</v>
      </c>
    </row>
    <row r="33" spans="1:14" s="73" customFormat="1" ht="21" x14ac:dyDescent="0.25">
      <c r="A33" s="126">
        <v>32</v>
      </c>
      <c r="B33" s="500" t="s">
        <v>43</v>
      </c>
      <c r="C33" s="153" t="s">
        <v>89</v>
      </c>
      <c r="D33" s="153" t="s">
        <v>378</v>
      </c>
      <c r="E33" s="72">
        <v>1</v>
      </c>
      <c r="F33" s="72"/>
      <c r="G33" s="72"/>
      <c r="H33" s="72"/>
      <c r="I33" s="72"/>
      <c r="J33" s="72"/>
      <c r="K33" s="72">
        <v>1</v>
      </c>
      <c r="L33" s="72"/>
      <c r="M33" s="72">
        <v>1</v>
      </c>
      <c r="N33" s="155">
        <f t="shared" si="0"/>
        <v>3</v>
      </c>
    </row>
    <row r="34" spans="1:14" s="73" customFormat="1" ht="21" x14ac:dyDescent="0.25">
      <c r="A34" s="126">
        <v>33</v>
      </c>
      <c r="B34" s="500"/>
      <c r="C34" s="153" t="s">
        <v>44</v>
      </c>
      <c r="D34" s="153" t="s">
        <v>380</v>
      </c>
      <c r="E34" s="72"/>
      <c r="F34" s="72"/>
      <c r="G34" s="72"/>
      <c r="H34" s="72"/>
      <c r="I34" s="72"/>
      <c r="J34" s="72"/>
      <c r="K34" s="72"/>
      <c r="L34" s="72">
        <v>1</v>
      </c>
      <c r="M34" s="72">
        <v>1</v>
      </c>
      <c r="N34" s="155">
        <f t="shared" si="0"/>
        <v>2</v>
      </c>
    </row>
    <row r="35" spans="1:14" s="73" customFormat="1" ht="21" x14ac:dyDescent="0.25">
      <c r="A35" s="126">
        <v>34</v>
      </c>
      <c r="B35" s="500"/>
      <c r="C35" s="153" t="s">
        <v>45</v>
      </c>
      <c r="D35" s="153" t="s">
        <v>380</v>
      </c>
      <c r="E35" s="72"/>
      <c r="F35" s="72"/>
      <c r="G35" s="72"/>
      <c r="H35" s="72"/>
      <c r="I35" s="72"/>
      <c r="J35" s="72"/>
      <c r="K35" s="72"/>
      <c r="L35" s="72">
        <v>1</v>
      </c>
      <c r="M35" s="72">
        <v>1</v>
      </c>
      <c r="N35" s="155">
        <f t="shared" si="0"/>
        <v>2</v>
      </c>
    </row>
    <row r="36" spans="1:14" s="73" customFormat="1" ht="21" x14ac:dyDescent="0.25">
      <c r="A36" s="126">
        <v>35</v>
      </c>
      <c r="B36" s="500" t="s">
        <v>46</v>
      </c>
      <c r="C36" s="153" t="s">
        <v>47</v>
      </c>
      <c r="D36" s="153" t="s">
        <v>378</v>
      </c>
      <c r="E36" s="72">
        <v>1</v>
      </c>
      <c r="F36" s="72"/>
      <c r="G36" s="72"/>
      <c r="H36" s="72"/>
      <c r="I36" s="72"/>
      <c r="J36" s="72"/>
      <c r="K36" s="72">
        <v>1</v>
      </c>
      <c r="L36" s="72"/>
      <c r="M36" s="72">
        <v>1</v>
      </c>
      <c r="N36" s="155">
        <f t="shared" si="0"/>
        <v>3</v>
      </c>
    </row>
    <row r="37" spans="1:14" s="73" customFormat="1" ht="21" x14ac:dyDescent="0.25">
      <c r="A37" s="126">
        <v>36</v>
      </c>
      <c r="B37" s="500"/>
      <c r="C37" s="153" t="s">
        <v>48</v>
      </c>
      <c r="D37" s="153" t="s">
        <v>380</v>
      </c>
      <c r="E37" s="72"/>
      <c r="F37" s="72"/>
      <c r="G37" s="72"/>
      <c r="H37" s="72"/>
      <c r="I37" s="72"/>
      <c r="J37" s="72"/>
      <c r="K37" s="72"/>
      <c r="L37" s="72">
        <v>1</v>
      </c>
      <c r="M37" s="72">
        <v>1</v>
      </c>
      <c r="N37" s="155">
        <f t="shared" si="0"/>
        <v>2</v>
      </c>
    </row>
    <row r="38" spans="1:14" s="73" customFormat="1" ht="21" x14ac:dyDescent="0.25">
      <c r="A38" s="126">
        <v>37</v>
      </c>
      <c r="B38" s="500"/>
      <c r="C38" s="153" t="s">
        <v>314</v>
      </c>
      <c r="D38" s="153" t="s">
        <v>380</v>
      </c>
      <c r="E38" s="72"/>
      <c r="F38" s="72"/>
      <c r="G38" s="72"/>
      <c r="H38" s="72"/>
      <c r="I38" s="72"/>
      <c r="J38" s="72"/>
      <c r="K38" s="72"/>
      <c r="L38" s="72">
        <v>1</v>
      </c>
      <c r="M38" s="72">
        <v>1</v>
      </c>
      <c r="N38" s="155">
        <f t="shared" si="0"/>
        <v>2</v>
      </c>
    </row>
    <row r="39" spans="1:14" s="73" customFormat="1" ht="21" x14ac:dyDescent="0.25">
      <c r="A39" s="126">
        <v>38</v>
      </c>
      <c r="B39" s="500" t="s">
        <v>49</v>
      </c>
      <c r="C39" s="153" t="s">
        <v>49</v>
      </c>
      <c r="D39" s="153" t="s">
        <v>382</v>
      </c>
      <c r="E39" s="72">
        <v>1</v>
      </c>
      <c r="F39" s="72"/>
      <c r="G39" s="72"/>
      <c r="H39" s="72"/>
      <c r="I39" s="72"/>
      <c r="J39" s="72"/>
      <c r="K39" s="72">
        <v>1</v>
      </c>
      <c r="L39" s="72">
        <v>1</v>
      </c>
      <c r="M39" s="72">
        <v>1</v>
      </c>
      <c r="N39" s="155">
        <f t="shared" si="0"/>
        <v>4</v>
      </c>
    </row>
    <row r="40" spans="1:14" s="73" customFormat="1" ht="21" x14ac:dyDescent="0.25">
      <c r="A40" s="126">
        <v>39</v>
      </c>
      <c r="B40" s="500"/>
      <c r="C40" s="153" t="s">
        <v>50</v>
      </c>
      <c r="D40" s="153" t="s">
        <v>382</v>
      </c>
      <c r="E40" s="72">
        <v>1</v>
      </c>
      <c r="F40" s="72"/>
      <c r="G40" s="72"/>
      <c r="H40" s="72"/>
      <c r="I40" s="72"/>
      <c r="J40" s="72"/>
      <c r="K40" s="72">
        <v>1</v>
      </c>
      <c r="L40" s="72"/>
      <c r="M40" s="72">
        <v>1</v>
      </c>
      <c r="N40" s="155">
        <f t="shared" si="0"/>
        <v>3</v>
      </c>
    </row>
    <row r="41" spans="1:14" s="73" customFormat="1" ht="21" x14ac:dyDescent="0.25">
      <c r="A41" s="126">
        <v>40</v>
      </c>
      <c r="B41" s="500"/>
      <c r="C41" s="153" t="s">
        <v>51</v>
      </c>
      <c r="D41" s="153" t="s">
        <v>381</v>
      </c>
      <c r="E41" s="72">
        <v>1</v>
      </c>
      <c r="F41" s="72"/>
      <c r="G41" s="72"/>
      <c r="H41" s="72"/>
      <c r="I41" s="72"/>
      <c r="J41" s="72"/>
      <c r="K41" s="72">
        <v>1</v>
      </c>
      <c r="L41" s="72"/>
      <c r="M41" s="72">
        <v>1</v>
      </c>
      <c r="N41" s="155">
        <f t="shared" si="0"/>
        <v>3</v>
      </c>
    </row>
    <row r="42" spans="1:14" s="73" customFormat="1" ht="21" x14ac:dyDescent="0.25">
      <c r="A42" s="126">
        <v>41</v>
      </c>
      <c r="B42" s="500" t="s">
        <v>52</v>
      </c>
      <c r="C42" s="153" t="s">
        <v>53</v>
      </c>
      <c r="D42" s="153" t="s">
        <v>381</v>
      </c>
      <c r="E42" s="72">
        <v>1</v>
      </c>
      <c r="F42" s="72"/>
      <c r="G42" s="72"/>
      <c r="H42" s="72"/>
      <c r="I42" s="72"/>
      <c r="J42" s="72"/>
      <c r="K42" s="72">
        <v>1</v>
      </c>
      <c r="L42" s="72">
        <v>1</v>
      </c>
      <c r="M42" s="72">
        <v>1</v>
      </c>
      <c r="N42" s="155">
        <f t="shared" si="0"/>
        <v>4</v>
      </c>
    </row>
    <row r="43" spans="1:14" s="73" customFormat="1" ht="21" x14ac:dyDescent="0.25">
      <c r="A43" s="126">
        <v>42</v>
      </c>
      <c r="B43" s="500"/>
      <c r="C43" s="153" t="s">
        <v>54</v>
      </c>
      <c r="D43" s="153" t="s">
        <v>379</v>
      </c>
      <c r="E43" s="72">
        <v>1</v>
      </c>
      <c r="F43" s="72"/>
      <c r="G43" s="72"/>
      <c r="H43" s="72"/>
      <c r="I43" s="72">
        <v>1</v>
      </c>
      <c r="J43" s="72"/>
      <c r="K43" s="72">
        <v>1</v>
      </c>
      <c r="L43" s="72">
        <v>1</v>
      </c>
      <c r="M43" s="72">
        <v>1</v>
      </c>
      <c r="N43" s="155">
        <f t="shared" si="0"/>
        <v>5</v>
      </c>
    </row>
    <row r="44" spans="1:14" s="73" customFormat="1" ht="21" x14ac:dyDescent="0.25">
      <c r="A44" s="126">
        <v>43</v>
      </c>
      <c r="B44" s="500"/>
      <c r="C44" s="153" t="s">
        <v>55</v>
      </c>
      <c r="D44" s="153" t="s">
        <v>382</v>
      </c>
      <c r="E44" s="72">
        <v>1</v>
      </c>
      <c r="F44" s="72"/>
      <c r="G44" s="72"/>
      <c r="H44" s="72"/>
      <c r="I44" s="72"/>
      <c r="J44" s="72"/>
      <c r="K44" s="72">
        <v>1</v>
      </c>
      <c r="L44" s="72"/>
      <c r="M44" s="72">
        <v>1</v>
      </c>
      <c r="N44" s="155">
        <f t="shared" si="0"/>
        <v>3</v>
      </c>
    </row>
    <row r="45" spans="1:14" s="73" customFormat="1" ht="21" x14ac:dyDescent="0.25">
      <c r="A45" s="126">
        <v>44</v>
      </c>
      <c r="B45" s="500"/>
      <c r="C45" s="153" t="s">
        <v>56</v>
      </c>
      <c r="D45" s="153" t="s">
        <v>379</v>
      </c>
      <c r="E45" s="72">
        <v>1</v>
      </c>
      <c r="F45" s="72"/>
      <c r="G45" s="72"/>
      <c r="H45" s="72"/>
      <c r="I45" s="72">
        <v>1</v>
      </c>
      <c r="J45" s="72"/>
      <c r="K45" s="72">
        <v>1</v>
      </c>
      <c r="L45" s="72">
        <v>1</v>
      </c>
      <c r="M45" s="72">
        <v>1</v>
      </c>
      <c r="N45" s="155">
        <f t="shared" si="0"/>
        <v>5</v>
      </c>
    </row>
    <row r="46" spans="1:14" s="73" customFormat="1" ht="21" x14ac:dyDescent="0.25">
      <c r="A46" s="126">
        <v>45</v>
      </c>
      <c r="B46" s="500"/>
      <c r="C46" s="153" t="s">
        <v>57</v>
      </c>
      <c r="D46" s="153" t="s">
        <v>382</v>
      </c>
      <c r="E46" s="72">
        <v>1</v>
      </c>
      <c r="F46" s="72"/>
      <c r="G46" s="72"/>
      <c r="H46" s="72"/>
      <c r="I46" s="72"/>
      <c r="J46" s="72"/>
      <c r="K46" s="72">
        <v>1</v>
      </c>
      <c r="L46" s="72"/>
      <c r="M46" s="72">
        <v>1</v>
      </c>
      <c r="N46" s="155">
        <f t="shared" si="0"/>
        <v>3</v>
      </c>
    </row>
    <row r="47" spans="1:14" s="73" customFormat="1" ht="21" x14ac:dyDescent="0.25">
      <c r="A47" s="126">
        <v>46</v>
      </c>
      <c r="B47" s="500"/>
      <c r="C47" s="153" t="s">
        <v>58</v>
      </c>
      <c r="D47" s="153" t="s">
        <v>382</v>
      </c>
      <c r="E47" s="72">
        <v>1</v>
      </c>
      <c r="F47" s="72"/>
      <c r="G47" s="72"/>
      <c r="H47" s="72"/>
      <c r="I47" s="72"/>
      <c r="J47" s="72"/>
      <c r="K47" s="72">
        <v>1</v>
      </c>
      <c r="L47" s="72"/>
      <c r="M47" s="72">
        <v>1</v>
      </c>
      <c r="N47" s="155">
        <f t="shared" si="0"/>
        <v>3</v>
      </c>
    </row>
    <row r="48" spans="1:14" s="73" customFormat="1" ht="21" x14ac:dyDescent="0.25">
      <c r="A48" s="126">
        <v>47</v>
      </c>
      <c r="B48" s="500"/>
      <c r="C48" s="153" t="s">
        <v>59</v>
      </c>
      <c r="D48" s="153" t="s">
        <v>382</v>
      </c>
      <c r="E48" s="72">
        <v>1</v>
      </c>
      <c r="F48" s="72"/>
      <c r="G48" s="72"/>
      <c r="H48" s="72"/>
      <c r="I48" s="72"/>
      <c r="J48" s="72"/>
      <c r="K48" s="72">
        <v>1</v>
      </c>
      <c r="L48" s="72"/>
      <c r="M48" s="72">
        <v>1</v>
      </c>
      <c r="N48" s="155">
        <f t="shared" si="0"/>
        <v>3</v>
      </c>
    </row>
    <row r="49" spans="1:14" s="73" customFormat="1" ht="21" x14ac:dyDescent="0.25">
      <c r="A49" s="126">
        <v>48</v>
      </c>
      <c r="B49" s="500"/>
      <c r="C49" s="153" t="s">
        <v>336</v>
      </c>
      <c r="D49" s="153" t="s">
        <v>382</v>
      </c>
      <c r="E49" s="72">
        <v>1</v>
      </c>
      <c r="F49" s="72"/>
      <c r="G49" s="72"/>
      <c r="H49" s="72"/>
      <c r="I49" s="72"/>
      <c r="J49" s="72"/>
      <c r="K49" s="72">
        <v>1</v>
      </c>
      <c r="L49" s="72"/>
      <c r="M49" s="72">
        <v>1</v>
      </c>
      <c r="N49" s="155">
        <f t="shared" si="0"/>
        <v>3</v>
      </c>
    </row>
    <row r="50" spans="1:14" s="73" customFormat="1" ht="21" x14ac:dyDescent="0.25">
      <c r="A50" s="126"/>
      <c r="B50" s="126"/>
      <c r="C50" s="153" t="s">
        <v>60</v>
      </c>
      <c r="D50" s="153"/>
      <c r="E50" s="72">
        <f>SUM(E2:E49)</f>
        <v>31</v>
      </c>
      <c r="F50" s="72">
        <f t="shared" ref="F50:N50" si="1">SUM(F2:F49)</f>
        <v>1</v>
      </c>
      <c r="G50" s="72">
        <f t="shared" si="1"/>
        <v>4</v>
      </c>
      <c r="H50" s="72">
        <f t="shared" si="1"/>
        <v>1</v>
      </c>
      <c r="I50" s="72">
        <f t="shared" si="1"/>
        <v>6</v>
      </c>
      <c r="J50" s="72">
        <f t="shared" si="1"/>
        <v>3</v>
      </c>
      <c r="K50" s="72">
        <f t="shared" si="1"/>
        <v>32</v>
      </c>
      <c r="L50" s="72">
        <f t="shared" si="1"/>
        <v>32</v>
      </c>
      <c r="M50" s="72">
        <f t="shared" si="1"/>
        <v>48</v>
      </c>
      <c r="N50" s="155">
        <f t="shared" si="1"/>
        <v>158</v>
      </c>
    </row>
  </sheetData>
  <mergeCells count="12">
    <mergeCell ref="B28:B29"/>
    <mergeCell ref="B30:B32"/>
    <mergeCell ref="B39:B41"/>
    <mergeCell ref="B42:B49"/>
    <mergeCell ref="B33:B35"/>
    <mergeCell ref="B36:B38"/>
    <mergeCell ref="B21:B27"/>
    <mergeCell ref="B2:B5"/>
    <mergeCell ref="B7:B10"/>
    <mergeCell ref="B11:B12"/>
    <mergeCell ref="B13:B15"/>
    <mergeCell ref="B16:B20"/>
  </mergeCells>
  <pageMargins left="0.70866141732283472" right="0.70866141732283472" top="0.74803149606299213" bottom="0.74803149606299213" header="0.31496062992125984" footer="0.31496062992125984"/>
  <pageSetup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L189"/>
  <sheetViews>
    <sheetView workbookViewId="0">
      <selection activeCell="M4" sqref="M4"/>
    </sheetView>
  </sheetViews>
  <sheetFormatPr defaultRowHeight="15" x14ac:dyDescent="0.25"/>
  <cols>
    <col min="1" max="1" width="5.42578125" style="6" bestFit="1" customWidth="1"/>
    <col min="2" max="2" width="9.42578125" style="6" bestFit="1" customWidth="1"/>
    <col min="3" max="3" width="11.5703125" style="6" bestFit="1" customWidth="1"/>
    <col min="4" max="4" width="9.140625" style="6"/>
    <col min="5" max="5" width="3.7109375" style="6" bestFit="1" customWidth="1"/>
    <col min="6" max="6" width="3.85546875" style="6" bestFit="1" customWidth="1"/>
    <col min="7" max="7" width="3.85546875" style="6" customWidth="1"/>
    <col min="8" max="11" width="3.85546875" style="6" bestFit="1" customWidth="1"/>
    <col min="12" max="12" width="3.85546875" style="6" customWidth="1"/>
    <col min="13" max="15" width="3.85546875" style="6" bestFit="1" customWidth="1"/>
    <col min="16" max="16" width="3.85546875" style="6" customWidth="1"/>
    <col min="17" max="37" width="3.85546875" style="6" bestFit="1" customWidth="1"/>
    <col min="38" max="38" width="3.7109375" style="6" bestFit="1" customWidth="1"/>
    <col min="39" max="16384" width="9.140625" style="6"/>
  </cols>
  <sheetData>
    <row r="1" spans="1:38" ht="143.25" customHeight="1" x14ac:dyDescent="0.25">
      <c r="A1" s="74" t="s">
        <v>76</v>
      </c>
      <c r="B1" s="74" t="s">
        <v>217</v>
      </c>
      <c r="C1" s="75" t="s">
        <v>218</v>
      </c>
      <c r="D1" s="74" t="s">
        <v>219</v>
      </c>
      <c r="E1" s="156" t="s">
        <v>363</v>
      </c>
      <c r="F1" s="156" t="s">
        <v>266</v>
      </c>
      <c r="G1" s="156" t="s">
        <v>259</v>
      </c>
      <c r="H1" s="156" t="s">
        <v>220</v>
      </c>
      <c r="I1" s="156" t="s">
        <v>221</v>
      </c>
      <c r="J1" s="156" t="s">
        <v>222</v>
      </c>
      <c r="K1" s="156" t="s">
        <v>223</v>
      </c>
      <c r="L1" s="156" t="s">
        <v>261</v>
      </c>
      <c r="M1" s="156" t="s">
        <v>224</v>
      </c>
      <c r="N1" s="157" t="s">
        <v>260</v>
      </c>
      <c r="O1" s="156" t="s">
        <v>225</v>
      </c>
      <c r="P1" s="156" t="s">
        <v>263</v>
      </c>
      <c r="Q1" s="156" t="s">
        <v>226</v>
      </c>
      <c r="R1" s="156" t="s">
        <v>227</v>
      </c>
      <c r="S1" s="156" t="s">
        <v>228</v>
      </c>
      <c r="T1" s="158" t="s">
        <v>229</v>
      </c>
      <c r="U1" s="156" t="s">
        <v>230</v>
      </c>
      <c r="V1" s="158" t="s">
        <v>231</v>
      </c>
      <c r="W1" s="156" t="s">
        <v>232</v>
      </c>
      <c r="X1" s="156" t="s">
        <v>233</v>
      </c>
      <c r="Y1" s="156" t="s">
        <v>234</v>
      </c>
      <c r="Z1" s="156" t="s">
        <v>235</v>
      </c>
      <c r="AA1" s="156" t="s">
        <v>236</v>
      </c>
      <c r="AB1" s="156" t="s">
        <v>237</v>
      </c>
      <c r="AC1" s="156" t="s">
        <v>316</v>
      </c>
      <c r="AD1" s="156" t="s">
        <v>238</v>
      </c>
      <c r="AE1" s="156" t="s">
        <v>239</v>
      </c>
      <c r="AF1" s="157" t="s">
        <v>240</v>
      </c>
      <c r="AG1" s="156" t="s">
        <v>241</v>
      </c>
      <c r="AH1" s="158" t="s">
        <v>242</v>
      </c>
      <c r="AI1" s="156" t="s">
        <v>243</v>
      </c>
      <c r="AJ1" s="156" t="s">
        <v>244</v>
      </c>
      <c r="AK1" s="156" t="s">
        <v>262</v>
      </c>
      <c r="AL1" s="156" t="s">
        <v>362</v>
      </c>
    </row>
    <row r="2" spans="1:38" ht="15.75" x14ac:dyDescent="0.25">
      <c r="A2" s="85">
        <v>1</v>
      </c>
      <c r="B2" s="159" t="s">
        <v>186</v>
      </c>
      <c r="C2" s="74" t="s">
        <v>186</v>
      </c>
      <c r="D2" s="80" t="s">
        <v>245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1"/>
      <c r="AG2" s="80"/>
      <c r="AH2" s="81"/>
      <c r="AI2" s="81"/>
      <c r="AJ2" s="81"/>
      <c r="AK2" s="81"/>
      <c r="AL2" s="147"/>
    </row>
    <row r="3" spans="1:38" ht="15.75" x14ac:dyDescent="0.25">
      <c r="A3" s="86"/>
      <c r="B3" s="159"/>
      <c r="C3" s="74"/>
      <c r="D3" s="80" t="s">
        <v>246</v>
      </c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1"/>
      <c r="AG3" s="80"/>
      <c r="AH3" s="81"/>
      <c r="AI3" s="81"/>
      <c r="AJ3" s="81"/>
      <c r="AK3" s="81"/>
      <c r="AL3" s="147"/>
    </row>
    <row r="4" spans="1:38" ht="15.75" x14ac:dyDescent="0.25">
      <c r="A4" s="86"/>
      <c r="B4" s="159"/>
      <c r="C4" s="74"/>
      <c r="D4" s="80" t="s">
        <v>247</v>
      </c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1"/>
      <c r="AG4" s="80"/>
      <c r="AH4" s="81"/>
      <c r="AI4" s="81"/>
      <c r="AJ4" s="81"/>
      <c r="AK4" s="81"/>
      <c r="AL4" s="147"/>
    </row>
    <row r="5" spans="1:38" ht="15.75" x14ac:dyDescent="0.25">
      <c r="A5" s="86"/>
      <c r="B5" s="159"/>
      <c r="C5" s="74"/>
      <c r="D5" s="80" t="s">
        <v>248</v>
      </c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147"/>
    </row>
    <row r="6" spans="1:38" ht="15.75" x14ac:dyDescent="0.25">
      <c r="A6" s="86"/>
      <c r="B6" s="159"/>
      <c r="C6" s="74"/>
      <c r="D6" s="80" t="s">
        <v>258</v>
      </c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147"/>
    </row>
    <row r="7" spans="1:38" ht="15.75" x14ac:dyDescent="0.25">
      <c r="A7" s="85">
        <v>2</v>
      </c>
      <c r="B7" s="159"/>
      <c r="C7" s="74" t="s">
        <v>39</v>
      </c>
      <c r="D7" s="80" t="s">
        <v>245</v>
      </c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1"/>
      <c r="AG7" s="80"/>
      <c r="AH7" s="81"/>
      <c r="AI7" s="81"/>
      <c r="AJ7" s="81"/>
      <c r="AK7" s="81"/>
      <c r="AL7" s="147"/>
    </row>
    <row r="8" spans="1:38" ht="15.75" x14ac:dyDescent="0.25">
      <c r="A8" s="86"/>
      <c r="B8" s="159"/>
      <c r="C8" s="74"/>
      <c r="D8" s="80" t="s">
        <v>246</v>
      </c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1"/>
      <c r="AG8" s="80"/>
      <c r="AH8" s="81"/>
      <c r="AI8" s="81"/>
      <c r="AJ8" s="81"/>
      <c r="AK8" s="81"/>
      <c r="AL8" s="147"/>
    </row>
    <row r="9" spans="1:38" ht="15.75" x14ac:dyDescent="0.25">
      <c r="A9" s="86"/>
      <c r="B9" s="159"/>
      <c r="C9" s="74"/>
      <c r="D9" s="80" t="s">
        <v>247</v>
      </c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1"/>
      <c r="AG9" s="80"/>
      <c r="AH9" s="81"/>
      <c r="AI9" s="81"/>
      <c r="AJ9" s="81"/>
      <c r="AK9" s="81"/>
      <c r="AL9" s="147"/>
    </row>
    <row r="10" spans="1:38" ht="15.75" x14ac:dyDescent="0.25">
      <c r="A10" s="144"/>
      <c r="B10" s="159"/>
      <c r="C10" s="74"/>
      <c r="D10" s="80" t="s">
        <v>248</v>
      </c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1"/>
      <c r="AG10" s="80"/>
      <c r="AH10" s="81"/>
      <c r="AI10" s="81"/>
      <c r="AJ10" s="81"/>
      <c r="AK10" s="81"/>
      <c r="AL10" s="147"/>
    </row>
    <row r="11" spans="1:38" ht="15.75" x14ac:dyDescent="0.25">
      <c r="A11" s="86"/>
      <c r="B11" s="159"/>
      <c r="C11" s="74"/>
      <c r="D11" s="80" t="s">
        <v>258</v>
      </c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147"/>
    </row>
    <row r="12" spans="1:38" ht="15.75" x14ac:dyDescent="0.25">
      <c r="A12" s="79">
        <v>3</v>
      </c>
      <c r="B12" s="74" t="s">
        <v>167</v>
      </c>
      <c r="C12" s="74" t="s">
        <v>167</v>
      </c>
      <c r="D12" s="80" t="s">
        <v>245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1"/>
      <c r="AG12" s="80"/>
      <c r="AH12" s="81"/>
      <c r="AI12" s="81"/>
      <c r="AJ12" s="81"/>
      <c r="AK12" s="81"/>
      <c r="AL12" s="147"/>
    </row>
    <row r="13" spans="1:38" ht="15.75" x14ac:dyDescent="0.25">
      <c r="A13" s="82"/>
      <c r="B13" s="74"/>
      <c r="C13" s="74"/>
      <c r="D13" s="80" t="s">
        <v>246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1"/>
      <c r="AG13" s="80"/>
      <c r="AH13" s="81"/>
      <c r="AI13" s="81"/>
      <c r="AJ13" s="81"/>
      <c r="AK13" s="81"/>
      <c r="AL13" s="147"/>
    </row>
    <row r="14" spans="1:38" ht="15.75" x14ac:dyDescent="0.25">
      <c r="A14" s="82"/>
      <c r="B14" s="74"/>
      <c r="C14" s="74"/>
      <c r="D14" s="80" t="s">
        <v>247</v>
      </c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1"/>
      <c r="AG14" s="80"/>
      <c r="AH14" s="81"/>
      <c r="AI14" s="81"/>
      <c r="AJ14" s="81"/>
      <c r="AK14" s="81"/>
      <c r="AL14" s="147"/>
    </row>
    <row r="15" spans="1:38" ht="15.75" x14ac:dyDescent="0.25">
      <c r="A15" s="83"/>
      <c r="B15" s="74"/>
      <c r="C15" s="74"/>
      <c r="D15" s="80" t="s">
        <v>248</v>
      </c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1"/>
      <c r="AG15" s="80"/>
      <c r="AH15" s="81"/>
      <c r="AI15" s="81"/>
      <c r="AJ15" s="81"/>
      <c r="AK15" s="81"/>
      <c r="AL15" s="147"/>
    </row>
    <row r="16" spans="1:38" ht="15.75" x14ac:dyDescent="0.25">
      <c r="A16" s="82"/>
      <c r="B16" s="74"/>
      <c r="C16" s="74"/>
      <c r="D16" s="80" t="s">
        <v>258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147"/>
    </row>
    <row r="17" spans="1:38" ht="15.75" x14ac:dyDescent="0.25">
      <c r="A17" s="79">
        <v>4</v>
      </c>
      <c r="B17" s="74"/>
      <c r="C17" s="74" t="s">
        <v>249</v>
      </c>
      <c r="D17" s="80" t="s">
        <v>245</v>
      </c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1"/>
      <c r="AG17" s="80"/>
      <c r="AH17" s="81"/>
      <c r="AI17" s="81"/>
      <c r="AJ17" s="81"/>
      <c r="AK17" s="81"/>
      <c r="AL17" s="147"/>
    </row>
    <row r="18" spans="1:38" ht="15.75" x14ac:dyDescent="0.25">
      <c r="A18" s="82"/>
      <c r="B18" s="74"/>
      <c r="C18" s="74"/>
      <c r="D18" s="80" t="s">
        <v>246</v>
      </c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1"/>
      <c r="AG18" s="80"/>
      <c r="AH18" s="81"/>
      <c r="AI18" s="81"/>
      <c r="AJ18" s="81"/>
      <c r="AK18" s="81"/>
      <c r="AL18" s="147"/>
    </row>
    <row r="19" spans="1:38" ht="15.75" x14ac:dyDescent="0.25">
      <c r="A19" s="82"/>
      <c r="B19" s="74"/>
      <c r="C19" s="74"/>
      <c r="D19" s="80" t="s">
        <v>247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1"/>
      <c r="AG19" s="80"/>
      <c r="AH19" s="81"/>
      <c r="AI19" s="81"/>
      <c r="AJ19" s="81"/>
      <c r="AK19" s="81"/>
      <c r="AL19" s="147"/>
    </row>
    <row r="20" spans="1:38" ht="18.75" x14ac:dyDescent="0.3">
      <c r="A20" s="83"/>
      <c r="B20" s="74"/>
      <c r="C20" s="74"/>
      <c r="D20" s="80" t="s">
        <v>248</v>
      </c>
      <c r="E20" s="80"/>
      <c r="F20" s="80"/>
      <c r="G20" s="80"/>
      <c r="H20" s="80"/>
      <c r="I20" s="80"/>
      <c r="J20" s="16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1"/>
      <c r="AG20" s="80"/>
      <c r="AH20" s="81"/>
      <c r="AI20" s="81"/>
      <c r="AJ20" s="81"/>
      <c r="AK20" s="81"/>
      <c r="AL20" s="147"/>
    </row>
    <row r="21" spans="1:38" ht="15.75" x14ac:dyDescent="0.25">
      <c r="A21" s="85">
        <v>5</v>
      </c>
      <c r="B21" s="159" t="s">
        <v>20</v>
      </c>
      <c r="C21" s="159" t="s">
        <v>20</v>
      </c>
      <c r="D21" s="80" t="s">
        <v>245</v>
      </c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1"/>
      <c r="AG21" s="80"/>
      <c r="AH21" s="81"/>
      <c r="AI21" s="81"/>
      <c r="AJ21" s="81"/>
      <c r="AK21" s="81"/>
      <c r="AL21" s="147"/>
    </row>
    <row r="22" spans="1:38" ht="15.75" x14ac:dyDescent="0.25">
      <c r="A22" s="86"/>
      <c r="B22" s="159"/>
      <c r="C22" s="159"/>
      <c r="D22" s="80" t="s">
        <v>246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1"/>
      <c r="AG22" s="80"/>
      <c r="AH22" s="81"/>
      <c r="AI22" s="81"/>
      <c r="AJ22" s="81"/>
      <c r="AK22" s="81"/>
      <c r="AL22" s="147"/>
    </row>
    <row r="23" spans="1:38" ht="15.75" x14ac:dyDescent="0.25">
      <c r="A23" s="86"/>
      <c r="B23" s="159"/>
      <c r="C23" s="159"/>
      <c r="D23" s="80" t="s">
        <v>247</v>
      </c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1"/>
      <c r="AG23" s="80"/>
      <c r="AH23" s="81"/>
      <c r="AI23" s="81"/>
      <c r="AJ23" s="81"/>
      <c r="AK23" s="81"/>
      <c r="AL23" s="147"/>
    </row>
    <row r="24" spans="1:38" ht="15.75" x14ac:dyDescent="0.25">
      <c r="A24" s="144"/>
      <c r="B24" s="159"/>
      <c r="C24" s="159"/>
      <c r="D24" s="80" t="s">
        <v>248</v>
      </c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1"/>
      <c r="AG24" s="80"/>
      <c r="AH24" s="81"/>
      <c r="AI24" s="81"/>
      <c r="AJ24" s="81"/>
      <c r="AK24" s="81"/>
      <c r="AL24" s="147"/>
    </row>
    <row r="25" spans="1:38" ht="15.75" x14ac:dyDescent="0.25">
      <c r="A25" s="144"/>
      <c r="B25" s="159"/>
      <c r="C25" s="159"/>
      <c r="D25" s="80" t="s">
        <v>258</v>
      </c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147"/>
    </row>
    <row r="26" spans="1:38" ht="15.75" x14ac:dyDescent="0.25">
      <c r="A26" s="84">
        <v>6</v>
      </c>
      <c r="B26" s="84" t="s">
        <v>127</v>
      </c>
      <c r="C26" s="84" t="s">
        <v>127</v>
      </c>
      <c r="D26" s="80" t="s">
        <v>245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1"/>
      <c r="AG26" s="80"/>
      <c r="AH26" s="81"/>
      <c r="AI26" s="81"/>
      <c r="AJ26" s="81"/>
      <c r="AK26" s="81"/>
      <c r="AL26" s="147"/>
    </row>
    <row r="27" spans="1:38" ht="15.75" x14ac:dyDescent="0.25">
      <c r="A27" s="84"/>
      <c r="B27" s="84"/>
      <c r="C27" s="84"/>
      <c r="D27" s="80" t="s">
        <v>246</v>
      </c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1"/>
      <c r="AG27" s="80"/>
      <c r="AH27" s="81"/>
      <c r="AI27" s="81"/>
      <c r="AJ27" s="81"/>
      <c r="AK27" s="81"/>
      <c r="AL27" s="147"/>
    </row>
    <row r="28" spans="1:38" ht="15.75" x14ac:dyDescent="0.25">
      <c r="A28" s="84"/>
      <c r="B28" s="84"/>
      <c r="C28" s="84"/>
      <c r="D28" s="80" t="s">
        <v>247</v>
      </c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1"/>
      <c r="AG28" s="80"/>
      <c r="AH28" s="81"/>
      <c r="AI28" s="81"/>
      <c r="AJ28" s="81"/>
      <c r="AK28" s="81"/>
      <c r="AL28" s="147"/>
    </row>
    <row r="29" spans="1:38" ht="15.75" x14ac:dyDescent="0.25">
      <c r="A29" s="84"/>
      <c r="B29" s="84"/>
      <c r="C29" s="84"/>
      <c r="D29" s="80" t="s">
        <v>248</v>
      </c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1"/>
      <c r="AG29" s="80"/>
      <c r="AH29" s="81"/>
      <c r="AI29" s="81"/>
      <c r="AJ29" s="81"/>
      <c r="AK29" s="81"/>
      <c r="AL29" s="147"/>
    </row>
    <row r="30" spans="1:38" ht="15.75" x14ac:dyDescent="0.25">
      <c r="A30" s="84"/>
      <c r="B30" s="84"/>
      <c r="C30" s="84"/>
      <c r="D30" s="80" t="s">
        <v>258</v>
      </c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1"/>
      <c r="AG30" s="80"/>
      <c r="AH30" s="80"/>
      <c r="AI30" s="80"/>
      <c r="AJ30" s="80"/>
      <c r="AK30" s="80"/>
      <c r="AL30" s="147"/>
    </row>
    <row r="31" spans="1:38" ht="15.75" x14ac:dyDescent="0.25">
      <c r="A31" s="84">
        <v>7</v>
      </c>
      <c r="B31" s="84"/>
      <c r="C31" s="84" t="s">
        <v>172</v>
      </c>
      <c r="D31" s="80" t="s">
        <v>245</v>
      </c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1"/>
      <c r="AG31" s="80"/>
      <c r="AH31" s="81"/>
      <c r="AI31" s="81"/>
      <c r="AJ31" s="81"/>
      <c r="AK31" s="81"/>
      <c r="AL31" s="147"/>
    </row>
    <row r="32" spans="1:38" ht="15.75" x14ac:dyDescent="0.25">
      <c r="A32" s="84"/>
      <c r="B32" s="84"/>
      <c r="C32" s="84"/>
      <c r="D32" s="80" t="s">
        <v>246</v>
      </c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1"/>
      <c r="AG32" s="80"/>
      <c r="AH32" s="81"/>
      <c r="AI32" s="81"/>
      <c r="AJ32" s="81"/>
      <c r="AK32" s="81"/>
      <c r="AL32" s="147"/>
    </row>
    <row r="33" spans="1:38" ht="15.75" x14ac:dyDescent="0.25">
      <c r="A33" s="84"/>
      <c r="B33" s="84"/>
      <c r="C33" s="84"/>
      <c r="D33" s="80" t="s">
        <v>247</v>
      </c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1"/>
      <c r="AG33" s="80"/>
      <c r="AH33" s="81"/>
      <c r="AI33" s="81"/>
      <c r="AJ33" s="81"/>
      <c r="AK33" s="81"/>
      <c r="AL33" s="147"/>
    </row>
    <row r="34" spans="1:38" ht="15.75" x14ac:dyDescent="0.25">
      <c r="A34" s="84"/>
      <c r="B34" s="84"/>
      <c r="C34" s="84"/>
      <c r="D34" s="80" t="s">
        <v>248</v>
      </c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1"/>
      <c r="AG34" s="80"/>
      <c r="AH34" s="81"/>
      <c r="AI34" s="81"/>
      <c r="AJ34" s="81"/>
      <c r="AK34" s="81"/>
      <c r="AL34" s="147"/>
    </row>
    <row r="35" spans="1:38" ht="15.75" x14ac:dyDescent="0.25">
      <c r="A35" s="84"/>
      <c r="B35" s="84"/>
      <c r="C35" s="84"/>
      <c r="D35" s="80" t="s">
        <v>258</v>
      </c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147"/>
    </row>
    <row r="36" spans="1:38" ht="15.75" x14ac:dyDescent="0.25">
      <c r="A36" s="84">
        <v>8</v>
      </c>
      <c r="B36" s="84"/>
      <c r="C36" s="84" t="s">
        <v>250</v>
      </c>
      <c r="D36" s="80" t="s">
        <v>245</v>
      </c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1"/>
      <c r="AG36" s="80"/>
      <c r="AH36" s="81"/>
      <c r="AI36" s="81"/>
      <c r="AJ36" s="81"/>
      <c r="AK36" s="81"/>
      <c r="AL36" s="147"/>
    </row>
    <row r="37" spans="1:38" ht="15.75" x14ac:dyDescent="0.25">
      <c r="A37" s="84"/>
      <c r="B37" s="84"/>
      <c r="C37" s="84"/>
      <c r="D37" s="80" t="s">
        <v>246</v>
      </c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1"/>
      <c r="AG37" s="80"/>
      <c r="AH37" s="81"/>
      <c r="AI37" s="81"/>
      <c r="AJ37" s="81"/>
      <c r="AK37" s="81"/>
      <c r="AL37" s="147"/>
    </row>
    <row r="38" spans="1:38" ht="15.75" x14ac:dyDescent="0.25">
      <c r="A38" s="84"/>
      <c r="B38" s="84"/>
      <c r="C38" s="84"/>
      <c r="D38" s="80" t="s">
        <v>247</v>
      </c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1"/>
      <c r="AG38" s="80"/>
      <c r="AH38" s="81"/>
      <c r="AI38" s="81"/>
      <c r="AJ38" s="81"/>
      <c r="AK38" s="81"/>
      <c r="AL38" s="147"/>
    </row>
    <row r="39" spans="1:38" ht="15.75" x14ac:dyDescent="0.25">
      <c r="A39" s="84"/>
      <c r="B39" s="84"/>
      <c r="C39" s="84"/>
      <c r="D39" s="80" t="s">
        <v>248</v>
      </c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1"/>
      <c r="AG39" s="80"/>
      <c r="AH39" s="81"/>
      <c r="AI39" s="81"/>
      <c r="AJ39" s="81"/>
      <c r="AK39" s="81"/>
      <c r="AL39" s="147"/>
    </row>
    <row r="40" spans="1:38" ht="15.75" x14ac:dyDescent="0.25">
      <c r="A40" s="84"/>
      <c r="B40" s="84"/>
      <c r="C40" s="84"/>
      <c r="D40" s="80" t="s">
        <v>258</v>
      </c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147"/>
    </row>
    <row r="41" spans="1:38" ht="15.75" x14ac:dyDescent="0.25">
      <c r="A41" s="84">
        <v>9</v>
      </c>
      <c r="B41" s="84"/>
      <c r="C41" s="84" t="s">
        <v>173</v>
      </c>
      <c r="D41" s="80" t="s">
        <v>245</v>
      </c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1"/>
      <c r="AG41" s="80"/>
      <c r="AH41" s="81"/>
      <c r="AI41" s="81"/>
      <c r="AJ41" s="81"/>
      <c r="AK41" s="81"/>
      <c r="AL41" s="147"/>
    </row>
    <row r="42" spans="1:38" ht="15.75" x14ac:dyDescent="0.25">
      <c r="A42" s="84"/>
      <c r="B42" s="84"/>
      <c r="C42" s="84"/>
      <c r="D42" s="80" t="s">
        <v>246</v>
      </c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1"/>
      <c r="AG42" s="80"/>
      <c r="AH42" s="81"/>
      <c r="AI42" s="81"/>
      <c r="AJ42" s="81"/>
      <c r="AK42" s="81"/>
      <c r="AL42" s="147"/>
    </row>
    <row r="43" spans="1:38" ht="15.75" x14ac:dyDescent="0.25">
      <c r="A43" s="84"/>
      <c r="B43" s="84"/>
      <c r="C43" s="84"/>
      <c r="D43" s="80" t="s">
        <v>247</v>
      </c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1"/>
      <c r="AG43" s="80"/>
      <c r="AH43" s="81"/>
      <c r="AI43" s="81"/>
      <c r="AJ43" s="81"/>
      <c r="AK43" s="81"/>
      <c r="AL43" s="147"/>
    </row>
    <row r="44" spans="1:38" ht="15.75" x14ac:dyDescent="0.25">
      <c r="A44" s="84"/>
      <c r="B44" s="84"/>
      <c r="C44" s="84"/>
      <c r="D44" s="80" t="s">
        <v>248</v>
      </c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1"/>
      <c r="AG44" s="80"/>
      <c r="AH44" s="81"/>
      <c r="AI44" s="81"/>
      <c r="AJ44" s="81"/>
      <c r="AK44" s="81"/>
      <c r="AL44" s="147"/>
    </row>
    <row r="45" spans="1:38" ht="15.75" x14ac:dyDescent="0.25">
      <c r="A45" s="84"/>
      <c r="B45" s="84"/>
      <c r="C45" s="84"/>
      <c r="D45" s="80" t="s">
        <v>258</v>
      </c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147"/>
    </row>
    <row r="46" spans="1:38" ht="15.75" x14ac:dyDescent="0.25">
      <c r="A46" s="84">
        <v>10</v>
      </c>
      <c r="B46" s="84"/>
      <c r="C46" s="84" t="s">
        <v>174</v>
      </c>
      <c r="D46" s="80" t="s">
        <v>245</v>
      </c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1"/>
      <c r="AG46" s="80"/>
      <c r="AH46" s="81"/>
      <c r="AI46" s="81"/>
      <c r="AJ46" s="81"/>
      <c r="AK46" s="81"/>
      <c r="AL46" s="147"/>
    </row>
    <row r="47" spans="1:38" ht="15.75" x14ac:dyDescent="0.25">
      <c r="A47" s="84"/>
      <c r="B47" s="84"/>
      <c r="C47" s="84"/>
      <c r="D47" s="80" t="s">
        <v>246</v>
      </c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1"/>
      <c r="AG47" s="80"/>
      <c r="AH47" s="81"/>
      <c r="AI47" s="81"/>
      <c r="AJ47" s="81"/>
      <c r="AK47" s="81"/>
      <c r="AL47" s="147"/>
    </row>
    <row r="48" spans="1:38" ht="15.75" x14ac:dyDescent="0.25">
      <c r="A48" s="84"/>
      <c r="B48" s="84"/>
      <c r="C48" s="84"/>
      <c r="D48" s="80" t="s">
        <v>247</v>
      </c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1"/>
      <c r="AG48" s="80"/>
      <c r="AH48" s="81"/>
      <c r="AI48" s="81"/>
      <c r="AJ48" s="81"/>
      <c r="AK48" s="81"/>
      <c r="AL48" s="147"/>
    </row>
    <row r="49" spans="1:38" ht="15.75" x14ac:dyDescent="0.25">
      <c r="A49" s="84"/>
      <c r="B49" s="84"/>
      <c r="C49" s="84"/>
      <c r="D49" s="80" t="s">
        <v>248</v>
      </c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1"/>
      <c r="AG49" s="80"/>
      <c r="AH49" s="81"/>
      <c r="AI49" s="81"/>
      <c r="AJ49" s="81"/>
      <c r="AK49" s="81"/>
      <c r="AL49" s="147"/>
    </row>
    <row r="50" spans="1:38" ht="15.75" x14ac:dyDescent="0.25">
      <c r="A50" s="84"/>
      <c r="B50" s="84"/>
      <c r="C50" s="84"/>
      <c r="D50" s="80" t="s">
        <v>258</v>
      </c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147"/>
    </row>
    <row r="51" spans="1:38" ht="15.75" x14ac:dyDescent="0.25">
      <c r="A51" s="84">
        <v>11</v>
      </c>
      <c r="B51" s="84" t="s">
        <v>191</v>
      </c>
      <c r="C51" s="84" t="s">
        <v>251</v>
      </c>
      <c r="D51" s="80" t="s">
        <v>245</v>
      </c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1"/>
      <c r="AG51" s="80"/>
      <c r="AH51" s="81"/>
      <c r="AI51" s="81"/>
      <c r="AJ51" s="81"/>
      <c r="AK51" s="81"/>
      <c r="AL51" s="147"/>
    </row>
    <row r="52" spans="1:38" ht="15.75" x14ac:dyDescent="0.25">
      <c r="A52" s="84"/>
      <c r="B52" s="84"/>
      <c r="C52" s="84"/>
      <c r="D52" s="80" t="s">
        <v>246</v>
      </c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1"/>
      <c r="AG52" s="80"/>
      <c r="AH52" s="81"/>
      <c r="AI52" s="81"/>
      <c r="AJ52" s="81"/>
      <c r="AK52" s="81"/>
      <c r="AL52" s="147"/>
    </row>
    <row r="53" spans="1:38" ht="15.75" x14ac:dyDescent="0.25">
      <c r="A53" s="84"/>
      <c r="B53" s="84"/>
      <c r="C53" s="84"/>
      <c r="D53" s="80" t="s">
        <v>247</v>
      </c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1"/>
      <c r="AG53" s="80"/>
      <c r="AH53" s="81"/>
      <c r="AI53" s="81"/>
      <c r="AJ53" s="81"/>
      <c r="AK53" s="81"/>
      <c r="AL53" s="147"/>
    </row>
    <row r="54" spans="1:38" ht="15.75" x14ac:dyDescent="0.25">
      <c r="A54" s="84"/>
      <c r="B54" s="84"/>
      <c r="C54" s="84"/>
      <c r="D54" s="80" t="s">
        <v>248</v>
      </c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1"/>
      <c r="AG54" s="80"/>
      <c r="AH54" s="81"/>
      <c r="AI54" s="81"/>
      <c r="AJ54" s="81"/>
      <c r="AK54" s="81"/>
      <c r="AL54" s="147"/>
    </row>
    <row r="55" spans="1:38" ht="15.75" x14ac:dyDescent="0.25">
      <c r="A55" s="84"/>
      <c r="B55" s="84"/>
      <c r="C55" s="84"/>
      <c r="D55" s="80" t="s">
        <v>258</v>
      </c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147"/>
    </row>
    <row r="56" spans="1:38" ht="15.75" x14ac:dyDescent="0.25">
      <c r="A56" s="84">
        <v>12</v>
      </c>
      <c r="B56" s="84"/>
      <c r="C56" s="84" t="s">
        <v>164</v>
      </c>
      <c r="D56" s="80" t="s">
        <v>245</v>
      </c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1"/>
      <c r="AG56" s="80"/>
      <c r="AH56" s="81"/>
      <c r="AI56" s="81"/>
      <c r="AJ56" s="81"/>
      <c r="AK56" s="81"/>
      <c r="AL56" s="147"/>
    </row>
    <row r="57" spans="1:38" ht="15.75" x14ac:dyDescent="0.25">
      <c r="A57" s="84"/>
      <c r="B57" s="84"/>
      <c r="C57" s="84"/>
      <c r="D57" s="80" t="s">
        <v>246</v>
      </c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1"/>
      <c r="AG57" s="80"/>
      <c r="AH57" s="81"/>
      <c r="AI57" s="81"/>
      <c r="AJ57" s="81"/>
      <c r="AK57" s="81"/>
      <c r="AL57" s="147"/>
    </row>
    <row r="58" spans="1:38" ht="15.75" x14ac:dyDescent="0.25">
      <c r="A58" s="84"/>
      <c r="B58" s="84"/>
      <c r="C58" s="84"/>
      <c r="D58" s="80" t="s">
        <v>247</v>
      </c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1"/>
      <c r="AG58" s="80"/>
      <c r="AH58" s="81"/>
      <c r="AI58" s="81"/>
      <c r="AJ58" s="81"/>
      <c r="AK58" s="81"/>
      <c r="AL58" s="147"/>
    </row>
    <row r="59" spans="1:38" ht="15.75" x14ac:dyDescent="0.25">
      <c r="A59" s="84"/>
      <c r="B59" s="84"/>
      <c r="C59" s="84"/>
      <c r="D59" s="80" t="s">
        <v>248</v>
      </c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1"/>
      <c r="AG59" s="80"/>
      <c r="AH59" s="81"/>
      <c r="AI59" s="81"/>
      <c r="AJ59" s="81"/>
      <c r="AK59" s="81"/>
      <c r="AL59" s="147"/>
    </row>
    <row r="60" spans="1:38" ht="15.75" x14ac:dyDescent="0.25">
      <c r="A60" s="84"/>
      <c r="B60" s="84"/>
      <c r="C60" s="84"/>
      <c r="D60" s="80" t="s">
        <v>258</v>
      </c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147"/>
    </row>
    <row r="61" spans="1:38" ht="15.75" x14ac:dyDescent="0.25">
      <c r="A61" s="84">
        <v>13</v>
      </c>
      <c r="B61" s="84" t="s">
        <v>267</v>
      </c>
      <c r="C61" s="84" t="s">
        <v>177</v>
      </c>
      <c r="D61" s="80" t="s">
        <v>245</v>
      </c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1"/>
      <c r="AG61" s="80"/>
      <c r="AH61" s="81"/>
      <c r="AI61" s="81"/>
      <c r="AJ61" s="81"/>
      <c r="AK61" s="81"/>
      <c r="AL61" s="147"/>
    </row>
    <row r="62" spans="1:38" ht="15.75" x14ac:dyDescent="0.25">
      <c r="A62" s="84"/>
      <c r="B62" s="84"/>
      <c r="C62" s="84"/>
      <c r="D62" s="80" t="s">
        <v>246</v>
      </c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1"/>
      <c r="AG62" s="80"/>
      <c r="AH62" s="81"/>
      <c r="AI62" s="81"/>
      <c r="AJ62" s="81"/>
      <c r="AK62" s="81"/>
      <c r="AL62" s="147"/>
    </row>
    <row r="63" spans="1:38" ht="15.75" x14ac:dyDescent="0.25">
      <c r="A63" s="84"/>
      <c r="B63" s="84"/>
      <c r="C63" s="84"/>
      <c r="D63" s="80" t="s">
        <v>247</v>
      </c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1"/>
      <c r="AG63" s="80"/>
      <c r="AH63" s="81"/>
      <c r="AI63" s="81"/>
      <c r="AJ63" s="81"/>
      <c r="AK63" s="81"/>
      <c r="AL63" s="147"/>
    </row>
    <row r="64" spans="1:38" ht="15.75" x14ac:dyDescent="0.25">
      <c r="A64" s="84"/>
      <c r="B64" s="84"/>
      <c r="C64" s="84"/>
      <c r="D64" s="80" t="s">
        <v>248</v>
      </c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1"/>
      <c r="AG64" s="80"/>
      <c r="AH64" s="81"/>
      <c r="AI64" s="81"/>
      <c r="AJ64" s="81"/>
      <c r="AK64" s="81"/>
      <c r="AL64" s="147"/>
    </row>
    <row r="65" spans="1:38" ht="15.75" x14ac:dyDescent="0.25">
      <c r="A65" s="84"/>
      <c r="B65" s="84"/>
      <c r="C65" s="84"/>
      <c r="D65" s="80" t="s">
        <v>258</v>
      </c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147"/>
    </row>
    <row r="66" spans="1:38" ht="15.75" x14ac:dyDescent="0.25">
      <c r="A66" s="84">
        <v>14</v>
      </c>
      <c r="B66" s="84"/>
      <c r="C66" s="84" t="s">
        <v>179</v>
      </c>
      <c r="D66" s="80" t="s">
        <v>245</v>
      </c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1"/>
      <c r="AG66" s="80"/>
      <c r="AH66" s="81"/>
      <c r="AI66" s="81"/>
      <c r="AJ66" s="81"/>
      <c r="AK66" s="81"/>
      <c r="AL66" s="147"/>
    </row>
    <row r="67" spans="1:38" ht="15.75" x14ac:dyDescent="0.25">
      <c r="A67" s="84"/>
      <c r="B67" s="84"/>
      <c r="C67" s="84"/>
      <c r="D67" s="80" t="s">
        <v>246</v>
      </c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1"/>
      <c r="AG67" s="80"/>
      <c r="AH67" s="81"/>
      <c r="AI67" s="81"/>
      <c r="AJ67" s="81"/>
      <c r="AK67" s="81"/>
      <c r="AL67" s="147"/>
    </row>
    <row r="68" spans="1:38" ht="15.75" x14ac:dyDescent="0.25">
      <c r="A68" s="84"/>
      <c r="B68" s="84"/>
      <c r="C68" s="84"/>
      <c r="D68" s="80" t="s">
        <v>247</v>
      </c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1"/>
      <c r="AG68" s="80"/>
      <c r="AH68" s="81"/>
      <c r="AI68" s="81"/>
      <c r="AJ68" s="81"/>
      <c r="AK68" s="81"/>
      <c r="AL68" s="147"/>
    </row>
    <row r="69" spans="1:38" ht="15.75" x14ac:dyDescent="0.25">
      <c r="A69" s="84"/>
      <c r="B69" s="84"/>
      <c r="C69" s="84"/>
      <c r="D69" s="80" t="s">
        <v>248</v>
      </c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1"/>
      <c r="AG69" s="80"/>
      <c r="AH69" s="81"/>
      <c r="AI69" s="81"/>
      <c r="AJ69" s="81"/>
      <c r="AK69" s="81"/>
      <c r="AL69" s="147"/>
    </row>
    <row r="70" spans="1:38" ht="15.75" x14ac:dyDescent="0.25">
      <c r="A70" s="84"/>
      <c r="B70" s="84"/>
      <c r="C70" s="84"/>
      <c r="D70" s="80" t="s">
        <v>258</v>
      </c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147"/>
    </row>
    <row r="71" spans="1:38" ht="15.75" x14ac:dyDescent="0.25">
      <c r="A71" s="84">
        <v>15</v>
      </c>
      <c r="B71" s="84"/>
      <c r="C71" s="84" t="s">
        <v>178</v>
      </c>
      <c r="D71" s="80" t="s">
        <v>245</v>
      </c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1"/>
      <c r="AG71" s="80"/>
      <c r="AH71" s="81"/>
      <c r="AI71" s="81"/>
      <c r="AJ71" s="81"/>
      <c r="AK71" s="81"/>
      <c r="AL71" s="147"/>
    </row>
    <row r="72" spans="1:38" ht="15.75" x14ac:dyDescent="0.25">
      <c r="A72" s="84"/>
      <c r="B72" s="84"/>
      <c r="C72" s="84"/>
      <c r="D72" s="80" t="s">
        <v>246</v>
      </c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1"/>
      <c r="AG72" s="80"/>
      <c r="AH72" s="81"/>
      <c r="AI72" s="81"/>
      <c r="AJ72" s="81"/>
      <c r="AK72" s="81"/>
      <c r="AL72" s="147"/>
    </row>
    <row r="73" spans="1:38" ht="15.75" x14ac:dyDescent="0.25">
      <c r="A73" s="84"/>
      <c r="B73" s="84"/>
      <c r="C73" s="84"/>
      <c r="D73" s="80" t="s">
        <v>247</v>
      </c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1"/>
      <c r="AG73" s="80"/>
      <c r="AH73" s="81"/>
      <c r="AI73" s="81"/>
      <c r="AJ73" s="81"/>
      <c r="AK73" s="81"/>
      <c r="AL73" s="147"/>
    </row>
    <row r="74" spans="1:38" ht="15.75" x14ac:dyDescent="0.25">
      <c r="A74" s="84"/>
      <c r="B74" s="84"/>
      <c r="C74" s="84"/>
      <c r="D74" s="80" t="s">
        <v>248</v>
      </c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1"/>
      <c r="AG74" s="80"/>
      <c r="AH74" s="81"/>
      <c r="AI74" s="81"/>
      <c r="AJ74" s="81"/>
      <c r="AK74" s="81"/>
      <c r="AL74" s="147"/>
    </row>
    <row r="75" spans="1:38" ht="15.75" x14ac:dyDescent="0.25">
      <c r="A75" s="84"/>
      <c r="B75" s="84"/>
      <c r="C75" s="84"/>
      <c r="D75" s="80" t="s">
        <v>258</v>
      </c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147"/>
    </row>
    <row r="76" spans="1:38" ht="15.75" x14ac:dyDescent="0.25">
      <c r="A76" s="84">
        <v>16</v>
      </c>
      <c r="B76" s="84"/>
      <c r="C76" s="84" t="s">
        <v>58</v>
      </c>
      <c r="D76" s="80" t="s">
        <v>245</v>
      </c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1"/>
      <c r="AG76" s="80"/>
      <c r="AH76" s="81"/>
      <c r="AI76" s="81"/>
      <c r="AJ76" s="81"/>
      <c r="AK76" s="81"/>
      <c r="AL76" s="147"/>
    </row>
    <row r="77" spans="1:38" ht="15.75" x14ac:dyDescent="0.25">
      <c r="A77" s="84"/>
      <c r="B77" s="84"/>
      <c r="C77" s="84"/>
      <c r="D77" s="80" t="s">
        <v>246</v>
      </c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1"/>
      <c r="AG77" s="80"/>
      <c r="AH77" s="81"/>
      <c r="AI77" s="81"/>
      <c r="AJ77" s="81"/>
      <c r="AK77" s="81"/>
      <c r="AL77" s="147"/>
    </row>
    <row r="78" spans="1:38" ht="15.75" x14ac:dyDescent="0.25">
      <c r="A78" s="84"/>
      <c r="B78" s="84"/>
      <c r="C78" s="84"/>
      <c r="D78" s="80" t="s">
        <v>247</v>
      </c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1"/>
      <c r="AG78" s="80"/>
      <c r="AH78" s="81"/>
      <c r="AI78" s="81"/>
      <c r="AJ78" s="81"/>
      <c r="AK78" s="81"/>
      <c r="AL78" s="147"/>
    </row>
    <row r="79" spans="1:38" ht="15.75" x14ac:dyDescent="0.25">
      <c r="A79" s="84"/>
      <c r="B79" s="84"/>
      <c r="C79" s="84"/>
      <c r="D79" s="80" t="s">
        <v>248</v>
      </c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1"/>
      <c r="AG79" s="80"/>
      <c r="AH79" s="81"/>
      <c r="AI79" s="81"/>
      <c r="AJ79" s="81"/>
      <c r="AK79" s="81"/>
      <c r="AL79" s="147"/>
    </row>
    <row r="80" spans="1:38" ht="15.75" x14ac:dyDescent="0.25">
      <c r="A80" s="84"/>
      <c r="B80" s="84"/>
      <c r="C80" s="84"/>
      <c r="D80" s="80" t="s">
        <v>258</v>
      </c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  <c r="AL80" s="147"/>
    </row>
    <row r="81" spans="1:38" ht="15.75" x14ac:dyDescent="0.25">
      <c r="A81" s="84">
        <v>17</v>
      </c>
      <c r="B81" s="84"/>
      <c r="C81" s="84" t="s">
        <v>188</v>
      </c>
      <c r="D81" s="80" t="s">
        <v>245</v>
      </c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1"/>
      <c r="AG81" s="80"/>
      <c r="AH81" s="81"/>
      <c r="AI81" s="81"/>
      <c r="AJ81" s="81"/>
      <c r="AK81" s="81"/>
      <c r="AL81" s="147"/>
    </row>
    <row r="82" spans="1:38" ht="15.75" x14ac:dyDescent="0.25">
      <c r="A82" s="84"/>
      <c r="B82" s="84"/>
      <c r="C82" s="84"/>
      <c r="D82" s="80" t="s">
        <v>246</v>
      </c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1"/>
      <c r="AG82" s="80"/>
      <c r="AH82" s="81"/>
      <c r="AI82" s="81"/>
      <c r="AJ82" s="81"/>
      <c r="AK82" s="81"/>
      <c r="AL82" s="147"/>
    </row>
    <row r="83" spans="1:38" ht="15.75" x14ac:dyDescent="0.25">
      <c r="A83" s="84"/>
      <c r="B83" s="84"/>
      <c r="C83" s="84"/>
      <c r="D83" s="80" t="s">
        <v>247</v>
      </c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1"/>
      <c r="AG83" s="80"/>
      <c r="AH83" s="81"/>
      <c r="AI83" s="81"/>
      <c r="AJ83" s="81"/>
      <c r="AK83" s="81"/>
      <c r="AL83" s="147"/>
    </row>
    <row r="84" spans="1:38" ht="15.75" x14ac:dyDescent="0.25">
      <c r="A84" s="84"/>
      <c r="B84" s="84"/>
      <c r="C84" s="84"/>
      <c r="D84" s="80" t="s">
        <v>248</v>
      </c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1"/>
      <c r="AG84" s="80"/>
      <c r="AH84" s="81"/>
      <c r="AI84" s="81"/>
      <c r="AJ84" s="81"/>
      <c r="AK84" s="81"/>
      <c r="AL84" s="147"/>
    </row>
    <row r="85" spans="1:38" ht="15.75" x14ac:dyDescent="0.25">
      <c r="A85" s="84"/>
      <c r="B85" s="84"/>
      <c r="C85" s="84"/>
      <c r="D85" s="80" t="s">
        <v>258</v>
      </c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147"/>
    </row>
    <row r="86" spans="1:38" ht="15.75" x14ac:dyDescent="0.25">
      <c r="A86" s="84">
        <v>18</v>
      </c>
      <c r="B86" s="84"/>
      <c r="C86" s="84" t="s">
        <v>252</v>
      </c>
      <c r="D86" s="80" t="s">
        <v>245</v>
      </c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1"/>
      <c r="AG86" s="80"/>
      <c r="AH86" s="81"/>
      <c r="AI86" s="81"/>
      <c r="AJ86" s="81"/>
      <c r="AK86" s="81"/>
      <c r="AL86" s="147"/>
    </row>
    <row r="87" spans="1:38" ht="15.75" x14ac:dyDescent="0.25">
      <c r="A87" s="84"/>
      <c r="B87" s="84"/>
      <c r="C87" s="84"/>
      <c r="D87" s="80" t="s">
        <v>246</v>
      </c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1"/>
      <c r="AG87" s="80"/>
      <c r="AH87" s="81"/>
      <c r="AI87" s="81"/>
      <c r="AJ87" s="81"/>
      <c r="AK87" s="81"/>
      <c r="AL87" s="147"/>
    </row>
    <row r="88" spans="1:38" ht="15.75" x14ac:dyDescent="0.25">
      <c r="A88" s="84"/>
      <c r="B88" s="84"/>
      <c r="C88" s="84"/>
      <c r="D88" s="80" t="s">
        <v>247</v>
      </c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1"/>
      <c r="AG88" s="80"/>
      <c r="AH88" s="81"/>
      <c r="AI88" s="81"/>
      <c r="AJ88" s="81"/>
      <c r="AK88" s="81"/>
      <c r="AL88" s="147"/>
    </row>
    <row r="89" spans="1:38" ht="15.75" x14ac:dyDescent="0.25">
      <c r="A89" s="84"/>
      <c r="B89" s="84"/>
      <c r="C89" s="84"/>
      <c r="D89" s="80" t="s">
        <v>248</v>
      </c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147"/>
    </row>
    <row r="90" spans="1:38" ht="15.75" x14ac:dyDescent="0.25">
      <c r="A90" s="84"/>
      <c r="B90" s="84"/>
      <c r="C90" s="84"/>
      <c r="D90" s="80" t="s">
        <v>258</v>
      </c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1"/>
      <c r="AG90" s="80"/>
      <c r="AH90" s="81"/>
      <c r="AI90" s="81"/>
      <c r="AJ90" s="81"/>
      <c r="AK90" s="81"/>
      <c r="AL90" s="147"/>
    </row>
    <row r="91" spans="1:38" ht="15.75" x14ac:dyDescent="0.25">
      <c r="A91" s="84"/>
      <c r="B91" s="84"/>
      <c r="C91" s="84" t="s">
        <v>187</v>
      </c>
      <c r="D91" s="80" t="s">
        <v>245</v>
      </c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147"/>
    </row>
    <row r="92" spans="1:38" ht="15.75" x14ac:dyDescent="0.25">
      <c r="A92" s="84"/>
      <c r="B92" s="84"/>
      <c r="C92" s="84"/>
      <c r="D92" s="80" t="s">
        <v>246</v>
      </c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147"/>
    </row>
    <row r="93" spans="1:38" ht="15.75" x14ac:dyDescent="0.25">
      <c r="A93" s="84"/>
      <c r="B93" s="84"/>
      <c r="C93" s="84"/>
      <c r="D93" s="80" t="s">
        <v>247</v>
      </c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147"/>
    </row>
    <row r="94" spans="1:38" ht="15.75" x14ac:dyDescent="0.25">
      <c r="A94" s="84"/>
      <c r="B94" s="84"/>
      <c r="C94" s="84"/>
      <c r="D94" s="80" t="s">
        <v>248</v>
      </c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147"/>
    </row>
    <row r="95" spans="1:38" ht="15.75" x14ac:dyDescent="0.25">
      <c r="A95" s="84"/>
      <c r="B95" s="84"/>
      <c r="C95" s="84"/>
      <c r="D95" s="80" t="s">
        <v>258</v>
      </c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147"/>
    </row>
    <row r="96" spans="1:38" ht="15.75" x14ac:dyDescent="0.25">
      <c r="A96" s="84">
        <v>19</v>
      </c>
      <c r="B96" s="84" t="s">
        <v>83</v>
      </c>
      <c r="C96" s="84" t="s">
        <v>170</v>
      </c>
      <c r="D96" s="80" t="s">
        <v>245</v>
      </c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1"/>
      <c r="AG96" s="80"/>
      <c r="AH96" s="81"/>
      <c r="AI96" s="81"/>
      <c r="AJ96" s="81"/>
      <c r="AK96" s="81"/>
      <c r="AL96" s="147"/>
    </row>
    <row r="97" spans="1:38" ht="15.75" x14ac:dyDescent="0.25">
      <c r="A97" s="84"/>
      <c r="B97" s="84"/>
      <c r="C97" s="84"/>
      <c r="D97" s="80" t="s">
        <v>246</v>
      </c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1"/>
      <c r="AG97" s="80"/>
      <c r="AH97" s="81"/>
      <c r="AI97" s="81"/>
      <c r="AJ97" s="81"/>
      <c r="AK97" s="81"/>
      <c r="AL97" s="147"/>
    </row>
    <row r="98" spans="1:38" ht="15.75" x14ac:dyDescent="0.25">
      <c r="A98" s="84"/>
      <c r="B98" s="84"/>
      <c r="C98" s="84"/>
      <c r="D98" s="80" t="s">
        <v>247</v>
      </c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1"/>
      <c r="AG98" s="80"/>
      <c r="AH98" s="81"/>
      <c r="AI98" s="81"/>
      <c r="AJ98" s="81"/>
      <c r="AK98" s="81"/>
      <c r="AL98" s="147"/>
    </row>
    <row r="99" spans="1:38" ht="15.75" x14ac:dyDescent="0.25">
      <c r="A99" s="84"/>
      <c r="B99" s="84"/>
      <c r="C99" s="84"/>
      <c r="D99" s="80" t="s">
        <v>248</v>
      </c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1"/>
      <c r="AG99" s="80"/>
      <c r="AH99" s="81"/>
      <c r="AI99" s="81"/>
      <c r="AJ99" s="81"/>
      <c r="AK99" s="81"/>
      <c r="AL99" s="147"/>
    </row>
    <row r="100" spans="1:38" ht="15.75" x14ac:dyDescent="0.25">
      <c r="A100" s="84"/>
      <c r="B100" s="84"/>
      <c r="C100" s="84"/>
      <c r="D100" s="80" t="s">
        <v>258</v>
      </c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147"/>
    </row>
    <row r="101" spans="1:38" ht="15.75" x14ac:dyDescent="0.25">
      <c r="A101" s="84">
        <v>20</v>
      </c>
      <c r="B101" s="84"/>
      <c r="C101" s="84" t="s">
        <v>19</v>
      </c>
      <c r="D101" s="80" t="s">
        <v>245</v>
      </c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1"/>
      <c r="AG101" s="80"/>
      <c r="AH101" s="81"/>
      <c r="AI101" s="81"/>
      <c r="AJ101" s="81"/>
      <c r="AK101" s="81"/>
      <c r="AL101" s="147"/>
    </row>
    <row r="102" spans="1:38" ht="15.75" x14ac:dyDescent="0.25">
      <c r="A102" s="84"/>
      <c r="B102" s="84"/>
      <c r="C102" s="84"/>
      <c r="D102" s="80" t="s">
        <v>246</v>
      </c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1"/>
      <c r="AG102" s="80"/>
      <c r="AH102" s="81"/>
      <c r="AI102" s="81"/>
      <c r="AJ102" s="81"/>
      <c r="AK102" s="81"/>
      <c r="AL102" s="147"/>
    </row>
    <row r="103" spans="1:38" ht="15.75" x14ac:dyDescent="0.25">
      <c r="A103" s="84"/>
      <c r="B103" s="84"/>
      <c r="C103" s="84"/>
      <c r="D103" s="80" t="s">
        <v>247</v>
      </c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1"/>
      <c r="AG103" s="80"/>
      <c r="AH103" s="81"/>
      <c r="AI103" s="81"/>
      <c r="AJ103" s="81"/>
      <c r="AK103" s="81"/>
      <c r="AL103" s="147"/>
    </row>
    <row r="104" spans="1:38" ht="15.75" x14ac:dyDescent="0.25">
      <c r="A104" s="84"/>
      <c r="B104" s="84"/>
      <c r="C104" s="84"/>
      <c r="D104" s="80" t="s">
        <v>248</v>
      </c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1"/>
      <c r="AG104" s="80"/>
      <c r="AH104" s="81"/>
      <c r="AI104" s="81"/>
      <c r="AJ104" s="81"/>
      <c r="AK104" s="81"/>
      <c r="AL104" s="147"/>
    </row>
    <row r="105" spans="1:38" ht="15.75" x14ac:dyDescent="0.25">
      <c r="A105" s="84"/>
      <c r="B105" s="84"/>
      <c r="C105" s="84"/>
      <c r="D105" s="80" t="s">
        <v>258</v>
      </c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147"/>
    </row>
    <row r="106" spans="1:38" ht="15.75" x14ac:dyDescent="0.25">
      <c r="A106" s="84">
        <v>21</v>
      </c>
      <c r="B106" s="84" t="s">
        <v>90</v>
      </c>
      <c r="C106" s="84" t="s">
        <v>90</v>
      </c>
      <c r="D106" s="80" t="s">
        <v>245</v>
      </c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1"/>
      <c r="AG106" s="80"/>
      <c r="AH106" s="81"/>
      <c r="AI106" s="81"/>
      <c r="AJ106" s="81"/>
      <c r="AK106" s="81"/>
      <c r="AL106" s="147"/>
    </row>
    <row r="107" spans="1:38" ht="15.75" x14ac:dyDescent="0.25">
      <c r="A107" s="84"/>
      <c r="B107" s="84"/>
      <c r="C107" s="84"/>
      <c r="D107" s="80" t="s">
        <v>246</v>
      </c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1"/>
      <c r="AG107" s="80"/>
      <c r="AH107" s="81"/>
      <c r="AI107" s="81"/>
      <c r="AJ107" s="81"/>
      <c r="AK107" s="81"/>
      <c r="AL107" s="147"/>
    </row>
    <row r="108" spans="1:38" ht="15.75" x14ac:dyDescent="0.25">
      <c r="A108" s="84"/>
      <c r="B108" s="84"/>
      <c r="C108" s="84"/>
      <c r="D108" s="80" t="s">
        <v>247</v>
      </c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1"/>
      <c r="AG108" s="80"/>
      <c r="AH108" s="81"/>
      <c r="AI108" s="81"/>
      <c r="AJ108" s="81"/>
      <c r="AK108" s="81"/>
      <c r="AL108" s="147"/>
    </row>
    <row r="109" spans="1:38" ht="15.75" x14ac:dyDescent="0.25">
      <c r="A109" s="84"/>
      <c r="B109" s="84"/>
      <c r="C109" s="84"/>
      <c r="D109" s="80" t="s">
        <v>248</v>
      </c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1"/>
      <c r="AG109" s="80"/>
      <c r="AH109" s="81"/>
      <c r="AI109" s="81"/>
      <c r="AJ109" s="81"/>
      <c r="AK109" s="81"/>
      <c r="AL109" s="147"/>
    </row>
    <row r="110" spans="1:38" ht="15.75" x14ac:dyDescent="0.25">
      <c r="A110" s="84"/>
      <c r="B110" s="84"/>
      <c r="C110" s="84"/>
      <c r="D110" s="80" t="s">
        <v>258</v>
      </c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147"/>
    </row>
    <row r="111" spans="1:38" ht="15.75" x14ac:dyDescent="0.25">
      <c r="A111" s="84">
        <v>22</v>
      </c>
      <c r="B111" s="84" t="s">
        <v>89</v>
      </c>
      <c r="C111" s="84" t="s">
        <v>176</v>
      </c>
      <c r="D111" s="80" t="s">
        <v>245</v>
      </c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1"/>
      <c r="AG111" s="80"/>
      <c r="AH111" s="81"/>
      <c r="AI111" s="81"/>
      <c r="AJ111" s="81"/>
      <c r="AK111" s="81"/>
      <c r="AL111" s="147"/>
    </row>
    <row r="112" spans="1:38" ht="15.75" x14ac:dyDescent="0.25">
      <c r="A112" s="84"/>
      <c r="B112" s="84"/>
      <c r="C112" s="84"/>
      <c r="D112" s="80" t="s">
        <v>246</v>
      </c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1"/>
      <c r="AG112" s="80"/>
      <c r="AH112" s="81"/>
      <c r="AI112" s="81"/>
      <c r="AJ112" s="81"/>
      <c r="AK112" s="81"/>
      <c r="AL112" s="147"/>
    </row>
    <row r="113" spans="1:38" ht="15.75" x14ac:dyDescent="0.25">
      <c r="A113" s="84"/>
      <c r="B113" s="84"/>
      <c r="C113" s="84"/>
      <c r="D113" s="80" t="s">
        <v>247</v>
      </c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1"/>
      <c r="AG113" s="80"/>
      <c r="AH113" s="81"/>
      <c r="AI113" s="81"/>
      <c r="AJ113" s="81"/>
      <c r="AK113" s="81"/>
      <c r="AL113" s="147"/>
    </row>
    <row r="114" spans="1:38" ht="15.75" x14ac:dyDescent="0.25">
      <c r="A114" s="84"/>
      <c r="B114" s="84"/>
      <c r="C114" s="84"/>
      <c r="D114" s="80" t="s">
        <v>248</v>
      </c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1"/>
      <c r="AG114" s="80"/>
      <c r="AH114" s="81"/>
      <c r="AI114" s="81"/>
      <c r="AJ114" s="81"/>
      <c r="AK114" s="81"/>
      <c r="AL114" s="147"/>
    </row>
    <row r="115" spans="1:38" ht="15.75" x14ac:dyDescent="0.25">
      <c r="A115" s="84"/>
      <c r="B115" s="84"/>
      <c r="C115" s="84"/>
      <c r="D115" s="80" t="s">
        <v>258</v>
      </c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147"/>
    </row>
    <row r="116" spans="1:38" ht="15.75" x14ac:dyDescent="0.25">
      <c r="A116" s="84">
        <v>23</v>
      </c>
      <c r="B116" s="84"/>
      <c r="C116" s="84" t="s">
        <v>185</v>
      </c>
      <c r="D116" s="80" t="s">
        <v>245</v>
      </c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1"/>
      <c r="AG116" s="80"/>
      <c r="AH116" s="81"/>
      <c r="AI116" s="81"/>
      <c r="AJ116" s="81"/>
      <c r="AK116" s="81"/>
      <c r="AL116" s="147"/>
    </row>
    <row r="117" spans="1:38" ht="15.75" x14ac:dyDescent="0.25">
      <c r="A117" s="84"/>
      <c r="B117" s="84"/>
      <c r="C117" s="84"/>
      <c r="D117" s="80" t="s">
        <v>246</v>
      </c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1"/>
      <c r="AG117" s="80"/>
      <c r="AH117" s="81"/>
      <c r="AI117" s="81"/>
      <c r="AJ117" s="81"/>
      <c r="AK117" s="81"/>
      <c r="AL117" s="147"/>
    </row>
    <row r="118" spans="1:38" ht="15.75" x14ac:dyDescent="0.25">
      <c r="A118" s="84"/>
      <c r="B118" s="84"/>
      <c r="C118" s="84"/>
      <c r="D118" s="80" t="s">
        <v>247</v>
      </c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1"/>
      <c r="AG118" s="80"/>
      <c r="AH118" s="81"/>
      <c r="AI118" s="81"/>
      <c r="AJ118" s="81"/>
      <c r="AK118" s="81"/>
      <c r="AL118" s="147"/>
    </row>
    <row r="119" spans="1:38" ht="15.75" x14ac:dyDescent="0.25">
      <c r="A119" s="84"/>
      <c r="B119" s="84"/>
      <c r="C119" s="84"/>
      <c r="D119" s="80" t="s">
        <v>248</v>
      </c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1"/>
      <c r="AG119" s="80"/>
      <c r="AH119" s="81"/>
      <c r="AI119" s="81"/>
      <c r="AJ119" s="81"/>
      <c r="AK119" s="81"/>
      <c r="AL119" s="147"/>
    </row>
    <row r="120" spans="1:38" ht="15.75" x14ac:dyDescent="0.25">
      <c r="A120" s="84"/>
      <c r="B120" s="84"/>
      <c r="C120" s="84"/>
      <c r="D120" s="80" t="s">
        <v>258</v>
      </c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147"/>
    </row>
    <row r="121" spans="1:38" ht="15.75" x14ac:dyDescent="0.25">
      <c r="A121" s="84">
        <v>24</v>
      </c>
      <c r="B121" s="84" t="s">
        <v>28</v>
      </c>
      <c r="C121" s="84" t="s">
        <v>207</v>
      </c>
      <c r="D121" s="80" t="s">
        <v>245</v>
      </c>
      <c r="E121" s="80"/>
      <c r="F121" s="80"/>
      <c r="G121" s="80"/>
      <c r="H121" s="81"/>
      <c r="I121" s="133"/>
      <c r="J121" s="134"/>
      <c r="K121" s="80"/>
      <c r="L121" s="80"/>
      <c r="M121" s="80"/>
      <c r="N121" s="81"/>
      <c r="O121" s="80"/>
      <c r="P121" s="80"/>
      <c r="Q121" s="80"/>
      <c r="R121" s="80"/>
      <c r="S121" s="80"/>
      <c r="T121" s="81"/>
      <c r="U121" s="80"/>
      <c r="V121" s="80"/>
      <c r="W121" s="81"/>
      <c r="X121" s="80"/>
      <c r="Y121" s="80"/>
      <c r="Z121" s="80"/>
      <c r="AA121" s="80"/>
      <c r="AB121" s="80"/>
      <c r="AC121" s="80"/>
      <c r="AD121" s="80"/>
      <c r="AE121" s="80"/>
      <c r="AF121" s="81"/>
      <c r="AG121" s="80"/>
      <c r="AH121" s="81"/>
      <c r="AI121" s="81"/>
      <c r="AJ121" s="81"/>
      <c r="AK121" s="81"/>
      <c r="AL121" s="147"/>
    </row>
    <row r="122" spans="1:38" ht="15.75" x14ac:dyDescent="0.25">
      <c r="A122" s="84"/>
      <c r="B122" s="84"/>
      <c r="C122" s="84"/>
      <c r="D122" s="80" t="s">
        <v>246</v>
      </c>
      <c r="E122" s="80"/>
      <c r="F122" s="80"/>
      <c r="G122" s="80"/>
      <c r="H122" s="81"/>
      <c r="I122" s="133"/>
      <c r="J122" s="134"/>
      <c r="K122" s="80"/>
      <c r="L122" s="80"/>
      <c r="M122" s="80"/>
      <c r="N122" s="81"/>
      <c r="O122" s="80"/>
      <c r="P122" s="80"/>
      <c r="Q122" s="80"/>
      <c r="R122" s="80"/>
      <c r="S122" s="80"/>
      <c r="T122" s="81"/>
      <c r="U122" s="80"/>
      <c r="V122" s="80"/>
      <c r="W122" s="81"/>
      <c r="X122" s="80"/>
      <c r="Y122" s="80"/>
      <c r="Z122" s="80"/>
      <c r="AA122" s="80"/>
      <c r="AB122" s="80"/>
      <c r="AC122" s="80"/>
      <c r="AD122" s="80"/>
      <c r="AE122" s="80"/>
      <c r="AF122" s="81"/>
      <c r="AG122" s="80"/>
      <c r="AH122" s="81"/>
      <c r="AI122" s="81"/>
      <c r="AJ122" s="81"/>
      <c r="AK122" s="81"/>
      <c r="AL122" s="147"/>
    </row>
    <row r="123" spans="1:38" ht="15.75" x14ac:dyDescent="0.25">
      <c r="A123" s="84"/>
      <c r="B123" s="84"/>
      <c r="C123" s="84"/>
      <c r="D123" s="80" t="s">
        <v>247</v>
      </c>
      <c r="E123" s="80"/>
      <c r="F123" s="80"/>
      <c r="G123" s="80"/>
      <c r="H123" s="81"/>
      <c r="I123" s="81"/>
      <c r="J123" s="80"/>
      <c r="K123" s="80"/>
      <c r="L123" s="80"/>
      <c r="M123" s="80"/>
      <c r="N123" s="81"/>
      <c r="O123" s="80"/>
      <c r="P123" s="80"/>
      <c r="Q123" s="80"/>
      <c r="R123" s="80"/>
      <c r="S123" s="80"/>
      <c r="T123" s="81"/>
      <c r="U123" s="80"/>
      <c r="V123" s="80"/>
      <c r="W123" s="81"/>
      <c r="X123" s="80"/>
      <c r="Y123" s="80"/>
      <c r="Z123" s="80"/>
      <c r="AA123" s="80"/>
      <c r="AB123" s="80"/>
      <c r="AC123" s="80"/>
      <c r="AD123" s="80"/>
      <c r="AE123" s="80"/>
      <c r="AF123" s="81"/>
      <c r="AG123" s="80"/>
      <c r="AH123" s="81"/>
      <c r="AI123" s="81"/>
      <c r="AJ123" s="81"/>
      <c r="AK123" s="81"/>
      <c r="AL123" s="147"/>
    </row>
    <row r="124" spans="1:38" ht="15.75" x14ac:dyDescent="0.25">
      <c r="A124" s="84"/>
      <c r="B124" s="84"/>
      <c r="C124" s="84"/>
      <c r="D124" s="80" t="s">
        <v>248</v>
      </c>
      <c r="E124" s="80"/>
      <c r="F124" s="80"/>
      <c r="G124" s="80"/>
      <c r="H124" s="81"/>
      <c r="I124" s="81"/>
      <c r="J124" s="80"/>
      <c r="K124" s="80"/>
      <c r="L124" s="80"/>
      <c r="M124" s="80"/>
      <c r="N124" s="81"/>
      <c r="O124" s="80"/>
      <c r="P124" s="80"/>
      <c r="Q124" s="80"/>
      <c r="R124" s="80"/>
      <c r="S124" s="80"/>
      <c r="T124" s="81"/>
      <c r="U124" s="80"/>
      <c r="V124" s="80"/>
      <c r="W124" s="81"/>
      <c r="X124" s="80"/>
      <c r="Y124" s="80"/>
      <c r="Z124" s="80"/>
      <c r="AA124" s="80"/>
      <c r="AB124" s="80"/>
      <c r="AC124" s="80"/>
      <c r="AD124" s="80"/>
      <c r="AE124" s="80"/>
      <c r="AF124" s="81"/>
      <c r="AG124" s="80"/>
      <c r="AH124" s="81"/>
      <c r="AI124" s="81"/>
      <c r="AJ124" s="81"/>
      <c r="AK124" s="81"/>
      <c r="AL124" s="147"/>
    </row>
    <row r="125" spans="1:38" ht="15.75" x14ac:dyDescent="0.25">
      <c r="A125" s="84"/>
      <c r="B125" s="84"/>
      <c r="C125" s="84"/>
      <c r="D125" s="80" t="s">
        <v>258</v>
      </c>
      <c r="E125" s="80"/>
      <c r="F125" s="80"/>
      <c r="G125" s="80"/>
      <c r="H125" s="81"/>
      <c r="I125" s="81"/>
      <c r="J125" s="81"/>
      <c r="K125" s="81"/>
      <c r="L125" s="80"/>
      <c r="M125" s="81"/>
      <c r="N125" s="81"/>
      <c r="O125" s="81"/>
      <c r="P125" s="80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0"/>
      <c r="AD125" s="81"/>
      <c r="AE125" s="81"/>
      <c r="AF125" s="81"/>
      <c r="AG125" s="81"/>
      <c r="AH125" s="81"/>
      <c r="AI125" s="81"/>
      <c r="AJ125" s="81"/>
      <c r="AK125" s="81"/>
      <c r="AL125" s="147"/>
    </row>
    <row r="126" spans="1:38" ht="15.75" x14ac:dyDescent="0.25">
      <c r="A126" s="84">
        <v>25</v>
      </c>
      <c r="B126" s="84"/>
      <c r="C126" s="84" t="s">
        <v>253</v>
      </c>
      <c r="D126" s="80" t="s">
        <v>245</v>
      </c>
      <c r="E126" s="80"/>
      <c r="F126" s="80"/>
      <c r="G126" s="80"/>
      <c r="H126" s="81"/>
      <c r="I126" s="81"/>
      <c r="J126" s="80"/>
      <c r="K126" s="80"/>
      <c r="L126" s="80"/>
      <c r="M126" s="80"/>
      <c r="N126" s="81"/>
      <c r="O126" s="80"/>
      <c r="P126" s="80"/>
      <c r="Q126" s="80"/>
      <c r="R126" s="80"/>
      <c r="S126" s="80"/>
      <c r="T126" s="81"/>
      <c r="U126" s="80"/>
      <c r="V126" s="80"/>
      <c r="W126" s="81"/>
      <c r="X126" s="80"/>
      <c r="Y126" s="80"/>
      <c r="Z126" s="80"/>
      <c r="AA126" s="80"/>
      <c r="AB126" s="80"/>
      <c r="AC126" s="80"/>
      <c r="AD126" s="80"/>
      <c r="AE126" s="80"/>
      <c r="AF126" s="81"/>
      <c r="AG126" s="80"/>
      <c r="AH126" s="81"/>
      <c r="AI126" s="81"/>
      <c r="AJ126" s="81"/>
      <c r="AK126" s="81"/>
      <c r="AL126" s="147"/>
    </row>
    <row r="127" spans="1:38" ht="15.75" x14ac:dyDescent="0.25">
      <c r="A127" s="84"/>
      <c r="B127" s="84"/>
      <c r="C127" s="84"/>
      <c r="D127" s="80" t="s">
        <v>246</v>
      </c>
      <c r="E127" s="80"/>
      <c r="F127" s="80"/>
      <c r="G127" s="80"/>
      <c r="H127" s="81"/>
      <c r="I127" s="81"/>
      <c r="J127" s="80"/>
      <c r="K127" s="80"/>
      <c r="L127" s="80"/>
      <c r="M127" s="80"/>
      <c r="N127" s="81"/>
      <c r="O127" s="80"/>
      <c r="P127" s="80"/>
      <c r="Q127" s="80"/>
      <c r="R127" s="80"/>
      <c r="S127" s="80"/>
      <c r="T127" s="81"/>
      <c r="U127" s="80"/>
      <c r="V127" s="80"/>
      <c r="W127" s="81"/>
      <c r="X127" s="80"/>
      <c r="Y127" s="80"/>
      <c r="Z127" s="80"/>
      <c r="AA127" s="80"/>
      <c r="AB127" s="80"/>
      <c r="AC127" s="80"/>
      <c r="AD127" s="80"/>
      <c r="AE127" s="80"/>
      <c r="AF127" s="81"/>
      <c r="AG127" s="80"/>
      <c r="AH127" s="81"/>
      <c r="AI127" s="81"/>
      <c r="AJ127" s="81"/>
      <c r="AK127" s="81"/>
      <c r="AL127" s="147"/>
    </row>
    <row r="128" spans="1:38" ht="15.75" x14ac:dyDescent="0.25">
      <c r="A128" s="84"/>
      <c r="B128" s="84"/>
      <c r="C128" s="84"/>
      <c r="D128" s="80" t="s">
        <v>247</v>
      </c>
      <c r="E128" s="80"/>
      <c r="F128" s="80"/>
      <c r="G128" s="80"/>
      <c r="H128" s="81"/>
      <c r="I128" s="81"/>
      <c r="J128" s="80"/>
      <c r="K128" s="80"/>
      <c r="L128" s="80"/>
      <c r="M128" s="80"/>
      <c r="N128" s="81"/>
      <c r="O128" s="80"/>
      <c r="P128" s="80"/>
      <c r="Q128" s="80"/>
      <c r="R128" s="80"/>
      <c r="S128" s="80"/>
      <c r="T128" s="81"/>
      <c r="U128" s="80"/>
      <c r="V128" s="80"/>
      <c r="W128" s="81"/>
      <c r="X128" s="80"/>
      <c r="Y128" s="80"/>
      <c r="Z128" s="80"/>
      <c r="AA128" s="80"/>
      <c r="AB128" s="80"/>
      <c r="AC128" s="80"/>
      <c r="AD128" s="80"/>
      <c r="AE128" s="80"/>
      <c r="AF128" s="81"/>
      <c r="AG128" s="80"/>
      <c r="AH128" s="81"/>
      <c r="AI128" s="81"/>
      <c r="AJ128" s="81"/>
      <c r="AK128" s="81"/>
      <c r="AL128" s="147"/>
    </row>
    <row r="129" spans="1:38" ht="15.75" x14ac:dyDescent="0.25">
      <c r="A129" s="84"/>
      <c r="B129" s="84"/>
      <c r="C129" s="84"/>
      <c r="D129" s="80" t="s">
        <v>248</v>
      </c>
      <c r="E129" s="80"/>
      <c r="F129" s="80"/>
      <c r="G129" s="80"/>
      <c r="H129" s="81"/>
      <c r="I129" s="81"/>
      <c r="J129" s="80"/>
      <c r="K129" s="80"/>
      <c r="L129" s="80"/>
      <c r="M129" s="80"/>
      <c r="N129" s="81"/>
      <c r="O129" s="80"/>
      <c r="P129" s="80"/>
      <c r="Q129" s="80"/>
      <c r="R129" s="80"/>
      <c r="S129" s="80"/>
      <c r="T129" s="81"/>
      <c r="U129" s="80"/>
      <c r="V129" s="80"/>
      <c r="W129" s="81"/>
      <c r="X129" s="80"/>
      <c r="Y129" s="80"/>
      <c r="Z129" s="80"/>
      <c r="AA129" s="80"/>
      <c r="AB129" s="80"/>
      <c r="AC129" s="80"/>
      <c r="AD129" s="80"/>
      <c r="AE129" s="80"/>
      <c r="AF129" s="81"/>
      <c r="AG129" s="80"/>
      <c r="AH129" s="81"/>
      <c r="AI129" s="81"/>
      <c r="AJ129" s="81"/>
      <c r="AK129" s="81"/>
      <c r="AL129" s="147"/>
    </row>
    <row r="130" spans="1:38" ht="15.75" x14ac:dyDescent="0.25">
      <c r="A130" s="84"/>
      <c r="B130" s="84"/>
      <c r="C130" s="84"/>
      <c r="D130" s="80" t="s">
        <v>258</v>
      </c>
      <c r="E130" s="80"/>
      <c r="F130" s="80"/>
      <c r="G130" s="81"/>
      <c r="H130" s="81"/>
      <c r="I130" s="81"/>
      <c r="J130" s="81"/>
      <c r="K130" s="81"/>
      <c r="L130" s="80"/>
      <c r="M130" s="81"/>
      <c r="N130" s="81"/>
      <c r="O130" s="81"/>
      <c r="P130" s="80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0"/>
      <c r="AD130" s="81"/>
      <c r="AE130" s="81"/>
      <c r="AF130" s="81"/>
      <c r="AG130" s="81"/>
      <c r="AH130" s="81"/>
      <c r="AI130" s="81"/>
      <c r="AJ130" s="81"/>
      <c r="AK130" s="81"/>
      <c r="AL130" s="147"/>
    </row>
    <row r="131" spans="1:38" ht="15.75" x14ac:dyDescent="0.25">
      <c r="A131" s="84">
        <v>26</v>
      </c>
      <c r="B131" s="84"/>
      <c r="C131" s="84" t="s">
        <v>171</v>
      </c>
      <c r="D131" s="80" t="s">
        <v>245</v>
      </c>
      <c r="E131" s="80"/>
      <c r="F131" s="80"/>
      <c r="G131" s="80"/>
      <c r="H131" s="81"/>
      <c r="I131" s="81"/>
      <c r="J131" s="80"/>
      <c r="K131" s="80"/>
      <c r="L131" s="80"/>
      <c r="M131" s="80"/>
      <c r="N131" s="81"/>
      <c r="O131" s="80"/>
      <c r="P131" s="80"/>
      <c r="Q131" s="80"/>
      <c r="R131" s="80"/>
      <c r="S131" s="80"/>
      <c r="T131" s="81"/>
      <c r="U131" s="80"/>
      <c r="V131" s="80"/>
      <c r="W131" s="81"/>
      <c r="X131" s="80"/>
      <c r="Y131" s="80"/>
      <c r="Z131" s="80"/>
      <c r="AA131" s="80"/>
      <c r="AB131" s="80"/>
      <c r="AC131" s="80"/>
      <c r="AD131" s="80"/>
      <c r="AE131" s="80"/>
      <c r="AF131" s="81"/>
      <c r="AG131" s="80"/>
      <c r="AH131" s="81"/>
      <c r="AI131" s="81"/>
      <c r="AJ131" s="81"/>
      <c r="AK131" s="81"/>
      <c r="AL131" s="147"/>
    </row>
    <row r="132" spans="1:38" ht="15.75" x14ac:dyDescent="0.25">
      <c r="A132" s="84"/>
      <c r="B132" s="84"/>
      <c r="C132" s="84"/>
      <c r="D132" s="80" t="s">
        <v>246</v>
      </c>
      <c r="E132" s="80"/>
      <c r="F132" s="80"/>
      <c r="G132" s="80"/>
      <c r="H132" s="81"/>
      <c r="I132" s="81"/>
      <c r="J132" s="80"/>
      <c r="K132" s="80"/>
      <c r="L132" s="80"/>
      <c r="M132" s="80"/>
      <c r="N132" s="81"/>
      <c r="O132" s="80"/>
      <c r="P132" s="80"/>
      <c r="Q132" s="80"/>
      <c r="R132" s="80"/>
      <c r="S132" s="80"/>
      <c r="T132" s="81"/>
      <c r="U132" s="80"/>
      <c r="V132" s="80"/>
      <c r="W132" s="81"/>
      <c r="X132" s="80"/>
      <c r="Y132" s="80"/>
      <c r="Z132" s="80"/>
      <c r="AA132" s="80"/>
      <c r="AB132" s="80"/>
      <c r="AC132" s="80"/>
      <c r="AD132" s="80"/>
      <c r="AE132" s="80"/>
      <c r="AF132" s="81"/>
      <c r="AG132" s="80"/>
      <c r="AH132" s="81"/>
      <c r="AI132" s="81"/>
      <c r="AJ132" s="81"/>
      <c r="AK132" s="81"/>
      <c r="AL132" s="147"/>
    </row>
    <row r="133" spans="1:38" ht="15.75" x14ac:dyDescent="0.25">
      <c r="A133" s="84"/>
      <c r="B133" s="84"/>
      <c r="C133" s="84"/>
      <c r="D133" s="80" t="s">
        <v>247</v>
      </c>
      <c r="E133" s="80"/>
      <c r="F133" s="80"/>
      <c r="G133" s="80"/>
      <c r="H133" s="81"/>
      <c r="I133" s="81"/>
      <c r="J133" s="80"/>
      <c r="K133" s="80"/>
      <c r="L133" s="80"/>
      <c r="M133" s="80"/>
      <c r="N133" s="81"/>
      <c r="O133" s="80"/>
      <c r="P133" s="80"/>
      <c r="Q133" s="80"/>
      <c r="R133" s="80"/>
      <c r="S133" s="80"/>
      <c r="T133" s="81"/>
      <c r="U133" s="80"/>
      <c r="V133" s="80"/>
      <c r="W133" s="81"/>
      <c r="X133" s="80"/>
      <c r="Y133" s="80"/>
      <c r="Z133" s="80"/>
      <c r="AA133" s="80"/>
      <c r="AB133" s="80"/>
      <c r="AC133" s="80"/>
      <c r="AD133" s="80"/>
      <c r="AE133" s="80"/>
      <c r="AF133" s="81"/>
      <c r="AG133" s="80"/>
      <c r="AH133" s="81"/>
      <c r="AI133" s="81"/>
      <c r="AJ133" s="81"/>
      <c r="AK133" s="81"/>
      <c r="AL133" s="147"/>
    </row>
    <row r="134" spans="1:38" ht="15.75" x14ac:dyDescent="0.25">
      <c r="A134" s="84"/>
      <c r="B134" s="84"/>
      <c r="C134" s="84"/>
      <c r="D134" s="80" t="s">
        <v>248</v>
      </c>
      <c r="E134" s="80"/>
      <c r="F134" s="80"/>
      <c r="G134" s="80"/>
      <c r="H134" s="81"/>
      <c r="I134" s="81"/>
      <c r="J134" s="80"/>
      <c r="K134" s="80"/>
      <c r="L134" s="80"/>
      <c r="M134" s="80"/>
      <c r="N134" s="81"/>
      <c r="O134" s="80"/>
      <c r="P134" s="80"/>
      <c r="Q134" s="80"/>
      <c r="R134" s="80"/>
      <c r="S134" s="80"/>
      <c r="T134" s="81"/>
      <c r="U134" s="80"/>
      <c r="V134" s="80"/>
      <c r="W134" s="81"/>
      <c r="X134" s="80"/>
      <c r="Y134" s="80"/>
      <c r="Z134" s="80"/>
      <c r="AA134" s="80"/>
      <c r="AB134" s="80"/>
      <c r="AC134" s="80"/>
      <c r="AD134" s="80"/>
      <c r="AE134" s="80"/>
      <c r="AF134" s="81"/>
      <c r="AG134" s="80"/>
      <c r="AH134" s="81"/>
      <c r="AI134" s="81"/>
      <c r="AJ134" s="81"/>
      <c r="AK134" s="81"/>
      <c r="AL134" s="147"/>
    </row>
    <row r="135" spans="1:38" ht="15.75" x14ac:dyDescent="0.25">
      <c r="A135" s="84"/>
      <c r="B135" s="84"/>
      <c r="C135" s="84"/>
      <c r="D135" s="80"/>
      <c r="E135" s="80"/>
      <c r="F135" s="80"/>
      <c r="G135" s="81"/>
      <c r="H135" s="81"/>
      <c r="I135" s="81"/>
      <c r="J135" s="81"/>
      <c r="K135" s="81"/>
      <c r="L135" s="80"/>
      <c r="M135" s="81"/>
      <c r="N135" s="81"/>
      <c r="O135" s="81"/>
      <c r="P135" s="80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0"/>
      <c r="AD135" s="81"/>
      <c r="AE135" s="81"/>
      <c r="AF135" s="81"/>
      <c r="AG135" s="81"/>
      <c r="AH135" s="81"/>
      <c r="AI135" s="81"/>
      <c r="AJ135" s="81"/>
      <c r="AK135" s="81"/>
      <c r="AL135" s="147"/>
    </row>
    <row r="136" spans="1:38" ht="15.75" x14ac:dyDescent="0.25">
      <c r="A136" s="84">
        <v>27</v>
      </c>
      <c r="B136" s="84"/>
      <c r="C136" s="84" t="s">
        <v>31</v>
      </c>
      <c r="D136" s="80" t="s">
        <v>245</v>
      </c>
      <c r="E136" s="80"/>
      <c r="F136" s="80"/>
      <c r="G136" s="80"/>
      <c r="H136" s="81"/>
      <c r="I136" s="81"/>
      <c r="J136" s="80"/>
      <c r="K136" s="80"/>
      <c r="L136" s="80"/>
      <c r="M136" s="80"/>
      <c r="N136" s="81"/>
      <c r="O136" s="80"/>
      <c r="P136" s="80"/>
      <c r="Q136" s="80"/>
      <c r="R136" s="80"/>
      <c r="S136" s="80"/>
      <c r="T136" s="81"/>
      <c r="U136" s="80"/>
      <c r="V136" s="80"/>
      <c r="W136" s="81"/>
      <c r="X136" s="80"/>
      <c r="Y136" s="80"/>
      <c r="Z136" s="80"/>
      <c r="AA136" s="80"/>
      <c r="AB136" s="80"/>
      <c r="AC136" s="80"/>
      <c r="AD136" s="80"/>
      <c r="AE136" s="80"/>
      <c r="AF136" s="81"/>
      <c r="AG136" s="80"/>
      <c r="AH136" s="81"/>
      <c r="AI136" s="81"/>
      <c r="AJ136" s="81"/>
      <c r="AK136" s="81"/>
      <c r="AL136" s="147"/>
    </row>
    <row r="137" spans="1:38" ht="15.75" x14ac:dyDescent="0.25">
      <c r="A137" s="84"/>
      <c r="B137" s="84"/>
      <c r="C137" s="84"/>
      <c r="D137" s="80" t="s">
        <v>246</v>
      </c>
      <c r="E137" s="80"/>
      <c r="F137" s="80"/>
      <c r="G137" s="80"/>
      <c r="H137" s="81"/>
      <c r="I137" s="81"/>
      <c r="J137" s="80"/>
      <c r="K137" s="80"/>
      <c r="L137" s="80"/>
      <c r="M137" s="80"/>
      <c r="N137" s="81"/>
      <c r="O137" s="80"/>
      <c r="P137" s="80"/>
      <c r="Q137" s="80"/>
      <c r="R137" s="80"/>
      <c r="S137" s="80"/>
      <c r="T137" s="81"/>
      <c r="U137" s="80"/>
      <c r="V137" s="80"/>
      <c r="W137" s="81"/>
      <c r="X137" s="80"/>
      <c r="Y137" s="80"/>
      <c r="Z137" s="80"/>
      <c r="AA137" s="80"/>
      <c r="AB137" s="80"/>
      <c r="AC137" s="80"/>
      <c r="AD137" s="80"/>
      <c r="AE137" s="80"/>
      <c r="AF137" s="81"/>
      <c r="AG137" s="80"/>
      <c r="AH137" s="81"/>
      <c r="AI137" s="81"/>
      <c r="AJ137" s="81"/>
      <c r="AK137" s="81"/>
      <c r="AL137" s="147"/>
    </row>
    <row r="138" spans="1:38" ht="15.75" x14ac:dyDescent="0.25">
      <c r="A138" s="84"/>
      <c r="B138" s="84"/>
      <c r="C138" s="84"/>
      <c r="D138" s="80" t="s">
        <v>247</v>
      </c>
      <c r="E138" s="80"/>
      <c r="F138" s="80"/>
      <c r="G138" s="80"/>
      <c r="H138" s="81"/>
      <c r="I138" s="81"/>
      <c r="J138" s="80"/>
      <c r="K138" s="80"/>
      <c r="L138" s="80"/>
      <c r="M138" s="80"/>
      <c r="N138" s="81"/>
      <c r="O138" s="80"/>
      <c r="P138" s="80"/>
      <c r="Q138" s="80"/>
      <c r="R138" s="80"/>
      <c r="S138" s="80"/>
      <c r="T138" s="81"/>
      <c r="U138" s="80"/>
      <c r="V138" s="80"/>
      <c r="W138" s="81"/>
      <c r="X138" s="80"/>
      <c r="Y138" s="80"/>
      <c r="Z138" s="80"/>
      <c r="AA138" s="80"/>
      <c r="AB138" s="80"/>
      <c r="AC138" s="80"/>
      <c r="AD138" s="80"/>
      <c r="AE138" s="80"/>
      <c r="AF138" s="81"/>
      <c r="AG138" s="80"/>
      <c r="AH138" s="81"/>
      <c r="AI138" s="81"/>
      <c r="AJ138" s="81"/>
      <c r="AK138" s="81"/>
      <c r="AL138" s="147"/>
    </row>
    <row r="139" spans="1:38" ht="15.75" x14ac:dyDescent="0.25">
      <c r="A139" s="84"/>
      <c r="B139" s="84"/>
      <c r="C139" s="84"/>
      <c r="D139" s="80" t="s">
        <v>248</v>
      </c>
      <c r="E139" s="80"/>
      <c r="F139" s="80"/>
      <c r="G139" s="80"/>
      <c r="H139" s="81"/>
      <c r="I139" s="81"/>
      <c r="J139" s="80"/>
      <c r="K139" s="80"/>
      <c r="L139" s="80"/>
      <c r="M139" s="80"/>
      <c r="N139" s="81"/>
      <c r="O139" s="80"/>
      <c r="P139" s="80"/>
      <c r="Q139" s="80"/>
      <c r="R139" s="80"/>
      <c r="S139" s="80"/>
      <c r="T139" s="81"/>
      <c r="U139" s="80"/>
      <c r="V139" s="80"/>
      <c r="W139" s="81"/>
      <c r="X139" s="80"/>
      <c r="Y139" s="80"/>
      <c r="Z139" s="80"/>
      <c r="AA139" s="80"/>
      <c r="AB139" s="80"/>
      <c r="AC139" s="80"/>
      <c r="AD139" s="80"/>
      <c r="AE139" s="80"/>
      <c r="AF139" s="81"/>
      <c r="AG139" s="80"/>
      <c r="AH139" s="81"/>
      <c r="AI139" s="81"/>
      <c r="AJ139" s="81"/>
      <c r="AK139" s="81"/>
      <c r="AL139" s="147"/>
    </row>
    <row r="140" spans="1:38" ht="15.75" x14ac:dyDescent="0.25">
      <c r="A140" s="84">
        <v>27</v>
      </c>
      <c r="B140" s="84"/>
      <c r="C140" s="84" t="s">
        <v>201</v>
      </c>
      <c r="D140" s="80" t="s">
        <v>245</v>
      </c>
      <c r="E140" s="80"/>
      <c r="F140" s="80"/>
      <c r="G140" s="81"/>
      <c r="H140" s="81"/>
      <c r="I140" s="81"/>
      <c r="J140" s="81"/>
      <c r="K140" s="81"/>
      <c r="L140" s="81"/>
      <c r="M140" s="81"/>
      <c r="N140" s="81"/>
      <c r="O140" s="81"/>
      <c r="P140" s="80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0"/>
      <c r="AD140" s="81"/>
      <c r="AE140" s="81"/>
      <c r="AF140" s="81"/>
      <c r="AG140" s="81"/>
      <c r="AH140" s="81"/>
      <c r="AI140" s="81"/>
      <c r="AJ140" s="81"/>
      <c r="AK140" s="81"/>
      <c r="AL140" s="147"/>
    </row>
    <row r="141" spans="1:38" ht="15.75" x14ac:dyDescent="0.25">
      <c r="A141" s="84"/>
      <c r="B141" s="84"/>
      <c r="C141" s="84"/>
      <c r="D141" s="80" t="s">
        <v>246</v>
      </c>
      <c r="E141" s="80"/>
      <c r="F141" s="80"/>
      <c r="G141" s="81"/>
      <c r="H141" s="81"/>
      <c r="I141" s="81"/>
      <c r="J141" s="81"/>
      <c r="K141" s="81"/>
      <c r="L141" s="81"/>
      <c r="M141" s="81"/>
      <c r="N141" s="81"/>
      <c r="O141" s="81"/>
      <c r="P141" s="80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0"/>
      <c r="AD141" s="81"/>
      <c r="AE141" s="81"/>
      <c r="AF141" s="81"/>
      <c r="AG141" s="81"/>
      <c r="AH141" s="81"/>
      <c r="AI141" s="81"/>
      <c r="AJ141" s="81"/>
      <c r="AK141" s="81"/>
      <c r="AL141" s="147"/>
    </row>
    <row r="142" spans="1:38" ht="15.75" x14ac:dyDescent="0.25">
      <c r="A142" s="84"/>
      <c r="B142" s="84"/>
      <c r="C142" s="84"/>
      <c r="D142" s="80" t="s">
        <v>247</v>
      </c>
      <c r="E142" s="80"/>
      <c r="F142" s="80"/>
      <c r="G142" s="81"/>
      <c r="H142" s="81"/>
      <c r="I142" s="81"/>
      <c r="J142" s="81"/>
      <c r="K142" s="81"/>
      <c r="L142" s="81"/>
      <c r="M142" s="81"/>
      <c r="N142" s="81"/>
      <c r="O142" s="81"/>
      <c r="P142" s="80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0"/>
      <c r="AD142" s="81"/>
      <c r="AE142" s="81"/>
      <c r="AF142" s="81"/>
      <c r="AG142" s="81"/>
      <c r="AH142" s="81"/>
      <c r="AI142" s="81"/>
      <c r="AJ142" s="81"/>
      <c r="AK142" s="81"/>
      <c r="AL142" s="147"/>
    </row>
    <row r="143" spans="1:38" ht="15.75" x14ac:dyDescent="0.25">
      <c r="A143" s="84"/>
      <c r="B143" s="84"/>
      <c r="C143" s="84"/>
      <c r="D143" s="80" t="s">
        <v>248</v>
      </c>
      <c r="E143" s="80"/>
      <c r="F143" s="80"/>
      <c r="G143" s="81"/>
      <c r="H143" s="81"/>
      <c r="I143" s="81"/>
      <c r="J143" s="81"/>
      <c r="K143" s="81"/>
      <c r="L143" s="81"/>
      <c r="M143" s="81"/>
      <c r="N143" s="81"/>
      <c r="O143" s="81"/>
      <c r="P143" s="80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0"/>
      <c r="AD143" s="81"/>
      <c r="AE143" s="81"/>
      <c r="AF143" s="81"/>
      <c r="AG143" s="81"/>
      <c r="AH143" s="81"/>
      <c r="AI143" s="81"/>
      <c r="AJ143" s="81"/>
      <c r="AK143" s="81"/>
      <c r="AL143" s="147"/>
    </row>
    <row r="144" spans="1:38" ht="15.75" x14ac:dyDescent="0.25">
      <c r="A144" s="84">
        <v>28</v>
      </c>
      <c r="B144" s="84" t="s">
        <v>91</v>
      </c>
      <c r="C144" s="84" t="s">
        <v>184</v>
      </c>
      <c r="D144" s="80" t="s">
        <v>245</v>
      </c>
      <c r="E144" s="80"/>
      <c r="F144" s="80"/>
      <c r="G144" s="80"/>
      <c r="H144" s="81"/>
      <c r="I144" s="81"/>
      <c r="J144" s="80"/>
      <c r="K144" s="80"/>
      <c r="L144" s="80"/>
      <c r="M144" s="80"/>
      <c r="N144" s="81"/>
      <c r="O144" s="81"/>
      <c r="P144" s="81"/>
      <c r="Q144" s="81"/>
      <c r="R144" s="80"/>
      <c r="S144" s="80"/>
      <c r="T144" s="81"/>
      <c r="U144" s="80"/>
      <c r="V144" s="81"/>
      <c r="W144" s="81"/>
      <c r="X144" s="80"/>
      <c r="Y144" s="80"/>
      <c r="Z144" s="80"/>
      <c r="AA144" s="80"/>
      <c r="AB144" s="80"/>
      <c r="AC144" s="80"/>
      <c r="AD144" s="80"/>
      <c r="AE144" s="80"/>
      <c r="AF144" s="81"/>
      <c r="AG144" s="80"/>
      <c r="AH144" s="81"/>
      <c r="AI144" s="81"/>
      <c r="AJ144" s="81"/>
      <c r="AK144" s="81"/>
      <c r="AL144" s="147"/>
    </row>
    <row r="145" spans="1:38" ht="15.75" x14ac:dyDescent="0.25">
      <c r="A145" s="84"/>
      <c r="B145" s="84"/>
      <c r="C145" s="84"/>
      <c r="D145" s="80" t="s">
        <v>246</v>
      </c>
      <c r="E145" s="80"/>
      <c r="F145" s="80"/>
      <c r="G145" s="80"/>
      <c r="H145" s="81"/>
      <c r="I145" s="81"/>
      <c r="J145" s="80"/>
      <c r="K145" s="80"/>
      <c r="L145" s="80"/>
      <c r="M145" s="80"/>
      <c r="N145" s="81"/>
      <c r="O145" s="81"/>
      <c r="P145" s="81"/>
      <c r="Q145" s="81"/>
      <c r="R145" s="80"/>
      <c r="S145" s="80"/>
      <c r="T145" s="81"/>
      <c r="U145" s="80"/>
      <c r="V145" s="81"/>
      <c r="W145" s="81"/>
      <c r="X145" s="80"/>
      <c r="Y145" s="80"/>
      <c r="Z145" s="80"/>
      <c r="AA145" s="80"/>
      <c r="AB145" s="80"/>
      <c r="AC145" s="80"/>
      <c r="AD145" s="80"/>
      <c r="AE145" s="80"/>
      <c r="AF145" s="81"/>
      <c r="AG145" s="80"/>
      <c r="AH145" s="81"/>
      <c r="AI145" s="81"/>
      <c r="AJ145" s="81"/>
      <c r="AK145" s="81"/>
      <c r="AL145" s="147"/>
    </row>
    <row r="146" spans="1:38" ht="15.75" x14ac:dyDescent="0.25">
      <c r="A146" s="84"/>
      <c r="B146" s="84"/>
      <c r="C146" s="84"/>
      <c r="D146" s="80" t="s">
        <v>247</v>
      </c>
      <c r="E146" s="80"/>
      <c r="F146" s="80"/>
      <c r="G146" s="80"/>
      <c r="H146" s="81"/>
      <c r="I146" s="81"/>
      <c r="J146" s="80"/>
      <c r="K146" s="80"/>
      <c r="L146" s="80"/>
      <c r="M146" s="80"/>
      <c r="N146" s="81"/>
      <c r="O146" s="81"/>
      <c r="P146" s="81"/>
      <c r="Q146" s="81"/>
      <c r="R146" s="80"/>
      <c r="S146" s="80"/>
      <c r="T146" s="81"/>
      <c r="U146" s="80"/>
      <c r="V146" s="81"/>
      <c r="W146" s="81"/>
      <c r="X146" s="80"/>
      <c r="Y146" s="80"/>
      <c r="Z146" s="80"/>
      <c r="AA146" s="80"/>
      <c r="AB146" s="80"/>
      <c r="AC146" s="80"/>
      <c r="AD146" s="80"/>
      <c r="AE146" s="80"/>
      <c r="AF146" s="81"/>
      <c r="AG146" s="80"/>
      <c r="AH146" s="81"/>
      <c r="AI146" s="81"/>
      <c r="AJ146" s="81"/>
      <c r="AK146" s="81"/>
      <c r="AL146" s="147"/>
    </row>
    <row r="147" spans="1:38" ht="15.75" x14ac:dyDescent="0.25">
      <c r="A147" s="84"/>
      <c r="B147" s="84"/>
      <c r="C147" s="84"/>
      <c r="D147" s="80" t="s">
        <v>248</v>
      </c>
      <c r="E147" s="80"/>
      <c r="F147" s="80"/>
      <c r="G147" s="80"/>
      <c r="H147" s="81"/>
      <c r="I147" s="81"/>
      <c r="J147" s="80"/>
      <c r="K147" s="80"/>
      <c r="L147" s="80"/>
      <c r="M147" s="80"/>
      <c r="N147" s="81"/>
      <c r="O147" s="81"/>
      <c r="P147" s="81"/>
      <c r="Q147" s="81"/>
      <c r="R147" s="80"/>
      <c r="S147" s="80"/>
      <c r="T147" s="81"/>
      <c r="U147" s="80"/>
      <c r="V147" s="81"/>
      <c r="W147" s="81"/>
      <c r="X147" s="80"/>
      <c r="Y147" s="80"/>
      <c r="Z147" s="80"/>
      <c r="AA147" s="80"/>
      <c r="AB147" s="80"/>
      <c r="AC147" s="80"/>
      <c r="AD147" s="80"/>
      <c r="AE147" s="80"/>
      <c r="AF147" s="81"/>
      <c r="AG147" s="80"/>
      <c r="AH147" s="81"/>
      <c r="AI147" s="81"/>
      <c r="AJ147" s="81"/>
      <c r="AK147" s="81"/>
      <c r="AL147" s="147"/>
    </row>
    <row r="148" spans="1:38" ht="15.75" x14ac:dyDescent="0.25">
      <c r="A148" s="84"/>
      <c r="B148" s="84"/>
      <c r="C148" s="84"/>
      <c r="D148" s="80" t="s">
        <v>258</v>
      </c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147"/>
    </row>
    <row r="149" spans="1:38" ht="15.75" x14ac:dyDescent="0.25">
      <c r="A149" s="84">
        <v>29</v>
      </c>
      <c r="B149" s="84"/>
      <c r="C149" s="84" t="s">
        <v>254</v>
      </c>
      <c r="D149" s="80" t="s">
        <v>245</v>
      </c>
      <c r="E149" s="80"/>
      <c r="F149" s="80"/>
      <c r="G149" s="80"/>
      <c r="H149" s="81"/>
      <c r="I149" s="81"/>
      <c r="J149" s="80"/>
      <c r="K149" s="80"/>
      <c r="L149" s="80"/>
      <c r="M149" s="80"/>
      <c r="N149" s="81"/>
      <c r="O149" s="81"/>
      <c r="P149" s="81"/>
      <c r="Q149" s="81"/>
      <c r="R149" s="80"/>
      <c r="S149" s="80"/>
      <c r="T149" s="81"/>
      <c r="U149" s="80"/>
      <c r="V149" s="81"/>
      <c r="W149" s="81"/>
      <c r="X149" s="80"/>
      <c r="Y149" s="80"/>
      <c r="Z149" s="80"/>
      <c r="AA149" s="80"/>
      <c r="AB149" s="80"/>
      <c r="AC149" s="80"/>
      <c r="AD149" s="80"/>
      <c r="AE149" s="80"/>
      <c r="AF149" s="81"/>
      <c r="AG149" s="80"/>
      <c r="AH149" s="81"/>
      <c r="AI149" s="81"/>
      <c r="AJ149" s="81"/>
      <c r="AK149" s="81"/>
      <c r="AL149" s="147"/>
    </row>
    <row r="150" spans="1:38" ht="15.75" x14ac:dyDescent="0.25">
      <c r="A150" s="84"/>
      <c r="B150" s="84"/>
      <c r="C150" s="84"/>
      <c r="D150" s="80" t="s">
        <v>246</v>
      </c>
      <c r="E150" s="80"/>
      <c r="F150" s="80"/>
      <c r="G150" s="80"/>
      <c r="H150" s="81"/>
      <c r="I150" s="81"/>
      <c r="J150" s="80"/>
      <c r="K150" s="80"/>
      <c r="L150" s="80"/>
      <c r="M150" s="80"/>
      <c r="N150" s="81"/>
      <c r="O150" s="81"/>
      <c r="P150" s="81"/>
      <c r="Q150" s="81"/>
      <c r="R150" s="80"/>
      <c r="S150" s="80"/>
      <c r="T150" s="81"/>
      <c r="U150" s="80"/>
      <c r="V150" s="81"/>
      <c r="W150" s="81"/>
      <c r="X150" s="80"/>
      <c r="Y150" s="80"/>
      <c r="Z150" s="80"/>
      <c r="AA150" s="80"/>
      <c r="AB150" s="80"/>
      <c r="AC150" s="80"/>
      <c r="AD150" s="80"/>
      <c r="AE150" s="80"/>
      <c r="AF150" s="81"/>
      <c r="AG150" s="80"/>
      <c r="AH150" s="81"/>
      <c r="AI150" s="81"/>
      <c r="AJ150" s="81"/>
      <c r="AK150" s="81"/>
      <c r="AL150" s="147"/>
    </row>
    <row r="151" spans="1:38" ht="15.75" x14ac:dyDescent="0.25">
      <c r="A151" s="84"/>
      <c r="B151" s="84"/>
      <c r="C151" s="84"/>
      <c r="D151" s="80" t="s">
        <v>247</v>
      </c>
      <c r="E151" s="80"/>
      <c r="F151" s="80"/>
      <c r="G151" s="80"/>
      <c r="H151" s="81"/>
      <c r="I151" s="81"/>
      <c r="J151" s="80"/>
      <c r="K151" s="80"/>
      <c r="L151" s="80"/>
      <c r="M151" s="80"/>
      <c r="N151" s="81"/>
      <c r="O151" s="81"/>
      <c r="P151" s="81"/>
      <c r="Q151" s="81"/>
      <c r="R151" s="80"/>
      <c r="S151" s="80"/>
      <c r="T151" s="81"/>
      <c r="U151" s="80"/>
      <c r="V151" s="81"/>
      <c r="W151" s="81"/>
      <c r="X151" s="80"/>
      <c r="Y151" s="80"/>
      <c r="Z151" s="80"/>
      <c r="AA151" s="80"/>
      <c r="AB151" s="80"/>
      <c r="AC151" s="80"/>
      <c r="AD151" s="80"/>
      <c r="AE151" s="80"/>
      <c r="AF151" s="81"/>
      <c r="AG151" s="80"/>
      <c r="AH151" s="81"/>
      <c r="AI151" s="81"/>
      <c r="AJ151" s="81"/>
      <c r="AK151" s="81"/>
      <c r="AL151" s="147"/>
    </row>
    <row r="152" spans="1:38" ht="15.75" x14ac:dyDescent="0.25">
      <c r="A152" s="84"/>
      <c r="B152" s="84"/>
      <c r="C152" s="84"/>
      <c r="D152" s="80" t="s">
        <v>248</v>
      </c>
      <c r="E152" s="80"/>
      <c r="F152" s="80"/>
      <c r="G152" s="80"/>
      <c r="H152" s="81"/>
      <c r="I152" s="81"/>
      <c r="J152" s="80"/>
      <c r="K152" s="80"/>
      <c r="L152" s="80"/>
      <c r="M152" s="80"/>
      <c r="N152" s="81"/>
      <c r="O152" s="81"/>
      <c r="P152" s="81"/>
      <c r="Q152" s="81"/>
      <c r="R152" s="80"/>
      <c r="S152" s="80"/>
      <c r="T152" s="81"/>
      <c r="U152" s="80"/>
      <c r="V152" s="81"/>
      <c r="W152" s="81"/>
      <c r="X152" s="80"/>
      <c r="Y152" s="80"/>
      <c r="Z152" s="80"/>
      <c r="AA152" s="80"/>
      <c r="AB152" s="80"/>
      <c r="AC152" s="80"/>
      <c r="AD152" s="80"/>
      <c r="AE152" s="80"/>
      <c r="AF152" s="81"/>
      <c r="AG152" s="80"/>
      <c r="AH152" s="81"/>
      <c r="AI152" s="81"/>
      <c r="AJ152" s="81"/>
      <c r="AK152" s="81"/>
      <c r="AL152" s="147"/>
    </row>
    <row r="153" spans="1:38" ht="15.75" x14ac:dyDescent="0.25">
      <c r="A153" s="84"/>
      <c r="B153" s="84"/>
      <c r="C153" s="84"/>
      <c r="D153" s="80" t="s">
        <v>258</v>
      </c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147"/>
    </row>
    <row r="154" spans="1:38" ht="15.75" x14ac:dyDescent="0.25">
      <c r="A154" s="84">
        <v>30</v>
      </c>
      <c r="B154" s="84"/>
      <c r="C154" s="84" t="s">
        <v>175</v>
      </c>
      <c r="D154" s="80" t="s">
        <v>245</v>
      </c>
      <c r="E154" s="80"/>
      <c r="F154" s="80"/>
      <c r="G154" s="80"/>
      <c r="H154" s="81"/>
      <c r="I154" s="81"/>
      <c r="J154" s="80"/>
      <c r="K154" s="80"/>
      <c r="L154" s="80"/>
      <c r="M154" s="80"/>
      <c r="N154" s="81"/>
      <c r="O154" s="81"/>
      <c r="P154" s="81"/>
      <c r="Q154" s="81"/>
      <c r="R154" s="80"/>
      <c r="S154" s="80"/>
      <c r="T154" s="81"/>
      <c r="U154" s="80"/>
      <c r="V154" s="81"/>
      <c r="W154" s="81"/>
      <c r="X154" s="80"/>
      <c r="Y154" s="80"/>
      <c r="Z154" s="80"/>
      <c r="AA154" s="80"/>
      <c r="AB154" s="80"/>
      <c r="AC154" s="80"/>
      <c r="AD154" s="80"/>
      <c r="AE154" s="80"/>
      <c r="AF154" s="81"/>
      <c r="AG154" s="80"/>
      <c r="AH154" s="81"/>
      <c r="AI154" s="81"/>
      <c r="AJ154" s="81"/>
      <c r="AK154" s="81"/>
      <c r="AL154" s="147"/>
    </row>
    <row r="155" spans="1:38" ht="15.75" x14ac:dyDescent="0.25">
      <c r="A155" s="84"/>
      <c r="B155" s="84"/>
      <c r="C155" s="84"/>
      <c r="D155" s="80" t="s">
        <v>246</v>
      </c>
      <c r="E155" s="80"/>
      <c r="F155" s="80"/>
      <c r="G155" s="80"/>
      <c r="H155" s="81"/>
      <c r="I155" s="81"/>
      <c r="J155" s="80"/>
      <c r="K155" s="80"/>
      <c r="L155" s="80"/>
      <c r="M155" s="80"/>
      <c r="N155" s="81"/>
      <c r="O155" s="81"/>
      <c r="P155" s="81"/>
      <c r="Q155" s="81"/>
      <c r="R155" s="80"/>
      <c r="S155" s="80"/>
      <c r="T155" s="81"/>
      <c r="U155" s="80"/>
      <c r="V155" s="81"/>
      <c r="W155" s="81"/>
      <c r="X155" s="80"/>
      <c r="Y155" s="80"/>
      <c r="Z155" s="80"/>
      <c r="AA155" s="80"/>
      <c r="AB155" s="80"/>
      <c r="AC155" s="80"/>
      <c r="AD155" s="80"/>
      <c r="AE155" s="80"/>
      <c r="AF155" s="81"/>
      <c r="AG155" s="80"/>
      <c r="AH155" s="81"/>
      <c r="AI155" s="81"/>
      <c r="AJ155" s="81"/>
      <c r="AK155" s="81"/>
      <c r="AL155" s="147"/>
    </row>
    <row r="156" spans="1:38" ht="15.75" x14ac:dyDescent="0.25">
      <c r="A156" s="84"/>
      <c r="B156" s="84"/>
      <c r="C156" s="84"/>
      <c r="D156" s="80" t="s">
        <v>247</v>
      </c>
      <c r="E156" s="80"/>
      <c r="F156" s="80"/>
      <c r="G156" s="80"/>
      <c r="H156" s="81"/>
      <c r="I156" s="81"/>
      <c r="J156" s="80"/>
      <c r="K156" s="80"/>
      <c r="L156" s="80"/>
      <c r="M156" s="80"/>
      <c r="N156" s="81"/>
      <c r="O156" s="81"/>
      <c r="P156" s="81"/>
      <c r="Q156" s="81"/>
      <c r="R156" s="80"/>
      <c r="S156" s="80"/>
      <c r="T156" s="81"/>
      <c r="U156" s="80"/>
      <c r="V156" s="81"/>
      <c r="W156" s="81"/>
      <c r="X156" s="80"/>
      <c r="Y156" s="80"/>
      <c r="Z156" s="80"/>
      <c r="AA156" s="80"/>
      <c r="AB156" s="80"/>
      <c r="AC156" s="80"/>
      <c r="AD156" s="80"/>
      <c r="AE156" s="80"/>
      <c r="AF156" s="81"/>
      <c r="AG156" s="80"/>
      <c r="AH156" s="81"/>
      <c r="AI156" s="81"/>
      <c r="AJ156" s="81"/>
      <c r="AK156" s="81"/>
      <c r="AL156" s="147"/>
    </row>
    <row r="157" spans="1:38" ht="15.75" x14ac:dyDescent="0.25">
      <c r="A157" s="84"/>
      <c r="B157" s="84"/>
      <c r="C157" s="84"/>
      <c r="D157" s="80" t="s">
        <v>248</v>
      </c>
      <c r="E157" s="80"/>
      <c r="F157" s="80"/>
      <c r="G157" s="80"/>
      <c r="H157" s="81"/>
      <c r="I157" s="81"/>
      <c r="J157" s="80"/>
      <c r="K157" s="80"/>
      <c r="L157" s="80"/>
      <c r="M157" s="80"/>
      <c r="N157" s="81"/>
      <c r="O157" s="81"/>
      <c r="P157" s="81"/>
      <c r="Q157" s="81"/>
      <c r="R157" s="80"/>
      <c r="S157" s="80"/>
      <c r="T157" s="81"/>
      <c r="U157" s="80"/>
      <c r="V157" s="81"/>
      <c r="W157" s="81"/>
      <c r="X157" s="80"/>
      <c r="Y157" s="80"/>
      <c r="Z157" s="80"/>
      <c r="AA157" s="80"/>
      <c r="AB157" s="80"/>
      <c r="AC157" s="80"/>
      <c r="AD157" s="80"/>
      <c r="AE157" s="80"/>
      <c r="AF157" s="81"/>
      <c r="AG157" s="80"/>
      <c r="AH157" s="81"/>
      <c r="AI157" s="81"/>
      <c r="AJ157" s="81"/>
      <c r="AK157" s="81"/>
      <c r="AL157" s="147"/>
    </row>
    <row r="158" spans="1:38" ht="15.75" x14ac:dyDescent="0.25">
      <c r="A158" s="84"/>
      <c r="B158" s="84"/>
      <c r="C158" s="84"/>
      <c r="D158" s="80" t="s">
        <v>258</v>
      </c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147"/>
    </row>
    <row r="159" spans="1:38" ht="15.75" x14ac:dyDescent="0.25">
      <c r="A159" s="84">
        <v>31</v>
      </c>
      <c r="B159" s="84" t="s">
        <v>169</v>
      </c>
      <c r="C159" s="84" t="s">
        <v>255</v>
      </c>
      <c r="D159" s="80" t="s">
        <v>245</v>
      </c>
      <c r="E159" s="80"/>
      <c r="F159" s="80"/>
      <c r="G159" s="80"/>
      <c r="H159" s="81"/>
      <c r="I159" s="81"/>
      <c r="J159" s="80"/>
      <c r="K159" s="80"/>
      <c r="L159" s="80"/>
      <c r="M159" s="80"/>
      <c r="N159" s="81"/>
      <c r="O159" s="81"/>
      <c r="P159" s="81"/>
      <c r="Q159" s="81"/>
      <c r="R159" s="80"/>
      <c r="S159" s="80"/>
      <c r="T159" s="81"/>
      <c r="U159" s="81"/>
      <c r="V159" s="81"/>
      <c r="W159" s="81"/>
      <c r="X159" s="81"/>
      <c r="Y159" s="80"/>
      <c r="Z159" s="80"/>
      <c r="AA159" s="80"/>
      <c r="AB159" s="80"/>
      <c r="AC159" s="80"/>
      <c r="AD159" s="80"/>
      <c r="AE159" s="80"/>
      <c r="AF159" s="81"/>
      <c r="AG159" s="80"/>
      <c r="AH159" s="81"/>
      <c r="AI159" s="81"/>
      <c r="AJ159" s="81"/>
      <c r="AK159" s="81"/>
      <c r="AL159" s="147"/>
    </row>
    <row r="160" spans="1:38" ht="15.75" x14ac:dyDescent="0.25">
      <c r="A160" s="84"/>
      <c r="B160" s="84"/>
      <c r="C160" s="84"/>
      <c r="D160" s="80" t="s">
        <v>246</v>
      </c>
      <c r="E160" s="80"/>
      <c r="F160" s="80"/>
      <c r="G160" s="80"/>
      <c r="H160" s="81"/>
      <c r="I160" s="81"/>
      <c r="J160" s="80"/>
      <c r="K160" s="80"/>
      <c r="L160" s="80"/>
      <c r="M160" s="80"/>
      <c r="N160" s="81"/>
      <c r="O160" s="81"/>
      <c r="P160" s="81"/>
      <c r="Q160" s="81"/>
      <c r="R160" s="80"/>
      <c r="S160" s="80"/>
      <c r="T160" s="81"/>
      <c r="U160" s="81"/>
      <c r="V160" s="81"/>
      <c r="W160" s="81"/>
      <c r="X160" s="81"/>
      <c r="Y160" s="80"/>
      <c r="Z160" s="80"/>
      <c r="AA160" s="80"/>
      <c r="AB160" s="80"/>
      <c r="AC160" s="80"/>
      <c r="AD160" s="80"/>
      <c r="AE160" s="80"/>
      <c r="AF160" s="81"/>
      <c r="AG160" s="80"/>
      <c r="AH160" s="81"/>
      <c r="AI160" s="81"/>
      <c r="AJ160" s="81"/>
      <c r="AK160" s="81"/>
      <c r="AL160" s="147"/>
    </row>
    <row r="161" spans="1:38" ht="15.75" x14ac:dyDescent="0.25">
      <c r="A161" s="84"/>
      <c r="B161" s="84"/>
      <c r="C161" s="84"/>
      <c r="D161" s="80" t="s">
        <v>247</v>
      </c>
      <c r="E161" s="80"/>
      <c r="F161" s="80"/>
      <c r="G161" s="80"/>
      <c r="H161" s="81"/>
      <c r="I161" s="81"/>
      <c r="J161" s="80"/>
      <c r="K161" s="80"/>
      <c r="L161" s="80"/>
      <c r="M161" s="80"/>
      <c r="N161" s="81"/>
      <c r="O161" s="81"/>
      <c r="P161" s="81"/>
      <c r="Q161" s="81"/>
      <c r="R161" s="80"/>
      <c r="S161" s="80"/>
      <c r="T161" s="81"/>
      <c r="U161" s="81"/>
      <c r="V161" s="81"/>
      <c r="W161" s="81"/>
      <c r="X161" s="81"/>
      <c r="Y161" s="80"/>
      <c r="Z161" s="80"/>
      <c r="AA161" s="80"/>
      <c r="AB161" s="80"/>
      <c r="AC161" s="80"/>
      <c r="AD161" s="80"/>
      <c r="AE161" s="80"/>
      <c r="AF161" s="81"/>
      <c r="AG161" s="80"/>
      <c r="AH161" s="81"/>
      <c r="AI161" s="81"/>
      <c r="AJ161" s="81"/>
      <c r="AK161" s="81"/>
      <c r="AL161" s="147"/>
    </row>
    <row r="162" spans="1:38" ht="15.75" x14ac:dyDescent="0.25">
      <c r="A162" s="84"/>
      <c r="B162" s="84"/>
      <c r="C162" s="84"/>
      <c r="D162" s="80" t="s">
        <v>248</v>
      </c>
      <c r="E162" s="80"/>
      <c r="F162" s="80"/>
      <c r="G162" s="80"/>
      <c r="H162" s="81"/>
      <c r="I162" s="81"/>
      <c r="J162" s="80"/>
      <c r="K162" s="80"/>
      <c r="L162" s="80"/>
      <c r="M162" s="80"/>
      <c r="N162" s="81"/>
      <c r="O162" s="81"/>
      <c r="P162" s="81"/>
      <c r="Q162" s="81"/>
      <c r="R162" s="80"/>
      <c r="S162" s="80"/>
      <c r="T162" s="81"/>
      <c r="U162" s="81"/>
      <c r="V162" s="81"/>
      <c r="W162" s="81"/>
      <c r="X162" s="81"/>
      <c r="Y162" s="80"/>
      <c r="Z162" s="80"/>
      <c r="AA162" s="80"/>
      <c r="AB162" s="80"/>
      <c r="AC162" s="80"/>
      <c r="AD162" s="80"/>
      <c r="AE162" s="80"/>
      <c r="AF162" s="81"/>
      <c r="AG162" s="80"/>
      <c r="AH162" s="81"/>
      <c r="AI162" s="81"/>
      <c r="AJ162" s="81"/>
      <c r="AK162" s="81"/>
      <c r="AL162" s="147"/>
    </row>
    <row r="163" spans="1:38" ht="15.75" x14ac:dyDescent="0.25">
      <c r="A163" s="84"/>
      <c r="B163" s="84"/>
      <c r="C163" s="84"/>
      <c r="D163" s="80" t="s">
        <v>258</v>
      </c>
      <c r="E163" s="80"/>
      <c r="F163" s="80"/>
      <c r="G163" s="80"/>
      <c r="H163" s="81"/>
      <c r="I163" s="81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147"/>
    </row>
    <row r="164" spans="1:38" ht="15.75" x14ac:dyDescent="0.25">
      <c r="A164" s="84">
        <v>32</v>
      </c>
      <c r="B164" s="84"/>
      <c r="C164" s="84" t="s">
        <v>256</v>
      </c>
      <c r="D164" s="80" t="s">
        <v>245</v>
      </c>
      <c r="E164" s="80"/>
      <c r="F164" s="80"/>
      <c r="G164" s="80"/>
      <c r="H164" s="81"/>
      <c r="I164" s="81"/>
      <c r="J164" s="80"/>
      <c r="K164" s="80"/>
      <c r="L164" s="80"/>
      <c r="M164" s="80"/>
      <c r="N164" s="81"/>
      <c r="O164" s="81"/>
      <c r="P164" s="81"/>
      <c r="Q164" s="81"/>
      <c r="R164" s="80"/>
      <c r="S164" s="80"/>
      <c r="T164" s="81"/>
      <c r="U164" s="81"/>
      <c r="V164" s="81"/>
      <c r="W164" s="81"/>
      <c r="X164" s="81"/>
      <c r="Y164" s="80"/>
      <c r="Z164" s="80"/>
      <c r="AA164" s="80"/>
      <c r="AB164" s="80"/>
      <c r="AC164" s="80"/>
      <c r="AD164" s="80"/>
      <c r="AE164" s="80"/>
      <c r="AF164" s="81"/>
      <c r="AG164" s="80"/>
      <c r="AH164" s="81"/>
      <c r="AI164" s="81"/>
      <c r="AJ164" s="81"/>
      <c r="AK164" s="81"/>
      <c r="AL164" s="147"/>
    </row>
    <row r="165" spans="1:38" ht="15.75" x14ac:dyDescent="0.25">
      <c r="A165" s="84"/>
      <c r="B165" s="84"/>
      <c r="C165" s="84"/>
      <c r="D165" s="80" t="s">
        <v>246</v>
      </c>
      <c r="E165" s="80"/>
      <c r="F165" s="80"/>
      <c r="G165" s="80"/>
      <c r="H165" s="81"/>
      <c r="I165" s="81"/>
      <c r="J165" s="80"/>
      <c r="K165" s="80"/>
      <c r="L165" s="80"/>
      <c r="M165" s="80"/>
      <c r="N165" s="81"/>
      <c r="O165" s="81"/>
      <c r="P165" s="81"/>
      <c r="Q165" s="81"/>
      <c r="R165" s="80"/>
      <c r="S165" s="80"/>
      <c r="T165" s="81"/>
      <c r="U165" s="81"/>
      <c r="V165" s="81"/>
      <c r="W165" s="81"/>
      <c r="X165" s="81"/>
      <c r="Y165" s="80"/>
      <c r="Z165" s="80"/>
      <c r="AA165" s="80"/>
      <c r="AB165" s="80"/>
      <c r="AC165" s="80"/>
      <c r="AD165" s="80"/>
      <c r="AE165" s="80"/>
      <c r="AF165" s="81"/>
      <c r="AG165" s="80"/>
      <c r="AH165" s="81"/>
      <c r="AI165" s="81"/>
      <c r="AJ165" s="81"/>
      <c r="AK165" s="81"/>
      <c r="AL165" s="147"/>
    </row>
    <row r="166" spans="1:38" ht="15.75" x14ac:dyDescent="0.25">
      <c r="A166" s="84"/>
      <c r="B166" s="84"/>
      <c r="C166" s="84"/>
      <c r="D166" s="80" t="s">
        <v>247</v>
      </c>
      <c r="E166" s="80"/>
      <c r="F166" s="80"/>
      <c r="G166" s="80"/>
      <c r="H166" s="81"/>
      <c r="I166" s="81"/>
      <c r="J166" s="80"/>
      <c r="K166" s="80"/>
      <c r="L166" s="80"/>
      <c r="M166" s="80"/>
      <c r="N166" s="81"/>
      <c r="O166" s="81"/>
      <c r="P166" s="81"/>
      <c r="Q166" s="81"/>
      <c r="R166" s="80"/>
      <c r="S166" s="80"/>
      <c r="T166" s="81"/>
      <c r="U166" s="81"/>
      <c r="V166" s="81"/>
      <c r="W166" s="81"/>
      <c r="X166" s="81"/>
      <c r="Y166" s="80"/>
      <c r="Z166" s="80"/>
      <c r="AA166" s="80"/>
      <c r="AB166" s="80"/>
      <c r="AC166" s="80"/>
      <c r="AD166" s="80"/>
      <c r="AE166" s="80"/>
      <c r="AF166" s="81"/>
      <c r="AG166" s="80"/>
      <c r="AH166" s="81"/>
      <c r="AI166" s="81"/>
      <c r="AJ166" s="81"/>
      <c r="AK166" s="81"/>
      <c r="AL166" s="147"/>
    </row>
    <row r="167" spans="1:38" ht="15.75" x14ac:dyDescent="0.25">
      <c r="A167" s="84"/>
      <c r="B167" s="84"/>
      <c r="C167" s="84"/>
      <c r="D167" s="80" t="s">
        <v>248</v>
      </c>
      <c r="E167" s="80"/>
      <c r="F167" s="80"/>
      <c r="G167" s="80"/>
      <c r="H167" s="81"/>
      <c r="I167" s="81"/>
      <c r="J167" s="80"/>
      <c r="K167" s="80"/>
      <c r="L167" s="80"/>
      <c r="M167" s="80"/>
      <c r="N167" s="81"/>
      <c r="O167" s="81"/>
      <c r="P167" s="81"/>
      <c r="Q167" s="81"/>
      <c r="R167" s="80"/>
      <c r="S167" s="80"/>
      <c r="T167" s="81"/>
      <c r="U167" s="81"/>
      <c r="V167" s="81"/>
      <c r="W167" s="81"/>
      <c r="X167" s="81"/>
      <c r="Y167" s="80"/>
      <c r="Z167" s="80"/>
      <c r="AA167" s="80"/>
      <c r="AB167" s="80"/>
      <c r="AC167" s="80"/>
      <c r="AD167" s="80"/>
      <c r="AE167" s="80"/>
      <c r="AF167" s="81"/>
      <c r="AG167" s="80"/>
      <c r="AH167" s="81"/>
      <c r="AI167" s="81"/>
      <c r="AJ167" s="81"/>
      <c r="AK167" s="81"/>
      <c r="AL167" s="147"/>
    </row>
    <row r="168" spans="1:38" ht="15.75" x14ac:dyDescent="0.25">
      <c r="A168" s="84"/>
      <c r="B168" s="84"/>
      <c r="C168" s="84"/>
      <c r="D168" s="80" t="s">
        <v>258</v>
      </c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147"/>
    </row>
    <row r="169" spans="1:38" ht="15.75" x14ac:dyDescent="0.25">
      <c r="A169" s="84">
        <v>33</v>
      </c>
      <c r="B169" s="84" t="s">
        <v>257</v>
      </c>
      <c r="C169" s="84" t="s">
        <v>257</v>
      </c>
      <c r="D169" s="80" t="s">
        <v>245</v>
      </c>
      <c r="E169" s="80"/>
      <c r="F169" s="80"/>
      <c r="G169" s="80"/>
      <c r="H169" s="81"/>
      <c r="I169" s="81"/>
      <c r="J169" s="80"/>
      <c r="K169" s="80"/>
      <c r="L169" s="80"/>
      <c r="M169" s="80"/>
      <c r="N169" s="81"/>
      <c r="O169" s="81"/>
      <c r="P169" s="80"/>
      <c r="Q169" s="81"/>
      <c r="R169" s="80"/>
      <c r="S169" s="80"/>
      <c r="T169" s="81"/>
      <c r="U169" s="81"/>
      <c r="V169" s="81"/>
      <c r="W169" s="81"/>
      <c r="X169" s="81"/>
      <c r="Y169" s="80"/>
      <c r="Z169" s="80"/>
      <c r="AA169" s="80"/>
      <c r="AB169" s="81"/>
      <c r="AC169" s="81"/>
      <c r="AD169" s="81"/>
      <c r="AE169" s="80"/>
      <c r="AF169" s="81"/>
      <c r="AG169" s="80"/>
      <c r="AH169" s="81"/>
      <c r="AI169" s="81"/>
      <c r="AJ169" s="81"/>
      <c r="AK169" s="81"/>
      <c r="AL169" s="147"/>
    </row>
    <row r="170" spans="1:38" ht="15.75" x14ac:dyDescent="0.25">
      <c r="A170" s="84"/>
      <c r="B170" s="84"/>
      <c r="C170" s="84"/>
      <c r="D170" s="80" t="s">
        <v>246</v>
      </c>
      <c r="E170" s="80"/>
      <c r="F170" s="80"/>
      <c r="G170" s="80"/>
      <c r="H170" s="81"/>
      <c r="I170" s="81"/>
      <c r="J170" s="80"/>
      <c r="K170" s="80"/>
      <c r="L170" s="80"/>
      <c r="M170" s="80"/>
      <c r="N170" s="81"/>
      <c r="O170" s="81"/>
      <c r="P170" s="80"/>
      <c r="Q170" s="81"/>
      <c r="R170" s="80"/>
      <c r="S170" s="80"/>
      <c r="T170" s="81"/>
      <c r="U170" s="81"/>
      <c r="V170" s="81"/>
      <c r="W170" s="81"/>
      <c r="X170" s="81"/>
      <c r="Y170" s="80"/>
      <c r="Z170" s="80"/>
      <c r="AA170" s="80"/>
      <c r="AB170" s="81"/>
      <c r="AC170" s="81"/>
      <c r="AD170" s="81"/>
      <c r="AE170" s="80"/>
      <c r="AF170" s="81"/>
      <c r="AG170" s="80"/>
      <c r="AH170" s="81"/>
      <c r="AI170" s="81"/>
      <c r="AJ170" s="81"/>
      <c r="AK170" s="81"/>
      <c r="AL170" s="147"/>
    </row>
    <row r="171" spans="1:38" ht="15.75" x14ac:dyDescent="0.25">
      <c r="A171" s="84"/>
      <c r="B171" s="84"/>
      <c r="C171" s="84"/>
      <c r="D171" s="80" t="s">
        <v>247</v>
      </c>
      <c r="E171" s="80"/>
      <c r="F171" s="80"/>
      <c r="G171" s="80"/>
      <c r="H171" s="81"/>
      <c r="I171" s="81"/>
      <c r="J171" s="80"/>
      <c r="K171" s="80"/>
      <c r="L171" s="80"/>
      <c r="M171" s="80"/>
      <c r="N171" s="81"/>
      <c r="O171" s="81"/>
      <c r="P171" s="80"/>
      <c r="Q171" s="81"/>
      <c r="R171" s="80"/>
      <c r="S171" s="80"/>
      <c r="T171" s="81"/>
      <c r="U171" s="81"/>
      <c r="V171" s="81"/>
      <c r="W171" s="81"/>
      <c r="X171" s="81"/>
      <c r="Y171" s="80"/>
      <c r="Z171" s="80"/>
      <c r="AA171" s="80"/>
      <c r="AB171" s="81"/>
      <c r="AC171" s="81"/>
      <c r="AD171" s="81"/>
      <c r="AE171" s="80"/>
      <c r="AF171" s="81"/>
      <c r="AG171" s="80"/>
      <c r="AH171" s="81"/>
      <c r="AI171" s="81"/>
      <c r="AJ171" s="81"/>
      <c r="AK171" s="81"/>
      <c r="AL171" s="147"/>
    </row>
    <row r="172" spans="1:38" ht="15.75" x14ac:dyDescent="0.25">
      <c r="A172" s="84"/>
      <c r="B172" s="84"/>
      <c r="C172" s="84"/>
      <c r="D172" s="80" t="s">
        <v>248</v>
      </c>
      <c r="E172" s="80"/>
      <c r="F172" s="80"/>
      <c r="G172" s="80"/>
      <c r="H172" s="81"/>
      <c r="I172" s="81"/>
      <c r="J172" s="80"/>
      <c r="K172" s="80"/>
      <c r="L172" s="80"/>
      <c r="M172" s="80"/>
      <c r="N172" s="81"/>
      <c r="O172" s="81"/>
      <c r="P172" s="80"/>
      <c r="Q172" s="81"/>
      <c r="R172" s="80"/>
      <c r="S172" s="80"/>
      <c r="T172" s="81"/>
      <c r="U172" s="81"/>
      <c r="V172" s="81"/>
      <c r="W172" s="81"/>
      <c r="X172" s="81"/>
      <c r="Y172" s="80"/>
      <c r="Z172" s="80"/>
      <c r="AA172" s="80"/>
      <c r="AB172" s="81"/>
      <c r="AC172" s="81"/>
      <c r="AD172" s="81"/>
      <c r="AE172" s="80"/>
      <c r="AF172" s="81"/>
      <c r="AG172" s="80"/>
      <c r="AH172" s="81"/>
      <c r="AI172" s="81"/>
      <c r="AJ172" s="81"/>
      <c r="AK172" s="81"/>
      <c r="AL172" s="147"/>
    </row>
    <row r="173" spans="1:38" ht="15.75" x14ac:dyDescent="0.25">
      <c r="A173" s="84"/>
      <c r="B173" s="84"/>
      <c r="C173" s="84"/>
      <c r="D173" s="80" t="s">
        <v>258</v>
      </c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147"/>
    </row>
    <row r="174" spans="1:38" ht="15.75" x14ac:dyDescent="0.25">
      <c r="A174" s="84"/>
      <c r="B174" s="84"/>
      <c r="C174" s="84" t="s">
        <v>264</v>
      </c>
      <c r="D174" s="80" t="s">
        <v>245</v>
      </c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147"/>
    </row>
    <row r="175" spans="1:38" ht="15.75" x14ac:dyDescent="0.25">
      <c r="A175" s="84"/>
      <c r="B175" s="84"/>
      <c r="C175" s="84"/>
      <c r="D175" s="80" t="s">
        <v>246</v>
      </c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147"/>
    </row>
    <row r="176" spans="1:38" ht="15.75" x14ac:dyDescent="0.25">
      <c r="A176" s="84"/>
      <c r="B176" s="84"/>
      <c r="C176" s="84"/>
      <c r="D176" s="80" t="s">
        <v>247</v>
      </c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147"/>
    </row>
    <row r="177" spans="1:38" ht="15.75" x14ac:dyDescent="0.25">
      <c r="A177" s="84"/>
      <c r="B177" s="84"/>
      <c r="C177" s="84"/>
      <c r="D177" s="80" t="s">
        <v>248</v>
      </c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147"/>
    </row>
    <row r="178" spans="1:38" ht="15.75" x14ac:dyDescent="0.25">
      <c r="A178" s="84"/>
      <c r="B178" s="84"/>
      <c r="C178" s="84"/>
      <c r="D178" s="80" t="s">
        <v>258</v>
      </c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147"/>
    </row>
    <row r="179" spans="1:38" ht="15.75" x14ac:dyDescent="0.25">
      <c r="A179" s="84"/>
      <c r="B179" s="84"/>
      <c r="C179" s="84" t="s">
        <v>265</v>
      </c>
      <c r="D179" s="80" t="s">
        <v>245</v>
      </c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147"/>
    </row>
    <row r="180" spans="1:38" ht="15.75" x14ac:dyDescent="0.25">
      <c r="A180" s="84"/>
      <c r="B180" s="84"/>
      <c r="C180" s="84"/>
      <c r="D180" s="80" t="s">
        <v>246</v>
      </c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147"/>
    </row>
    <row r="181" spans="1:38" ht="15.75" x14ac:dyDescent="0.25">
      <c r="A181" s="84"/>
      <c r="B181" s="84"/>
      <c r="C181" s="84"/>
      <c r="D181" s="80" t="s">
        <v>247</v>
      </c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147"/>
    </row>
    <row r="182" spans="1:38" ht="15.75" x14ac:dyDescent="0.25">
      <c r="A182" s="84"/>
      <c r="B182" s="84"/>
      <c r="C182" s="84"/>
      <c r="D182" s="80" t="s">
        <v>248</v>
      </c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147"/>
    </row>
    <row r="183" spans="1:38" ht="15.75" x14ac:dyDescent="0.25">
      <c r="A183" s="84"/>
      <c r="B183" s="84"/>
      <c r="C183" s="84"/>
      <c r="D183" s="80" t="s">
        <v>258</v>
      </c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147"/>
    </row>
    <row r="184" spans="1:38" ht="15.75" x14ac:dyDescent="0.25">
      <c r="A184" s="84"/>
      <c r="B184" s="84"/>
      <c r="C184" s="84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147"/>
    </row>
    <row r="185" spans="1:38" ht="18.75" x14ac:dyDescent="0.3">
      <c r="A185" s="145"/>
      <c r="B185" s="145"/>
      <c r="C185" s="146" t="s">
        <v>60</v>
      </c>
      <c r="D185" s="135" t="s">
        <v>245</v>
      </c>
      <c r="E185" s="135"/>
      <c r="F185" s="135"/>
      <c r="G185" s="80"/>
      <c r="H185" s="136">
        <f t="shared" ref="H185:K187" si="0">H2+H7+H12+H17+H21+H26+H31+H36+H41+H46+H51+H56+H61+H66+H71+H76+H81+H86+H96+H101+H106+H111+H121+H126+H131+H136+H144+H149+H154+H159+H164+H169</f>
        <v>0</v>
      </c>
      <c r="I185" s="136">
        <f t="shared" si="0"/>
        <v>0</v>
      </c>
      <c r="J185" s="136">
        <f t="shared" si="0"/>
        <v>0</v>
      </c>
      <c r="K185" s="136">
        <f t="shared" si="0"/>
        <v>0</v>
      </c>
      <c r="L185" s="80"/>
      <c r="M185" s="136">
        <f t="shared" ref="M185:O187" si="1">M2+M7+M12+M17+M21+M26+M31+M36+M41+M46+M51+M56+M61+M66+M71+M76+M81+M86+M96+M101+M106+M111+M121+M126+M131+M136+M144+M149+M154+M159+M164+M169</f>
        <v>0</v>
      </c>
      <c r="N185" s="136">
        <f t="shared" si="1"/>
        <v>0</v>
      </c>
      <c r="O185" s="136">
        <f t="shared" si="1"/>
        <v>0</v>
      </c>
      <c r="P185" s="136"/>
      <c r="Q185" s="136">
        <f t="shared" ref="Q185:AB187" si="2">Q2+Q7+Q12+Q17+Q21+Q26+Q31+Q36+Q41+Q46+Q51+Q56+Q61+Q66+Q71+Q76+Q81+Q86+Q96+Q101+Q106+Q111+Q121+Q126+Q131+Q136+Q144+Q149+Q154+Q159+Q164+Q169</f>
        <v>0</v>
      </c>
      <c r="R185" s="136">
        <f t="shared" si="2"/>
        <v>0</v>
      </c>
      <c r="S185" s="136">
        <f t="shared" si="2"/>
        <v>0</v>
      </c>
      <c r="T185" s="136">
        <f t="shared" si="2"/>
        <v>0</v>
      </c>
      <c r="U185" s="136">
        <f t="shared" si="2"/>
        <v>0</v>
      </c>
      <c r="V185" s="136">
        <f t="shared" si="2"/>
        <v>0</v>
      </c>
      <c r="W185" s="136">
        <f t="shared" si="2"/>
        <v>0</v>
      </c>
      <c r="X185" s="136">
        <f t="shared" si="2"/>
        <v>0</v>
      </c>
      <c r="Y185" s="136">
        <f t="shared" si="2"/>
        <v>0</v>
      </c>
      <c r="Z185" s="136">
        <f t="shared" si="2"/>
        <v>0</v>
      </c>
      <c r="AA185" s="136">
        <f t="shared" si="2"/>
        <v>0</v>
      </c>
      <c r="AB185" s="136">
        <f t="shared" si="2"/>
        <v>0</v>
      </c>
      <c r="AC185" s="136"/>
      <c r="AD185" s="136">
        <f t="shared" ref="AD185:AJ187" si="3">AD2+AD7+AD12+AD17+AD21+AD26+AD31+AD36+AD41+AD46+AD51+AD56+AD61+AD66+AD71+AD76+AD81+AD86+AD96+AD101+AD106+AD111+AD121+AD126+AD131+AD136+AD144+AD149+AD154+AD159+AD164+AD169</f>
        <v>0</v>
      </c>
      <c r="AE185" s="136">
        <f t="shared" si="3"/>
        <v>0</v>
      </c>
      <c r="AF185" s="136">
        <f t="shared" si="3"/>
        <v>0</v>
      </c>
      <c r="AG185" s="136">
        <f t="shared" si="3"/>
        <v>0</v>
      </c>
      <c r="AH185" s="136">
        <f t="shared" si="3"/>
        <v>0</v>
      </c>
      <c r="AI185" s="136">
        <f t="shared" si="3"/>
        <v>0</v>
      </c>
      <c r="AJ185" s="136">
        <f t="shared" si="3"/>
        <v>0</v>
      </c>
      <c r="AK185" s="81">
        <v>0</v>
      </c>
      <c r="AL185" s="147"/>
    </row>
    <row r="186" spans="1:38" ht="18.75" x14ac:dyDescent="0.3">
      <c r="A186" s="145"/>
      <c r="B186" s="145"/>
      <c r="C186" s="146"/>
      <c r="D186" s="135" t="s">
        <v>246</v>
      </c>
      <c r="E186" s="135"/>
      <c r="F186" s="135"/>
      <c r="G186" s="80"/>
      <c r="H186" s="136">
        <f t="shared" si="0"/>
        <v>0</v>
      </c>
      <c r="I186" s="136">
        <f t="shared" si="0"/>
        <v>0</v>
      </c>
      <c r="J186" s="136">
        <f t="shared" si="0"/>
        <v>0</v>
      </c>
      <c r="K186" s="136">
        <f t="shared" si="0"/>
        <v>0</v>
      </c>
      <c r="L186" s="80"/>
      <c r="M186" s="136">
        <f t="shared" si="1"/>
        <v>0</v>
      </c>
      <c r="N186" s="136">
        <f t="shared" si="1"/>
        <v>0</v>
      </c>
      <c r="O186" s="136">
        <f t="shared" si="1"/>
        <v>0</v>
      </c>
      <c r="P186" s="136"/>
      <c r="Q186" s="136">
        <f t="shared" si="2"/>
        <v>0</v>
      </c>
      <c r="R186" s="136">
        <f t="shared" si="2"/>
        <v>0</v>
      </c>
      <c r="S186" s="136">
        <f t="shared" si="2"/>
        <v>0</v>
      </c>
      <c r="T186" s="136">
        <f t="shared" si="2"/>
        <v>0</v>
      </c>
      <c r="U186" s="136">
        <f t="shared" si="2"/>
        <v>0</v>
      </c>
      <c r="V186" s="136">
        <f t="shared" si="2"/>
        <v>0</v>
      </c>
      <c r="W186" s="136">
        <f t="shared" si="2"/>
        <v>0</v>
      </c>
      <c r="X186" s="136">
        <f t="shared" si="2"/>
        <v>0</v>
      </c>
      <c r="Y186" s="136">
        <f t="shared" si="2"/>
        <v>0</v>
      </c>
      <c r="Z186" s="136">
        <f t="shared" si="2"/>
        <v>0</v>
      </c>
      <c r="AA186" s="136">
        <f t="shared" si="2"/>
        <v>0</v>
      </c>
      <c r="AB186" s="136">
        <f t="shared" si="2"/>
        <v>0</v>
      </c>
      <c r="AC186" s="136"/>
      <c r="AD186" s="136">
        <f t="shared" si="3"/>
        <v>0</v>
      </c>
      <c r="AE186" s="136">
        <f t="shared" si="3"/>
        <v>0</v>
      </c>
      <c r="AF186" s="136">
        <f t="shared" si="3"/>
        <v>0</v>
      </c>
      <c r="AG186" s="136">
        <f t="shared" si="3"/>
        <v>0</v>
      </c>
      <c r="AH186" s="136">
        <f t="shared" si="3"/>
        <v>0</v>
      </c>
      <c r="AI186" s="136">
        <f t="shared" si="3"/>
        <v>0</v>
      </c>
      <c r="AJ186" s="136">
        <f t="shared" si="3"/>
        <v>0</v>
      </c>
      <c r="AK186" s="81">
        <v>0</v>
      </c>
      <c r="AL186" s="147"/>
    </row>
    <row r="187" spans="1:38" ht="18.75" x14ac:dyDescent="0.3">
      <c r="A187" s="145"/>
      <c r="B187" s="145"/>
      <c r="C187" s="146"/>
      <c r="D187" s="135" t="s">
        <v>247</v>
      </c>
      <c r="E187" s="135"/>
      <c r="F187" s="135"/>
      <c r="G187" s="80"/>
      <c r="H187" s="136">
        <f t="shared" si="0"/>
        <v>0</v>
      </c>
      <c r="I187" s="136">
        <f t="shared" si="0"/>
        <v>0</v>
      </c>
      <c r="J187" s="136">
        <f t="shared" si="0"/>
        <v>0</v>
      </c>
      <c r="K187" s="136">
        <f t="shared" si="0"/>
        <v>0</v>
      </c>
      <c r="L187" s="80"/>
      <c r="M187" s="136">
        <f t="shared" si="1"/>
        <v>0</v>
      </c>
      <c r="N187" s="136">
        <f t="shared" si="1"/>
        <v>0</v>
      </c>
      <c r="O187" s="136">
        <f t="shared" si="1"/>
        <v>0</v>
      </c>
      <c r="P187" s="136"/>
      <c r="Q187" s="136">
        <f t="shared" si="2"/>
        <v>0</v>
      </c>
      <c r="R187" s="136">
        <f t="shared" si="2"/>
        <v>0</v>
      </c>
      <c r="S187" s="136">
        <f t="shared" si="2"/>
        <v>0</v>
      </c>
      <c r="T187" s="136">
        <f t="shared" si="2"/>
        <v>0</v>
      </c>
      <c r="U187" s="136">
        <f t="shared" si="2"/>
        <v>0</v>
      </c>
      <c r="V187" s="136">
        <f t="shared" si="2"/>
        <v>0</v>
      </c>
      <c r="W187" s="136">
        <f t="shared" si="2"/>
        <v>0</v>
      </c>
      <c r="X187" s="136">
        <f t="shared" si="2"/>
        <v>0</v>
      </c>
      <c r="Y187" s="136">
        <f t="shared" si="2"/>
        <v>0</v>
      </c>
      <c r="Z187" s="136">
        <f t="shared" si="2"/>
        <v>0</v>
      </c>
      <c r="AA187" s="136">
        <f t="shared" si="2"/>
        <v>0</v>
      </c>
      <c r="AB187" s="136">
        <f t="shared" si="2"/>
        <v>0</v>
      </c>
      <c r="AC187" s="136"/>
      <c r="AD187" s="136">
        <f t="shared" si="3"/>
        <v>0</v>
      </c>
      <c r="AE187" s="136">
        <f t="shared" si="3"/>
        <v>0</v>
      </c>
      <c r="AF187" s="136">
        <f t="shared" si="3"/>
        <v>0</v>
      </c>
      <c r="AG187" s="136">
        <f t="shared" si="3"/>
        <v>0</v>
      </c>
      <c r="AH187" s="136">
        <f t="shared" si="3"/>
        <v>0</v>
      </c>
      <c r="AI187" s="136">
        <f t="shared" si="3"/>
        <v>0</v>
      </c>
      <c r="AJ187" s="136">
        <f t="shared" si="3"/>
        <v>0</v>
      </c>
      <c r="AK187" s="81">
        <v>0</v>
      </c>
      <c r="AL187" s="147"/>
    </row>
    <row r="188" spans="1:38" ht="15.75" x14ac:dyDescent="0.25">
      <c r="A188" s="147"/>
      <c r="B188" s="147"/>
      <c r="C188" s="148"/>
      <c r="D188" s="135" t="s">
        <v>248</v>
      </c>
      <c r="E188" s="135"/>
      <c r="F188" s="135"/>
      <c r="G188" s="80"/>
      <c r="H188" s="136">
        <f>H7+H10+H15+H20+H24+H29+H34+H39+H44+H49+H54+H59+H64+H69+H74+H79+H84+H90+H99+H104+H109+H114+H124+H129+H134+H139+H147+H152+H157+H162+H167+H172</f>
        <v>0</v>
      </c>
      <c r="I188" s="136">
        <f>I7+I10+I15+I20+I24+I29+I34+I39+I44+I49+I54+I59+I64+I69+I74+I79+I84+I90+I99+I104+I109+I114+I124+I129+I134+I139+I147+I152+I157+I162+I167+I172</f>
        <v>0</v>
      </c>
      <c r="J188" s="136">
        <f>J7+J10+J15+J20+J24+J29+J34+J39+J44+J49+J54+J59+J64+J69+J74+J79+J84+J90+J99+J104+J109+J114+J124+J129+J134+J139+J147+J152+J157+J162+J167+J172</f>
        <v>0</v>
      </c>
      <c r="K188" s="136">
        <f>K7+K10+K15+K20+K24+K29+K34+K39+K44+K49+K54+K59+K64+K69+K74+K79+K84+K90+K99+K104+K109+K114+K124+K129+K134+K139+K147+K152+K157+K162+K167+K172</f>
        <v>0</v>
      </c>
      <c r="L188" s="80"/>
      <c r="M188" s="136">
        <f>M7+M10+M15+M20+M24+M29+M34+M39+M44+M49+M54+M59+M64+M69+M74+M79+M84+M90+M99+M104+M109+M114+M124+M129+M134+M139+M147+M152+M157+M162+M167+M172</f>
        <v>0</v>
      </c>
      <c r="N188" s="136">
        <f>N7+N10+N15+N20+N24+N29+N34+N39+N44+N49+N54+N59+N64+N69+N74+N79+N84+N90+N99+N104+N109+N114+N124+N129+N134+N139+N147+N152+N157+N162+N167+N172</f>
        <v>0</v>
      </c>
      <c r="O188" s="136">
        <f>O7+O10+O15+O20+O24+O29+O34+O39+O44+O49+O54+O59+O64+O69+O74+O79+O84+O90+O99+O104+O109+O114+O124+O129+O134+O139+O147+O152+O157+O162+O167+O172</f>
        <v>0</v>
      </c>
      <c r="P188" s="136"/>
      <c r="Q188" s="136">
        <f t="shared" ref="Q188:AB188" si="4">Q7+Q10+Q15+Q20+Q24+Q29+Q34+Q39+Q44+Q49+Q54+Q59+Q64+Q69+Q74+Q79+Q84+Q90+Q99+Q104+Q109+Q114+Q124+Q129+Q134+Q139+Q147+Q152+Q157+Q162+Q167+Q172</f>
        <v>0</v>
      </c>
      <c r="R188" s="136">
        <f t="shared" si="4"/>
        <v>0</v>
      </c>
      <c r="S188" s="136">
        <f t="shared" si="4"/>
        <v>0</v>
      </c>
      <c r="T188" s="136">
        <f t="shared" si="4"/>
        <v>0</v>
      </c>
      <c r="U188" s="136">
        <f t="shared" si="4"/>
        <v>0</v>
      </c>
      <c r="V188" s="136">
        <f t="shared" si="4"/>
        <v>0</v>
      </c>
      <c r="W188" s="136">
        <f t="shared" si="4"/>
        <v>0</v>
      </c>
      <c r="X188" s="136">
        <f t="shared" si="4"/>
        <v>0</v>
      </c>
      <c r="Y188" s="136">
        <f t="shared" si="4"/>
        <v>0</v>
      </c>
      <c r="Z188" s="136">
        <f t="shared" si="4"/>
        <v>0</v>
      </c>
      <c r="AA188" s="136">
        <f t="shared" si="4"/>
        <v>0</v>
      </c>
      <c r="AB188" s="136">
        <f t="shared" si="4"/>
        <v>0</v>
      </c>
      <c r="AC188" s="136"/>
      <c r="AD188" s="136">
        <f t="shared" ref="AD188:AJ188" si="5">AD7+AD10+AD15+AD20+AD24+AD29+AD34+AD39+AD44+AD49+AD54+AD59+AD64+AD69+AD74+AD79+AD84+AD90+AD99+AD104+AD109+AD114+AD124+AD129+AD134+AD139+AD147+AD152+AD157+AD162+AD167+AD172</f>
        <v>0</v>
      </c>
      <c r="AE188" s="136">
        <f t="shared" si="5"/>
        <v>0</v>
      </c>
      <c r="AF188" s="136">
        <f t="shared" si="5"/>
        <v>0</v>
      </c>
      <c r="AG188" s="136">
        <f t="shared" si="5"/>
        <v>0</v>
      </c>
      <c r="AH188" s="136">
        <f t="shared" si="5"/>
        <v>0</v>
      </c>
      <c r="AI188" s="136">
        <f t="shared" si="5"/>
        <v>0</v>
      </c>
      <c r="AJ188" s="136">
        <f t="shared" si="5"/>
        <v>0</v>
      </c>
      <c r="AK188" s="81">
        <v>0</v>
      </c>
      <c r="AL188" s="147"/>
    </row>
    <row r="189" spans="1:38" ht="15.75" x14ac:dyDescent="0.25">
      <c r="C189" s="149"/>
      <c r="D189" s="137"/>
      <c r="E189" s="137"/>
      <c r="F189" s="137"/>
      <c r="G189" s="138"/>
      <c r="H189" s="139"/>
      <c r="I189" s="139"/>
      <c r="J189" s="139"/>
      <c r="K189" s="139"/>
      <c r="L189" s="138"/>
      <c r="M189" s="139"/>
      <c r="N189" s="139"/>
      <c r="O189" s="139"/>
      <c r="P189" s="139"/>
      <c r="Q189" s="139"/>
      <c r="R189" s="139"/>
      <c r="S189" s="139"/>
      <c r="T189" s="139"/>
      <c r="U189" s="139"/>
      <c r="V189" s="139"/>
      <c r="W189" s="139"/>
      <c r="X189" s="139"/>
      <c r="Y189" s="139"/>
      <c r="Z189" s="139"/>
      <c r="AA189" s="139"/>
      <c r="AB189" s="139"/>
      <c r="AC189" s="139"/>
      <c r="AD189" s="139"/>
      <c r="AE189" s="139"/>
      <c r="AF189" s="139"/>
      <c r="AG189" s="139"/>
      <c r="AH189" s="139"/>
      <c r="AI189" s="139"/>
      <c r="AJ189" s="139"/>
      <c r="AK189" s="140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/>
  <dimension ref="A2:I182"/>
  <sheetViews>
    <sheetView topLeftCell="A19" workbookViewId="0">
      <selection activeCell="F31" sqref="F31"/>
    </sheetView>
  </sheetViews>
  <sheetFormatPr defaultRowHeight="18.75" x14ac:dyDescent="0.25"/>
  <cols>
    <col min="1" max="1" width="6.28515625" style="6" customWidth="1"/>
    <col min="2" max="2" width="15" style="24" customWidth="1"/>
    <col min="3" max="3" width="18.140625" style="24" customWidth="1"/>
    <col min="4" max="4" width="16" style="6" customWidth="1"/>
    <col min="5" max="5" width="12.140625" style="6" customWidth="1"/>
    <col min="6" max="6" width="53.85546875" style="163" customWidth="1"/>
    <col min="9" max="9" width="70.5703125" style="163" customWidth="1"/>
  </cols>
  <sheetData>
    <row r="2" spans="1:9" ht="20.25" x14ac:dyDescent="0.3">
      <c r="A2" s="622" t="s">
        <v>469</v>
      </c>
      <c r="B2" s="622"/>
      <c r="C2" s="622"/>
      <c r="D2" s="622"/>
      <c r="E2" s="622"/>
      <c r="F2" s="622"/>
      <c r="I2" s="167" t="s">
        <v>579</v>
      </c>
    </row>
    <row r="3" spans="1:9" ht="40.5" hidden="1" x14ac:dyDescent="0.25">
      <c r="A3" s="34" t="s">
        <v>149</v>
      </c>
      <c r="B3" s="89" t="s">
        <v>1</v>
      </c>
      <c r="C3" s="89" t="s">
        <v>146</v>
      </c>
      <c r="D3" s="34" t="s">
        <v>166</v>
      </c>
      <c r="E3" s="34" t="s">
        <v>147</v>
      </c>
      <c r="F3" s="40" t="s">
        <v>148</v>
      </c>
      <c r="I3" s="40" t="s">
        <v>148</v>
      </c>
    </row>
    <row r="4" spans="1:9" ht="20.25" x14ac:dyDescent="0.25">
      <c r="A4" s="515">
        <v>1</v>
      </c>
      <c r="B4" s="639" t="s">
        <v>83</v>
      </c>
      <c r="C4" s="89" t="s">
        <v>150</v>
      </c>
      <c r="D4" s="34">
        <v>1</v>
      </c>
      <c r="E4" s="34">
        <v>30</v>
      </c>
      <c r="F4" s="177" t="s">
        <v>506</v>
      </c>
      <c r="I4" s="177"/>
    </row>
    <row r="5" spans="1:9" ht="20.25" hidden="1" x14ac:dyDescent="0.25">
      <c r="A5" s="638"/>
      <c r="B5" s="640"/>
      <c r="C5" s="89" t="s">
        <v>151</v>
      </c>
      <c r="D5" s="34">
        <v>1</v>
      </c>
      <c r="E5" s="34">
        <v>150</v>
      </c>
      <c r="F5" s="177" t="s">
        <v>472</v>
      </c>
      <c r="I5" s="177" t="s">
        <v>472</v>
      </c>
    </row>
    <row r="6" spans="1:9" ht="121.5" hidden="1" x14ac:dyDescent="0.25">
      <c r="A6" s="516"/>
      <c r="B6" s="641"/>
      <c r="C6" s="89" t="s">
        <v>168</v>
      </c>
      <c r="D6" s="34">
        <v>6</v>
      </c>
      <c r="E6" s="34">
        <v>353</v>
      </c>
      <c r="F6" s="177" t="s">
        <v>473</v>
      </c>
      <c r="I6" s="177" t="s">
        <v>473</v>
      </c>
    </row>
    <row r="7" spans="1:9" ht="20.25" x14ac:dyDescent="0.25">
      <c r="A7" s="515">
        <v>2</v>
      </c>
      <c r="B7" s="639" t="s">
        <v>20</v>
      </c>
      <c r="C7" s="89" t="s">
        <v>150</v>
      </c>
      <c r="D7" s="34">
        <v>1</v>
      </c>
      <c r="E7" s="34">
        <v>500</v>
      </c>
      <c r="F7" s="177" t="s">
        <v>503</v>
      </c>
      <c r="I7" s="177" t="s">
        <v>503</v>
      </c>
    </row>
    <row r="8" spans="1:9" ht="20.25" hidden="1" x14ac:dyDescent="0.25">
      <c r="A8" s="638"/>
      <c r="B8" s="640"/>
      <c r="C8" s="89" t="s">
        <v>151</v>
      </c>
      <c r="D8" s="34"/>
      <c r="E8" s="34"/>
      <c r="F8" s="177"/>
      <c r="I8" s="177"/>
    </row>
    <row r="9" spans="1:9" ht="40.5" hidden="1" x14ac:dyDescent="0.25">
      <c r="A9" s="516"/>
      <c r="B9" s="641"/>
      <c r="C9" s="89" t="s">
        <v>168</v>
      </c>
      <c r="D9" s="34">
        <v>2</v>
      </c>
      <c r="E9" s="34">
        <v>350</v>
      </c>
      <c r="F9" s="177" t="s">
        <v>474</v>
      </c>
      <c r="I9" s="177" t="s">
        <v>474</v>
      </c>
    </row>
    <row r="10" spans="1:9" ht="20.25" x14ac:dyDescent="0.25">
      <c r="A10" s="515">
        <v>3</v>
      </c>
      <c r="B10" s="639" t="s">
        <v>23</v>
      </c>
      <c r="C10" s="89" t="s">
        <v>150</v>
      </c>
      <c r="D10" s="34">
        <v>1</v>
      </c>
      <c r="E10" s="34">
        <v>55</v>
      </c>
      <c r="F10" s="177" t="s">
        <v>480</v>
      </c>
      <c r="I10" s="177"/>
    </row>
    <row r="11" spans="1:9" ht="60.75" hidden="1" x14ac:dyDescent="0.25">
      <c r="A11" s="638"/>
      <c r="B11" s="640"/>
      <c r="C11" s="89" t="s">
        <v>151</v>
      </c>
      <c r="D11" s="34">
        <v>2</v>
      </c>
      <c r="E11" s="34">
        <v>550</v>
      </c>
      <c r="F11" s="177" t="s">
        <v>481</v>
      </c>
      <c r="I11" s="177" t="s">
        <v>481</v>
      </c>
    </row>
    <row r="12" spans="1:9" ht="20.25" hidden="1" x14ac:dyDescent="0.25">
      <c r="A12" s="516"/>
      <c r="B12" s="641"/>
      <c r="C12" s="89" t="s">
        <v>168</v>
      </c>
      <c r="D12" s="34"/>
      <c r="E12" s="34"/>
      <c r="F12" s="177"/>
      <c r="I12" s="177"/>
    </row>
    <row r="13" spans="1:9" ht="60.75" x14ac:dyDescent="0.25">
      <c r="A13" s="515">
        <v>4</v>
      </c>
      <c r="B13" s="639" t="s">
        <v>165</v>
      </c>
      <c r="C13" s="89" t="s">
        <v>150</v>
      </c>
      <c r="D13" s="34">
        <v>3</v>
      </c>
      <c r="E13" s="34">
        <v>460</v>
      </c>
      <c r="F13" s="177" t="s">
        <v>475</v>
      </c>
      <c r="I13" s="177" t="s">
        <v>475</v>
      </c>
    </row>
    <row r="14" spans="1:9" ht="101.25" hidden="1" x14ac:dyDescent="0.25">
      <c r="A14" s="638"/>
      <c r="B14" s="640"/>
      <c r="C14" s="89" t="s">
        <v>151</v>
      </c>
      <c r="D14" s="34">
        <v>5</v>
      </c>
      <c r="E14" s="34">
        <v>118</v>
      </c>
      <c r="F14" s="177" t="s">
        <v>476</v>
      </c>
      <c r="I14" s="177" t="s">
        <v>476</v>
      </c>
    </row>
    <row r="15" spans="1:9" ht="101.25" hidden="1" x14ac:dyDescent="0.25">
      <c r="A15" s="516"/>
      <c r="B15" s="641"/>
      <c r="C15" s="89" t="s">
        <v>168</v>
      </c>
      <c r="D15" s="34">
        <v>5</v>
      </c>
      <c r="E15" s="34">
        <v>238</v>
      </c>
      <c r="F15" s="177" t="s">
        <v>477</v>
      </c>
      <c r="I15" s="177" t="s">
        <v>477</v>
      </c>
    </row>
    <row r="16" spans="1:9" ht="20.25" x14ac:dyDescent="0.25">
      <c r="A16" s="515">
        <v>5</v>
      </c>
      <c r="B16" s="639" t="s">
        <v>25</v>
      </c>
      <c r="C16" s="89" t="s">
        <v>150</v>
      </c>
      <c r="D16" s="34"/>
      <c r="E16" s="34"/>
      <c r="F16" s="177"/>
      <c r="I16" s="177"/>
    </row>
    <row r="17" spans="1:9" ht="40.5" hidden="1" x14ac:dyDescent="0.25">
      <c r="A17" s="638"/>
      <c r="B17" s="640"/>
      <c r="C17" s="89" t="s">
        <v>151</v>
      </c>
      <c r="D17" s="34">
        <v>2</v>
      </c>
      <c r="E17" s="34">
        <v>150</v>
      </c>
      <c r="F17" s="177" t="s">
        <v>482</v>
      </c>
      <c r="I17" s="177" t="s">
        <v>482</v>
      </c>
    </row>
    <row r="18" spans="1:9" ht="60.75" hidden="1" x14ac:dyDescent="0.25">
      <c r="A18" s="516"/>
      <c r="B18" s="641"/>
      <c r="C18" s="89" t="s">
        <v>168</v>
      </c>
      <c r="D18" s="34">
        <v>3</v>
      </c>
      <c r="E18" s="34">
        <v>204</v>
      </c>
      <c r="F18" s="177" t="s">
        <v>483</v>
      </c>
      <c r="I18" s="177" t="s">
        <v>483</v>
      </c>
    </row>
    <row r="19" spans="1:9" ht="409.5" x14ac:dyDescent="0.25">
      <c r="A19" s="515">
        <v>6</v>
      </c>
      <c r="B19" s="639" t="s">
        <v>28</v>
      </c>
      <c r="C19" s="89" t="s">
        <v>150</v>
      </c>
      <c r="D19" s="34">
        <v>22</v>
      </c>
      <c r="E19" s="34">
        <v>1685</v>
      </c>
      <c r="F19" s="177" t="s">
        <v>499</v>
      </c>
      <c r="I19" s="177" t="s">
        <v>560</v>
      </c>
    </row>
    <row r="20" spans="1:9" ht="121.5" hidden="1" x14ac:dyDescent="0.25">
      <c r="A20" s="638"/>
      <c r="B20" s="640"/>
      <c r="C20" s="89" t="s">
        <v>151</v>
      </c>
      <c r="D20" s="34">
        <v>2</v>
      </c>
      <c r="E20" s="34">
        <v>400</v>
      </c>
      <c r="F20" s="177" t="s">
        <v>497</v>
      </c>
      <c r="I20" s="177" t="s">
        <v>497</v>
      </c>
    </row>
    <row r="21" spans="1:9" ht="121.5" hidden="1" x14ac:dyDescent="0.25">
      <c r="A21" s="516"/>
      <c r="B21" s="641"/>
      <c r="C21" s="89" t="s">
        <v>168</v>
      </c>
      <c r="D21" s="34">
        <v>2</v>
      </c>
      <c r="E21" s="34">
        <v>270</v>
      </c>
      <c r="F21" s="177" t="s">
        <v>498</v>
      </c>
      <c r="I21" s="177" t="s">
        <v>498</v>
      </c>
    </row>
    <row r="22" spans="1:9" ht="182.25" x14ac:dyDescent="0.25">
      <c r="A22" s="515">
        <v>7</v>
      </c>
      <c r="B22" s="639" t="s">
        <v>33</v>
      </c>
      <c r="C22" s="89" t="s">
        <v>150</v>
      </c>
      <c r="D22" s="34">
        <v>7</v>
      </c>
      <c r="E22" s="34">
        <v>1662</v>
      </c>
      <c r="F22" s="177" t="s">
        <v>484</v>
      </c>
      <c r="I22" s="177" t="s">
        <v>561</v>
      </c>
    </row>
    <row r="23" spans="1:9" ht="222.75" hidden="1" x14ac:dyDescent="0.25">
      <c r="A23" s="638"/>
      <c r="B23" s="640"/>
      <c r="C23" s="89" t="s">
        <v>151</v>
      </c>
      <c r="D23" s="34">
        <v>8</v>
      </c>
      <c r="E23" s="34">
        <v>3601</v>
      </c>
      <c r="F23" s="177" t="s">
        <v>485</v>
      </c>
      <c r="I23" s="177" t="s">
        <v>485</v>
      </c>
    </row>
    <row r="24" spans="1:9" ht="409.5" hidden="1" x14ac:dyDescent="0.25">
      <c r="A24" s="516"/>
      <c r="B24" s="641"/>
      <c r="C24" s="89" t="s">
        <v>168</v>
      </c>
      <c r="D24" s="34">
        <v>23</v>
      </c>
      <c r="E24" s="34">
        <v>553</v>
      </c>
      <c r="F24" s="178" t="s">
        <v>486</v>
      </c>
      <c r="I24" s="178" t="s">
        <v>486</v>
      </c>
    </row>
    <row r="25" spans="1:9" ht="40.5" x14ac:dyDescent="0.25">
      <c r="A25" s="515">
        <v>8</v>
      </c>
      <c r="B25" s="639" t="s">
        <v>38</v>
      </c>
      <c r="C25" s="89" t="s">
        <v>150</v>
      </c>
      <c r="D25" s="34">
        <v>2</v>
      </c>
      <c r="E25" s="34">
        <v>275</v>
      </c>
      <c r="F25" s="179" t="s">
        <v>479</v>
      </c>
      <c r="I25" s="179" t="s">
        <v>562</v>
      </c>
    </row>
    <row r="26" spans="1:9" ht="81" hidden="1" x14ac:dyDescent="0.25">
      <c r="A26" s="638"/>
      <c r="B26" s="640"/>
      <c r="C26" s="89" t="s">
        <v>151</v>
      </c>
      <c r="D26" s="34">
        <v>4</v>
      </c>
      <c r="E26" s="34">
        <v>115</v>
      </c>
      <c r="F26" s="177" t="s">
        <v>478</v>
      </c>
      <c r="I26" s="177" t="s">
        <v>478</v>
      </c>
    </row>
    <row r="27" spans="1:9" ht="20.25" hidden="1" x14ac:dyDescent="0.25">
      <c r="A27" s="516"/>
      <c r="B27" s="641"/>
      <c r="C27" s="89" t="s">
        <v>168</v>
      </c>
      <c r="D27" s="34"/>
      <c r="E27" s="34"/>
      <c r="F27" s="177"/>
      <c r="I27" s="177"/>
    </row>
    <row r="28" spans="1:9" ht="60.75" x14ac:dyDescent="0.25">
      <c r="A28" s="515">
        <v>9</v>
      </c>
      <c r="B28" s="639" t="s">
        <v>88</v>
      </c>
      <c r="C28" s="89" t="s">
        <v>150</v>
      </c>
      <c r="D28" s="34">
        <v>3</v>
      </c>
      <c r="E28" s="34">
        <v>540</v>
      </c>
      <c r="F28" s="177" t="s">
        <v>500</v>
      </c>
      <c r="I28" s="177" t="s">
        <v>500</v>
      </c>
    </row>
    <row r="29" spans="1:9" ht="40.5" hidden="1" x14ac:dyDescent="0.25">
      <c r="A29" s="638"/>
      <c r="B29" s="640"/>
      <c r="C29" s="89" t="s">
        <v>151</v>
      </c>
      <c r="D29" s="34">
        <v>2</v>
      </c>
      <c r="E29" s="34">
        <v>33</v>
      </c>
      <c r="F29" s="177" t="s">
        <v>501</v>
      </c>
      <c r="I29" s="177" t="s">
        <v>501</v>
      </c>
    </row>
    <row r="30" spans="1:9" ht="20.25" hidden="1" x14ac:dyDescent="0.25">
      <c r="A30" s="516"/>
      <c r="B30" s="641"/>
      <c r="C30" s="89" t="s">
        <v>168</v>
      </c>
      <c r="D30" s="34"/>
      <c r="E30" s="34"/>
      <c r="F30" s="177"/>
      <c r="I30" s="177"/>
    </row>
    <row r="31" spans="1:9" ht="40.5" x14ac:dyDescent="0.25">
      <c r="A31" s="515">
        <v>10</v>
      </c>
      <c r="B31" s="639" t="s">
        <v>43</v>
      </c>
      <c r="C31" s="89" t="s">
        <v>150</v>
      </c>
      <c r="D31" s="34">
        <v>2</v>
      </c>
      <c r="E31" s="34">
        <v>245</v>
      </c>
      <c r="F31" s="177" t="s">
        <v>487</v>
      </c>
      <c r="I31" s="177" t="s">
        <v>487</v>
      </c>
    </row>
    <row r="32" spans="1:9" ht="20.25" hidden="1" x14ac:dyDescent="0.25">
      <c r="A32" s="638"/>
      <c r="B32" s="640"/>
      <c r="C32" s="89" t="s">
        <v>151</v>
      </c>
      <c r="D32" s="34">
        <v>1</v>
      </c>
      <c r="E32" s="34">
        <v>126</v>
      </c>
      <c r="F32" s="177" t="s">
        <v>488</v>
      </c>
      <c r="I32" s="177" t="s">
        <v>488</v>
      </c>
    </row>
    <row r="33" spans="1:9" ht="20.25" hidden="1" x14ac:dyDescent="0.25">
      <c r="A33" s="516"/>
      <c r="B33" s="641"/>
      <c r="C33" s="89" t="s">
        <v>168</v>
      </c>
      <c r="D33" s="34"/>
      <c r="E33" s="34"/>
      <c r="F33" s="177"/>
      <c r="I33" s="177"/>
    </row>
    <row r="34" spans="1:9" ht="20.25" x14ac:dyDescent="0.25">
      <c r="A34" s="515">
        <v>11</v>
      </c>
      <c r="B34" s="639" t="s">
        <v>46</v>
      </c>
      <c r="C34" s="89" t="s">
        <v>150</v>
      </c>
      <c r="D34" s="34">
        <v>1</v>
      </c>
      <c r="E34" s="34">
        <v>35</v>
      </c>
      <c r="F34" s="177" t="s">
        <v>471</v>
      </c>
      <c r="I34" s="177" t="s">
        <v>471</v>
      </c>
    </row>
    <row r="35" spans="1:9" ht="20.25" hidden="1" x14ac:dyDescent="0.25">
      <c r="A35" s="638"/>
      <c r="B35" s="640"/>
      <c r="C35" s="89" t="s">
        <v>151</v>
      </c>
      <c r="D35" s="34">
        <v>1</v>
      </c>
      <c r="E35" s="34">
        <v>150</v>
      </c>
      <c r="F35" s="177" t="s">
        <v>470</v>
      </c>
      <c r="I35" s="177" t="s">
        <v>470</v>
      </c>
    </row>
    <row r="36" spans="1:9" ht="20.25" hidden="1" x14ac:dyDescent="0.25">
      <c r="A36" s="516"/>
      <c r="B36" s="641"/>
      <c r="C36" s="89" t="s">
        <v>168</v>
      </c>
      <c r="D36" s="34"/>
      <c r="E36" s="34"/>
      <c r="F36" s="177"/>
      <c r="I36" s="177"/>
    </row>
    <row r="37" spans="1:9" ht="101.25" x14ac:dyDescent="0.25">
      <c r="A37" s="515">
        <v>12</v>
      </c>
      <c r="B37" s="639" t="s">
        <v>49</v>
      </c>
      <c r="C37" s="89" t="s">
        <v>150</v>
      </c>
      <c r="D37" s="34">
        <v>4</v>
      </c>
      <c r="E37" s="34">
        <v>430</v>
      </c>
      <c r="F37" s="177" t="s">
        <v>492</v>
      </c>
      <c r="I37" s="177" t="s">
        <v>563</v>
      </c>
    </row>
    <row r="38" spans="1:9" ht="409.5" hidden="1" x14ac:dyDescent="0.25">
      <c r="A38" s="638"/>
      <c r="B38" s="640"/>
      <c r="C38" s="89" t="s">
        <v>151</v>
      </c>
      <c r="D38" s="34">
        <v>21</v>
      </c>
      <c r="E38" s="34">
        <v>1435</v>
      </c>
      <c r="F38" s="177" t="s">
        <v>493</v>
      </c>
      <c r="I38" s="177" t="s">
        <v>493</v>
      </c>
    </row>
    <row r="39" spans="1:9" ht="20.25" hidden="1" x14ac:dyDescent="0.25">
      <c r="A39" s="516"/>
      <c r="B39" s="641"/>
      <c r="C39" s="89" t="s">
        <v>168</v>
      </c>
      <c r="D39" s="34"/>
      <c r="E39" s="34"/>
      <c r="F39" s="177"/>
      <c r="I39" s="177"/>
    </row>
    <row r="40" spans="1:9" ht="162" x14ac:dyDescent="0.25">
      <c r="A40" s="515">
        <v>13</v>
      </c>
      <c r="B40" s="639" t="s">
        <v>52</v>
      </c>
      <c r="C40" s="89" t="s">
        <v>150</v>
      </c>
      <c r="D40" s="34">
        <v>8</v>
      </c>
      <c r="E40" s="34">
        <v>1010</v>
      </c>
      <c r="F40" s="177" t="s">
        <v>494</v>
      </c>
      <c r="I40" s="177" t="s">
        <v>564</v>
      </c>
    </row>
    <row r="41" spans="1:9" ht="243" hidden="1" x14ac:dyDescent="0.25">
      <c r="A41" s="638"/>
      <c r="B41" s="640"/>
      <c r="C41" s="89" t="s">
        <v>151</v>
      </c>
      <c r="D41" s="34">
        <v>17</v>
      </c>
      <c r="E41" s="34">
        <v>984</v>
      </c>
      <c r="F41" s="177" t="s">
        <v>495</v>
      </c>
      <c r="I41" s="177" t="s">
        <v>495</v>
      </c>
    </row>
    <row r="42" spans="1:9" ht="162" hidden="1" x14ac:dyDescent="0.25">
      <c r="A42" s="516"/>
      <c r="B42" s="641"/>
      <c r="C42" s="89" t="s">
        <v>168</v>
      </c>
      <c r="D42" s="34">
        <v>7</v>
      </c>
      <c r="E42" s="34">
        <v>278</v>
      </c>
      <c r="F42" s="177" t="s">
        <v>496</v>
      </c>
      <c r="I42" s="177" t="s">
        <v>496</v>
      </c>
    </row>
    <row r="43" spans="1:9" hidden="1" x14ac:dyDescent="0.25">
      <c r="A43" s="44"/>
      <c r="B43" s="43"/>
      <c r="C43" s="43"/>
      <c r="D43" s="44"/>
      <c r="E43" s="44"/>
      <c r="F43" s="162"/>
      <c r="I43" s="162"/>
    </row>
    <row r="44" spans="1:9" hidden="1" x14ac:dyDescent="0.25"/>
    <row r="45" spans="1:9" hidden="1" x14ac:dyDescent="0.25"/>
    <row r="46" spans="1:9" hidden="1" x14ac:dyDescent="0.25">
      <c r="A46" s="642" t="s">
        <v>440</v>
      </c>
      <c r="B46" s="642"/>
      <c r="C46" s="642"/>
      <c r="D46" s="642"/>
      <c r="E46" s="642"/>
      <c r="F46" s="642"/>
      <c r="I46"/>
    </row>
    <row r="47" spans="1:9" ht="37.5" hidden="1" x14ac:dyDescent="0.25">
      <c r="A47" s="93" t="s">
        <v>149</v>
      </c>
      <c r="B47" s="181" t="s">
        <v>1</v>
      </c>
      <c r="C47" s="181" t="s">
        <v>146</v>
      </c>
      <c r="D47" s="93" t="s">
        <v>166</v>
      </c>
      <c r="E47" s="93" t="s">
        <v>147</v>
      </c>
      <c r="F47" s="180" t="s">
        <v>148</v>
      </c>
      <c r="I47" s="180" t="s">
        <v>148</v>
      </c>
    </row>
    <row r="48" spans="1:9" x14ac:dyDescent="0.25">
      <c r="A48" s="487">
        <v>1</v>
      </c>
      <c r="B48" s="643" t="s">
        <v>83</v>
      </c>
      <c r="C48" s="181" t="s">
        <v>150</v>
      </c>
      <c r="D48" s="93"/>
      <c r="E48" s="93"/>
      <c r="F48" s="161"/>
      <c r="I48" s="161"/>
    </row>
    <row r="49" spans="1:9" hidden="1" x14ac:dyDescent="0.25">
      <c r="A49" s="488"/>
      <c r="B49" s="644"/>
      <c r="C49" s="181" t="s">
        <v>151</v>
      </c>
      <c r="D49" s="93"/>
      <c r="E49" s="93"/>
      <c r="F49" s="161"/>
      <c r="I49" s="161"/>
    </row>
    <row r="50" spans="1:9" hidden="1" x14ac:dyDescent="0.25">
      <c r="A50" s="489"/>
      <c r="B50" s="645"/>
      <c r="C50" s="181" t="s">
        <v>168</v>
      </c>
      <c r="D50" s="93">
        <v>1</v>
      </c>
      <c r="E50" s="93">
        <v>20</v>
      </c>
      <c r="F50" s="161" t="s">
        <v>464</v>
      </c>
      <c r="I50" s="161" t="s">
        <v>464</v>
      </c>
    </row>
    <row r="51" spans="1:9" x14ac:dyDescent="0.25">
      <c r="A51" s="487">
        <v>2</v>
      </c>
      <c r="B51" s="643" t="s">
        <v>20</v>
      </c>
      <c r="C51" s="181" t="s">
        <v>150</v>
      </c>
      <c r="D51" s="93">
        <v>1</v>
      </c>
      <c r="E51" s="93">
        <v>50</v>
      </c>
      <c r="F51" s="161" t="s">
        <v>461</v>
      </c>
      <c r="I51" s="161"/>
    </row>
    <row r="52" spans="1:9" hidden="1" x14ac:dyDescent="0.25">
      <c r="A52" s="488"/>
      <c r="B52" s="644"/>
      <c r="C52" s="181" t="s">
        <v>151</v>
      </c>
      <c r="D52" s="93"/>
      <c r="E52" s="93"/>
      <c r="F52" s="161"/>
      <c r="I52" s="161"/>
    </row>
    <row r="53" spans="1:9" hidden="1" x14ac:dyDescent="0.25">
      <c r="A53" s="489"/>
      <c r="B53" s="645"/>
      <c r="C53" s="181" t="s">
        <v>168</v>
      </c>
      <c r="D53" s="93"/>
      <c r="E53" s="93"/>
      <c r="F53" s="161"/>
      <c r="I53" s="161"/>
    </row>
    <row r="54" spans="1:9" x14ac:dyDescent="0.25">
      <c r="A54" s="487">
        <v>3</v>
      </c>
      <c r="B54" s="643" t="s">
        <v>23</v>
      </c>
      <c r="C54" s="181" t="s">
        <v>150</v>
      </c>
      <c r="D54" s="93">
        <v>1</v>
      </c>
      <c r="E54" s="93">
        <v>155</v>
      </c>
      <c r="F54" s="161" t="s">
        <v>459</v>
      </c>
      <c r="I54" s="161"/>
    </row>
    <row r="55" spans="1:9" hidden="1" x14ac:dyDescent="0.25">
      <c r="A55" s="488"/>
      <c r="B55" s="644"/>
      <c r="C55" s="181" t="s">
        <v>151</v>
      </c>
      <c r="D55" s="93">
        <v>1</v>
      </c>
      <c r="E55" s="93">
        <v>300</v>
      </c>
      <c r="F55" s="161" t="s">
        <v>460</v>
      </c>
      <c r="I55" s="161" t="s">
        <v>460</v>
      </c>
    </row>
    <row r="56" spans="1:9" hidden="1" x14ac:dyDescent="0.25">
      <c r="A56" s="489"/>
      <c r="B56" s="645"/>
      <c r="C56" s="181" t="s">
        <v>168</v>
      </c>
      <c r="D56" s="93"/>
      <c r="E56" s="93"/>
      <c r="F56" s="161"/>
      <c r="I56" s="161"/>
    </row>
    <row r="57" spans="1:9" ht="37.5" x14ac:dyDescent="0.25">
      <c r="A57" s="487">
        <v>4</v>
      </c>
      <c r="B57" s="643" t="s">
        <v>165</v>
      </c>
      <c r="C57" s="181" t="s">
        <v>150</v>
      </c>
      <c r="D57" s="93">
        <v>1</v>
      </c>
      <c r="E57" s="93">
        <v>80</v>
      </c>
      <c r="F57" s="161" t="s">
        <v>444</v>
      </c>
      <c r="I57" s="161" t="s">
        <v>444</v>
      </c>
    </row>
    <row r="58" spans="1:9" ht="37.5" hidden="1" x14ac:dyDescent="0.25">
      <c r="A58" s="488"/>
      <c r="B58" s="644"/>
      <c r="C58" s="181" t="s">
        <v>151</v>
      </c>
      <c r="D58" s="93">
        <v>2</v>
      </c>
      <c r="E58" s="93">
        <v>145</v>
      </c>
      <c r="F58" s="161" t="s">
        <v>445</v>
      </c>
      <c r="I58" s="161" t="s">
        <v>445</v>
      </c>
    </row>
    <row r="59" spans="1:9" hidden="1" x14ac:dyDescent="0.25">
      <c r="A59" s="489"/>
      <c r="B59" s="645"/>
      <c r="C59" s="181" t="s">
        <v>168</v>
      </c>
      <c r="D59" s="93"/>
      <c r="E59" s="93"/>
      <c r="F59" s="161"/>
      <c r="I59" s="161"/>
    </row>
    <row r="60" spans="1:9" ht="37.5" x14ac:dyDescent="0.25">
      <c r="A60" s="487">
        <v>5</v>
      </c>
      <c r="B60" s="643" t="s">
        <v>25</v>
      </c>
      <c r="C60" s="181" t="s">
        <v>150</v>
      </c>
      <c r="D60" s="93">
        <v>2</v>
      </c>
      <c r="E60" s="93">
        <v>175</v>
      </c>
      <c r="F60" s="161" t="s">
        <v>446</v>
      </c>
      <c r="I60" s="161" t="s">
        <v>565</v>
      </c>
    </row>
    <row r="61" spans="1:9" ht="37.5" hidden="1" x14ac:dyDescent="0.25">
      <c r="A61" s="488"/>
      <c r="B61" s="644"/>
      <c r="C61" s="181" t="s">
        <v>151</v>
      </c>
      <c r="D61" s="93">
        <v>2</v>
      </c>
      <c r="E61" s="93">
        <v>150</v>
      </c>
      <c r="F61" s="161" t="s">
        <v>447</v>
      </c>
      <c r="I61" s="161" t="s">
        <v>447</v>
      </c>
    </row>
    <row r="62" spans="1:9" ht="75" hidden="1" x14ac:dyDescent="0.25">
      <c r="A62" s="489"/>
      <c r="B62" s="645"/>
      <c r="C62" s="181" t="s">
        <v>168</v>
      </c>
      <c r="D62" s="93">
        <v>4</v>
      </c>
      <c r="E62" s="93">
        <v>119</v>
      </c>
      <c r="F62" s="161" t="s">
        <v>448</v>
      </c>
      <c r="I62" s="161" t="s">
        <v>448</v>
      </c>
    </row>
    <row r="63" spans="1:9" ht="206.25" x14ac:dyDescent="0.25">
      <c r="A63" s="487">
        <v>6</v>
      </c>
      <c r="B63" s="643" t="s">
        <v>28</v>
      </c>
      <c r="C63" s="181" t="s">
        <v>150</v>
      </c>
      <c r="D63" s="93">
        <v>11</v>
      </c>
      <c r="E63" s="93">
        <v>1676</v>
      </c>
      <c r="F63" s="161" t="s">
        <v>441</v>
      </c>
      <c r="I63" s="161" t="s">
        <v>566</v>
      </c>
    </row>
    <row r="64" spans="1:9" hidden="1" x14ac:dyDescent="0.25">
      <c r="A64" s="488"/>
      <c r="B64" s="644"/>
      <c r="C64" s="181" t="s">
        <v>151</v>
      </c>
      <c r="D64" s="93">
        <v>1</v>
      </c>
      <c r="E64" s="93">
        <v>105</v>
      </c>
      <c r="F64" s="161" t="s">
        <v>442</v>
      </c>
      <c r="I64" s="161" t="s">
        <v>442</v>
      </c>
    </row>
    <row r="65" spans="1:9" hidden="1" x14ac:dyDescent="0.25">
      <c r="A65" s="489"/>
      <c r="B65" s="645"/>
      <c r="C65" s="181" t="s">
        <v>168</v>
      </c>
      <c r="D65" s="93">
        <v>1</v>
      </c>
      <c r="E65" s="93">
        <v>70</v>
      </c>
      <c r="F65" s="161" t="s">
        <v>443</v>
      </c>
      <c r="I65" s="161" t="s">
        <v>443</v>
      </c>
    </row>
    <row r="66" spans="1:9" ht="75" x14ac:dyDescent="0.25">
      <c r="A66" s="487">
        <v>7</v>
      </c>
      <c r="B66" s="643" t="s">
        <v>33</v>
      </c>
      <c r="C66" s="181" t="s">
        <v>150</v>
      </c>
      <c r="D66" s="93">
        <v>4</v>
      </c>
      <c r="E66" s="93">
        <v>120</v>
      </c>
      <c r="F66" s="161" t="s">
        <v>451</v>
      </c>
      <c r="I66" s="161" t="s">
        <v>567</v>
      </c>
    </row>
    <row r="67" spans="1:9" ht="112.5" hidden="1" x14ac:dyDescent="0.25">
      <c r="A67" s="488"/>
      <c r="B67" s="644"/>
      <c r="C67" s="181" t="s">
        <v>151</v>
      </c>
      <c r="D67" s="93">
        <v>6</v>
      </c>
      <c r="E67" s="93">
        <v>285</v>
      </c>
      <c r="F67" s="161" t="s">
        <v>450</v>
      </c>
      <c r="I67" s="161" t="s">
        <v>450</v>
      </c>
    </row>
    <row r="68" spans="1:9" ht="75" hidden="1" x14ac:dyDescent="0.25">
      <c r="A68" s="489"/>
      <c r="B68" s="645"/>
      <c r="C68" s="181" t="s">
        <v>168</v>
      </c>
      <c r="D68" s="93">
        <v>4</v>
      </c>
      <c r="E68" s="93">
        <v>81</v>
      </c>
      <c r="F68" s="171" t="s">
        <v>449</v>
      </c>
      <c r="I68" s="171" t="s">
        <v>449</v>
      </c>
    </row>
    <row r="69" spans="1:9" x14ac:dyDescent="0.25">
      <c r="A69" s="487">
        <v>8</v>
      </c>
      <c r="B69" s="643" t="s">
        <v>38</v>
      </c>
      <c r="C69" s="181" t="s">
        <v>150</v>
      </c>
      <c r="D69" s="93">
        <v>1</v>
      </c>
      <c r="E69" s="93">
        <v>30</v>
      </c>
      <c r="F69" s="166" t="s">
        <v>457</v>
      </c>
      <c r="I69" s="166" t="s">
        <v>457</v>
      </c>
    </row>
    <row r="70" spans="1:9" ht="56.25" hidden="1" x14ac:dyDescent="0.25">
      <c r="A70" s="488"/>
      <c r="B70" s="644"/>
      <c r="C70" s="181" t="s">
        <v>151</v>
      </c>
      <c r="D70" s="93">
        <v>3</v>
      </c>
      <c r="E70" s="93">
        <v>50</v>
      </c>
      <c r="F70" s="161" t="s">
        <v>458</v>
      </c>
      <c r="I70" s="161" t="s">
        <v>458</v>
      </c>
    </row>
    <row r="71" spans="1:9" hidden="1" x14ac:dyDescent="0.25">
      <c r="A71" s="489"/>
      <c r="B71" s="645"/>
      <c r="C71" s="181" t="s">
        <v>168</v>
      </c>
      <c r="D71" s="93"/>
      <c r="E71" s="93"/>
      <c r="F71" s="161"/>
      <c r="I71" s="161"/>
    </row>
    <row r="72" spans="1:9" x14ac:dyDescent="0.25">
      <c r="A72" s="487">
        <v>9</v>
      </c>
      <c r="B72" s="643" t="s">
        <v>88</v>
      </c>
      <c r="C72" s="181" t="s">
        <v>150</v>
      </c>
      <c r="D72" s="93"/>
      <c r="E72" s="93"/>
      <c r="F72" s="161"/>
      <c r="I72" s="161"/>
    </row>
    <row r="73" spans="1:9" ht="56.25" hidden="1" x14ac:dyDescent="0.25">
      <c r="A73" s="488"/>
      <c r="B73" s="644"/>
      <c r="C73" s="181" t="s">
        <v>151</v>
      </c>
      <c r="D73" s="93">
        <v>4</v>
      </c>
      <c r="E73" s="93">
        <v>420</v>
      </c>
      <c r="F73" s="161" t="s">
        <v>466</v>
      </c>
      <c r="I73" s="161" t="s">
        <v>466</v>
      </c>
    </row>
    <row r="74" spans="1:9" hidden="1" x14ac:dyDescent="0.25">
      <c r="A74" s="489"/>
      <c r="B74" s="645"/>
      <c r="C74" s="181" t="s">
        <v>168</v>
      </c>
      <c r="D74" s="93"/>
      <c r="E74" s="93"/>
      <c r="F74" s="161"/>
      <c r="I74" s="161"/>
    </row>
    <row r="75" spans="1:9" ht="37.5" x14ac:dyDescent="0.25">
      <c r="A75" s="487">
        <v>10</v>
      </c>
      <c r="B75" s="643" t="s">
        <v>43</v>
      </c>
      <c r="C75" s="181" t="s">
        <v>150</v>
      </c>
      <c r="D75" s="93">
        <v>2</v>
      </c>
      <c r="E75" s="93">
        <v>335</v>
      </c>
      <c r="F75" s="161" t="s">
        <v>455</v>
      </c>
      <c r="I75" s="161" t="s">
        <v>568</v>
      </c>
    </row>
    <row r="76" spans="1:9" hidden="1" x14ac:dyDescent="0.25">
      <c r="A76" s="488"/>
      <c r="B76" s="644"/>
      <c r="C76" s="181" t="s">
        <v>151</v>
      </c>
      <c r="D76" s="93"/>
      <c r="E76" s="93"/>
      <c r="F76" s="161"/>
      <c r="I76" s="161"/>
    </row>
    <row r="77" spans="1:9" hidden="1" x14ac:dyDescent="0.25">
      <c r="A77" s="489"/>
      <c r="B77" s="645"/>
      <c r="C77" s="181" t="s">
        <v>168</v>
      </c>
      <c r="D77" s="93"/>
      <c r="E77" s="93"/>
      <c r="F77" s="161"/>
      <c r="I77" s="161"/>
    </row>
    <row r="78" spans="1:9" x14ac:dyDescent="0.25">
      <c r="A78" s="487">
        <v>11</v>
      </c>
      <c r="B78" s="643" t="s">
        <v>46</v>
      </c>
      <c r="C78" s="181" t="s">
        <v>150</v>
      </c>
      <c r="D78" s="93">
        <v>1</v>
      </c>
      <c r="E78" s="93">
        <v>60</v>
      </c>
      <c r="F78" s="161" t="s">
        <v>465</v>
      </c>
      <c r="I78" s="161"/>
    </row>
    <row r="79" spans="1:9" hidden="1" x14ac:dyDescent="0.25">
      <c r="A79" s="488"/>
      <c r="B79" s="644"/>
      <c r="C79" s="181" t="s">
        <v>151</v>
      </c>
      <c r="D79" s="93"/>
      <c r="E79" s="93"/>
      <c r="F79" s="161"/>
      <c r="I79" s="161"/>
    </row>
    <row r="80" spans="1:9" hidden="1" x14ac:dyDescent="0.25">
      <c r="A80" s="489"/>
      <c r="B80" s="645"/>
      <c r="C80" s="181" t="s">
        <v>168</v>
      </c>
      <c r="D80" s="93"/>
      <c r="E80" s="93"/>
      <c r="F80" s="161"/>
      <c r="I80" s="161"/>
    </row>
    <row r="81" spans="1:9" ht="75" x14ac:dyDescent="0.25">
      <c r="A81" s="487">
        <v>12</v>
      </c>
      <c r="B81" s="643" t="s">
        <v>49</v>
      </c>
      <c r="C81" s="181" t="s">
        <v>150</v>
      </c>
      <c r="D81" s="93">
        <v>4</v>
      </c>
      <c r="E81" s="93">
        <v>355</v>
      </c>
      <c r="F81" s="161" t="s">
        <v>462</v>
      </c>
      <c r="I81" s="161" t="s">
        <v>569</v>
      </c>
    </row>
    <row r="82" spans="1:9" ht="112.5" hidden="1" x14ac:dyDescent="0.25">
      <c r="A82" s="488"/>
      <c r="B82" s="644"/>
      <c r="C82" s="181" t="s">
        <v>151</v>
      </c>
      <c r="D82" s="93">
        <v>6</v>
      </c>
      <c r="E82" s="93">
        <v>498</v>
      </c>
      <c r="F82" s="161" t="s">
        <v>463</v>
      </c>
      <c r="I82" s="161" t="s">
        <v>463</v>
      </c>
    </row>
    <row r="83" spans="1:9" hidden="1" x14ac:dyDescent="0.25">
      <c r="A83" s="489"/>
      <c r="B83" s="645"/>
      <c r="C83" s="181" t="s">
        <v>168</v>
      </c>
      <c r="D83" s="93"/>
      <c r="E83" s="93"/>
      <c r="F83" s="161"/>
      <c r="I83" s="161"/>
    </row>
    <row r="84" spans="1:9" ht="93.75" x14ac:dyDescent="0.25">
      <c r="A84" s="487">
        <v>13</v>
      </c>
      <c r="B84" s="643" t="s">
        <v>52</v>
      </c>
      <c r="C84" s="181" t="s">
        <v>150</v>
      </c>
      <c r="D84" s="93">
        <v>4</v>
      </c>
      <c r="E84" s="93">
        <v>650</v>
      </c>
      <c r="F84" s="161" t="s">
        <v>452</v>
      </c>
      <c r="I84" s="161" t="s">
        <v>570</v>
      </c>
    </row>
    <row r="85" spans="1:9" ht="75" hidden="1" x14ac:dyDescent="0.25">
      <c r="A85" s="488"/>
      <c r="B85" s="644"/>
      <c r="C85" s="181" t="s">
        <v>151</v>
      </c>
      <c r="D85" s="93">
        <v>4</v>
      </c>
      <c r="E85" s="93">
        <v>204</v>
      </c>
      <c r="F85" s="161" t="s">
        <v>453</v>
      </c>
      <c r="I85" s="161" t="s">
        <v>453</v>
      </c>
    </row>
    <row r="86" spans="1:9" ht="93.75" hidden="1" x14ac:dyDescent="0.25">
      <c r="A86" s="489"/>
      <c r="B86" s="645"/>
      <c r="C86" s="181" t="s">
        <v>168</v>
      </c>
      <c r="D86" s="93">
        <v>5</v>
      </c>
      <c r="E86" s="93">
        <v>218</v>
      </c>
      <c r="F86" s="161" t="s">
        <v>454</v>
      </c>
      <c r="I86" s="161" t="s">
        <v>454</v>
      </c>
    </row>
    <row r="87" spans="1:9" hidden="1" x14ac:dyDescent="0.25">
      <c r="A87" s="44"/>
      <c r="B87" s="43"/>
      <c r="C87" s="43"/>
      <c r="D87" s="44"/>
      <c r="E87" s="44"/>
      <c r="F87" s="162"/>
      <c r="I87" s="162"/>
    </row>
    <row r="88" spans="1:9" hidden="1" x14ac:dyDescent="0.25"/>
    <row r="89" spans="1:9" hidden="1" x14ac:dyDescent="0.25"/>
    <row r="90" spans="1:9" hidden="1" x14ac:dyDescent="0.25">
      <c r="A90" s="642" t="s">
        <v>415</v>
      </c>
      <c r="B90" s="642"/>
      <c r="C90" s="642"/>
      <c r="D90" s="642"/>
      <c r="E90" s="642"/>
      <c r="F90" s="642"/>
      <c r="I90"/>
    </row>
    <row r="91" spans="1:9" ht="37.5" hidden="1" x14ac:dyDescent="0.25">
      <c r="A91" s="93" t="s">
        <v>149</v>
      </c>
      <c r="B91" s="181" t="s">
        <v>1</v>
      </c>
      <c r="C91" s="181" t="s">
        <v>146</v>
      </c>
      <c r="D91" s="93" t="s">
        <v>166</v>
      </c>
      <c r="E91" s="93" t="s">
        <v>147</v>
      </c>
      <c r="F91" s="180" t="s">
        <v>148</v>
      </c>
      <c r="I91" s="180" t="s">
        <v>148</v>
      </c>
    </row>
    <row r="92" spans="1:9" x14ac:dyDescent="0.25">
      <c r="A92" s="487">
        <v>1</v>
      </c>
      <c r="B92" s="643" t="s">
        <v>83</v>
      </c>
      <c r="C92" s="181" t="s">
        <v>150</v>
      </c>
      <c r="D92" s="93"/>
      <c r="E92" s="93"/>
      <c r="F92" s="161"/>
      <c r="I92" s="161"/>
    </row>
    <row r="93" spans="1:9" hidden="1" x14ac:dyDescent="0.25">
      <c r="A93" s="488"/>
      <c r="B93" s="644"/>
      <c r="C93" s="181" t="s">
        <v>151</v>
      </c>
      <c r="D93" s="93"/>
      <c r="E93" s="93"/>
      <c r="F93" s="161"/>
      <c r="I93" s="161"/>
    </row>
    <row r="94" spans="1:9" ht="56.25" hidden="1" x14ac:dyDescent="0.25">
      <c r="A94" s="489"/>
      <c r="B94" s="645"/>
      <c r="C94" s="181" t="s">
        <v>168</v>
      </c>
      <c r="D94" s="93">
        <v>1</v>
      </c>
      <c r="E94" s="93">
        <v>30</v>
      </c>
      <c r="F94" s="161" t="s">
        <v>436</v>
      </c>
      <c r="I94" s="161" t="s">
        <v>436</v>
      </c>
    </row>
    <row r="95" spans="1:9" x14ac:dyDescent="0.25">
      <c r="A95" s="487">
        <v>2</v>
      </c>
      <c r="B95" s="643" t="s">
        <v>20</v>
      </c>
      <c r="C95" s="181" t="s">
        <v>150</v>
      </c>
      <c r="D95" s="93"/>
      <c r="E95" s="93"/>
      <c r="F95" s="161"/>
      <c r="I95" s="161"/>
    </row>
    <row r="96" spans="1:9" hidden="1" x14ac:dyDescent="0.25">
      <c r="A96" s="488"/>
      <c r="B96" s="644"/>
      <c r="C96" s="181" t="s">
        <v>151</v>
      </c>
      <c r="D96" s="93"/>
      <c r="E96" s="93"/>
      <c r="F96" s="161"/>
      <c r="I96" s="161"/>
    </row>
    <row r="97" spans="1:9" hidden="1" x14ac:dyDescent="0.25">
      <c r="A97" s="489"/>
      <c r="B97" s="645"/>
      <c r="C97" s="181" t="s">
        <v>168</v>
      </c>
      <c r="D97" s="93"/>
      <c r="E97" s="93"/>
      <c r="F97" s="161"/>
      <c r="I97" s="161"/>
    </row>
    <row r="98" spans="1:9" ht="37.5" x14ac:dyDescent="0.25">
      <c r="A98" s="487">
        <v>3</v>
      </c>
      <c r="B98" s="643" t="s">
        <v>23</v>
      </c>
      <c r="C98" s="181" t="s">
        <v>150</v>
      </c>
      <c r="D98" s="93">
        <v>2</v>
      </c>
      <c r="E98" s="93">
        <v>71</v>
      </c>
      <c r="F98" s="161" t="s">
        <v>418</v>
      </c>
      <c r="I98" s="161"/>
    </row>
    <row r="99" spans="1:9" ht="112.5" hidden="1" x14ac:dyDescent="0.25">
      <c r="A99" s="488"/>
      <c r="B99" s="644"/>
      <c r="C99" s="181" t="s">
        <v>151</v>
      </c>
      <c r="D99" s="93">
        <v>4</v>
      </c>
      <c r="E99" s="93">
        <v>180</v>
      </c>
      <c r="F99" s="161" t="s">
        <v>419</v>
      </c>
      <c r="I99" s="161" t="s">
        <v>419</v>
      </c>
    </row>
    <row r="100" spans="1:9" hidden="1" x14ac:dyDescent="0.25">
      <c r="A100" s="489"/>
      <c r="B100" s="645"/>
      <c r="C100" s="181" t="s">
        <v>168</v>
      </c>
      <c r="D100" s="93"/>
      <c r="E100" s="93"/>
      <c r="F100" s="161"/>
      <c r="I100" s="161"/>
    </row>
    <row r="101" spans="1:9" x14ac:dyDescent="0.25">
      <c r="A101" s="487">
        <v>4</v>
      </c>
      <c r="B101" s="643" t="s">
        <v>165</v>
      </c>
      <c r="C101" s="181" t="s">
        <v>150</v>
      </c>
      <c r="D101" s="93">
        <v>1</v>
      </c>
      <c r="E101" s="93">
        <v>80</v>
      </c>
      <c r="F101" s="161" t="s">
        <v>420</v>
      </c>
      <c r="I101" s="161"/>
    </row>
    <row r="102" spans="1:9" hidden="1" x14ac:dyDescent="0.25">
      <c r="A102" s="488"/>
      <c r="B102" s="644"/>
      <c r="C102" s="181" t="s">
        <v>151</v>
      </c>
      <c r="D102" s="93"/>
      <c r="E102" s="93"/>
      <c r="F102" s="161"/>
      <c r="I102" s="161"/>
    </row>
    <row r="103" spans="1:9" ht="37.5" hidden="1" x14ac:dyDescent="0.25">
      <c r="A103" s="489"/>
      <c r="B103" s="645"/>
      <c r="C103" s="181" t="s">
        <v>168</v>
      </c>
      <c r="D103" s="93">
        <v>2</v>
      </c>
      <c r="E103" s="93">
        <v>80</v>
      </c>
      <c r="F103" s="161" t="s">
        <v>421</v>
      </c>
      <c r="I103" s="161" t="s">
        <v>421</v>
      </c>
    </row>
    <row r="104" spans="1:9" ht="37.5" x14ac:dyDescent="0.25">
      <c r="A104" s="487">
        <v>5</v>
      </c>
      <c r="B104" s="643" t="s">
        <v>25</v>
      </c>
      <c r="C104" s="181" t="s">
        <v>150</v>
      </c>
      <c r="D104" s="93">
        <v>2</v>
      </c>
      <c r="E104" s="93">
        <v>185</v>
      </c>
      <c r="F104" s="161" t="s">
        <v>416</v>
      </c>
      <c r="I104" s="161" t="s">
        <v>416</v>
      </c>
    </row>
    <row r="105" spans="1:9" hidden="1" x14ac:dyDescent="0.25">
      <c r="A105" s="488"/>
      <c r="B105" s="644"/>
      <c r="C105" s="181" t="s">
        <v>151</v>
      </c>
      <c r="D105" s="93">
        <v>7</v>
      </c>
      <c r="E105" s="93">
        <v>870</v>
      </c>
      <c r="F105" s="161"/>
      <c r="I105" s="161"/>
    </row>
    <row r="106" spans="1:9" ht="75" hidden="1" x14ac:dyDescent="0.25">
      <c r="A106" s="489"/>
      <c r="B106" s="645"/>
      <c r="C106" s="181" t="s">
        <v>168</v>
      </c>
      <c r="D106" s="93">
        <v>4</v>
      </c>
      <c r="E106" s="93">
        <v>16</v>
      </c>
      <c r="F106" s="161" t="s">
        <v>417</v>
      </c>
      <c r="I106" s="161" t="s">
        <v>417</v>
      </c>
    </row>
    <row r="107" spans="1:9" ht="75" x14ac:dyDescent="0.25">
      <c r="A107" s="487">
        <v>6</v>
      </c>
      <c r="B107" s="643" t="s">
        <v>28</v>
      </c>
      <c r="C107" s="181" t="s">
        <v>150</v>
      </c>
      <c r="D107" s="93">
        <v>4</v>
      </c>
      <c r="E107" s="93">
        <v>420</v>
      </c>
      <c r="F107" s="161" t="s">
        <v>424</v>
      </c>
      <c r="I107" s="161" t="s">
        <v>571</v>
      </c>
    </row>
    <row r="108" spans="1:9" ht="206.25" hidden="1" x14ac:dyDescent="0.25">
      <c r="A108" s="488"/>
      <c r="B108" s="644"/>
      <c r="C108" s="181" t="s">
        <v>151</v>
      </c>
      <c r="D108" s="93">
        <v>14</v>
      </c>
      <c r="E108" s="93">
        <v>1770</v>
      </c>
      <c r="F108" s="161" t="s">
        <v>425</v>
      </c>
      <c r="I108" s="161" t="s">
        <v>425</v>
      </c>
    </row>
    <row r="109" spans="1:9" hidden="1" x14ac:dyDescent="0.25">
      <c r="A109" s="489"/>
      <c r="B109" s="645"/>
      <c r="C109" s="181" t="s">
        <v>168</v>
      </c>
      <c r="D109" s="93"/>
      <c r="E109" s="93"/>
      <c r="F109" s="161"/>
      <c r="I109" s="161"/>
    </row>
    <row r="110" spans="1:9" ht="75" x14ac:dyDescent="0.25">
      <c r="A110" s="487">
        <v>7</v>
      </c>
      <c r="B110" s="643" t="s">
        <v>33</v>
      </c>
      <c r="C110" s="181" t="s">
        <v>150</v>
      </c>
      <c r="D110" s="93">
        <v>4</v>
      </c>
      <c r="E110" s="93">
        <v>310</v>
      </c>
      <c r="F110" s="161" t="s">
        <v>426</v>
      </c>
      <c r="I110" s="161" t="s">
        <v>572</v>
      </c>
    </row>
    <row r="111" spans="1:9" ht="93.75" hidden="1" x14ac:dyDescent="0.25">
      <c r="A111" s="488"/>
      <c r="B111" s="644"/>
      <c r="C111" s="181" t="s">
        <v>151</v>
      </c>
      <c r="D111" s="93">
        <v>5</v>
      </c>
      <c r="E111" s="93">
        <v>320</v>
      </c>
      <c r="F111" s="161" t="s">
        <v>428</v>
      </c>
      <c r="I111" s="161" t="s">
        <v>428</v>
      </c>
    </row>
    <row r="112" spans="1:9" ht="206.25" hidden="1" x14ac:dyDescent="0.25">
      <c r="A112" s="489"/>
      <c r="B112" s="645"/>
      <c r="C112" s="181" t="s">
        <v>168</v>
      </c>
      <c r="D112" s="93">
        <v>11</v>
      </c>
      <c r="E112" s="93">
        <v>231</v>
      </c>
      <c r="F112" s="161" t="s">
        <v>427</v>
      </c>
      <c r="I112" s="161" t="s">
        <v>427</v>
      </c>
    </row>
    <row r="113" spans="1:9" ht="37.5" x14ac:dyDescent="0.25">
      <c r="A113" s="487">
        <v>8</v>
      </c>
      <c r="B113" s="643" t="s">
        <v>38</v>
      </c>
      <c r="C113" s="181" t="s">
        <v>150</v>
      </c>
      <c r="D113" s="93">
        <v>2</v>
      </c>
      <c r="E113" s="93">
        <v>200</v>
      </c>
      <c r="F113" s="166" t="s">
        <v>429</v>
      </c>
      <c r="I113" s="166" t="s">
        <v>429</v>
      </c>
    </row>
    <row r="114" spans="1:9" ht="56.25" hidden="1" x14ac:dyDescent="0.25">
      <c r="A114" s="488"/>
      <c r="B114" s="644"/>
      <c r="C114" s="181" t="s">
        <v>151</v>
      </c>
      <c r="D114" s="93">
        <v>3</v>
      </c>
      <c r="E114" s="93">
        <v>60</v>
      </c>
      <c r="F114" s="161" t="s">
        <v>430</v>
      </c>
      <c r="I114" s="161" t="s">
        <v>430</v>
      </c>
    </row>
    <row r="115" spans="1:9" hidden="1" x14ac:dyDescent="0.25">
      <c r="A115" s="489"/>
      <c r="B115" s="645"/>
      <c r="C115" s="181" t="s">
        <v>168</v>
      </c>
      <c r="D115" s="93"/>
      <c r="E115" s="93"/>
      <c r="F115" s="161"/>
      <c r="I115" s="161"/>
    </row>
    <row r="116" spans="1:9" x14ac:dyDescent="0.25">
      <c r="A116" s="487">
        <v>9</v>
      </c>
      <c r="B116" s="643" t="s">
        <v>88</v>
      </c>
      <c r="C116" s="181" t="s">
        <v>150</v>
      </c>
      <c r="D116" s="93">
        <v>1</v>
      </c>
      <c r="E116" s="93">
        <v>85</v>
      </c>
      <c r="F116" s="161" t="s">
        <v>431</v>
      </c>
      <c r="I116" s="161" t="s">
        <v>431</v>
      </c>
    </row>
    <row r="117" spans="1:9" hidden="1" x14ac:dyDescent="0.25">
      <c r="A117" s="488"/>
      <c r="B117" s="644"/>
      <c r="C117" s="181" t="s">
        <v>151</v>
      </c>
      <c r="D117" s="93">
        <v>1</v>
      </c>
      <c r="E117" s="93">
        <v>8</v>
      </c>
      <c r="F117" s="161" t="s">
        <v>432</v>
      </c>
      <c r="I117" s="161" t="s">
        <v>432</v>
      </c>
    </row>
    <row r="118" spans="1:9" hidden="1" x14ac:dyDescent="0.25">
      <c r="A118" s="489"/>
      <c r="B118" s="645"/>
      <c r="C118" s="181" t="s">
        <v>168</v>
      </c>
      <c r="D118" s="93"/>
      <c r="E118" s="93"/>
      <c r="F118" s="161"/>
      <c r="I118" s="161"/>
    </row>
    <row r="119" spans="1:9" x14ac:dyDescent="0.25">
      <c r="A119" s="487">
        <v>10</v>
      </c>
      <c r="B119" s="643" t="s">
        <v>43</v>
      </c>
      <c r="C119" s="181" t="s">
        <v>150</v>
      </c>
      <c r="D119" s="93"/>
      <c r="E119" s="93"/>
      <c r="F119" s="161"/>
      <c r="I119" s="161"/>
    </row>
    <row r="120" spans="1:9" hidden="1" x14ac:dyDescent="0.25">
      <c r="A120" s="488"/>
      <c r="B120" s="644"/>
      <c r="C120" s="181" t="s">
        <v>151</v>
      </c>
      <c r="D120" s="93"/>
      <c r="E120" s="93"/>
      <c r="F120" s="161"/>
      <c r="I120" s="161"/>
    </row>
    <row r="121" spans="1:9" hidden="1" x14ac:dyDescent="0.25">
      <c r="A121" s="489"/>
      <c r="B121" s="645"/>
      <c r="C121" s="181" t="s">
        <v>168</v>
      </c>
      <c r="D121" s="93"/>
      <c r="E121" s="93"/>
      <c r="F121" s="161"/>
      <c r="I121" s="161"/>
    </row>
    <row r="122" spans="1:9" x14ac:dyDescent="0.25">
      <c r="A122" s="487">
        <v>11</v>
      </c>
      <c r="B122" s="643" t="s">
        <v>46</v>
      </c>
      <c r="C122" s="181" t="s">
        <v>150</v>
      </c>
      <c r="D122" s="93">
        <v>1</v>
      </c>
      <c r="E122" s="93">
        <v>60</v>
      </c>
      <c r="F122" s="161" t="s">
        <v>437</v>
      </c>
      <c r="I122" s="161"/>
    </row>
    <row r="123" spans="1:9" hidden="1" x14ac:dyDescent="0.25">
      <c r="A123" s="488"/>
      <c r="B123" s="644"/>
      <c r="C123" s="181" t="s">
        <v>151</v>
      </c>
      <c r="D123" s="93">
        <v>1</v>
      </c>
      <c r="E123" s="93">
        <v>15</v>
      </c>
      <c r="F123" s="161" t="s">
        <v>438</v>
      </c>
      <c r="I123" s="161" t="s">
        <v>438</v>
      </c>
    </row>
    <row r="124" spans="1:9" ht="37.5" hidden="1" x14ac:dyDescent="0.25">
      <c r="A124" s="489"/>
      <c r="B124" s="645"/>
      <c r="C124" s="181" t="s">
        <v>168</v>
      </c>
      <c r="D124" s="93">
        <v>2</v>
      </c>
      <c r="E124" s="93">
        <v>25</v>
      </c>
      <c r="F124" s="161" t="s">
        <v>439</v>
      </c>
      <c r="I124" s="161" t="s">
        <v>439</v>
      </c>
    </row>
    <row r="125" spans="1:9" ht="37.5" x14ac:dyDescent="0.25">
      <c r="A125" s="487">
        <v>12</v>
      </c>
      <c r="B125" s="643" t="s">
        <v>49</v>
      </c>
      <c r="C125" s="181" t="s">
        <v>150</v>
      </c>
      <c r="D125" s="93">
        <v>2</v>
      </c>
      <c r="E125" s="93">
        <v>405</v>
      </c>
      <c r="F125" s="161" t="s">
        <v>434</v>
      </c>
      <c r="I125" s="161" t="s">
        <v>573</v>
      </c>
    </row>
    <row r="126" spans="1:9" ht="131.25" hidden="1" x14ac:dyDescent="0.25">
      <c r="A126" s="488"/>
      <c r="B126" s="644"/>
      <c r="C126" s="181" t="s">
        <v>151</v>
      </c>
      <c r="D126" s="93">
        <v>7</v>
      </c>
      <c r="E126" s="93">
        <v>603</v>
      </c>
      <c r="F126" s="161" t="s">
        <v>435</v>
      </c>
      <c r="I126" s="161" t="s">
        <v>435</v>
      </c>
    </row>
    <row r="127" spans="1:9" hidden="1" x14ac:dyDescent="0.25">
      <c r="A127" s="489"/>
      <c r="B127" s="645"/>
      <c r="C127" s="181" t="s">
        <v>168</v>
      </c>
      <c r="D127" s="93"/>
      <c r="E127" s="93"/>
      <c r="F127" s="161"/>
      <c r="I127" s="161"/>
    </row>
    <row r="128" spans="1:9" ht="112.5" x14ac:dyDescent="0.25">
      <c r="A128" s="487">
        <v>13</v>
      </c>
      <c r="B128" s="643" t="s">
        <v>52</v>
      </c>
      <c r="C128" s="181" t="s">
        <v>150</v>
      </c>
      <c r="D128" s="93">
        <v>6</v>
      </c>
      <c r="E128" s="93">
        <v>1105</v>
      </c>
      <c r="F128" s="161" t="s">
        <v>433</v>
      </c>
      <c r="I128" s="161" t="s">
        <v>574</v>
      </c>
    </row>
    <row r="129" spans="1:9" ht="75" hidden="1" x14ac:dyDescent="0.25">
      <c r="A129" s="488"/>
      <c r="B129" s="644"/>
      <c r="C129" s="181" t="s">
        <v>151</v>
      </c>
      <c r="D129" s="93">
        <v>4</v>
      </c>
      <c r="E129" s="93">
        <v>159</v>
      </c>
      <c r="F129" s="161" t="s">
        <v>422</v>
      </c>
      <c r="I129" s="161" t="s">
        <v>422</v>
      </c>
    </row>
    <row r="130" spans="1:9" ht="75" hidden="1" x14ac:dyDescent="0.25">
      <c r="A130" s="489"/>
      <c r="B130" s="645"/>
      <c r="C130" s="181" t="s">
        <v>168</v>
      </c>
      <c r="D130" s="93">
        <v>4</v>
      </c>
      <c r="E130" s="93">
        <v>176</v>
      </c>
      <c r="F130" s="161" t="s">
        <v>423</v>
      </c>
      <c r="I130" s="161" t="s">
        <v>423</v>
      </c>
    </row>
    <row r="131" spans="1:9" hidden="1" x14ac:dyDescent="0.25">
      <c r="A131" s="44"/>
      <c r="B131" s="43"/>
      <c r="C131" s="43"/>
      <c r="D131" s="44"/>
      <c r="E131" s="44"/>
      <c r="F131" s="162"/>
      <c r="I131" s="162"/>
    </row>
    <row r="132" spans="1:9" hidden="1" x14ac:dyDescent="0.25"/>
    <row r="133" spans="1:9" hidden="1" x14ac:dyDescent="0.25">
      <c r="A133" s="642" t="s">
        <v>386</v>
      </c>
      <c r="B133" s="642"/>
      <c r="C133" s="642"/>
      <c r="D133" s="642"/>
      <c r="E133" s="642"/>
      <c r="F133" s="642"/>
      <c r="I133"/>
    </row>
    <row r="134" spans="1:9" ht="37.5" hidden="1" x14ac:dyDescent="0.25">
      <c r="A134" s="93" t="s">
        <v>149</v>
      </c>
      <c r="B134" s="181" t="s">
        <v>1</v>
      </c>
      <c r="C134" s="181" t="s">
        <v>146</v>
      </c>
      <c r="D134" s="93" t="s">
        <v>166</v>
      </c>
      <c r="E134" s="93" t="s">
        <v>147</v>
      </c>
      <c r="F134" s="180" t="s">
        <v>148</v>
      </c>
      <c r="I134" s="180" t="s">
        <v>148</v>
      </c>
    </row>
    <row r="135" spans="1:9" x14ac:dyDescent="0.25">
      <c r="A135" s="487">
        <v>1</v>
      </c>
      <c r="B135" s="643" t="s">
        <v>83</v>
      </c>
      <c r="C135" s="181" t="s">
        <v>150</v>
      </c>
      <c r="D135" s="93"/>
      <c r="E135" s="93"/>
      <c r="F135" s="161"/>
      <c r="I135" s="161"/>
    </row>
    <row r="136" spans="1:9" hidden="1" x14ac:dyDescent="0.25">
      <c r="A136" s="488"/>
      <c r="B136" s="644"/>
      <c r="C136" s="181" t="s">
        <v>151</v>
      </c>
      <c r="D136" s="93"/>
      <c r="E136" s="93"/>
      <c r="F136" s="161"/>
      <c r="I136" s="161"/>
    </row>
    <row r="137" spans="1:9" ht="75" hidden="1" x14ac:dyDescent="0.25">
      <c r="A137" s="489"/>
      <c r="B137" s="645"/>
      <c r="C137" s="181" t="s">
        <v>168</v>
      </c>
      <c r="D137" s="93">
        <v>4</v>
      </c>
      <c r="E137" s="93">
        <v>510</v>
      </c>
      <c r="F137" s="161" t="s">
        <v>393</v>
      </c>
      <c r="I137" s="161" t="s">
        <v>393</v>
      </c>
    </row>
    <row r="138" spans="1:9" x14ac:dyDescent="0.25">
      <c r="A138" s="487">
        <v>2</v>
      </c>
      <c r="B138" s="643" t="s">
        <v>20</v>
      </c>
      <c r="C138" s="181" t="s">
        <v>150</v>
      </c>
      <c r="D138" s="93"/>
      <c r="E138" s="93"/>
      <c r="F138" s="161"/>
      <c r="I138" s="161"/>
    </row>
    <row r="139" spans="1:9" hidden="1" x14ac:dyDescent="0.25">
      <c r="A139" s="488"/>
      <c r="B139" s="644"/>
      <c r="C139" s="181" t="s">
        <v>151</v>
      </c>
      <c r="D139" s="93"/>
      <c r="E139" s="93"/>
      <c r="F139" s="161"/>
      <c r="I139" s="161"/>
    </row>
    <row r="140" spans="1:9" hidden="1" x14ac:dyDescent="0.25">
      <c r="A140" s="489"/>
      <c r="B140" s="645"/>
      <c r="C140" s="181" t="s">
        <v>168</v>
      </c>
      <c r="D140" s="93"/>
      <c r="E140" s="93"/>
      <c r="F140" s="161"/>
      <c r="I140" s="161"/>
    </row>
    <row r="141" spans="1:9" ht="37.5" x14ac:dyDescent="0.25">
      <c r="A141" s="487">
        <v>3</v>
      </c>
      <c r="B141" s="643" t="s">
        <v>23</v>
      </c>
      <c r="C141" s="181" t="s">
        <v>150</v>
      </c>
      <c r="D141" s="93">
        <v>2</v>
      </c>
      <c r="E141" s="93">
        <v>78</v>
      </c>
      <c r="F141" s="161" t="s">
        <v>387</v>
      </c>
      <c r="I141" s="161" t="s">
        <v>387</v>
      </c>
    </row>
    <row r="142" spans="1:9" ht="37.5" hidden="1" x14ac:dyDescent="0.25">
      <c r="A142" s="488"/>
      <c r="B142" s="644"/>
      <c r="C142" s="181" t="s">
        <v>151</v>
      </c>
      <c r="D142" s="93">
        <v>2</v>
      </c>
      <c r="E142" s="93">
        <v>24</v>
      </c>
      <c r="F142" s="161" t="s">
        <v>388</v>
      </c>
      <c r="I142" s="161" t="s">
        <v>388</v>
      </c>
    </row>
    <row r="143" spans="1:9" hidden="1" x14ac:dyDescent="0.25">
      <c r="A143" s="489"/>
      <c r="B143" s="645"/>
      <c r="C143" s="181" t="s">
        <v>168</v>
      </c>
      <c r="D143" s="93"/>
      <c r="E143" s="93"/>
      <c r="F143" s="161"/>
      <c r="I143" s="161"/>
    </row>
    <row r="144" spans="1:9" x14ac:dyDescent="0.25">
      <c r="A144" s="487">
        <v>4</v>
      </c>
      <c r="B144" s="643" t="s">
        <v>165</v>
      </c>
      <c r="C144" s="181" t="s">
        <v>150</v>
      </c>
      <c r="D144" s="93">
        <v>1</v>
      </c>
      <c r="E144" s="93">
        <v>70</v>
      </c>
      <c r="F144" s="161" t="s">
        <v>389</v>
      </c>
      <c r="I144" s="161" t="s">
        <v>389</v>
      </c>
    </row>
    <row r="145" spans="1:9" hidden="1" x14ac:dyDescent="0.25">
      <c r="A145" s="488"/>
      <c r="B145" s="644"/>
      <c r="C145" s="181" t="s">
        <v>151</v>
      </c>
      <c r="D145" s="93"/>
      <c r="E145" s="93"/>
      <c r="F145" s="161"/>
      <c r="I145" s="161"/>
    </row>
    <row r="146" spans="1:9" hidden="1" x14ac:dyDescent="0.25">
      <c r="A146" s="489"/>
      <c r="B146" s="645"/>
      <c r="C146" s="181" t="s">
        <v>168</v>
      </c>
      <c r="D146" s="93"/>
      <c r="E146" s="93"/>
      <c r="F146" s="161"/>
      <c r="I146" s="161"/>
    </row>
    <row r="147" spans="1:9" ht="37.5" x14ac:dyDescent="0.25">
      <c r="A147" s="487">
        <v>5</v>
      </c>
      <c r="B147" s="643" t="s">
        <v>25</v>
      </c>
      <c r="C147" s="181" t="s">
        <v>150</v>
      </c>
      <c r="D147" s="93">
        <v>2</v>
      </c>
      <c r="E147" s="93">
        <v>205</v>
      </c>
      <c r="F147" s="161" t="s">
        <v>390</v>
      </c>
      <c r="I147" s="161" t="s">
        <v>575</v>
      </c>
    </row>
    <row r="148" spans="1:9" hidden="1" x14ac:dyDescent="0.25">
      <c r="A148" s="488"/>
      <c r="B148" s="644"/>
      <c r="C148" s="181" t="s">
        <v>151</v>
      </c>
      <c r="D148" s="93">
        <v>1</v>
      </c>
      <c r="E148" s="93">
        <v>150</v>
      </c>
      <c r="F148" s="161" t="s">
        <v>391</v>
      </c>
      <c r="I148" s="161" t="s">
        <v>391</v>
      </c>
    </row>
    <row r="149" spans="1:9" ht="56.25" hidden="1" x14ac:dyDescent="0.25">
      <c r="A149" s="489"/>
      <c r="B149" s="645"/>
      <c r="C149" s="181" t="s">
        <v>168</v>
      </c>
      <c r="D149" s="93">
        <v>3</v>
      </c>
      <c r="E149" s="93">
        <v>15</v>
      </c>
      <c r="F149" s="161" t="s">
        <v>392</v>
      </c>
      <c r="I149" s="161" t="s">
        <v>392</v>
      </c>
    </row>
    <row r="150" spans="1:9" ht="75" x14ac:dyDescent="0.25">
      <c r="A150" s="487">
        <v>6</v>
      </c>
      <c r="B150" s="643" t="s">
        <v>28</v>
      </c>
      <c r="C150" s="181" t="s">
        <v>150</v>
      </c>
      <c r="D150" s="93">
        <v>5</v>
      </c>
      <c r="E150" s="93">
        <v>335</v>
      </c>
      <c r="F150" s="161" t="s">
        <v>397</v>
      </c>
      <c r="I150" s="161"/>
    </row>
    <row r="151" spans="1:9" hidden="1" x14ac:dyDescent="0.25">
      <c r="A151" s="488"/>
      <c r="B151" s="644"/>
      <c r="C151" s="181" t="s">
        <v>151</v>
      </c>
      <c r="D151" s="93"/>
      <c r="E151" s="93"/>
      <c r="F151" s="161"/>
      <c r="I151" s="161"/>
    </row>
    <row r="152" spans="1:9" hidden="1" x14ac:dyDescent="0.25">
      <c r="A152" s="489"/>
      <c r="B152" s="645"/>
      <c r="C152" s="181" t="s">
        <v>168</v>
      </c>
      <c r="D152" s="93"/>
      <c r="E152" s="93"/>
      <c r="F152" s="161"/>
      <c r="I152" s="161"/>
    </row>
    <row r="153" spans="1:9" ht="93.75" x14ac:dyDescent="0.25">
      <c r="A153" s="487">
        <v>7</v>
      </c>
      <c r="B153" s="643" t="s">
        <v>33</v>
      </c>
      <c r="C153" s="181" t="s">
        <v>150</v>
      </c>
      <c r="D153" s="93">
        <v>5</v>
      </c>
      <c r="E153" s="93">
        <v>360</v>
      </c>
      <c r="F153" s="161" t="s">
        <v>396</v>
      </c>
      <c r="I153" s="161" t="s">
        <v>576</v>
      </c>
    </row>
    <row r="154" spans="1:9" ht="206.25" hidden="1" x14ac:dyDescent="0.25">
      <c r="A154" s="488"/>
      <c r="B154" s="644"/>
      <c r="C154" s="181" t="s">
        <v>151</v>
      </c>
      <c r="D154" s="93">
        <v>11</v>
      </c>
      <c r="E154" s="93">
        <v>433</v>
      </c>
      <c r="F154" s="161" t="s">
        <v>394</v>
      </c>
      <c r="I154" s="161" t="s">
        <v>394</v>
      </c>
    </row>
    <row r="155" spans="1:9" ht="112.5" hidden="1" x14ac:dyDescent="0.25">
      <c r="A155" s="489"/>
      <c r="B155" s="645"/>
      <c r="C155" s="181" t="s">
        <v>168</v>
      </c>
      <c r="D155" s="93">
        <v>11</v>
      </c>
      <c r="E155" s="93">
        <v>360</v>
      </c>
      <c r="F155" s="161" t="s">
        <v>395</v>
      </c>
      <c r="I155" s="161" t="s">
        <v>395</v>
      </c>
    </row>
    <row r="156" spans="1:9" x14ac:dyDescent="0.25">
      <c r="A156" s="487">
        <v>8</v>
      </c>
      <c r="B156" s="643" t="s">
        <v>38</v>
      </c>
      <c r="C156" s="181" t="s">
        <v>150</v>
      </c>
      <c r="D156" s="93">
        <v>1</v>
      </c>
      <c r="E156" s="93">
        <v>190</v>
      </c>
      <c r="F156" s="164" t="s">
        <v>400</v>
      </c>
      <c r="I156" s="164" t="s">
        <v>502</v>
      </c>
    </row>
    <row r="157" spans="1:9" hidden="1" x14ac:dyDescent="0.25">
      <c r="A157" s="488"/>
      <c r="B157" s="644"/>
      <c r="C157" s="181" t="s">
        <v>151</v>
      </c>
      <c r="D157" s="93">
        <v>2</v>
      </c>
      <c r="E157" s="93">
        <v>59</v>
      </c>
      <c r="F157" s="161" t="s">
        <v>399</v>
      </c>
      <c r="I157" s="161" t="s">
        <v>399</v>
      </c>
    </row>
    <row r="158" spans="1:9" hidden="1" x14ac:dyDescent="0.25">
      <c r="A158" s="489"/>
      <c r="B158" s="645"/>
      <c r="C158" s="181" t="s">
        <v>168</v>
      </c>
      <c r="D158" s="93"/>
      <c r="E158" s="93"/>
      <c r="F158" s="161"/>
      <c r="I158" s="161"/>
    </row>
    <row r="159" spans="1:9" x14ac:dyDescent="0.25">
      <c r="A159" s="487">
        <v>9</v>
      </c>
      <c r="B159" s="643" t="s">
        <v>88</v>
      </c>
      <c r="C159" s="181" t="s">
        <v>150</v>
      </c>
      <c r="D159" s="93"/>
      <c r="E159" s="93"/>
      <c r="F159" s="161"/>
      <c r="I159" s="161"/>
    </row>
    <row r="160" spans="1:9" ht="37.5" hidden="1" x14ac:dyDescent="0.25">
      <c r="A160" s="488"/>
      <c r="B160" s="644"/>
      <c r="C160" s="181" t="s">
        <v>151</v>
      </c>
      <c r="D160" s="93">
        <v>3</v>
      </c>
      <c r="E160" s="93">
        <v>615</v>
      </c>
      <c r="F160" s="161" t="s">
        <v>398</v>
      </c>
      <c r="I160" s="161" t="s">
        <v>398</v>
      </c>
    </row>
    <row r="161" spans="1:9" hidden="1" x14ac:dyDescent="0.25">
      <c r="A161" s="489"/>
      <c r="B161" s="645"/>
      <c r="C161" s="181" t="s">
        <v>168</v>
      </c>
      <c r="D161" s="93"/>
      <c r="E161" s="93"/>
      <c r="F161" s="161"/>
      <c r="I161" s="161"/>
    </row>
    <row r="162" spans="1:9" x14ac:dyDescent="0.25">
      <c r="A162" s="487">
        <v>10</v>
      </c>
      <c r="B162" s="643" t="s">
        <v>43</v>
      </c>
      <c r="C162" s="181" t="s">
        <v>150</v>
      </c>
      <c r="D162" s="93">
        <v>1</v>
      </c>
      <c r="E162" s="93">
        <v>30</v>
      </c>
      <c r="F162" s="161" t="s">
        <v>401</v>
      </c>
      <c r="I162" s="161" t="s">
        <v>401</v>
      </c>
    </row>
    <row r="163" spans="1:9" hidden="1" x14ac:dyDescent="0.25">
      <c r="A163" s="488"/>
      <c r="B163" s="644"/>
      <c r="C163" s="181" t="s">
        <v>151</v>
      </c>
      <c r="D163" s="93"/>
      <c r="E163" s="93"/>
      <c r="F163" s="161"/>
      <c r="I163" s="161"/>
    </row>
    <row r="164" spans="1:9" hidden="1" x14ac:dyDescent="0.25">
      <c r="A164" s="489"/>
      <c r="B164" s="645"/>
      <c r="C164" s="181" t="s">
        <v>168</v>
      </c>
      <c r="D164" s="93"/>
      <c r="E164" s="93"/>
      <c r="F164" s="161"/>
      <c r="I164" s="161"/>
    </row>
    <row r="165" spans="1:9" x14ac:dyDescent="0.25">
      <c r="A165" s="487">
        <v>11</v>
      </c>
      <c r="B165" s="643" t="s">
        <v>46</v>
      </c>
      <c r="C165" s="181" t="s">
        <v>150</v>
      </c>
      <c r="D165" s="93">
        <v>1</v>
      </c>
      <c r="E165" s="93">
        <v>10</v>
      </c>
      <c r="F165" s="161" t="s">
        <v>412</v>
      </c>
      <c r="I165" s="161"/>
    </row>
    <row r="166" spans="1:9" hidden="1" x14ac:dyDescent="0.25">
      <c r="A166" s="488"/>
      <c r="B166" s="644"/>
      <c r="C166" s="181" t="s">
        <v>151</v>
      </c>
      <c r="D166" s="93">
        <v>1</v>
      </c>
      <c r="E166" s="93">
        <v>15</v>
      </c>
      <c r="F166" s="161" t="s">
        <v>413</v>
      </c>
      <c r="I166" s="161" t="s">
        <v>413</v>
      </c>
    </row>
    <row r="167" spans="1:9" ht="37.5" hidden="1" x14ac:dyDescent="0.25">
      <c r="A167" s="489"/>
      <c r="B167" s="645"/>
      <c r="C167" s="181" t="s">
        <v>168</v>
      </c>
      <c r="D167" s="93">
        <v>2</v>
      </c>
      <c r="E167" s="93">
        <v>25</v>
      </c>
      <c r="F167" s="161" t="s">
        <v>414</v>
      </c>
      <c r="I167" s="161" t="s">
        <v>414</v>
      </c>
    </row>
    <row r="168" spans="1:9" ht="56.25" x14ac:dyDescent="0.25">
      <c r="A168" s="487">
        <v>12</v>
      </c>
      <c r="B168" s="643" t="s">
        <v>49</v>
      </c>
      <c r="C168" s="181" t="s">
        <v>150</v>
      </c>
      <c r="D168" s="93">
        <v>3</v>
      </c>
      <c r="E168" s="93">
        <v>355</v>
      </c>
      <c r="F168" s="161" t="s">
        <v>406</v>
      </c>
      <c r="I168" s="161" t="s">
        <v>577</v>
      </c>
    </row>
    <row r="169" spans="1:9" ht="131.25" hidden="1" x14ac:dyDescent="0.25">
      <c r="A169" s="488"/>
      <c r="B169" s="644"/>
      <c r="C169" s="181" t="s">
        <v>151</v>
      </c>
      <c r="D169" s="93">
        <v>9</v>
      </c>
      <c r="E169" s="93">
        <v>889</v>
      </c>
      <c r="F169" s="161" t="s">
        <v>407</v>
      </c>
      <c r="I169" s="161" t="s">
        <v>407</v>
      </c>
    </row>
    <row r="170" spans="1:9" hidden="1" x14ac:dyDescent="0.25">
      <c r="A170" s="489"/>
      <c r="B170" s="645"/>
      <c r="C170" s="181" t="s">
        <v>168</v>
      </c>
      <c r="D170" s="93">
        <v>1</v>
      </c>
      <c r="E170" s="93">
        <v>250</v>
      </c>
      <c r="F170" s="161" t="s">
        <v>405</v>
      </c>
      <c r="I170" s="161" t="s">
        <v>405</v>
      </c>
    </row>
    <row r="171" spans="1:9" ht="37.5" x14ac:dyDescent="0.25">
      <c r="A171" s="487">
        <v>13</v>
      </c>
      <c r="B171" s="643" t="s">
        <v>52</v>
      </c>
      <c r="C171" s="181" t="s">
        <v>150</v>
      </c>
      <c r="D171" s="93">
        <v>3</v>
      </c>
      <c r="E171" s="93">
        <v>510</v>
      </c>
      <c r="F171" s="161" t="s">
        <v>402</v>
      </c>
      <c r="I171" s="161" t="s">
        <v>578</v>
      </c>
    </row>
    <row r="172" spans="1:9" ht="37.5" hidden="1" x14ac:dyDescent="0.25">
      <c r="A172" s="488"/>
      <c r="B172" s="644"/>
      <c r="C172" s="181" t="s">
        <v>151</v>
      </c>
      <c r="D172" s="93">
        <v>2</v>
      </c>
      <c r="E172" s="93">
        <v>39</v>
      </c>
      <c r="F172" s="161" t="s">
        <v>404</v>
      </c>
      <c r="I172" s="161" t="s">
        <v>404</v>
      </c>
    </row>
    <row r="173" spans="1:9" ht="150" hidden="1" x14ac:dyDescent="0.25">
      <c r="A173" s="489"/>
      <c r="B173" s="645"/>
      <c r="C173" s="181" t="s">
        <v>168</v>
      </c>
      <c r="D173" s="93">
        <v>10</v>
      </c>
      <c r="E173" s="93">
        <v>308</v>
      </c>
      <c r="F173" s="161" t="s">
        <v>403</v>
      </c>
      <c r="I173" s="161" t="s">
        <v>403</v>
      </c>
    </row>
    <row r="174" spans="1:9" hidden="1" x14ac:dyDescent="0.25">
      <c r="A174" s="44"/>
      <c r="B174" s="43"/>
      <c r="C174" s="43"/>
      <c r="D174" s="44">
        <f>SUM(D135:D173)</f>
        <v>86</v>
      </c>
      <c r="E174" s="44">
        <f>SUM(E135:E173)</f>
        <v>5835</v>
      </c>
      <c r="F174" s="162"/>
      <c r="I174" s="162"/>
    </row>
    <row r="175" spans="1:9" hidden="1" x14ac:dyDescent="0.25"/>
    <row r="176" spans="1:9" hidden="1" x14ac:dyDescent="0.25"/>
    <row r="177" spans="2:9" ht="106.5" hidden="1" customHeight="1" x14ac:dyDescent="0.25">
      <c r="B177" s="182" t="s">
        <v>507</v>
      </c>
      <c r="C177" s="182"/>
      <c r="D177" s="183">
        <v>43</v>
      </c>
      <c r="E177" s="183">
        <v>15677</v>
      </c>
      <c r="F177" s="183"/>
      <c r="I177" s="183"/>
    </row>
    <row r="182" spans="2:9" x14ac:dyDescent="0.25">
      <c r="I182" s="163">
        <v>47</v>
      </c>
    </row>
  </sheetData>
  <autoFilter ref="C2:C177" xr:uid="{00000000-0009-0000-0000-000016000000}">
    <filterColumn colId="0">
      <filters>
        <filter val="ekWd fMªy"/>
      </filters>
    </filterColumn>
  </autoFilter>
  <mergeCells count="108">
    <mergeCell ref="A171:A173"/>
    <mergeCell ref="B171:B173"/>
    <mergeCell ref="A162:A164"/>
    <mergeCell ref="B162:B164"/>
    <mergeCell ref="A165:A167"/>
    <mergeCell ref="B165:B167"/>
    <mergeCell ref="A168:A170"/>
    <mergeCell ref="B168:B170"/>
    <mergeCell ref="A153:A155"/>
    <mergeCell ref="B153:B155"/>
    <mergeCell ref="A156:A158"/>
    <mergeCell ref="B156:B158"/>
    <mergeCell ref="A159:A161"/>
    <mergeCell ref="B159:B161"/>
    <mergeCell ref="A144:A146"/>
    <mergeCell ref="B144:B146"/>
    <mergeCell ref="A147:A149"/>
    <mergeCell ref="B147:B149"/>
    <mergeCell ref="A150:A152"/>
    <mergeCell ref="B150:B152"/>
    <mergeCell ref="A133:F133"/>
    <mergeCell ref="A135:A137"/>
    <mergeCell ref="B135:B137"/>
    <mergeCell ref="A138:A140"/>
    <mergeCell ref="B138:B140"/>
    <mergeCell ref="A141:A143"/>
    <mergeCell ref="B141:B143"/>
    <mergeCell ref="A122:A124"/>
    <mergeCell ref="B122:B124"/>
    <mergeCell ref="A125:A127"/>
    <mergeCell ref="B125:B127"/>
    <mergeCell ref="A128:A130"/>
    <mergeCell ref="B128:B130"/>
    <mergeCell ref="A113:A115"/>
    <mergeCell ref="B113:B115"/>
    <mergeCell ref="A116:A118"/>
    <mergeCell ref="B116:B118"/>
    <mergeCell ref="A119:A121"/>
    <mergeCell ref="B119:B121"/>
    <mergeCell ref="A104:A106"/>
    <mergeCell ref="B104:B106"/>
    <mergeCell ref="A107:A109"/>
    <mergeCell ref="B107:B109"/>
    <mergeCell ref="A110:A112"/>
    <mergeCell ref="B110:B112"/>
    <mergeCell ref="A95:A97"/>
    <mergeCell ref="B95:B97"/>
    <mergeCell ref="A98:A100"/>
    <mergeCell ref="B98:B100"/>
    <mergeCell ref="A101:A103"/>
    <mergeCell ref="B101:B103"/>
    <mergeCell ref="A81:A83"/>
    <mergeCell ref="B81:B83"/>
    <mergeCell ref="A84:A86"/>
    <mergeCell ref="B84:B86"/>
    <mergeCell ref="A90:F90"/>
    <mergeCell ref="A92:A94"/>
    <mergeCell ref="B92:B94"/>
    <mergeCell ref="A72:A74"/>
    <mergeCell ref="B72:B74"/>
    <mergeCell ref="A75:A77"/>
    <mergeCell ref="B75:B77"/>
    <mergeCell ref="A78:A80"/>
    <mergeCell ref="B78:B80"/>
    <mergeCell ref="A63:A65"/>
    <mergeCell ref="B63:B65"/>
    <mergeCell ref="A66:A68"/>
    <mergeCell ref="B66:B68"/>
    <mergeCell ref="A69:A71"/>
    <mergeCell ref="B69:B71"/>
    <mergeCell ref="A54:A56"/>
    <mergeCell ref="B54:B56"/>
    <mergeCell ref="A57:A59"/>
    <mergeCell ref="B57:B59"/>
    <mergeCell ref="A60:A62"/>
    <mergeCell ref="B60:B62"/>
    <mergeCell ref="A40:A42"/>
    <mergeCell ref="B40:B42"/>
    <mergeCell ref="A46:F46"/>
    <mergeCell ref="A48:A50"/>
    <mergeCell ref="B48:B50"/>
    <mergeCell ref="A51:A53"/>
    <mergeCell ref="B51:B53"/>
    <mergeCell ref="A31:A33"/>
    <mergeCell ref="B31:B33"/>
    <mergeCell ref="A34:A36"/>
    <mergeCell ref="B34:B36"/>
    <mergeCell ref="A37:A39"/>
    <mergeCell ref="B37:B39"/>
    <mergeCell ref="A25:A27"/>
    <mergeCell ref="B25:B27"/>
    <mergeCell ref="A28:A30"/>
    <mergeCell ref="B28:B30"/>
    <mergeCell ref="A13:A15"/>
    <mergeCell ref="B13:B15"/>
    <mergeCell ref="A16:A18"/>
    <mergeCell ref="B16:B18"/>
    <mergeCell ref="A19:A21"/>
    <mergeCell ref="B19:B21"/>
    <mergeCell ref="A2:F2"/>
    <mergeCell ref="A4:A6"/>
    <mergeCell ref="B4:B6"/>
    <mergeCell ref="A7:A9"/>
    <mergeCell ref="B7:B9"/>
    <mergeCell ref="A10:A12"/>
    <mergeCell ref="B10:B12"/>
    <mergeCell ref="A22:A24"/>
    <mergeCell ref="B22:B24"/>
  </mergeCells>
  <pageMargins left="0.7" right="0.7" top="0.75" bottom="0.75" header="0.3" footer="0.3"/>
  <pageSetup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I276"/>
  <sheetViews>
    <sheetView workbookViewId="0">
      <selection activeCell="B14" sqref="B14:B16"/>
    </sheetView>
  </sheetViews>
  <sheetFormatPr defaultRowHeight="18.75" x14ac:dyDescent="0.25"/>
  <cols>
    <col min="1" max="1" width="6.28515625" style="6" customWidth="1"/>
    <col min="2" max="2" width="15" style="24" customWidth="1"/>
    <col min="3" max="3" width="19.42578125" style="192" customWidth="1"/>
    <col min="4" max="4" width="19.42578125" style="174" customWidth="1"/>
    <col min="5" max="5" width="18.140625" style="6" customWidth="1"/>
    <col min="6" max="6" width="13.42578125" style="6" customWidth="1"/>
    <col min="7" max="7" width="107.140625" style="163" customWidth="1"/>
  </cols>
  <sheetData>
    <row r="2" spans="1:7" ht="60.75" x14ac:dyDescent="0.25">
      <c r="A2" s="646">
        <v>1</v>
      </c>
      <c r="B2" s="649" t="s">
        <v>83</v>
      </c>
      <c r="C2" s="92" t="s">
        <v>150</v>
      </c>
      <c r="D2" s="191" t="s">
        <v>611</v>
      </c>
      <c r="E2" s="35">
        <v>3</v>
      </c>
      <c r="F2" s="35">
        <v>281</v>
      </c>
      <c r="G2" s="40" t="s">
        <v>602</v>
      </c>
    </row>
    <row r="3" spans="1:7" ht="40.5" x14ac:dyDescent="0.25">
      <c r="A3" s="647"/>
      <c r="B3" s="650"/>
      <c r="C3" s="92" t="s">
        <v>151</v>
      </c>
      <c r="D3" s="191" t="s">
        <v>612</v>
      </c>
      <c r="E3" s="35">
        <v>2</v>
      </c>
      <c r="F3" s="35">
        <v>390</v>
      </c>
      <c r="G3" s="40" t="s">
        <v>583</v>
      </c>
    </row>
    <row r="4" spans="1:7" ht="20.25" x14ac:dyDescent="0.25">
      <c r="A4" s="648"/>
      <c r="B4" s="651"/>
      <c r="C4" s="92" t="s">
        <v>168</v>
      </c>
      <c r="D4" s="191" t="s">
        <v>613</v>
      </c>
      <c r="E4" s="35"/>
      <c r="F4" s="35"/>
      <c r="G4" s="40"/>
    </row>
    <row r="5" spans="1:7" ht="20.25" x14ac:dyDescent="0.25">
      <c r="A5" s="646">
        <v>2</v>
      </c>
      <c r="B5" s="649" t="s">
        <v>20</v>
      </c>
      <c r="C5" s="92" t="s">
        <v>150</v>
      </c>
      <c r="D5" s="191" t="s">
        <v>611</v>
      </c>
      <c r="E5" s="35"/>
      <c r="F5" s="35"/>
      <c r="G5" s="40"/>
    </row>
    <row r="6" spans="1:7" ht="20.25" x14ac:dyDescent="0.25">
      <c r="A6" s="647"/>
      <c r="B6" s="650"/>
      <c r="C6" s="92" t="s">
        <v>151</v>
      </c>
      <c r="D6" s="191" t="s">
        <v>612</v>
      </c>
      <c r="E6" s="35"/>
      <c r="F6" s="35"/>
      <c r="G6" s="40"/>
    </row>
    <row r="7" spans="1:7" ht="20.25" x14ac:dyDescent="0.25">
      <c r="A7" s="648"/>
      <c r="B7" s="651"/>
      <c r="C7" s="92" t="s">
        <v>168</v>
      </c>
      <c r="D7" s="191" t="s">
        <v>613</v>
      </c>
      <c r="E7" s="35"/>
      <c r="F7" s="35"/>
      <c r="G7" s="40"/>
    </row>
    <row r="8" spans="1:7" ht="20.25" x14ac:dyDescent="0.25">
      <c r="A8" s="646">
        <v>3</v>
      </c>
      <c r="B8" s="649" t="s">
        <v>23</v>
      </c>
      <c r="C8" s="92" t="s">
        <v>150</v>
      </c>
      <c r="D8" s="191" t="s">
        <v>611</v>
      </c>
      <c r="E8" s="35"/>
      <c r="F8" s="35"/>
      <c r="G8" s="40"/>
    </row>
    <row r="9" spans="1:7" ht="60.75" x14ac:dyDescent="0.25">
      <c r="A9" s="647"/>
      <c r="B9" s="650"/>
      <c r="C9" s="92" t="s">
        <v>151</v>
      </c>
      <c r="D9" s="191" t="s">
        <v>612</v>
      </c>
      <c r="E9" s="35">
        <v>3</v>
      </c>
      <c r="F9" s="35">
        <v>107</v>
      </c>
      <c r="G9" s="40" t="s">
        <v>584</v>
      </c>
    </row>
    <row r="10" spans="1:7" ht="20.25" x14ac:dyDescent="0.25">
      <c r="A10" s="648"/>
      <c r="B10" s="651"/>
      <c r="C10" s="92" t="s">
        <v>168</v>
      </c>
      <c r="D10" s="191" t="s">
        <v>613</v>
      </c>
      <c r="E10" s="35"/>
      <c r="F10" s="35"/>
      <c r="G10" s="40"/>
    </row>
    <row r="11" spans="1:7" ht="20.25" x14ac:dyDescent="0.25">
      <c r="A11" s="646">
        <v>4</v>
      </c>
      <c r="B11" s="649" t="s">
        <v>165</v>
      </c>
      <c r="C11" s="92" t="s">
        <v>150</v>
      </c>
      <c r="D11" s="191" t="s">
        <v>611</v>
      </c>
      <c r="E11" s="35">
        <v>1</v>
      </c>
      <c r="F11" s="35">
        <v>80</v>
      </c>
      <c r="G11" s="40" t="s">
        <v>592</v>
      </c>
    </row>
    <row r="12" spans="1:7" ht="20.25" x14ac:dyDescent="0.25">
      <c r="A12" s="647"/>
      <c r="B12" s="650"/>
      <c r="C12" s="92" t="s">
        <v>151</v>
      </c>
      <c r="D12" s="191" t="s">
        <v>612</v>
      </c>
      <c r="E12" s="35"/>
      <c r="F12" s="35"/>
      <c r="G12" s="40"/>
    </row>
    <row r="13" spans="1:7" ht="20.25" x14ac:dyDescent="0.25">
      <c r="A13" s="648"/>
      <c r="B13" s="651"/>
      <c r="C13" s="92" t="s">
        <v>168</v>
      </c>
      <c r="D13" s="191" t="s">
        <v>613</v>
      </c>
      <c r="E13" s="35"/>
      <c r="F13" s="35"/>
      <c r="G13" s="40"/>
    </row>
    <row r="14" spans="1:7" ht="20.25" x14ac:dyDescent="0.25">
      <c r="A14" s="646">
        <v>5</v>
      </c>
      <c r="B14" s="649" t="s">
        <v>25</v>
      </c>
      <c r="C14" s="92" t="s">
        <v>150</v>
      </c>
      <c r="D14" s="191" t="s">
        <v>611</v>
      </c>
      <c r="E14" s="35">
        <v>2</v>
      </c>
      <c r="F14" s="35">
        <v>22</v>
      </c>
      <c r="G14" s="40" t="s">
        <v>585</v>
      </c>
    </row>
    <row r="15" spans="1:7" ht="40.5" x14ac:dyDescent="0.25">
      <c r="A15" s="647"/>
      <c r="B15" s="650"/>
      <c r="C15" s="92" t="s">
        <v>151</v>
      </c>
      <c r="D15" s="191" t="s">
        <v>612</v>
      </c>
      <c r="E15" s="35">
        <v>2</v>
      </c>
      <c r="F15" s="35">
        <v>260</v>
      </c>
      <c r="G15" s="40" t="s">
        <v>586</v>
      </c>
    </row>
    <row r="16" spans="1:7" ht="60.75" x14ac:dyDescent="0.25">
      <c r="A16" s="648"/>
      <c r="B16" s="651"/>
      <c r="C16" s="92" t="s">
        <v>168</v>
      </c>
      <c r="D16" s="191" t="s">
        <v>613</v>
      </c>
      <c r="E16" s="35">
        <v>3</v>
      </c>
      <c r="F16" s="35">
        <v>41</v>
      </c>
      <c r="G16" s="40" t="s">
        <v>587</v>
      </c>
    </row>
    <row r="17" spans="1:7" ht="222.75" x14ac:dyDescent="0.25">
      <c r="A17" s="646">
        <v>6</v>
      </c>
      <c r="B17" s="649" t="s">
        <v>28</v>
      </c>
      <c r="C17" s="92" t="s">
        <v>150</v>
      </c>
      <c r="D17" s="191" t="s">
        <v>611</v>
      </c>
      <c r="E17" s="35">
        <v>11</v>
      </c>
      <c r="F17" s="35">
        <v>1055</v>
      </c>
      <c r="G17" s="40" t="s">
        <v>598</v>
      </c>
    </row>
    <row r="18" spans="1:7" ht="40.5" x14ac:dyDescent="0.25">
      <c r="A18" s="647"/>
      <c r="B18" s="650"/>
      <c r="C18" s="92" t="s">
        <v>151</v>
      </c>
      <c r="D18" s="191" t="s">
        <v>612</v>
      </c>
      <c r="E18" s="35">
        <v>2</v>
      </c>
      <c r="F18" s="35">
        <v>400</v>
      </c>
      <c r="G18" s="40" t="s">
        <v>599</v>
      </c>
    </row>
    <row r="19" spans="1:7" ht="20.25" x14ac:dyDescent="0.25">
      <c r="A19" s="648"/>
      <c r="B19" s="651"/>
      <c r="C19" s="92" t="s">
        <v>168</v>
      </c>
      <c r="D19" s="191" t="s">
        <v>613</v>
      </c>
      <c r="E19" s="35"/>
      <c r="F19" s="35"/>
      <c r="G19" s="40"/>
    </row>
    <row r="20" spans="1:7" ht="141.75" x14ac:dyDescent="0.25">
      <c r="A20" s="646">
        <v>7</v>
      </c>
      <c r="B20" s="649" t="s">
        <v>33</v>
      </c>
      <c r="C20" s="92" t="s">
        <v>150</v>
      </c>
      <c r="D20" s="191" t="s">
        <v>611</v>
      </c>
      <c r="E20" s="35">
        <v>7</v>
      </c>
      <c r="F20" s="35">
        <v>1227</v>
      </c>
      <c r="G20" s="40" t="s">
        <v>595</v>
      </c>
    </row>
    <row r="21" spans="1:7" ht="40.5" x14ac:dyDescent="0.25">
      <c r="A21" s="647"/>
      <c r="B21" s="650"/>
      <c r="C21" s="92" t="s">
        <v>151</v>
      </c>
      <c r="D21" s="191" t="s">
        <v>612</v>
      </c>
      <c r="E21" s="35">
        <v>2</v>
      </c>
      <c r="F21" s="35">
        <v>300</v>
      </c>
      <c r="G21" s="40" t="s">
        <v>593</v>
      </c>
    </row>
    <row r="22" spans="1:7" ht="409.5" x14ac:dyDescent="0.25">
      <c r="A22" s="648"/>
      <c r="B22" s="651"/>
      <c r="C22" s="92" t="s">
        <v>168</v>
      </c>
      <c r="D22" s="191" t="s">
        <v>613</v>
      </c>
      <c r="E22" s="35">
        <v>4</v>
      </c>
      <c r="F22" s="35">
        <v>32</v>
      </c>
      <c r="G22" s="189" t="s">
        <v>594</v>
      </c>
    </row>
    <row r="23" spans="1:7" ht="81" x14ac:dyDescent="0.25">
      <c r="A23" s="646">
        <v>8</v>
      </c>
      <c r="B23" s="649" t="s">
        <v>38</v>
      </c>
      <c r="C23" s="92" t="s">
        <v>150</v>
      </c>
      <c r="D23" s="191" t="s">
        <v>611</v>
      </c>
      <c r="E23" s="35">
        <v>4</v>
      </c>
      <c r="F23" s="35">
        <v>260</v>
      </c>
      <c r="G23" s="1" t="s">
        <v>588</v>
      </c>
    </row>
    <row r="24" spans="1:7" ht="20.25" x14ac:dyDescent="0.25">
      <c r="A24" s="647"/>
      <c r="B24" s="650"/>
      <c r="C24" s="92" t="s">
        <v>151</v>
      </c>
      <c r="D24" s="191" t="s">
        <v>612</v>
      </c>
      <c r="E24" s="35"/>
      <c r="F24" s="35"/>
      <c r="G24" s="40"/>
    </row>
    <row r="25" spans="1:7" ht="20.25" x14ac:dyDescent="0.25">
      <c r="A25" s="648"/>
      <c r="B25" s="651"/>
      <c r="C25" s="92" t="s">
        <v>168</v>
      </c>
      <c r="D25" s="191" t="s">
        <v>613</v>
      </c>
      <c r="E25" s="35"/>
      <c r="F25" s="35"/>
      <c r="G25" s="40"/>
    </row>
    <row r="26" spans="1:7" ht="20.25" x14ac:dyDescent="0.25">
      <c r="A26" s="646">
        <v>9</v>
      </c>
      <c r="B26" s="649" t="s">
        <v>88</v>
      </c>
      <c r="C26" s="92" t="s">
        <v>150</v>
      </c>
      <c r="D26" s="191" t="s">
        <v>611</v>
      </c>
      <c r="E26" s="35">
        <v>1</v>
      </c>
      <c r="F26" s="35">
        <v>425</v>
      </c>
      <c r="G26" s="40" t="s">
        <v>600</v>
      </c>
    </row>
    <row r="27" spans="1:7" ht="20.25" x14ac:dyDescent="0.25">
      <c r="A27" s="647"/>
      <c r="B27" s="650"/>
      <c r="C27" s="92" t="s">
        <v>151</v>
      </c>
      <c r="D27" s="191" t="s">
        <v>612</v>
      </c>
      <c r="E27" s="35"/>
      <c r="F27" s="35"/>
      <c r="G27" s="40"/>
    </row>
    <row r="28" spans="1:7" ht="20.25" x14ac:dyDescent="0.25">
      <c r="A28" s="648"/>
      <c r="B28" s="651"/>
      <c r="C28" s="92" t="s">
        <v>168</v>
      </c>
      <c r="D28" s="191" t="s">
        <v>613</v>
      </c>
      <c r="E28" s="35"/>
      <c r="F28" s="35"/>
      <c r="G28" s="40"/>
    </row>
    <row r="29" spans="1:7" ht="60.75" x14ac:dyDescent="0.25">
      <c r="A29" s="646">
        <v>10</v>
      </c>
      <c r="B29" s="649" t="s">
        <v>43</v>
      </c>
      <c r="C29" s="92" t="s">
        <v>150</v>
      </c>
      <c r="D29" s="191" t="s">
        <v>611</v>
      </c>
      <c r="E29" s="35">
        <v>2</v>
      </c>
      <c r="F29" s="35">
        <v>317</v>
      </c>
      <c r="G29" s="40" t="s">
        <v>582</v>
      </c>
    </row>
    <row r="30" spans="1:7" ht="40.5" x14ac:dyDescent="0.25">
      <c r="A30" s="647"/>
      <c r="B30" s="650"/>
      <c r="C30" s="92" t="s">
        <v>151</v>
      </c>
      <c r="D30" s="191" t="s">
        <v>612</v>
      </c>
      <c r="E30" s="35">
        <v>2</v>
      </c>
      <c r="F30" s="35">
        <v>180</v>
      </c>
      <c r="G30" s="40" t="s">
        <v>581</v>
      </c>
    </row>
    <row r="31" spans="1:7" ht="20.25" x14ac:dyDescent="0.25">
      <c r="A31" s="648"/>
      <c r="B31" s="651"/>
      <c r="C31" s="92" t="s">
        <v>168</v>
      </c>
      <c r="D31" s="191" t="s">
        <v>613</v>
      </c>
      <c r="E31" s="35"/>
      <c r="F31" s="35"/>
      <c r="G31" s="40"/>
    </row>
    <row r="32" spans="1:7" ht="20.25" x14ac:dyDescent="0.25">
      <c r="A32" s="646">
        <v>11</v>
      </c>
      <c r="B32" s="649" t="s">
        <v>46</v>
      </c>
      <c r="C32" s="92" t="s">
        <v>150</v>
      </c>
      <c r="D32" s="191" t="s">
        <v>611</v>
      </c>
      <c r="E32" s="190"/>
      <c r="F32" s="190"/>
      <c r="G32" s="40"/>
    </row>
    <row r="33" spans="1:7" ht="20.25" x14ac:dyDescent="0.25">
      <c r="A33" s="647"/>
      <c r="B33" s="650"/>
      <c r="C33" s="92" t="s">
        <v>151</v>
      </c>
      <c r="D33" s="191" t="s">
        <v>612</v>
      </c>
      <c r="E33" s="35">
        <v>1</v>
      </c>
      <c r="F33" s="35">
        <v>300</v>
      </c>
      <c r="G33" s="40" t="s">
        <v>580</v>
      </c>
    </row>
    <row r="34" spans="1:7" ht="20.25" x14ac:dyDescent="0.25">
      <c r="A34" s="648"/>
      <c r="B34" s="651"/>
      <c r="C34" s="92" t="s">
        <v>168</v>
      </c>
      <c r="D34" s="191" t="s">
        <v>613</v>
      </c>
      <c r="E34" s="35"/>
      <c r="F34" s="35"/>
      <c r="G34" s="40"/>
    </row>
    <row r="35" spans="1:7" ht="121.5" x14ac:dyDescent="0.25">
      <c r="A35" s="646">
        <v>12</v>
      </c>
      <c r="B35" s="649" t="s">
        <v>49</v>
      </c>
      <c r="C35" s="92" t="s">
        <v>150</v>
      </c>
      <c r="D35" s="191" t="s">
        <v>611</v>
      </c>
      <c r="E35" s="35">
        <v>6</v>
      </c>
      <c r="F35" s="35">
        <v>382</v>
      </c>
      <c r="G35" s="40" t="s">
        <v>590</v>
      </c>
    </row>
    <row r="36" spans="1:7" ht="243" x14ac:dyDescent="0.25">
      <c r="A36" s="647"/>
      <c r="B36" s="650"/>
      <c r="C36" s="92" t="s">
        <v>151</v>
      </c>
      <c r="D36" s="191" t="s">
        <v>612</v>
      </c>
      <c r="E36" s="35">
        <v>11</v>
      </c>
      <c r="F36" s="35">
        <v>882</v>
      </c>
      <c r="G36" s="40" t="s">
        <v>591</v>
      </c>
    </row>
    <row r="37" spans="1:7" ht="40.5" x14ac:dyDescent="0.25">
      <c r="A37" s="648"/>
      <c r="B37" s="651"/>
      <c r="C37" s="92" t="s">
        <v>168</v>
      </c>
      <c r="D37" s="191" t="s">
        <v>613</v>
      </c>
      <c r="E37" s="35">
        <v>2</v>
      </c>
      <c r="F37" s="35">
        <v>30</v>
      </c>
      <c r="G37" s="40" t="s">
        <v>589</v>
      </c>
    </row>
    <row r="38" spans="1:7" ht="60.75" x14ac:dyDescent="0.25">
      <c r="A38" s="646">
        <v>13</v>
      </c>
      <c r="B38" s="649" t="s">
        <v>52</v>
      </c>
      <c r="C38" s="92" t="s">
        <v>150</v>
      </c>
      <c r="D38" s="191" t="s">
        <v>611</v>
      </c>
      <c r="E38" s="35">
        <v>3</v>
      </c>
      <c r="F38" s="35">
        <v>207</v>
      </c>
      <c r="G38" s="40" t="s">
        <v>596</v>
      </c>
    </row>
    <row r="39" spans="1:7" ht="81" x14ac:dyDescent="0.25">
      <c r="A39" s="647"/>
      <c r="B39" s="650"/>
      <c r="C39" s="92" t="s">
        <v>151</v>
      </c>
      <c r="D39" s="191" t="s">
        <v>612</v>
      </c>
      <c r="E39" s="35">
        <v>3</v>
      </c>
      <c r="F39" s="35">
        <v>129</v>
      </c>
      <c r="G39" s="40" t="s">
        <v>597</v>
      </c>
    </row>
    <row r="40" spans="1:7" ht="162" x14ac:dyDescent="0.25">
      <c r="A40" s="648"/>
      <c r="B40" s="651"/>
      <c r="C40" s="92" t="s">
        <v>168</v>
      </c>
      <c r="D40" s="191" t="s">
        <v>613</v>
      </c>
      <c r="E40" s="35">
        <v>6</v>
      </c>
      <c r="F40" s="35">
        <v>38</v>
      </c>
      <c r="G40" s="40" t="s">
        <v>601</v>
      </c>
    </row>
    <row r="41" spans="1:7" ht="20.25" x14ac:dyDescent="0.25">
      <c r="A41" s="515">
        <v>1</v>
      </c>
      <c r="B41" s="639" t="s">
        <v>83</v>
      </c>
      <c r="C41" s="92" t="s">
        <v>150</v>
      </c>
      <c r="D41" s="191" t="s">
        <v>611</v>
      </c>
      <c r="E41" s="34">
        <v>1</v>
      </c>
      <c r="F41" s="34">
        <v>30</v>
      </c>
      <c r="G41" s="177" t="s">
        <v>506</v>
      </c>
    </row>
    <row r="42" spans="1:7" ht="20.25" x14ac:dyDescent="0.25">
      <c r="A42" s="638"/>
      <c r="B42" s="640"/>
      <c r="C42" s="92" t="s">
        <v>151</v>
      </c>
      <c r="D42" s="191" t="s">
        <v>612</v>
      </c>
      <c r="E42" s="34">
        <v>1</v>
      </c>
      <c r="F42" s="34">
        <v>150</v>
      </c>
      <c r="G42" s="177" t="s">
        <v>472</v>
      </c>
    </row>
    <row r="43" spans="1:7" ht="121.5" x14ac:dyDescent="0.25">
      <c r="A43" s="516"/>
      <c r="B43" s="641"/>
      <c r="C43" s="92" t="s">
        <v>168</v>
      </c>
      <c r="D43" s="191" t="s">
        <v>613</v>
      </c>
      <c r="E43" s="34">
        <v>6</v>
      </c>
      <c r="F43" s="34">
        <v>353</v>
      </c>
      <c r="G43" s="177" t="s">
        <v>473</v>
      </c>
    </row>
    <row r="44" spans="1:7" ht="20.25" x14ac:dyDescent="0.25">
      <c r="A44" s="515">
        <v>2</v>
      </c>
      <c r="B44" s="639" t="s">
        <v>20</v>
      </c>
      <c r="C44" s="92" t="s">
        <v>150</v>
      </c>
      <c r="D44" s="191" t="s">
        <v>611</v>
      </c>
      <c r="E44" s="34">
        <v>1</v>
      </c>
      <c r="F44" s="34">
        <v>500</v>
      </c>
      <c r="G44" s="177" t="s">
        <v>503</v>
      </c>
    </row>
    <row r="45" spans="1:7" ht="20.25" x14ac:dyDescent="0.25">
      <c r="A45" s="638"/>
      <c r="B45" s="640"/>
      <c r="C45" s="92" t="s">
        <v>151</v>
      </c>
      <c r="D45" s="191" t="s">
        <v>612</v>
      </c>
      <c r="E45" s="34"/>
      <c r="F45" s="34"/>
      <c r="G45" s="177"/>
    </row>
    <row r="46" spans="1:7" ht="40.5" x14ac:dyDescent="0.25">
      <c r="A46" s="516"/>
      <c r="B46" s="641"/>
      <c r="C46" s="92" t="s">
        <v>168</v>
      </c>
      <c r="D46" s="191" t="s">
        <v>613</v>
      </c>
      <c r="E46" s="34">
        <v>2</v>
      </c>
      <c r="F46" s="34">
        <v>350</v>
      </c>
      <c r="G46" s="177" t="s">
        <v>474</v>
      </c>
    </row>
    <row r="47" spans="1:7" ht="20.25" x14ac:dyDescent="0.25">
      <c r="A47" s="515">
        <v>3</v>
      </c>
      <c r="B47" s="639" t="s">
        <v>23</v>
      </c>
      <c r="C47" s="92" t="s">
        <v>150</v>
      </c>
      <c r="D47" s="191" t="s">
        <v>611</v>
      </c>
      <c r="E47" s="34">
        <v>1</v>
      </c>
      <c r="F47" s="34">
        <v>55</v>
      </c>
      <c r="G47" s="177" t="s">
        <v>480</v>
      </c>
    </row>
    <row r="48" spans="1:7" ht="40.5" x14ac:dyDescent="0.25">
      <c r="A48" s="638"/>
      <c r="B48" s="640"/>
      <c r="C48" s="92" t="s">
        <v>151</v>
      </c>
      <c r="D48" s="191" t="s">
        <v>612</v>
      </c>
      <c r="E48" s="34">
        <v>2</v>
      </c>
      <c r="F48" s="34">
        <v>550</v>
      </c>
      <c r="G48" s="177" t="s">
        <v>481</v>
      </c>
    </row>
    <row r="49" spans="1:7" ht="20.25" x14ac:dyDescent="0.25">
      <c r="A49" s="516"/>
      <c r="B49" s="641"/>
      <c r="C49" s="92" t="s">
        <v>168</v>
      </c>
      <c r="D49" s="191" t="s">
        <v>613</v>
      </c>
      <c r="E49" s="34"/>
      <c r="F49" s="34"/>
      <c r="G49" s="177"/>
    </row>
    <row r="50" spans="1:7" ht="60.75" x14ac:dyDescent="0.25">
      <c r="A50" s="515">
        <v>4</v>
      </c>
      <c r="B50" s="639" t="s">
        <v>165</v>
      </c>
      <c r="C50" s="92" t="s">
        <v>150</v>
      </c>
      <c r="D50" s="191" t="s">
        <v>611</v>
      </c>
      <c r="E50" s="34">
        <v>3</v>
      </c>
      <c r="F50" s="34">
        <v>460</v>
      </c>
      <c r="G50" s="177" t="s">
        <v>475</v>
      </c>
    </row>
    <row r="51" spans="1:7" ht="101.25" x14ac:dyDescent="0.25">
      <c r="A51" s="638"/>
      <c r="B51" s="640"/>
      <c r="C51" s="92" t="s">
        <v>151</v>
      </c>
      <c r="D51" s="191" t="s">
        <v>612</v>
      </c>
      <c r="E51" s="34">
        <v>5</v>
      </c>
      <c r="F51" s="34">
        <v>118</v>
      </c>
      <c r="G51" s="177" t="s">
        <v>476</v>
      </c>
    </row>
    <row r="52" spans="1:7" ht="101.25" x14ac:dyDescent="0.25">
      <c r="A52" s="516"/>
      <c r="B52" s="641"/>
      <c r="C52" s="92" t="s">
        <v>168</v>
      </c>
      <c r="D52" s="191" t="s">
        <v>613</v>
      </c>
      <c r="E52" s="34">
        <v>5</v>
      </c>
      <c r="F52" s="34">
        <v>238</v>
      </c>
      <c r="G52" s="177" t="s">
        <v>477</v>
      </c>
    </row>
    <row r="53" spans="1:7" ht="20.25" x14ac:dyDescent="0.25">
      <c r="A53" s="515">
        <v>5</v>
      </c>
      <c r="B53" s="639" t="s">
        <v>25</v>
      </c>
      <c r="C53" s="92" t="s">
        <v>150</v>
      </c>
      <c r="D53" s="191" t="s">
        <v>611</v>
      </c>
      <c r="E53" s="34"/>
      <c r="F53" s="34"/>
      <c r="G53" s="177"/>
    </row>
    <row r="54" spans="1:7" ht="40.5" x14ac:dyDescent="0.25">
      <c r="A54" s="638"/>
      <c r="B54" s="640"/>
      <c r="C54" s="92" t="s">
        <v>151</v>
      </c>
      <c r="D54" s="191" t="s">
        <v>612</v>
      </c>
      <c r="E54" s="34">
        <v>2</v>
      </c>
      <c r="F54" s="34">
        <v>150</v>
      </c>
      <c r="G54" s="177" t="s">
        <v>482</v>
      </c>
    </row>
    <row r="55" spans="1:7" ht="60.75" x14ac:dyDescent="0.25">
      <c r="A55" s="516"/>
      <c r="B55" s="641"/>
      <c r="C55" s="92" t="s">
        <v>168</v>
      </c>
      <c r="D55" s="191" t="s">
        <v>613</v>
      </c>
      <c r="E55" s="34">
        <v>3</v>
      </c>
      <c r="F55" s="34">
        <v>204</v>
      </c>
      <c r="G55" s="177" t="s">
        <v>483</v>
      </c>
    </row>
    <row r="56" spans="1:7" ht="405" x14ac:dyDescent="0.25">
      <c r="A56" s="515">
        <v>6</v>
      </c>
      <c r="B56" s="639" t="s">
        <v>28</v>
      </c>
      <c r="C56" s="92" t="s">
        <v>150</v>
      </c>
      <c r="D56" s="191" t="s">
        <v>611</v>
      </c>
      <c r="E56" s="34">
        <v>22</v>
      </c>
      <c r="F56" s="34">
        <v>1685</v>
      </c>
      <c r="G56" s="177" t="s">
        <v>499</v>
      </c>
    </row>
    <row r="57" spans="1:7" ht="121.5" x14ac:dyDescent="0.25">
      <c r="A57" s="638"/>
      <c r="B57" s="640"/>
      <c r="C57" s="92" t="s">
        <v>151</v>
      </c>
      <c r="D57" s="191" t="s">
        <v>612</v>
      </c>
      <c r="E57" s="34">
        <v>2</v>
      </c>
      <c r="F57" s="34">
        <v>400</v>
      </c>
      <c r="G57" s="177" t="s">
        <v>497</v>
      </c>
    </row>
    <row r="58" spans="1:7" ht="81" x14ac:dyDescent="0.25">
      <c r="A58" s="516"/>
      <c r="B58" s="641"/>
      <c r="C58" s="92" t="s">
        <v>168</v>
      </c>
      <c r="D58" s="191" t="s">
        <v>613</v>
      </c>
      <c r="E58" s="34">
        <v>2</v>
      </c>
      <c r="F58" s="34">
        <v>270</v>
      </c>
      <c r="G58" s="177" t="s">
        <v>498</v>
      </c>
    </row>
    <row r="59" spans="1:7" ht="162" x14ac:dyDescent="0.25">
      <c r="A59" s="515">
        <v>7</v>
      </c>
      <c r="B59" s="639" t="s">
        <v>33</v>
      </c>
      <c r="C59" s="92" t="s">
        <v>150</v>
      </c>
      <c r="D59" s="191" t="s">
        <v>611</v>
      </c>
      <c r="E59" s="34">
        <v>7</v>
      </c>
      <c r="F59" s="34">
        <v>1662</v>
      </c>
      <c r="G59" s="177" t="s">
        <v>484</v>
      </c>
    </row>
    <row r="60" spans="1:7" ht="222.75" x14ac:dyDescent="0.25">
      <c r="A60" s="638"/>
      <c r="B60" s="640"/>
      <c r="C60" s="92" t="s">
        <v>151</v>
      </c>
      <c r="D60" s="191" t="s">
        <v>612</v>
      </c>
      <c r="E60" s="34">
        <v>8</v>
      </c>
      <c r="F60" s="34">
        <v>3601</v>
      </c>
      <c r="G60" s="177" t="s">
        <v>485</v>
      </c>
    </row>
    <row r="61" spans="1:7" ht="409.5" x14ac:dyDescent="0.25">
      <c r="A61" s="516"/>
      <c r="B61" s="641"/>
      <c r="C61" s="92" t="s">
        <v>168</v>
      </c>
      <c r="D61" s="191" t="s">
        <v>613</v>
      </c>
      <c r="E61" s="34">
        <v>23</v>
      </c>
      <c r="F61" s="34">
        <v>553</v>
      </c>
      <c r="G61" s="178" t="s">
        <v>486</v>
      </c>
    </row>
    <row r="62" spans="1:7" ht="40.5" x14ac:dyDescent="0.25">
      <c r="A62" s="515">
        <v>8</v>
      </c>
      <c r="B62" s="639" t="s">
        <v>38</v>
      </c>
      <c r="C62" s="92" t="s">
        <v>150</v>
      </c>
      <c r="D62" s="191" t="s">
        <v>611</v>
      </c>
      <c r="E62" s="34">
        <v>2</v>
      </c>
      <c r="F62" s="34">
        <v>275</v>
      </c>
      <c r="G62" s="179" t="s">
        <v>479</v>
      </c>
    </row>
    <row r="63" spans="1:7" ht="81" x14ac:dyDescent="0.25">
      <c r="A63" s="638"/>
      <c r="B63" s="640"/>
      <c r="C63" s="92" t="s">
        <v>151</v>
      </c>
      <c r="D63" s="191" t="s">
        <v>612</v>
      </c>
      <c r="E63" s="34">
        <v>4</v>
      </c>
      <c r="F63" s="34">
        <v>115</v>
      </c>
      <c r="G63" s="177" t="s">
        <v>478</v>
      </c>
    </row>
    <row r="64" spans="1:7" ht="20.25" x14ac:dyDescent="0.25">
      <c r="A64" s="516"/>
      <c r="B64" s="641"/>
      <c r="C64" s="92" t="s">
        <v>168</v>
      </c>
      <c r="D64" s="191" t="s">
        <v>613</v>
      </c>
      <c r="E64" s="34"/>
      <c r="F64" s="34"/>
      <c r="G64" s="177"/>
    </row>
    <row r="65" spans="1:7" ht="60.75" x14ac:dyDescent="0.25">
      <c r="A65" s="515">
        <v>9</v>
      </c>
      <c r="B65" s="639" t="s">
        <v>88</v>
      </c>
      <c r="C65" s="92" t="s">
        <v>150</v>
      </c>
      <c r="D65" s="191" t="s">
        <v>611</v>
      </c>
      <c r="E65" s="34">
        <v>3</v>
      </c>
      <c r="F65" s="34">
        <v>540</v>
      </c>
      <c r="G65" s="177" t="s">
        <v>500</v>
      </c>
    </row>
    <row r="66" spans="1:7" ht="40.5" x14ac:dyDescent="0.25">
      <c r="A66" s="638"/>
      <c r="B66" s="640"/>
      <c r="C66" s="92" t="s">
        <v>151</v>
      </c>
      <c r="D66" s="191" t="s">
        <v>612</v>
      </c>
      <c r="E66" s="34">
        <v>2</v>
      </c>
      <c r="F66" s="34">
        <v>33</v>
      </c>
      <c r="G66" s="177" t="s">
        <v>501</v>
      </c>
    </row>
    <row r="67" spans="1:7" ht="20.25" x14ac:dyDescent="0.25">
      <c r="A67" s="516"/>
      <c r="B67" s="641"/>
      <c r="C67" s="92" t="s">
        <v>168</v>
      </c>
      <c r="D67" s="191" t="s">
        <v>613</v>
      </c>
      <c r="E67" s="34"/>
      <c r="F67" s="34"/>
      <c r="G67" s="177"/>
    </row>
    <row r="68" spans="1:7" ht="40.5" x14ac:dyDescent="0.25">
      <c r="A68" s="515">
        <v>10</v>
      </c>
      <c r="B68" s="639" t="s">
        <v>43</v>
      </c>
      <c r="C68" s="92" t="s">
        <v>150</v>
      </c>
      <c r="D68" s="191" t="s">
        <v>611</v>
      </c>
      <c r="E68" s="34">
        <v>2</v>
      </c>
      <c r="F68" s="34">
        <v>245</v>
      </c>
      <c r="G68" s="177" t="s">
        <v>487</v>
      </c>
    </row>
    <row r="69" spans="1:7" ht="20.25" x14ac:dyDescent="0.25">
      <c r="A69" s="638"/>
      <c r="B69" s="640"/>
      <c r="C69" s="92" t="s">
        <v>151</v>
      </c>
      <c r="D69" s="191" t="s">
        <v>612</v>
      </c>
      <c r="E69" s="34">
        <v>1</v>
      </c>
      <c r="F69" s="34">
        <v>126</v>
      </c>
      <c r="G69" s="177" t="s">
        <v>488</v>
      </c>
    </row>
    <row r="70" spans="1:7" ht="20.25" x14ac:dyDescent="0.25">
      <c r="A70" s="516"/>
      <c r="B70" s="641"/>
      <c r="C70" s="92" t="s">
        <v>168</v>
      </c>
      <c r="D70" s="191" t="s">
        <v>613</v>
      </c>
      <c r="E70" s="34"/>
      <c r="F70" s="34"/>
      <c r="G70" s="177"/>
    </row>
    <row r="71" spans="1:7" ht="20.25" x14ac:dyDescent="0.25">
      <c r="A71" s="515">
        <v>11</v>
      </c>
      <c r="B71" s="639" t="s">
        <v>46</v>
      </c>
      <c r="C71" s="92" t="s">
        <v>150</v>
      </c>
      <c r="D71" s="191" t="s">
        <v>611</v>
      </c>
      <c r="E71" s="34">
        <v>1</v>
      </c>
      <c r="F71" s="34">
        <v>35</v>
      </c>
      <c r="G71" s="177" t="s">
        <v>471</v>
      </c>
    </row>
    <row r="72" spans="1:7" ht="20.25" x14ac:dyDescent="0.25">
      <c r="A72" s="638"/>
      <c r="B72" s="640"/>
      <c r="C72" s="92" t="s">
        <v>151</v>
      </c>
      <c r="D72" s="191" t="s">
        <v>612</v>
      </c>
      <c r="E72" s="34">
        <v>1</v>
      </c>
      <c r="F72" s="34">
        <v>150</v>
      </c>
      <c r="G72" s="177" t="s">
        <v>470</v>
      </c>
    </row>
    <row r="73" spans="1:7" ht="20.25" x14ac:dyDescent="0.25">
      <c r="A73" s="516"/>
      <c r="B73" s="641"/>
      <c r="C73" s="92" t="s">
        <v>168</v>
      </c>
      <c r="D73" s="191" t="s">
        <v>613</v>
      </c>
      <c r="E73" s="34"/>
      <c r="F73" s="34"/>
      <c r="G73" s="177"/>
    </row>
    <row r="74" spans="1:7" ht="101.25" x14ac:dyDescent="0.25">
      <c r="A74" s="515">
        <v>12</v>
      </c>
      <c r="B74" s="639" t="s">
        <v>49</v>
      </c>
      <c r="C74" s="92" t="s">
        <v>150</v>
      </c>
      <c r="D74" s="191" t="s">
        <v>611</v>
      </c>
      <c r="E74" s="34">
        <v>4</v>
      </c>
      <c r="F74" s="34">
        <v>430</v>
      </c>
      <c r="G74" s="177" t="s">
        <v>492</v>
      </c>
    </row>
    <row r="75" spans="1:7" ht="409.5" x14ac:dyDescent="0.25">
      <c r="A75" s="638"/>
      <c r="B75" s="640"/>
      <c r="C75" s="92" t="s">
        <v>151</v>
      </c>
      <c r="D75" s="191" t="s">
        <v>612</v>
      </c>
      <c r="E75" s="34">
        <v>21</v>
      </c>
      <c r="F75" s="34">
        <v>1435</v>
      </c>
      <c r="G75" s="177" t="s">
        <v>493</v>
      </c>
    </row>
    <row r="76" spans="1:7" ht="20.25" x14ac:dyDescent="0.25">
      <c r="A76" s="516"/>
      <c r="B76" s="641"/>
      <c r="C76" s="92" t="s">
        <v>168</v>
      </c>
      <c r="D76" s="191" t="s">
        <v>613</v>
      </c>
      <c r="E76" s="34"/>
      <c r="F76" s="34"/>
      <c r="G76" s="177"/>
    </row>
    <row r="77" spans="1:7" ht="162" x14ac:dyDescent="0.25">
      <c r="A77" s="515">
        <v>13</v>
      </c>
      <c r="B77" s="639" t="s">
        <v>52</v>
      </c>
      <c r="C77" s="92" t="s">
        <v>150</v>
      </c>
      <c r="D77" s="191" t="s">
        <v>611</v>
      </c>
      <c r="E77" s="34">
        <v>8</v>
      </c>
      <c r="F77" s="34">
        <v>1010</v>
      </c>
      <c r="G77" s="177" t="s">
        <v>494</v>
      </c>
    </row>
    <row r="78" spans="1:7" ht="222.75" x14ac:dyDescent="0.25">
      <c r="A78" s="638"/>
      <c r="B78" s="640"/>
      <c r="C78" s="92" t="s">
        <v>151</v>
      </c>
      <c r="D78" s="191" t="s">
        <v>612</v>
      </c>
      <c r="E78" s="34">
        <v>17</v>
      </c>
      <c r="F78" s="34">
        <v>984</v>
      </c>
      <c r="G78" s="177" t="s">
        <v>495</v>
      </c>
    </row>
    <row r="79" spans="1:7" ht="162" x14ac:dyDescent="0.25">
      <c r="A79" s="516"/>
      <c r="B79" s="641"/>
      <c r="C79" s="92" t="s">
        <v>168</v>
      </c>
      <c r="D79" s="191" t="s">
        <v>613</v>
      </c>
      <c r="E79" s="34">
        <v>7</v>
      </c>
      <c r="F79" s="34">
        <v>278</v>
      </c>
      <c r="G79" s="177" t="s">
        <v>496</v>
      </c>
    </row>
    <row r="80" spans="1:7" ht="20.25" x14ac:dyDescent="0.25">
      <c r="A80" s="487">
        <v>1</v>
      </c>
      <c r="B80" s="643" t="s">
        <v>83</v>
      </c>
      <c r="C80" s="153" t="s">
        <v>150</v>
      </c>
      <c r="D80" s="191" t="s">
        <v>611</v>
      </c>
      <c r="E80" s="93"/>
      <c r="F80" s="93"/>
      <c r="G80" s="161"/>
    </row>
    <row r="81" spans="1:7" ht="20.25" x14ac:dyDescent="0.25">
      <c r="A81" s="488"/>
      <c r="B81" s="644"/>
      <c r="C81" s="153" t="s">
        <v>151</v>
      </c>
      <c r="D81" s="191" t="s">
        <v>612</v>
      </c>
      <c r="E81" s="93"/>
      <c r="F81" s="93"/>
      <c r="G81" s="161"/>
    </row>
    <row r="82" spans="1:7" ht="20.25" x14ac:dyDescent="0.25">
      <c r="A82" s="489"/>
      <c r="B82" s="645"/>
      <c r="C82" s="153" t="s">
        <v>168</v>
      </c>
      <c r="D82" s="191" t="s">
        <v>613</v>
      </c>
      <c r="E82" s="93">
        <v>1</v>
      </c>
      <c r="F82" s="93">
        <v>20</v>
      </c>
      <c r="G82" s="161" t="s">
        <v>464</v>
      </c>
    </row>
    <row r="83" spans="1:7" ht="20.25" x14ac:dyDescent="0.25">
      <c r="A83" s="487">
        <v>2</v>
      </c>
      <c r="B83" s="643" t="s">
        <v>20</v>
      </c>
      <c r="C83" s="153" t="s">
        <v>150</v>
      </c>
      <c r="D83" s="191" t="s">
        <v>611</v>
      </c>
      <c r="E83" s="93">
        <v>1</v>
      </c>
      <c r="F83" s="93">
        <v>50</v>
      </c>
      <c r="G83" s="161" t="s">
        <v>461</v>
      </c>
    </row>
    <row r="84" spans="1:7" ht="20.25" x14ac:dyDescent="0.25">
      <c r="A84" s="488"/>
      <c r="B84" s="644"/>
      <c r="C84" s="153" t="s">
        <v>151</v>
      </c>
      <c r="D84" s="191" t="s">
        <v>612</v>
      </c>
      <c r="E84" s="93"/>
      <c r="F84" s="93"/>
      <c r="G84" s="161"/>
    </row>
    <row r="85" spans="1:7" ht="20.25" x14ac:dyDescent="0.25">
      <c r="A85" s="489"/>
      <c r="B85" s="645"/>
      <c r="C85" s="153" t="s">
        <v>168</v>
      </c>
      <c r="D85" s="191" t="s">
        <v>613</v>
      </c>
      <c r="E85" s="93"/>
      <c r="F85" s="93"/>
      <c r="G85" s="161"/>
    </row>
    <row r="86" spans="1:7" ht="20.25" x14ac:dyDescent="0.25">
      <c r="A86" s="487">
        <v>3</v>
      </c>
      <c r="B86" s="643" t="s">
        <v>23</v>
      </c>
      <c r="C86" s="153" t="s">
        <v>150</v>
      </c>
      <c r="D86" s="191" t="s">
        <v>611</v>
      </c>
      <c r="E86" s="93">
        <v>1</v>
      </c>
      <c r="F86" s="93">
        <v>155</v>
      </c>
      <c r="G86" s="161" t="s">
        <v>459</v>
      </c>
    </row>
    <row r="87" spans="1:7" ht="20.25" x14ac:dyDescent="0.25">
      <c r="A87" s="488"/>
      <c r="B87" s="644"/>
      <c r="C87" s="153" t="s">
        <v>151</v>
      </c>
      <c r="D87" s="191" t="s">
        <v>612</v>
      </c>
      <c r="E87" s="93">
        <v>1</v>
      </c>
      <c r="F87" s="93">
        <v>300</v>
      </c>
      <c r="G87" s="161" t="s">
        <v>460</v>
      </c>
    </row>
    <row r="88" spans="1:7" ht="20.25" x14ac:dyDescent="0.25">
      <c r="A88" s="489"/>
      <c r="B88" s="645"/>
      <c r="C88" s="153" t="s">
        <v>168</v>
      </c>
      <c r="D88" s="191" t="s">
        <v>613</v>
      </c>
      <c r="E88" s="93"/>
      <c r="F88" s="93"/>
      <c r="G88" s="161"/>
    </row>
    <row r="89" spans="1:7" ht="37.5" x14ac:dyDescent="0.25">
      <c r="A89" s="487">
        <v>4</v>
      </c>
      <c r="B89" s="643" t="s">
        <v>165</v>
      </c>
      <c r="C89" s="153" t="s">
        <v>150</v>
      </c>
      <c r="D89" s="191" t="s">
        <v>611</v>
      </c>
      <c r="E89" s="93">
        <v>1</v>
      </c>
      <c r="F89" s="93">
        <v>80</v>
      </c>
      <c r="G89" s="161" t="s">
        <v>444</v>
      </c>
    </row>
    <row r="90" spans="1:7" ht="37.5" x14ac:dyDescent="0.25">
      <c r="A90" s="488"/>
      <c r="B90" s="644"/>
      <c r="C90" s="153" t="s">
        <v>151</v>
      </c>
      <c r="D90" s="191" t="s">
        <v>612</v>
      </c>
      <c r="E90" s="93">
        <v>2</v>
      </c>
      <c r="F90" s="93">
        <v>145</v>
      </c>
      <c r="G90" s="161" t="s">
        <v>445</v>
      </c>
    </row>
    <row r="91" spans="1:7" ht="20.25" x14ac:dyDescent="0.25">
      <c r="A91" s="489"/>
      <c r="B91" s="645"/>
      <c r="C91" s="153" t="s">
        <v>168</v>
      </c>
      <c r="D91" s="191" t="s">
        <v>613</v>
      </c>
      <c r="E91" s="93"/>
      <c r="F91" s="93"/>
      <c r="G91" s="161"/>
    </row>
    <row r="92" spans="1:7" ht="37.5" x14ac:dyDescent="0.25">
      <c r="A92" s="487">
        <v>5</v>
      </c>
      <c r="B92" s="643" t="s">
        <v>25</v>
      </c>
      <c r="C92" s="153" t="s">
        <v>150</v>
      </c>
      <c r="D92" s="191" t="s">
        <v>611</v>
      </c>
      <c r="E92" s="93">
        <v>2</v>
      </c>
      <c r="F92" s="93">
        <v>175</v>
      </c>
      <c r="G92" s="161" t="s">
        <v>446</v>
      </c>
    </row>
    <row r="93" spans="1:7" ht="37.5" x14ac:dyDescent="0.25">
      <c r="A93" s="488"/>
      <c r="B93" s="644"/>
      <c r="C93" s="153" t="s">
        <v>151</v>
      </c>
      <c r="D93" s="191" t="s">
        <v>612</v>
      </c>
      <c r="E93" s="93">
        <v>2</v>
      </c>
      <c r="F93" s="93">
        <v>150</v>
      </c>
      <c r="G93" s="161" t="s">
        <v>447</v>
      </c>
    </row>
    <row r="94" spans="1:7" ht="75" x14ac:dyDescent="0.25">
      <c r="A94" s="489"/>
      <c r="B94" s="645"/>
      <c r="C94" s="153" t="s">
        <v>168</v>
      </c>
      <c r="D94" s="191" t="s">
        <v>613</v>
      </c>
      <c r="E94" s="93">
        <v>4</v>
      </c>
      <c r="F94" s="93">
        <v>119</v>
      </c>
      <c r="G94" s="161" t="s">
        <v>448</v>
      </c>
    </row>
    <row r="95" spans="1:7" ht="206.25" x14ac:dyDescent="0.25">
      <c r="A95" s="487">
        <v>6</v>
      </c>
      <c r="B95" s="643" t="s">
        <v>28</v>
      </c>
      <c r="C95" s="153" t="s">
        <v>150</v>
      </c>
      <c r="D95" s="191" t="s">
        <v>611</v>
      </c>
      <c r="E95" s="93">
        <v>11</v>
      </c>
      <c r="F95" s="93">
        <v>1676</v>
      </c>
      <c r="G95" s="161" t="s">
        <v>441</v>
      </c>
    </row>
    <row r="96" spans="1:7" ht="20.25" x14ac:dyDescent="0.25">
      <c r="A96" s="488"/>
      <c r="B96" s="644"/>
      <c r="C96" s="153" t="s">
        <v>151</v>
      </c>
      <c r="D96" s="191" t="s">
        <v>612</v>
      </c>
      <c r="E96" s="93">
        <v>1</v>
      </c>
      <c r="F96" s="93">
        <v>105</v>
      </c>
      <c r="G96" s="161" t="s">
        <v>442</v>
      </c>
    </row>
    <row r="97" spans="1:7" ht="20.25" x14ac:dyDescent="0.25">
      <c r="A97" s="489"/>
      <c r="B97" s="645"/>
      <c r="C97" s="153" t="s">
        <v>168</v>
      </c>
      <c r="D97" s="191" t="s">
        <v>613</v>
      </c>
      <c r="E97" s="93">
        <v>1</v>
      </c>
      <c r="F97" s="93">
        <v>70</v>
      </c>
      <c r="G97" s="161" t="s">
        <v>443</v>
      </c>
    </row>
    <row r="98" spans="1:7" ht="75" x14ac:dyDescent="0.25">
      <c r="A98" s="487">
        <v>7</v>
      </c>
      <c r="B98" s="643" t="s">
        <v>33</v>
      </c>
      <c r="C98" s="153" t="s">
        <v>150</v>
      </c>
      <c r="D98" s="191" t="s">
        <v>611</v>
      </c>
      <c r="E98" s="93">
        <v>4</v>
      </c>
      <c r="F98" s="93">
        <v>120</v>
      </c>
      <c r="G98" s="161" t="s">
        <v>451</v>
      </c>
    </row>
    <row r="99" spans="1:7" ht="112.5" x14ac:dyDescent="0.25">
      <c r="A99" s="488"/>
      <c r="B99" s="644"/>
      <c r="C99" s="153" t="s">
        <v>151</v>
      </c>
      <c r="D99" s="191" t="s">
        <v>612</v>
      </c>
      <c r="E99" s="93">
        <v>6</v>
      </c>
      <c r="F99" s="93">
        <v>285</v>
      </c>
      <c r="G99" s="161" t="s">
        <v>450</v>
      </c>
    </row>
    <row r="100" spans="1:7" ht="75" x14ac:dyDescent="0.25">
      <c r="A100" s="489"/>
      <c r="B100" s="645"/>
      <c r="C100" s="153" t="s">
        <v>168</v>
      </c>
      <c r="D100" s="191" t="s">
        <v>613</v>
      </c>
      <c r="E100" s="93">
        <v>4</v>
      </c>
      <c r="F100" s="93">
        <v>81</v>
      </c>
      <c r="G100" s="171" t="s">
        <v>449</v>
      </c>
    </row>
    <row r="101" spans="1:7" ht="20.25" x14ac:dyDescent="0.25">
      <c r="A101" s="487">
        <v>8</v>
      </c>
      <c r="B101" s="643" t="s">
        <v>38</v>
      </c>
      <c r="C101" s="153" t="s">
        <v>150</v>
      </c>
      <c r="D101" s="191" t="s">
        <v>611</v>
      </c>
      <c r="E101" s="93">
        <v>1</v>
      </c>
      <c r="F101" s="93">
        <v>30</v>
      </c>
      <c r="G101" s="166" t="s">
        <v>457</v>
      </c>
    </row>
    <row r="102" spans="1:7" ht="56.25" x14ac:dyDescent="0.25">
      <c r="A102" s="488"/>
      <c r="B102" s="644"/>
      <c r="C102" s="153" t="s">
        <v>151</v>
      </c>
      <c r="D102" s="191" t="s">
        <v>612</v>
      </c>
      <c r="E102" s="93">
        <v>3</v>
      </c>
      <c r="F102" s="93">
        <v>50</v>
      </c>
      <c r="G102" s="161" t="s">
        <v>458</v>
      </c>
    </row>
    <row r="103" spans="1:7" ht="20.25" x14ac:dyDescent="0.25">
      <c r="A103" s="489"/>
      <c r="B103" s="645"/>
      <c r="C103" s="153" t="s">
        <v>168</v>
      </c>
      <c r="D103" s="191" t="s">
        <v>613</v>
      </c>
      <c r="E103" s="93"/>
      <c r="F103" s="93"/>
      <c r="G103" s="161"/>
    </row>
    <row r="104" spans="1:7" ht="20.25" x14ac:dyDescent="0.25">
      <c r="A104" s="487">
        <v>9</v>
      </c>
      <c r="B104" s="643" t="s">
        <v>88</v>
      </c>
      <c r="C104" s="153" t="s">
        <v>150</v>
      </c>
      <c r="D104" s="191" t="s">
        <v>611</v>
      </c>
      <c r="E104" s="93"/>
      <c r="F104" s="93"/>
      <c r="G104" s="161"/>
    </row>
    <row r="105" spans="1:7" ht="56.25" x14ac:dyDescent="0.25">
      <c r="A105" s="488"/>
      <c r="B105" s="644"/>
      <c r="C105" s="153" t="s">
        <v>151</v>
      </c>
      <c r="D105" s="191" t="s">
        <v>612</v>
      </c>
      <c r="E105" s="93">
        <v>4</v>
      </c>
      <c r="F105" s="93">
        <v>420</v>
      </c>
      <c r="G105" s="161" t="s">
        <v>466</v>
      </c>
    </row>
    <row r="106" spans="1:7" ht="20.25" x14ac:dyDescent="0.25">
      <c r="A106" s="489"/>
      <c r="B106" s="645"/>
      <c r="C106" s="153" t="s">
        <v>168</v>
      </c>
      <c r="D106" s="191" t="s">
        <v>613</v>
      </c>
      <c r="E106" s="93"/>
      <c r="F106" s="93"/>
      <c r="G106" s="161"/>
    </row>
    <row r="107" spans="1:7" ht="37.5" x14ac:dyDescent="0.25">
      <c r="A107" s="487">
        <v>10</v>
      </c>
      <c r="B107" s="643" t="s">
        <v>43</v>
      </c>
      <c r="C107" s="153" t="s">
        <v>150</v>
      </c>
      <c r="D107" s="191" t="s">
        <v>611</v>
      </c>
      <c r="E107" s="93">
        <v>2</v>
      </c>
      <c r="F107" s="93">
        <v>335</v>
      </c>
      <c r="G107" s="161" t="s">
        <v>455</v>
      </c>
    </row>
    <row r="108" spans="1:7" ht="20.25" x14ac:dyDescent="0.25">
      <c r="A108" s="488"/>
      <c r="B108" s="644"/>
      <c r="C108" s="153" t="s">
        <v>151</v>
      </c>
      <c r="D108" s="191" t="s">
        <v>612</v>
      </c>
      <c r="E108" s="93"/>
      <c r="F108" s="93"/>
      <c r="G108" s="161"/>
    </row>
    <row r="109" spans="1:7" ht="20.25" x14ac:dyDescent="0.25">
      <c r="A109" s="489"/>
      <c r="B109" s="645"/>
      <c r="C109" s="153" t="s">
        <v>168</v>
      </c>
      <c r="D109" s="191" t="s">
        <v>613</v>
      </c>
      <c r="E109" s="93"/>
      <c r="F109" s="93"/>
      <c r="G109" s="161"/>
    </row>
    <row r="110" spans="1:7" ht="20.25" x14ac:dyDescent="0.25">
      <c r="A110" s="487">
        <v>11</v>
      </c>
      <c r="B110" s="643" t="s">
        <v>46</v>
      </c>
      <c r="C110" s="153" t="s">
        <v>150</v>
      </c>
      <c r="D110" s="191" t="s">
        <v>611</v>
      </c>
      <c r="E110" s="93">
        <v>1</v>
      </c>
      <c r="F110" s="93">
        <v>60</v>
      </c>
      <c r="G110" s="161" t="s">
        <v>465</v>
      </c>
    </row>
    <row r="111" spans="1:7" ht="20.25" x14ac:dyDescent="0.25">
      <c r="A111" s="488"/>
      <c r="B111" s="644"/>
      <c r="C111" s="153" t="s">
        <v>151</v>
      </c>
      <c r="D111" s="191" t="s">
        <v>612</v>
      </c>
      <c r="E111" s="93"/>
      <c r="F111" s="93"/>
      <c r="G111" s="161"/>
    </row>
    <row r="112" spans="1:7" ht="20.25" x14ac:dyDescent="0.25">
      <c r="A112" s="489"/>
      <c r="B112" s="645"/>
      <c r="C112" s="153" t="s">
        <v>168</v>
      </c>
      <c r="D112" s="191" t="s">
        <v>613</v>
      </c>
      <c r="E112" s="93"/>
      <c r="F112" s="93"/>
      <c r="G112" s="161"/>
    </row>
    <row r="113" spans="1:7" ht="75" x14ac:dyDescent="0.25">
      <c r="A113" s="487">
        <v>12</v>
      </c>
      <c r="B113" s="643" t="s">
        <v>49</v>
      </c>
      <c r="C113" s="153" t="s">
        <v>150</v>
      </c>
      <c r="D113" s="191" t="s">
        <v>611</v>
      </c>
      <c r="E113" s="93">
        <v>4</v>
      </c>
      <c r="F113" s="93">
        <v>355</v>
      </c>
      <c r="G113" s="161" t="s">
        <v>462</v>
      </c>
    </row>
    <row r="114" spans="1:7" ht="112.5" x14ac:dyDescent="0.25">
      <c r="A114" s="488"/>
      <c r="B114" s="644"/>
      <c r="C114" s="153" t="s">
        <v>151</v>
      </c>
      <c r="D114" s="191" t="s">
        <v>612</v>
      </c>
      <c r="E114" s="93">
        <v>6</v>
      </c>
      <c r="F114" s="93">
        <v>498</v>
      </c>
      <c r="G114" s="161" t="s">
        <v>463</v>
      </c>
    </row>
    <row r="115" spans="1:7" ht="20.25" x14ac:dyDescent="0.25">
      <c r="A115" s="489"/>
      <c r="B115" s="645"/>
      <c r="C115" s="153" t="s">
        <v>168</v>
      </c>
      <c r="D115" s="191" t="s">
        <v>613</v>
      </c>
      <c r="E115" s="93"/>
      <c r="F115" s="93"/>
      <c r="G115" s="161"/>
    </row>
    <row r="116" spans="1:7" ht="93.75" x14ac:dyDescent="0.25">
      <c r="A116" s="487">
        <v>13</v>
      </c>
      <c r="B116" s="643" t="s">
        <v>52</v>
      </c>
      <c r="C116" s="153" t="s">
        <v>150</v>
      </c>
      <c r="D116" s="191" t="s">
        <v>611</v>
      </c>
      <c r="E116" s="93">
        <v>4</v>
      </c>
      <c r="F116" s="93">
        <v>650</v>
      </c>
      <c r="G116" s="161" t="s">
        <v>452</v>
      </c>
    </row>
    <row r="117" spans="1:7" ht="75" x14ac:dyDescent="0.25">
      <c r="A117" s="488"/>
      <c r="B117" s="644"/>
      <c r="C117" s="153" t="s">
        <v>151</v>
      </c>
      <c r="D117" s="191" t="s">
        <v>612</v>
      </c>
      <c r="E117" s="93">
        <v>4</v>
      </c>
      <c r="F117" s="93">
        <v>204</v>
      </c>
      <c r="G117" s="161" t="s">
        <v>453</v>
      </c>
    </row>
    <row r="118" spans="1:7" ht="93.75" x14ac:dyDescent="0.25">
      <c r="A118" s="489"/>
      <c r="B118" s="645"/>
      <c r="C118" s="153" t="s">
        <v>168</v>
      </c>
      <c r="D118" s="191" t="s">
        <v>613</v>
      </c>
      <c r="E118" s="93">
        <v>5</v>
      </c>
      <c r="F118" s="93">
        <v>218</v>
      </c>
      <c r="G118" s="161" t="s">
        <v>454</v>
      </c>
    </row>
    <row r="119" spans="1:7" ht="20.25" x14ac:dyDescent="0.25">
      <c r="A119" s="487">
        <v>1</v>
      </c>
      <c r="B119" s="643" t="s">
        <v>83</v>
      </c>
      <c r="C119" s="153" t="s">
        <v>150</v>
      </c>
      <c r="D119" s="191" t="s">
        <v>611</v>
      </c>
      <c r="E119" s="93"/>
      <c r="F119" s="93"/>
      <c r="G119" s="161"/>
    </row>
    <row r="120" spans="1:7" ht="20.25" x14ac:dyDescent="0.25">
      <c r="A120" s="488"/>
      <c r="B120" s="644"/>
      <c r="C120" s="153" t="s">
        <v>151</v>
      </c>
      <c r="D120" s="191" t="s">
        <v>612</v>
      </c>
      <c r="E120" s="93"/>
      <c r="F120" s="93"/>
      <c r="G120" s="161"/>
    </row>
    <row r="121" spans="1:7" ht="37.5" x14ac:dyDescent="0.25">
      <c r="A121" s="489"/>
      <c r="B121" s="645"/>
      <c r="C121" s="153" t="s">
        <v>168</v>
      </c>
      <c r="D121" s="191" t="s">
        <v>613</v>
      </c>
      <c r="E121" s="93">
        <v>1</v>
      </c>
      <c r="F121" s="93">
        <v>30</v>
      </c>
      <c r="G121" s="161" t="s">
        <v>436</v>
      </c>
    </row>
    <row r="122" spans="1:7" ht="20.25" x14ac:dyDescent="0.25">
      <c r="A122" s="487">
        <v>2</v>
      </c>
      <c r="B122" s="643" t="s">
        <v>20</v>
      </c>
      <c r="C122" s="153" t="s">
        <v>150</v>
      </c>
      <c r="D122" s="191" t="s">
        <v>611</v>
      </c>
      <c r="E122" s="93"/>
      <c r="F122" s="93"/>
      <c r="G122" s="161"/>
    </row>
    <row r="123" spans="1:7" ht="20.25" x14ac:dyDescent="0.25">
      <c r="A123" s="488"/>
      <c r="B123" s="644"/>
      <c r="C123" s="153" t="s">
        <v>151</v>
      </c>
      <c r="D123" s="191" t="s">
        <v>612</v>
      </c>
      <c r="E123" s="93"/>
      <c r="F123" s="93"/>
      <c r="G123" s="161"/>
    </row>
    <row r="124" spans="1:7" ht="20.25" x14ac:dyDescent="0.25">
      <c r="A124" s="489"/>
      <c r="B124" s="645"/>
      <c r="C124" s="153" t="s">
        <v>168</v>
      </c>
      <c r="D124" s="191" t="s">
        <v>613</v>
      </c>
      <c r="E124" s="93"/>
      <c r="F124" s="93"/>
      <c r="G124" s="161"/>
    </row>
    <row r="125" spans="1:7" ht="37.5" x14ac:dyDescent="0.25">
      <c r="A125" s="487">
        <v>3</v>
      </c>
      <c r="B125" s="643" t="s">
        <v>23</v>
      </c>
      <c r="C125" s="153" t="s">
        <v>150</v>
      </c>
      <c r="D125" s="191" t="s">
        <v>611</v>
      </c>
      <c r="E125" s="93">
        <v>2</v>
      </c>
      <c r="F125" s="93">
        <v>71</v>
      </c>
      <c r="G125" s="161" t="s">
        <v>418</v>
      </c>
    </row>
    <row r="126" spans="1:7" ht="112.5" x14ac:dyDescent="0.25">
      <c r="A126" s="488"/>
      <c r="B126" s="644"/>
      <c r="C126" s="153" t="s">
        <v>151</v>
      </c>
      <c r="D126" s="191" t="s">
        <v>612</v>
      </c>
      <c r="E126" s="93">
        <v>4</v>
      </c>
      <c r="F126" s="93">
        <v>180</v>
      </c>
      <c r="G126" s="161" t="s">
        <v>419</v>
      </c>
    </row>
    <row r="127" spans="1:7" ht="20.25" x14ac:dyDescent="0.25">
      <c r="A127" s="489"/>
      <c r="B127" s="645"/>
      <c r="C127" s="153" t="s">
        <v>168</v>
      </c>
      <c r="D127" s="191" t="s">
        <v>613</v>
      </c>
      <c r="E127" s="93"/>
      <c r="F127" s="93"/>
      <c r="G127" s="161"/>
    </row>
    <row r="128" spans="1:7" ht="20.25" x14ac:dyDescent="0.25">
      <c r="A128" s="487">
        <v>4</v>
      </c>
      <c r="B128" s="643" t="s">
        <v>165</v>
      </c>
      <c r="C128" s="153" t="s">
        <v>150</v>
      </c>
      <c r="D128" s="191" t="s">
        <v>611</v>
      </c>
      <c r="E128" s="93">
        <v>1</v>
      </c>
      <c r="F128" s="93">
        <v>80</v>
      </c>
      <c r="G128" s="161" t="s">
        <v>420</v>
      </c>
    </row>
    <row r="129" spans="1:7" ht="20.25" x14ac:dyDescent="0.25">
      <c r="A129" s="488"/>
      <c r="B129" s="644"/>
      <c r="C129" s="153" t="s">
        <v>151</v>
      </c>
      <c r="D129" s="191" t="s">
        <v>612</v>
      </c>
      <c r="E129" s="93"/>
      <c r="F129" s="93"/>
      <c r="G129" s="161"/>
    </row>
    <row r="130" spans="1:7" ht="37.5" x14ac:dyDescent="0.25">
      <c r="A130" s="489"/>
      <c r="B130" s="645"/>
      <c r="C130" s="153" t="s">
        <v>168</v>
      </c>
      <c r="D130" s="191" t="s">
        <v>613</v>
      </c>
      <c r="E130" s="93">
        <v>2</v>
      </c>
      <c r="F130" s="93">
        <v>80</v>
      </c>
      <c r="G130" s="161" t="s">
        <v>421</v>
      </c>
    </row>
    <row r="131" spans="1:7" ht="37.5" x14ac:dyDescent="0.25">
      <c r="A131" s="487">
        <v>5</v>
      </c>
      <c r="B131" s="643" t="s">
        <v>25</v>
      </c>
      <c r="C131" s="153" t="s">
        <v>150</v>
      </c>
      <c r="D131" s="191" t="s">
        <v>611</v>
      </c>
      <c r="E131" s="93">
        <v>2</v>
      </c>
      <c r="F131" s="93">
        <v>185</v>
      </c>
      <c r="G131" s="161" t="s">
        <v>416</v>
      </c>
    </row>
    <row r="132" spans="1:7" ht="20.25" x14ac:dyDescent="0.25">
      <c r="A132" s="488"/>
      <c r="B132" s="644"/>
      <c r="C132" s="153" t="s">
        <v>151</v>
      </c>
      <c r="D132" s="191" t="s">
        <v>612</v>
      </c>
      <c r="E132" s="93">
        <v>7</v>
      </c>
      <c r="F132" s="93">
        <v>870</v>
      </c>
      <c r="G132" s="161"/>
    </row>
    <row r="133" spans="1:7" ht="75" x14ac:dyDescent="0.25">
      <c r="A133" s="489"/>
      <c r="B133" s="645"/>
      <c r="C133" s="153" t="s">
        <v>168</v>
      </c>
      <c r="D133" s="191" t="s">
        <v>613</v>
      </c>
      <c r="E133" s="93">
        <v>4</v>
      </c>
      <c r="F133" s="93">
        <v>16</v>
      </c>
      <c r="G133" s="161" t="s">
        <v>417</v>
      </c>
    </row>
    <row r="134" spans="1:7" ht="75" x14ac:dyDescent="0.25">
      <c r="A134" s="487">
        <v>6</v>
      </c>
      <c r="B134" s="643" t="s">
        <v>28</v>
      </c>
      <c r="C134" s="153" t="s">
        <v>150</v>
      </c>
      <c r="D134" s="191" t="s">
        <v>611</v>
      </c>
      <c r="E134" s="93">
        <v>4</v>
      </c>
      <c r="F134" s="93">
        <v>420</v>
      </c>
      <c r="G134" s="161" t="s">
        <v>424</v>
      </c>
    </row>
    <row r="135" spans="1:7" ht="206.25" x14ac:dyDescent="0.25">
      <c r="A135" s="488"/>
      <c r="B135" s="644"/>
      <c r="C135" s="153" t="s">
        <v>151</v>
      </c>
      <c r="D135" s="191" t="s">
        <v>612</v>
      </c>
      <c r="E135" s="93">
        <v>14</v>
      </c>
      <c r="F135" s="93">
        <v>1770</v>
      </c>
      <c r="G135" s="161" t="s">
        <v>425</v>
      </c>
    </row>
    <row r="136" spans="1:7" ht="20.25" x14ac:dyDescent="0.25">
      <c r="A136" s="489"/>
      <c r="B136" s="645"/>
      <c r="C136" s="153" t="s">
        <v>168</v>
      </c>
      <c r="D136" s="191" t="s">
        <v>613</v>
      </c>
      <c r="E136" s="93"/>
      <c r="F136" s="93"/>
      <c r="G136" s="161"/>
    </row>
    <row r="137" spans="1:7" ht="75" x14ac:dyDescent="0.25">
      <c r="A137" s="487">
        <v>7</v>
      </c>
      <c r="B137" s="643" t="s">
        <v>33</v>
      </c>
      <c r="C137" s="153" t="s">
        <v>150</v>
      </c>
      <c r="D137" s="191" t="s">
        <v>611</v>
      </c>
      <c r="E137" s="93">
        <v>4</v>
      </c>
      <c r="F137" s="93">
        <v>310</v>
      </c>
      <c r="G137" s="161" t="s">
        <v>426</v>
      </c>
    </row>
    <row r="138" spans="1:7" ht="93.75" x14ac:dyDescent="0.25">
      <c r="A138" s="488"/>
      <c r="B138" s="644"/>
      <c r="C138" s="153" t="s">
        <v>151</v>
      </c>
      <c r="D138" s="191" t="s">
        <v>612</v>
      </c>
      <c r="E138" s="93">
        <v>5</v>
      </c>
      <c r="F138" s="93">
        <v>320</v>
      </c>
      <c r="G138" s="161" t="s">
        <v>428</v>
      </c>
    </row>
    <row r="139" spans="1:7" ht="187.5" x14ac:dyDescent="0.25">
      <c r="A139" s="489"/>
      <c r="B139" s="645"/>
      <c r="C139" s="153" t="s">
        <v>168</v>
      </c>
      <c r="D139" s="191" t="s">
        <v>613</v>
      </c>
      <c r="E139" s="93">
        <v>11</v>
      </c>
      <c r="F139" s="93">
        <v>231</v>
      </c>
      <c r="G139" s="161" t="s">
        <v>427</v>
      </c>
    </row>
    <row r="140" spans="1:7" ht="37.5" x14ac:dyDescent="0.25">
      <c r="A140" s="487">
        <v>8</v>
      </c>
      <c r="B140" s="643" t="s">
        <v>38</v>
      </c>
      <c r="C140" s="153" t="s">
        <v>150</v>
      </c>
      <c r="D140" s="191" t="s">
        <v>611</v>
      </c>
      <c r="E140" s="93">
        <v>2</v>
      </c>
      <c r="F140" s="93">
        <v>200</v>
      </c>
      <c r="G140" s="166" t="s">
        <v>429</v>
      </c>
    </row>
    <row r="141" spans="1:7" ht="56.25" x14ac:dyDescent="0.25">
      <c r="A141" s="488"/>
      <c r="B141" s="644"/>
      <c r="C141" s="153" t="s">
        <v>151</v>
      </c>
      <c r="D141" s="191" t="s">
        <v>612</v>
      </c>
      <c r="E141" s="93">
        <v>3</v>
      </c>
      <c r="F141" s="93">
        <v>60</v>
      </c>
      <c r="G141" s="161" t="s">
        <v>430</v>
      </c>
    </row>
    <row r="142" spans="1:7" ht="20.25" x14ac:dyDescent="0.25">
      <c r="A142" s="489"/>
      <c r="B142" s="645"/>
      <c r="C142" s="153" t="s">
        <v>168</v>
      </c>
      <c r="D142" s="191" t="s">
        <v>613</v>
      </c>
      <c r="E142" s="93"/>
      <c r="F142" s="93"/>
      <c r="G142" s="161"/>
    </row>
    <row r="143" spans="1:7" ht="20.25" x14ac:dyDescent="0.25">
      <c r="A143" s="487">
        <v>9</v>
      </c>
      <c r="B143" s="643" t="s">
        <v>88</v>
      </c>
      <c r="C143" s="153" t="s">
        <v>150</v>
      </c>
      <c r="D143" s="191" t="s">
        <v>611</v>
      </c>
      <c r="E143" s="93">
        <v>1</v>
      </c>
      <c r="F143" s="93">
        <v>85</v>
      </c>
      <c r="G143" s="161" t="s">
        <v>431</v>
      </c>
    </row>
    <row r="144" spans="1:7" ht="20.25" x14ac:dyDescent="0.25">
      <c r="A144" s="488"/>
      <c r="B144" s="644"/>
      <c r="C144" s="153" t="s">
        <v>151</v>
      </c>
      <c r="D144" s="191" t="s">
        <v>612</v>
      </c>
      <c r="E144" s="93">
        <v>1</v>
      </c>
      <c r="F144" s="93">
        <v>8</v>
      </c>
      <c r="G144" s="161" t="s">
        <v>432</v>
      </c>
    </row>
    <row r="145" spans="1:7" ht="20.25" x14ac:dyDescent="0.25">
      <c r="A145" s="489"/>
      <c r="B145" s="645"/>
      <c r="C145" s="153" t="s">
        <v>168</v>
      </c>
      <c r="D145" s="191" t="s">
        <v>613</v>
      </c>
      <c r="E145" s="93"/>
      <c r="F145" s="93"/>
      <c r="G145" s="161"/>
    </row>
    <row r="146" spans="1:7" ht="20.25" x14ac:dyDescent="0.25">
      <c r="A146" s="487">
        <v>10</v>
      </c>
      <c r="B146" s="643" t="s">
        <v>43</v>
      </c>
      <c r="C146" s="153" t="s">
        <v>150</v>
      </c>
      <c r="D146" s="191" t="s">
        <v>611</v>
      </c>
      <c r="E146" s="93"/>
      <c r="F146" s="93"/>
      <c r="G146" s="161"/>
    </row>
    <row r="147" spans="1:7" ht="20.25" x14ac:dyDescent="0.25">
      <c r="A147" s="488"/>
      <c r="B147" s="644"/>
      <c r="C147" s="153" t="s">
        <v>151</v>
      </c>
      <c r="D147" s="191" t="s">
        <v>612</v>
      </c>
      <c r="E147" s="93"/>
      <c r="F147" s="93"/>
      <c r="G147" s="161"/>
    </row>
    <row r="148" spans="1:7" ht="20.25" x14ac:dyDescent="0.25">
      <c r="A148" s="489"/>
      <c r="B148" s="645"/>
      <c r="C148" s="153" t="s">
        <v>168</v>
      </c>
      <c r="D148" s="191" t="s">
        <v>613</v>
      </c>
      <c r="E148" s="93"/>
      <c r="F148" s="93"/>
      <c r="G148" s="161"/>
    </row>
    <row r="149" spans="1:7" ht="20.25" x14ac:dyDescent="0.25">
      <c r="A149" s="487">
        <v>11</v>
      </c>
      <c r="B149" s="643" t="s">
        <v>46</v>
      </c>
      <c r="C149" s="153" t="s">
        <v>150</v>
      </c>
      <c r="D149" s="191" t="s">
        <v>611</v>
      </c>
      <c r="E149" s="93">
        <v>1</v>
      </c>
      <c r="F149" s="93">
        <v>60</v>
      </c>
      <c r="G149" s="161" t="s">
        <v>437</v>
      </c>
    </row>
    <row r="150" spans="1:7" ht="20.25" x14ac:dyDescent="0.25">
      <c r="A150" s="488"/>
      <c r="B150" s="644"/>
      <c r="C150" s="153" t="s">
        <v>151</v>
      </c>
      <c r="D150" s="191" t="s">
        <v>612</v>
      </c>
      <c r="E150" s="93">
        <v>1</v>
      </c>
      <c r="F150" s="93">
        <v>15</v>
      </c>
      <c r="G150" s="161" t="s">
        <v>438</v>
      </c>
    </row>
    <row r="151" spans="1:7" ht="37.5" x14ac:dyDescent="0.25">
      <c r="A151" s="489"/>
      <c r="B151" s="645"/>
      <c r="C151" s="153" t="s">
        <v>168</v>
      </c>
      <c r="D151" s="191" t="s">
        <v>613</v>
      </c>
      <c r="E151" s="93">
        <v>2</v>
      </c>
      <c r="F151" s="93">
        <v>25</v>
      </c>
      <c r="G151" s="161" t="s">
        <v>439</v>
      </c>
    </row>
    <row r="152" spans="1:7" ht="37.5" x14ac:dyDescent="0.25">
      <c r="A152" s="487">
        <v>12</v>
      </c>
      <c r="B152" s="643" t="s">
        <v>49</v>
      </c>
      <c r="C152" s="153" t="s">
        <v>150</v>
      </c>
      <c r="D152" s="191" t="s">
        <v>611</v>
      </c>
      <c r="E152" s="93">
        <v>2</v>
      </c>
      <c r="F152" s="93">
        <v>405</v>
      </c>
      <c r="G152" s="161" t="s">
        <v>434</v>
      </c>
    </row>
    <row r="153" spans="1:7" ht="131.25" x14ac:dyDescent="0.25">
      <c r="A153" s="488"/>
      <c r="B153" s="644"/>
      <c r="C153" s="153" t="s">
        <v>151</v>
      </c>
      <c r="D153" s="191" t="s">
        <v>612</v>
      </c>
      <c r="E153" s="93">
        <v>7</v>
      </c>
      <c r="F153" s="93">
        <v>603</v>
      </c>
      <c r="G153" s="161" t="s">
        <v>435</v>
      </c>
    </row>
    <row r="154" spans="1:7" ht="20.25" x14ac:dyDescent="0.25">
      <c r="A154" s="489"/>
      <c r="B154" s="645"/>
      <c r="C154" s="153" t="s">
        <v>168</v>
      </c>
      <c r="D154" s="191" t="s">
        <v>613</v>
      </c>
      <c r="E154" s="93"/>
      <c r="F154" s="93"/>
      <c r="G154" s="161"/>
    </row>
    <row r="155" spans="1:7" ht="112.5" x14ac:dyDescent="0.25">
      <c r="A155" s="487">
        <v>13</v>
      </c>
      <c r="B155" s="643" t="s">
        <v>52</v>
      </c>
      <c r="C155" s="153" t="s">
        <v>150</v>
      </c>
      <c r="D155" s="191" t="s">
        <v>611</v>
      </c>
      <c r="E155" s="93">
        <v>6</v>
      </c>
      <c r="F155" s="93">
        <v>1105</v>
      </c>
      <c r="G155" s="161" t="s">
        <v>433</v>
      </c>
    </row>
    <row r="156" spans="1:7" ht="75" x14ac:dyDescent="0.25">
      <c r="A156" s="488"/>
      <c r="B156" s="644"/>
      <c r="C156" s="153" t="s">
        <v>151</v>
      </c>
      <c r="D156" s="191" t="s">
        <v>612</v>
      </c>
      <c r="E156" s="93">
        <v>4</v>
      </c>
      <c r="F156" s="93">
        <v>159</v>
      </c>
      <c r="G156" s="161" t="s">
        <v>422</v>
      </c>
    </row>
    <row r="157" spans="1:7" ht="75" x14ac:dyDescent="0.25">
      <c r="A157" s="489"/>
      <c r="B157" s="645"/>
      <c r="C157" s="153" t="s">
        <v>168</v>
      </c>
      <c r="D157" s="191" t="s">
        <v>613</v>
      </c>
      <c r="E157" s="93">
        <v>4</v>
      </c>
      <c r="F157" s="93">
        <v>176</v>
      </c>
      <c r="G157" s="161" t="s">
        <v>423</v>
      </c>
    </row>
    <row r="158" spans="1:7" ht="20.25" x14ac:dyDescent="0.25">
      <c r="A158" s="487">
        <v>1</v>
      </c>
      <c r="B158" s="643" t="s">
        <v>83</v>
      </c>
      <c r="C158" s="153" t="s">
        <v>150</v>
      </c>
      <c r="D158" s="191" t="s">
        <v>611</v>
      </c>
      <c r="E158" s="93"/>
      <c r="F158" s="93"/>
      <c r="G158" s="161"/>
    </row>
    <row r="159" spans="1:7" ht="20.25" x14ac:dyDescent="0.25">
      <c r="A159" s="488"/>
      <c r="B159" s="644"/>
      <c r="C159" s="153" t="s">
        <v>151</v>
      </c>
      <c r="D159" s="191" t="s">
        <v>612</v>
      </c>
      <c r="E159" s="93"/>
      <c r="F159" s="93"/>
      <c r="G159" s="161"/>
    </row>
    <row r="160" spans="1:7" ht="75" x14ac:dyDescent="0.25">
      <c r="A160" s="489"/>
      <c r="B160" s="645"/>
      <c r="C160" s="153" t="s">
        <v>168</v>
      </c>
      <c r="D160" s="191" t="s">
        <v>613</v>
      </c>
      <c r="E160" s="93">
        <v>4</v>
      </c>
      <c r="F160" s="93">
        <v>510</v>
      </c>
      <c r="G160" s="161" t="s">
        <v>393</v>
      </c>
    </row>
    <row r="161" spans="1:7" ht="20.25" x14ac:dyDescent="0.25">
      <c r="A161" s="487">
        <v>2</v>
      </c>
      <c r="B161" s="643" t="s">
        <v>20</v>
      </c>
      <c r="C161" s="153" t="s">
        <v>150</v>
      </c>
      <c r="D161" s="191" t="s">
        <v>611</v>
      </c>
      <c r="E161" s="93"/>
      <c r="F161" s="93"/>
      <c r="G161" s="161"/>
    </row>
    <row r="162" spans="1:7" ht="20.25" x14ac:dyDescent="0.25">
      <c r="A162" s="488"/>
      <c r="B162" s="644"/>
      <c r="C162" s="153" t="s">
        <v>151</v>
      </c>
      <c r="D162" s="191" t="s">
        <v>612</v>
      </c>
      <c r="E162" s="93"/>
      <c r="F162" s="93"/>
      <c r="G162" s="161"/>
    </row>
    <row r="163" spans="1:7" ht="20.25" x14ac:dyDescent="0.25">
      <c r="A163" s="489"/>
      <c r="B163" s="645"/>
      <c r="C163" s="153" t="s">
        <v>168</v>
      </c>
      <c r="D163" s="191" t="s">
        <v>613</v>
      </c>
      <c r="E163" s="93"/>
      <c r="F163" s="93"/>
      <c r="G163" s="161"/>
    </row>
    <row r="164" spans="1:7" ht="37.5" x14ac:dyDescent="0.25">
      <c r="A164" s="487">
        <v>3</v>
      </c>
      <c r="B164" s="643" t="s">
        <v>23</v>
      </c>
      <c r="C164" s="153" t="s">
        <v>150</v>
      </c>
      <c r="D164" s="191" t="s">
        <v>611</v>
      </c>
      <c r="E164" s="93">
        <v>2</v>
      </c>
      <c r="F164" s="93">
        <v>78</v>
      </c>
      <c r="G164" s="161" t="s">
        <v>387</v>
      </c>
    </row>
    <row r="165" spans="1:7" ht="37.5" x14ac:dyDescent="0.25">
      <c r="A165" s="488"/>
      <c r="B165" s="644"/>
      <c r="C165" s="153" t="s">
        <v>151</v>
      </c>
      <c r="D165" s="191" t="s">
        <v>612</v>
      </c>
      <c r="E165" s="93">
        <v>2</v>
      </c>
      <c r="F165" s="93">
        <v>24</v>
      </c>
      <c r="G165" s="161" t="s">
        <v>388</v>
      </c>
    </row>
    <row r="166" spans="1:7" ht="20.25" x14ac:dyDescent="0.25">
      <c r="A166" s="489"/>
      <c r="B166" s="645"/>
      <c r="C166" s="153" t="s">
        <v>168</v>
      </c>
      <c r="D166" s="191" t="s">
        <v>613</v>
      </c>
      <c r="E166" s="93"/>
      <c r="F166" s="93"/>
      <c r="G166" s="161"/>
    </row>
    <row r="167" spans="1:7" ht="20.25" x14ac:dyDescent="0.25">
      <c r="A167" s="487">
        <v>4</v>
      </c>
      <c r="B167" s="643" t="s">
        <v>165</v>
      </c>
      <c r="C167" s="153" t="s">
        <v>150</v>
      </c>
      <c r="D167" s="191" t="s">
        <v>611</v>
      </c>
      <c r="E167" s="93">
        <v>1</v>
      </c>
      <c r="F167" s="93">
        <v>70</v>
      </c>
      <c r="G167" s="161" t="s">
        <v>389</v>
      </c>
    </row>
    <row r="168" spans="1:7" ht="20.25" x14ac:dyDescent="0.25">
      <c r="A168" s="488"/>
      <c r="B168" s="644"/>
      <c r="C168" s="153" t="s">
        <v>151</v>
      </c>
      <c r="D168" s="191" t="s">
        <v>612</v>
      </c>
      <c r="E168" s="93"/>
      <c r="F168" s="93"/>
      <c r="G168" s="161"/>
    </row>
    <row r="169" spans="1:7" ht="20.25" x14ac:dyDescent="0.25">
      <c r="A169" s="489"/>
      <c r="B169" s="645"/>
      <c r="C169" s="153" t="s">
        <v>168</v>
      </c>
      <c r="D169" s="191" t="s">
        <v>613</v>
      </c>
      <c r="E169" s="93"/>
      <c r="F169" s="93"/>
      <c r="G169" s="161"/>
    </row>
    <row r="170" spans="1:7" ht="37.5" x14ac:dyDescent="0.25">
      <c r="A170" s="487">
        <v>5</v>
      </c>
      <c r="B170" s="643" t="s">
        <v>25</v>
      </c>
      <c r="C170" s="153" t="s">
        <v>150</v>
      </c>
      <c r="D170" s="191" t="s">
        <v>611</v>
      </c>
      <c r="E170" s="93">
        <v>2</v>
      </c>
      <c r="F170" s="93">
        <v>205</v>
      </c>
      <c r="G170" s="161" t="s">
        <v>390</v>
      </c>
    </row>
    <row r="171" spans="1:7" ht="20.25" x14ac:dyDescent="0.25">
      <c r="A171" s="488"/>
      <c r="B171" s="644"/>
      <c r="C171" s="153" t="s">
        <v>151</v>
      </c>
      <c r="D171" s="191" t="s">
        <v>612</v>
      </c>
      <c r="E171" s="93">
        <v>1</v>
      </c>
      <c r="F171" s="93">
        <v>150</v>
      </c>
      <c r="G171" s="161" t="s">
        <v>391</v>
      </c>
    </row>
    <row r="172" spans="1:7" ht="56.25" x14ac:dyDescent="0.25">
      <c r="A172" s="489"/>
      <c r="B172" s="645"/>
      <c r="C172" s="153" t="s">
        <v>168</v>
      </c>
      <c r="D172" s="191" t="s">
        <v>613</v>
      </c>
      <c r="E172" s="93">
        <v>3</v>
      </c>
      <c r="F172" s="93">
        <v>15</v>
      </c>
      <c r="G172" s="161" t="s">
        <v>392</v>
      </c>
    </row>
    <row r="173" spans="1:7" ht="37.5" x14ac:dyDescent="0.25">
      <c r="A173" s="487">
        <v>6</v>
      </c>
      <c r="B173" s="643" t="s">
        <v>28</v>
      </c>
      <c r="C173" s="153" t="s">
        <v>150</v>
      </c>
      <c r="D173" s="191" t="s">
        <v>611</v>
      </c>
      <c r="E173" s="93">
        <v>5</v>
      </c>
      <c r="F173" s="93">
        <v>335</v>
      </c>
      <c r="G173" s="161" t="s">
        <v>397</v>
      </c>
    </row>
    <row r="174" spans="1:7" ht="20.25" x14ac:dyDescent="0.25">
      <c r="A174" s="488"/>
      <c r="B174" s="644"/>
      <c r="C174" s="153" t="s">
        <v>151</v>
      </c>
      <c r="D174" s="191" t="s">
        <v>612</v>
      </c>
      <c r="E174" s="93"/>
      <c r="F174" s="93"/>
      <c r="G174" s="161"/>
    </row>
    <row r="175" spans="1:7" ht="20.25" x14ac:dyDescent="0.25">
      <c r="A175" s="489"/>
      <c r="B175" s="645"/>
      <c r="C175" s="153" t="s">
        <v>168</v>
      </c>
      <c r="D175" s="191" t="s">
        <v>613</v>
      </c>
      <c r="E175" s="93"/>
      <c r="F175" s="93"/>
      <c r="G175" s="161"/>
    </row>
    <row r="176" spans="1:7" ht="93.75" x14ac:dyDescent="0.25">
      <c r="A176" s="487">
        <v>7</v>
      </c>
      <c r="B176" s="643" t="s">
        <v>33</v>
      </c>
      <c r="C176" s="153" t="s">
        <v>150</v>
      </c>
      <c r="D176" s="191" t="s">
        <v>611</v>
      </c>
      <c r="E176" s="93">
        <v>5</v>
      </c>
      <c r="F176" s="93">
        <v>360</v>
      </c>
      <c r="G176" s="161" t="s">
        <v>396</v>
      </c>
    </row>
    <row r="177" spans="1:7" ht="206.25" x14ac:dyDescent="0.25">
      <c r="A177" s="488"/>
      <c r="B177" s="644"/>
      <c r="C177" s="153" t="s">
        <v>151</v>
      </c>
      <c r="D177" s="191" t="s">
        <v>612</v>
      </c>
      <c r="E177" s="93">
        <v>11</v>
      </c>
      <c r="F177" s="93">
        <v>433</v>
      </c>
      <c r="G177" s="161" t="s">
        <v>394</v>
      </c>
    </row>
    <row r="178" spans="1:7" ht="75" x14ac:dyDescent="0.25">
      <c r="A178" s="489"/>
      <c r="B178" s="645"/>
      <c r="C178" s="153" t="s">
        <v>168</v>
      </c>
      <c r="D178" s="191" t="s">
        <v>613</v>
      </c>
      <c r="E178" s="93">
        <v>11</v>
      </c>
      <c r="F178" s="93">
        <v>360</v>
      </c>
      <c r="G178" s="161" t="s">
        <v>395</v>
      </c>
    </row>
    <row r="179" spans="1:7" ht="20.25" x14ac:dyDescent="0.25">
      <c r="A179" s="487">
        <v>8</v>
      </c>
      <c r="B179" s="643" t="s">
        <v>38</v>
      </c>
      <c r="C179" s="153" t="s">
        <v>150</v>
      </c>
      <c r="D179" s="191" t="s">
        <v>611</v>
      </c>
      <c r="E179" s="93">
        <v>1</v>
      </c>
      <c r="F179" s="93">
        <v>190</v>
      </c>
      <c r="G179" s="164" t="s">
        <v>400</v>
      </c>
    </row>
    <row r="180" spans="1:7" ht="20.25" x14ac:dyDescent="0.25">
      <c r="A180" s="488"/>
      <c r="B180" s="644"/>
      <c r="C180" s="153" t="s">
        <v>151</v>
      </c>
      <c r="D180" s="191" t="s">
        <v>612</v>
      </c>
      <c r="E180" s="93">
        <v>2</v>
      </c>
      <c r="F180" s="93">
        <v>59</v>
      </c>
      <c r="G180" s="161" t="s">
        <v>399</v>
      </c>
    </row>
    <row r="181" spans="1:7" ht="20.25" x14ac:dyDescent="0.25">
      <c r="A181" s="489"/>
      <c r="B181" s="645"/>
      <c r="C181" s="153" t="s">
        <v>168</v>
      </c>
      <c r="D181" s="191" t="s">
        <v>613</v>
      </c>
      <c r="E181" s="93"/>
      <c r="F181" s="93"/>
      <c r="G181" s="161"/>
    </row>
    <row r="182" spans="1:7" ht="20.25" x14ac:dyDescent="0.25">
      <c r="A182" s="487">
        <v>9</v>
      </c>
      <c r="B182" s="643" t="s">
        <v>88</v>
      </c>
      <c r="C182" s="153" t="s">
        <v>150</v>
      </c>
      <c r="D182" s="191" t="s">
        <v>611</v>
      </c>
      <c r="E182" s="93"/>
      <c r="F182" s="93"/>
      <c r="G182" s="161"/>
    </row>
    <row r="183" spans="1:7" ht="20.25" x14ac:dyDescent="0.25">
      <c r="A183" s="488"/>
      <c r="B183" s="644"/>
      <c r="C183" s="153" t="s">
        <v>151</v>
      </c>
      <c r="D183" s="191" t="s">
        <v>612</v>
      </c>
      <c r="E183" s="93">
        <v>3</v>
      </c>
      <c r="F183" s="93">
        <v>615</v>
      </c>
      <c r="G183" s="161" t="s">
        <v>398</v>
      </c>
    </row>
    <row r="184" spans="1:7" ht="20.25" x14ac:dyDescent="0.25">
      <c r="A184" s="489"/>
      <c r="B184" s="645"/>
      <c r="C184" s="153" t="s">
        <v>168</v>
      </c>
      <c r="D184" s="191" t="s">
        <v>613</v>
      </c>
      <c r="E184" s="93"/>
      <c r="F184" s="93"/>
      <c r="G184" s="161"/>
    </row>
    <row r="185" spans="1:7" ht="20.25" x14ac:dyDescent="0.25">
      <c r="A185" s="487">
        <v>10</v>
      </c>
      <c r="B185" s="643" t="s">
        <v>43</v>
      </c>
      <c r="C185" s="153" t="s">
        <v>150</v>
      </c>
      <c r="D185" s="191" t="s">
        <v>611</v>
      </c>
      <c r="E185" s="93">
        <v>1</v>
      </c>
      <c r="F185" s="93">
        <v>30</v>
      </c>
      <c r="G185" s="161" t="s">
        <v>401</v>
      </c>
    </row>
    <row r="186" spans="1:7" ht="20.25" x14ac:dyDescent="0.25">
      <c r="A186" s="488"/>
      <c r="B186" s="644"/>
      <c r="C186" s="153" t="s">
        <v>151</v>
      </c>
      <c r="D186" s="191" t="s">
        <v>612</v>
      </c>
      <c r="E186" s="93"/>
      <c r="F186" s="93"/>
      <c r="G186" s="161"/>
    </row>
    <row r="187" spans="1:7" ht="20.25" x14ac:dyDescent="0.25">
      <c r="A187" s="489"/>
      <c r="B187" s="645"/>
      <c r="C187" s="153" t="s">
        <v>168</v>
      </c>
      <c r="D187" s="191" t="s">
        <v>613</v>
      </c>
      <c r="E187" s="93"/>
      <c r="F187" s="93"/>
      <c r="G187" s="161"/>
    </row>
    <row r="188" spans="1:7" ht="20.25" x14ac:dyDescent="0.25">
      <c r="A188" s="487">
        <v>11</v>
      </c>
      <c r="B188" s="643" t="s">
        <v>46</v>
      </c>
      <c r="C188" s="153" t="s">
        <v>150</v>
      </c>
      <c r="D188" s="191" t="s">
        <v>611</v>
      </c>
      <c r="E188" s="93">
        <v>1</v>
      </c>
      <c r="F188" s="93">
        <v>10</v>
      </c>
      <c r="G188" s="161" t="s">
        <v>412</v>
      </c>
    </row>
    <row r="189" spans="1:7" ht="20.25" x14ac:dyDescent="0.25">
      <c r="A189" s="488"/>
      <c r="B189" s="644"/>
      <c r="C189" s="153" t="s">
        <v>151</v>
      </c>
      <c r="D189" s="191" t="s">
        <v>612</v>
      </c>
      <c r="E189" s="93">
        <v>1</v>
      </c>
      <c r="F189" s="93">
        <v>15</v>
      </c>
      <c r="G189" s="161" t="s">
        <v>413</v>
      </c>
    </row>
    <row r="190" spans="1:7" ht="37.5" x14ac:dyDescent="0.25">
      <c r="A190" s="489"/>
      <c r="B190" s="645"/>
      <c r="C190" s="153" t="s">
        <v>168</v>
      </c>
      <c r="D190" s="191" t="s">
        <v>613</v>
      </c>
      <c r="E190" s="93">
        <v>2</v>
      </c>
      <c r="F190" s="93">
        <v>25</v>
      </c>
      <c r="G190" s="161" t="s">
        <v>414</v>
      </c>
    </row>
    <row r="191" spans="1:7" ht="56.25" x14ac:dyDescent="0.25">
      <c r="A191" s="487">
        <v>12</v>
      </c>
      <c r="B191" s="643" t="s">
        <v>49</v>
      </c>
      <c r="C191" s="153" t="s">
        <v>150</v>
      </c>
      <c r="D191" s="191" t="s">
        <v>611</v>
      </c>
      <c r="E191" s="93">
        <v>3</v>
      </c>
      <c r="F191" s="93">
        <v>355</v>
      </c>
      <c r="G191" s="161" t="s">
        <v>406</v>
      </c>
    </row>
    <row r="192" spans="1:7" ht="112.5" x14ac:dyDescent="0.25">
      <c r="A192" s="488"/>
      <c r="B192" s="644"/>
      <c r="C192" s="153" t="s">
        <v>151</v>
      </c>
      <c r="D192" s="191" t="s">
        <v>612</v>
      </c>
      <c r="E192" s="93">
        <v>9</v>
      </c>
      <c r="F192" s="93">
        <v>889</v>
      </c>
      <c r="G192" s="161" t="s">
        <v>407</v>
      </c>
    </row>
    <row r="193" spans="1:7" ht="20.25" x14ac:dyDescent="0.25">
      <c r="A193" s="489"/>
      <c r="B193" s="645"/>
      <c r="C193" s="153" t="s">
        <v>168</v>
      </c>
      <c r="D193" s="191" t="s">
        <v>613</v>
      </c>
      <c r="E193" s="93">
        <v>1</v>
      </c>
      <c r="F193" s="93">
        <v>250</v>
      </c>
      <c r="G193" s="161" t="s">
        <v>405</v>
      </c>
    </row>
    <row r="194" spans="1:7" ht="20.25" x14ac:dyDescent="0.25">
      <c r="A194" s="487">
        <v>13</v>
      </c>
      <c r="B194" s="643" t="s">
        <v>52</v>
      </c>
      <c r="C194" s="153" t="s">
        <v>150</v>
      </c>
      <c r="D194" s="191" t="s">
        <v>611</v>
      </c>
      <c r="E194" s="93">
        <v>3</v>
      </c>
      <c r="F194" s="93">
        <v>510</v>
      </c>
      <c r="G194" s="161" t="s">
        <v>402</v>
      </c>
    </row>
    <row r="195" spans="1:7" ht="37.5" x14ac:dyDescent="0.25">
      <c r="A195" s="488"/>
      <c r="B195" s="644"/>
      <c r="C195" s="153" t="s">
        <v>151</v>
      </c>
      <c r="D195" s="191" t="s">
        <v>612</v>
      </c>
      <c r="E195" s="93">
        <v>2</v>
      </c>
      <c r="F195" s="93">
        <v>39</v>
      </c>
      <c r="G195" s="161" t="s">
        <v>404</v>
      </c>
    </row>
    <row r="196" spans="1:7" ht="150" x14ac:dyDescent="0.25">
      <c r="A196" s="489"/>
      <c r="B196" s="645"/>
      <c r="C196" s="153" t="s">
        <v>168</v>
      </c>
      <c r="D196" s="191" t="s">
        <v>613</v>
      </c>
      <c r="E196" s="93">
        <v>10</v>
      </c>
      <c r="F196" s="93">
        <v>308</v>
      </c>
      <c r="G196" s="161" t="s">
        <v>403</v>
      </c>
    </row>
    <row r="197" spans="1:7" s="6" customFormat="1" ht="20.25" x14ac:dyDescent="0.25">
      <c r="A197" s="487">
        <v>1</v>
      </c>
      <c r="B197" s="643" t="s">
        <v>83</v>
      </c>
      <c r="C197" s="153" t="s">
        <v>150</v>
      </c>
      <c r="D197" s="191" t="s">
        <v>611</v>
      </c>
      <c r="E197" s="93"/>
      <c r="F197" s="93"/>
      <c r="G197" s="93"/>
    </row>
    <row r="198" spans="1:7" s="6" customFormat="1" ht="20.25" x14ac:dyDescent="0.25">
      <c r="A198" s="488"/>
      <c r="B198" s="644"/>
      <c r="C198" s="153" t="s">
        <v>151</v>
      </c>
      <c r="D198" s="191" t="s">
        <v>612</v>
      </c>
      <c r="E198" s="93"/>
      <c r="F198" s="93"/>
      <c r="G198" s="93"/>
    </row>
    <row r="199" spans="1:7" s="6" customFormat="1" ht="20.25" x14ac:dyDescent="0.25">
      <c r="A199" s="489"/>
      <c r="B199" s="645"/>
      <c r="C199" s="153" t="s">
        <v>168</v>
      </c>
      <c r="D199" s="191" t="s">
        <v>613</v>
      </c>
      <c r="E199" s="93"/>
      <c r="F199" s="93"/>
      <c r="G199" s="93"/>
    </row>
    <row r="200" spans="1:7" s="6" customFormat="1" ht="20.25" x14ac:dyDescent="0.25">
      <c r="A200" s="487">
        <v>2</v>
      </c>
      <c r="B200" s="643" t="s">
        <v>20</v>
      </c>
      <c r="C200" s="153" t="s">
        <v>150</v>
      </c>
      <c r="D200" s="191" t="s">
        <v>611</v>
      </c>
      <c r="E200" s="93"/>
      <c r="F200" s="93"/>
      <c r="G200" s="93"/>
    </row>
    <row r="201" spans="1:7" s="6" customFormat="1" ht="20.25" x14ac:dyDescent="0.25">
      <c r="A201" s="488"/>
      <c r="B201" s="644"/>
      <c r="C201" s="153" t="s">
        <v>151</v>
      </c>
      <c r="D201" s="191" t="s">
        <v>612</v>
      </c>
      <c r="E201" s="93">
        <v>1</v>
      </c>
      <c r="F201" s="93">
        <v>12</v>
      </c>
      <c r="G201" s="93" t="s">
        <v>508</v>
      </c>
    </row>
    <row r="202" spans="1:7" s="6" customFormat="1" ht="20.25" x14ac:dyDescent="0.25">
      <c r="A202" s="489"/>
      <c r="B202" s="645"/>
      <c r="C202" s="153" t="s">
        <v>168</v>
      </c>
      <c r="D202" s="191" t="s">
        <v>613</v>
      </c>
      <c r="E202" s="93"/>
      <c r="F202" s="93"/>
      <c r="G202" s="93"/>
    </row>
    <row r="203" spans="1:7" s="6" customFormat="1" ht="56.25" x14ac:dyDescent="0.25">
      <c r="A203" s="487">
        <v>3</v>
      </c>
      <c r="B203" s="643" t="s">
        <v>23</v>
      </c>
      <c r="C203" s="153" t="s">
        <v>150</v>
      </c>
      <c r="D203" s="191" t="s">
        <v>611</v>
      </c>
      <c r="E203" s="93">
        <v>3</v>
      </c>
      <c r="F203" s="93">
        <v>752</v>
      </c>
      <c r="G203" s="93" t="s">
        <v>509</v>
      </c>
    </row>
    <row r="204" spans="1:7" s="6" customFormat="1" ht="20.25" x14ac:dyDescent="0.25">
      <c r="A204" s="488"/>
      <c r="B204" s="644"/>
      <c r="C204" s="153" t="s">
        <v>151</v>
      </c>
      <c r="D204" s="191" t="s">
        <v>612</v>
      </c>
      <c r="E204" s="93">
        <v>1</v>
      </c>
      <c r="F204" s="93">
        <v>10</v>
      </c>
      <c r="G204" s="93" t="s">
        <v>510</v>
      </c>
    </row>
    <row r="205" spans="1:7" s="6" customFormat="1" ht="20.25" x14ac:dyDescent="0.25">
      <c r="A205" s="489"/>
      <c r="B205" s="645"/>
      <c r="C205" s="153" t="s">
        <v>168</v>
      </c>
      <c r="D205" s="191" t="s">
        <v>613</v>
      </c>
      <c r="E205" s="93"/>
      <c r="F205" s="93"/>
      <c r="G205" s="93"/>
    </row>
    <row r="206" spans="1:7" s="6" customFormat="1" ht="20.25" x14ac:dyDescent="0.25">
      <c r="A206" s="487">
        <v>4</v>
      </c>
      <c r="B206" s="643" t="s">
        <v>165</v>
      </c>
      <c r="C206" s="153" t="s">
        <v>150</v>
      </c>
      <c r="D206" s="191" t="s">
        <v>611</v>
      </c>
      <c r="E206" s="93">
        <v>1</v>
      </c>
      <c r="F206" s="93">
        <v>150</v>
      </c>
      <c r="G206" s="93" t="s">
        <v>504</v>
      </c>
    </row>
    <row r="207" spans="1:7" s="6" customFormat="1" ht="20.25" x14ac:dyDescent="0.25">
      <c r="A207" s="488"/>
      <c r="B207" s="644"/>
      <c r="C207" s="153" t="s">
        <v>151</v>
      </c>
      <c r="D207" s="191" t="s">
        <v>612</v>
      </c>
      <c r="E207" s="93">
        <v>1</v>
      </c>
      <c r="F207" s="93">
        <v>70</v>
      </c>
      <c r="G207" s="93" t="s">
        <v>511</v>
      </c>
    </row>
    <row r="208" spans="1:7" s="6" customFormat="1" ht="37.5" x14ac:dyDescent="0.25">
      <c r="A208" s="489"/>
      <c r="B208" s="645"/>
      <c r="C208" s="153" t="s">
        <v>168</v>
      </c>
      <c r="D208" s="191" t="s">
        <v>613</v>
      </c>
      <c r="E208" s="93">
        <v>2</v>
      </c>
      <c r="F208" s="93">
        <v>210</v>
      </c>
      <c r="G208" s="93" t="s">
        <v>512</v>
      </c>
    </row>
    <row r="209" spans="1:9" s="6" customFormat="1" ht="37.5" x14ac:dyDescent="0.25">
      <c r="A209" s="487">
        <v>5</v>
      </c>
      <c r="B209" s="643" t="s">
        <v>25</v>
      </c>
      <c r="C209" s="153" t="s">
        <v>150</v>
      </c>
      <c r="D209" s="191" t="s">
        <v>611</v>
      </c>
      <c r="E209" s="93">
        <v>2</v>
      </c>
      <c r="F209" s="93">
        <v>370</v>
      </c>
      <c r="G209" s="93" t="s">
        <v>513</v>
      </c>
    </row>
    <row r="210" spans="1:9" s="6" customFormat="1" ht="37.5" x14ac:dyDescent="0.25">
      <c r="A210" s="488"/>
      <c r="B210" s="644"/>
      <c r="C210" s="153" t="s">
        <v>151</v>
      </c>
      <c r="D210" s="191" t="s">
        <v>612</v>
      </c>
      <c r="E210" s="93">
        <v>1</v>
      </c>
      <c r="F210" s="93">
        <v>150</v>
      </c>
      <c r="G210" s="93" t="s">
        <v>514</v>
      </c>
      <c r="H210" s="141"/>
    </row>
    <row r="211" spans="1:9" s="6" customFormat="1" ht="56.25" x14ac:dyDescent="0.25">
      <c r="A211" s="489"/>
      <c r="B211" s="645"/>
      <c r="C211" s="153" t="s">
        <v>168</v>
      </c>
      <c r="D211" s="191" t="s">
        <v>613</v>
      </c>
      <c r="E211" s="93">
        <v>3</v>
      </c>
      <c r="F211" s="93">
        <v>72</v>
      </c>
      <c r="G211" s="93" t="s">
        <v>515</v>
      </c>
      <c r="H211" s="141"/>
    </row>
    <row r="212" spans="1:9" s="6" customFormat="1" ht="150" x14ac:dyDescent="0.25">
      <c r="A212" s="487">
        <v>6</v>
      </c>
      <c r="B212" s="643" t="s">
        <v>28</v>
      </c>
      <c r="C212" s="153" t="s">
        <v>150</v>
      </c>
      <c r="D212" s="191" t="s">
        <v>611</v>
      </c>
      <c r="E212" s="93">
        <v>6</v>
      </c>
      <c r="F212" s="93">
        <v>349</v>
      </c>
      <c r="G212" s="93" t="s">
        <v>516</v>
      </c>
      <c r="H212" s="141"/>
    </row>
    <row r="213" spans="1:9" s="6" customFormat="1" ht="20.25" x14ac:dyDescent="0.25">
      <c r="A213" s="488"/>
      <c r="B213" s="644"/>
      <c r="C213" s="153" t="s">
        <v>151</v>
      </c>
      <c r="D213" s="191" t="s">
        <v>612</v>
      </c>
      <c r="E213" s="93">
        <v>1</v>
      </c>
      <c r="F213" s="93">
        <v>620</v>
      </c>
      <c r="G213" s="93" t="s">
        <v>517</v>
      </c>
      <c r="H213" s="141"/>
    </row>
    <row r="214" spans="1:9" s="6" customFormat="1" ht="75" x14ac:dyDescent="0.25">
      <c r="A214" s="489"/>
      <c r="B214" s="645"/>
      <c r="C214" s="153" t="s">
        <v>168</v>
      </c>
      <c r="D214" s="191" t="s">
        <v>613</v>
      </c>
      <c r="E214" s="93">
        <v>4</v>
      </c>
      <c r="F214" s="93">
        <v>830</v>
      </c>
      <c r="G214" s="93" t="s">
        <v>518</v>
      </c>
      <c r="H214" s="141"/>
    </row>
    <row r="215" spans="1:9" s="6" customFormat="1" ht="131.25" x14ac:dyDescent="0.25">
      <c r="A215" s="487">
        <v>7</v>
      </c>
      <c r="B215" s="643" t="s">
        <v>33</v>
      </c>
      <c r="C215" s="153" t="s">
        <v>150</v>
      </c>
      <c r="D215" s="191" t="s">
        <v>611</v>
      </c>
      <c r="E215" s="93">
        <v>6</v>
      </c>
      <c r="F215" s="93">
        <v>510</v>
      </c>
      <c r="G215" s="93" t="s">
        <v>519</v>
      </c>
      <c r="H215" s="141"/>
    </row>
    <row r="216" spans="1:9" s="6" customFormat="1" ht="112.5" x14ac:dyDescent="0.25">
      <c r="A216" s="488"/>
      <c r="B216" s="644"/>
      <c r="C216" s="153" t="s">
        <v>151</v>
      </c>
      <c r="D216" s="191" t="s">
        <v>612</v>
      </c>
      <c r="E216" s="93">
        <v>6</v>
      </c>
      <c r="F216" s="93">
        <v>151</v>
      </c>
      <c r="G216" s="93" t="s">
        <v>520</v>
      </c>
      <c r="H216" s="142"/>
      <c r="I216" s="44"/>
    </row>
    <row r="217" spans="1:9" s="6" customFormat="1" ht="131.25" x14ac:dyDescent="0.25">
      <c r="A217" s="489"/>
      <c r="B217" s="645"/>
      <c r="C217" s="153" t="s">
        <v>168</v>
      </c>
      <c r="D217" s="191" t="s">
        <v>613</v>
      </c>
      <c r="E217" s="93">
        <v>6</v>
      </c>
      <c r="F217" s="93">
        <v>248</v>
      </c>
      <c r="G217" s="93" t="s">
        <v>521</v>
      </c>
      <c r="H217" s="142"/>
      <c r="I217" s="44"/>
    </row>
    <row r="218" spans="1:9" s="6" customFormat="1" ht="37.5" x14ac:dyDescent="0.25">
      <c r="A218" s="487">
        <v>8</v>
      </c>
      <c r="B218" s="643" t="s">
        <v>38</v>
      </c>
      <c r="C218" s="153" t="s">
        <v>150</v>
      </c>
      <c r="D218" s="191" t="s">
        <v>611</v>
      </c>
      <c r="E218" s="93">
        <v>2</v>
      </c>
      <c r="F218" s="93">
        <v>310</v>
      </c>
      <c r="G218" s="93" t="s">
        <v>522</v>
      </c>
      <c r="H218" s="142"/>
      <c r="I218" s="44"/>
    </row>
    <row r="219" spans="1:9" s="6" customFormat="1" ht="20.25" x14ac:dyDescent="0.25">
      <c r="A219" s="488"/>
      <c r="B219" s="644"/>
      <c r="C219" s="153" t="s">
        <v>151</v>
      </c>
      <c r="D219" s="191" t="s">
        <v>612</v>
      </c>
      <c r="E219" s="93"/>
      <c r="F219" s="93"/>
      <c r="G219" s="93"/>
      <c r="H219" s="141"/>
    </row>
    <row r="220" spans="1:9" s="6" customFormat="1" ht="37.5" x14ac:dyDescent="0.25">
      <c r="A220" s="489"/>
      <c r="B220" s="645"/>
      <c r="C220" s="153" t="s">
        <v>168</v>
      </c>
      <c r="D220" s="191" t="s">
        <v>613</v>
      </c>
      <c r="E220" s="93">
        <v>2</v>
      </c>
      <c r="F220" s="93">
        <v>45</v>
      </c>
      <c r="G220" s="93" t="s">
        <v>523</v>
      </c>
      <c r="H220" s="141"/>
    </row>
    <row r="221" spans="1:9" s="6" customFormat="1" ht="37.5" x14ac:dyDescent="0.25">
      <c r="A221" s="487">
        <v>9</v>
      </c>
      <c r="B221" s="643" t="s">
        <v>88</v>
      </c>
      <c r="C221" s="153" t="s">
        <v>150</v>
      </c>
      <c r="D221" s="191" t="s">
        <v>611</v>
      </c>
      <c r="E221" s="93">
        <v>2</v>
      </c>
      <c r="F221" s="93">
        <v>575</v>
      </c>
      <c r="G221" s="93" t="s">
        <v>524</v>
      </c>
      <c r="H221" s="141"/>
    </row>
    <row r="222" spans="1:9" s="6" customFormat="1" ht="20.25" x14ac:dyDescent="0.25">
      <c r="A222" s="488"/>
      <c r="B222" s="644"/>
      <c r="C222" s="153" t="s">
        <v>151</v>
      </c>
      <c r="D222" s="191" t="s">
        <v>612</v>
      </c>
      <c r="E222" s="93">
        <v>1</v>
      </c>
      <c r="F222" s="93">
        <v>25</v>
      </c>
      <c r="G222" s="93" t="s">
        <v>525</v>
      </c>
      <c r="H222" s="141"/>
    </row>
    <row r="223" spans="1:9" s="6" customFormat="1" ht="20.25" x14ac:dyDescent="0.25">
      <c r="A223" s="489"/>
      <c r="B223" s="645"/>
      <c r="C223" s="153" t="s">
        <v>168</v>
      </c>
      <c r="D223" s="191" t="s">
        <v>613</v>
      </c>
      <c r="E223" s="93"/>
      <c r="F223" s="93"/>
      <c r="G223" s="93"/>
      <c r="H223" s="141"/>
    </row>
    <row r="224" spans="1:9" s="6" customFormat="1" ht="37.5" x14ac:dyDescent="0.25">
      <c r="A224" s="487">
        <v>10</v>
      </c>
      <c r="B224" s="643" t="s">
        <v>43</v>
      </c>
      <c r="C224" s="153" t="s">
        <v>150</v>
      </c>
      <c r="D224" s="191" t="s">
        <v>611</v>
      </c>
      <c r="E224" s="93">
        <v>2</v>
      </c>
      <c r="F224" s="93">
        <v>125</v>
      </c>
      <c r="G224" s="93" t="s">
        <v>526</v>
      </c>
      <c r="H224" s="141"/>
    </row>
    <row r="225" spans="1:8" s="6" customFormat="1" ht="37.5" x14ac:dyDescent="0.25">
      <c r="A225" s="488"/>
      <c r="B225" s="644"/>
      <c r="C225" s="153" t="s">
        <v>151</v>
      </c>
      <c r="D225" s="191" t="s">
        <v>612</v>
      </c>
      <c r="E225" s="93">
        <v>2</v>
      </c>
      <c r="F225" s="93">
        <v>187</v>
      </c>
      <c r="G225" s="93" t="s">
        <v>527</v>
      </c>
      <c r="H225" s="141"/>
    </row>
    <row r="226" spans="1:8" s="6" customFormat="1" ht="20.25" x14ac:dyDescent="0.25">
      <c r="A226" s="489"/>
      <c r="B226" s="645"/>
      <c r="C226" s="153" t="s">
        <v>168</v>
      </c>
      <c r="D226" s="191" t="s">
        <v>613</v>
      </c>
      <c r="E226" s="93">
        <v>2</v>
      </c>
      <c r="F226" s="93">
        <v>20</v>
      </c>
      <c r="G226" s="93" t="s">
        <v>528</v>
      </c>
    </row>
    <row r="227" spans="1:8" s="6" customFormat="1" ht="20.25" x14ac:dyDescent="0.25">
      <c r="A227" s="487">
        <v>11</v>
      </c>
      <c r="B227" s="643" t="s">
        <v>46</v>
      </c>
      <c r="C227" s="153" t="s">
        <v>150</v>
      </c>
      <c r="D227" s="191" t="s">
        <v>611</v>
      </c>
      <c r="E227" s="93">
        <v>1</v>
      </c>
      <c r="F227" s="93">
        <v>35</v>
      </c>
      <c r="G227" s="93" t="s">
        <v>529</v>
      </c>
    </row>
    <row r="228" spans="1:8" s="6" customFormat="1" ht="20.25" x14ac:dyDescent="0.25">
      <c r="A228" s="488"/>
      <c r="B228" s="644"/>
      <c r="C228" s="153" t="s">
        <v>151</v>
      </c>
      <c r="D228" s="191" t="s">
        <v>612</v>
      </c>
      <c r="E228" s="93">
        <v>1</v>
      </c>
      <c r="F228" s="93">
        <v>40</v>
      </c>
      <c r="G228" s="93" t="s">
        <v>530</v>
      </c>
    </row>
    <row r="229" spans="1:8" s="6" customFormat="1" ht="37.5" x14ac:dyDescent="0.25">
      <c r="A229" s="489"/>
      <c r="B229" s="645"/>
      <c r="C229" s="153" t="s">
        <v>168</v>
      </c>
      <c r="D229" s="191" t="s">
        <v>613</v>
      </c>
      <c r="E229" s="93">
        <v>2</v>
      </c>
      <c r="F229" s="93">
        <v>190</v>
      </c>
      <c r="G229" s="93" t="s">
        <v>531</v>
      </c>
    </row>
    <row r="230" spans="1:8" s="6" customFormat="1" ht="56.25" x14ac:dyDescent="0.25">
      <c r="A230" s="487">
        <v>12</v>
      </c>
      <c r="B230" s="643" t="s">
        <v>49</v>
      </c>
      <c r="C230" s="153" t="s">
        <v>150</v>
      </c>
      <c r="D230" s="191" t="s">
        <v>611</v>
      </c>
      <c r="E230" s="93">
        <v>3</v>
      </c>
      <c r="F230" s="93">
        <v>105</v>
      </c>
      <c r="G230" s="93" t="s">
        <v>532</v>
      </c>
    </row>
    <row r="231" spans="1:8" s="6" customFormat="1" ht="112.5" x14ac:dyDescent="0.25">
      <c r="A231" s="488"/>
      <c r="B231" s="644"/>
      <c r="C231" s="153" t="s">
        <v>151</v>
      </c>
      <c r="D231" s="191" t="s">
        <v>612</v>
      </c>
      <c r="E231" s="93">
        <v>5</v>
      </c>
      <c r="F231" s="93">
        <v>298</v>
      </c>
      <c r="G231" s="93" t="s">
        <v>533</v>
      </c>
    </row>
    <row r="232" spans="1:8" s="6" customFormat="1" ht="20.25" x14ac:dyDescent="0.25">
      <c r="A232" s="489"/>
      <c r="B232" s="645"/>
      <c r="C232" s="153" t="s">
        <v>168</v>
      </c>
      <c r="D232" s="191" t="s">
        <v>613</v>
      </c>
      <c r="E232" s="93"/>
      <c r="F232" s="93"/>
      <c r="G232" s="93"/>
    </row>
    <row r="233" spans="1:8" s="6" customFormat="1" ht="131.25" x14ac:dyDescent="0.25">
      <c r="A233" s="487">
        <v>13</v>
      </c>
      <c r="B233" s="643" t="s">
        <v>52</v>
      </c>
      <c r="C233" s="153" t="s">
        <v>150</v>
      </c>
      <c r="D233" s="191" t="s">
        <v>611</v>
      </c>
      <c r="E233" s="93">
        <v>6</v>
      </c>
      <c r="F233" s="93">
        <v>1220</v>
      </c>
      <c r="G233" s="93" t="s">
        <v>534</v>
      </c>
    </row>
    <row r="234" spans="1:8" s="6" customFormat="1" ht="75" x14ac:dyDescent="0.25">
      <c r="A234" s="488"/>
      <c r="B234" s="644"/>
      <c r="C234" s="153" t="s">
        <v>151</v>
      </c>
      <c r="D234" s="191" t="s">
        <v>612</v>
      </c>
      <c r="E234" s="93">
        <v>4</v>
      </c>
      <c r="F234" s="93">
        <v>304</v>
      </c>
      <c r="G234" s="93" t="s">
        <v>535</v>
      </c>
    </row>
    <row r="235" spans="1:8" s="6" customFormat="1" ht="37.5" x14ac:dyDescent="0.25">
      <c r="A235" s="489"/>
      <c r="B235" s="645"/>
      <c r="C235" s="153" t="s">
        <v>168</v>
      </c>
      <c r="D235" s="191" t="s">
        <v>613</v>
      </c>
      <c r="E235" s="93">
        <v>2</v>
      </c>
      <c r="F235" s="93">
        <v>510</v>
      </c>
      <c r="G235" s="93" t="s">
        <v>536</v>
      </c>
    </row>
    <row r="236" spans="1:8" s="6" customFormat="1" ht="20.25" x14ac:dyDescent="0.25">
      <c r="A236" s="487">
        <v>1</v>
      </c>
      <c r="B236" s="643" t="s">
        <v>83</v>
      </c>
      <c r="C236" s="153" t="s">
        <v>150</v>
      </c>
      <c r="D236" s="191" t="s">
        <v>611</v>
      </c>
      <c r="E236" s="93"/>
      <c r="F236" s="93"/>
      <c r="G236" s="93"/>
    </row>
    <row r="237" spans="1:8" s="6" customFormat="1" ht="20.25" x14ac:dyDescent="0.25">
      <c r="A237" s="488"/>
      <c r="B237" s="644"/>
      <c r="C237" s="153" t="s">
        <v>151</v>
      </c>
      <c r="D237" s="191" t="s">
        <v>612</v>
      </c>
      <c r="E237" s="93"/>
      <c r="F237" s="93"/>
      <c r="G237" s="93"/>
    </row>
    <row r="238" spans="1:8" s="6" customFormat="1" ht="75" x14ac:dyDescent="0.25">
      <c r="A238" s="489"/>
      <c r="B238" s="645"/>
      <c r="C238" s="153" t="s">
        <v>168</v>
      </c>
      <c r="D238" s="191" t="s">
        <v>613</v>
      </c>
      <c r="E238" s="93">
        <v>4</v>
      </c>
      <c r="F238" s="93">
        <v>155</v>
      </c>
      <c r="G238" s="93" t="s">
        <v>537</v>
      </c>
    </row>
    <row r="239" spans="1:8" s="6" customFormat="1" ht="20.25" x14ac:dyDescent="0.25">
      <c r="A239" s="487">
        <v>2</v>
      </c>
      <c r="B239" s="643" t="s">
        <v>20</v>
      </c>
      <c r="C239" s="153" t="s">
        <v>150</v>
      </c>
      <c r="D239" s="191" t="s">
        <v>611</v>
      </c>
      <c r="E239" s="93"/>
      <c r="F239" s="93"/>
      <c r="G239" s="93"/>
    </row>
    <row r="240" spans="1:8" s="6" customFormat="1" ht="20.25" x14ac:dyDescent="0.25">
      <c r="A240" s="488"/>
      <c r="B240" s="644"/>
      <c r="C240" s="153" t="s">
        <v>151</v>
      </c>
      <c r="D240" s="191" t="s">
        <v>612</v>
      </c>
      <c r="E240" s="93"/>
      <c r="F240" s="93"/>
      <c r="G240" s="93"/>
    </row>
    <row r="241" spans="1:9" s="6" customFormat="1" ht="20.25" x14ac:dyDescent="0.25">
      <c r="A241" s="489"/>
      <c r="B241" s="645"/>
      <c r="C241" s="153" t="s">
        <v>168</v>
      </c>
      <c r="D241" s="191" t="s">
        <v>613</v>
      </c>
      <c r="E241" s="93"/>
      <c r="F241" s="93"/>
      <c r="G241" s="93"/>
    </row>
    <row r="242" spans="1:9" s="6" customFormat="1" ht="20.25" x14ac:dyDescent="0.25">
      <c r="A242" s="487">
        <v>3</v>
      </c>
      <c r="B242" s="643" t="s">
        <v>23</v>
      </c>
      <c r="C242" s="153" t="s">
        <v>150</v>
      </c>
      <c r="D242" s="191" t="s">
        <v>611</v>
      </c>
      <c r="E242" s="93">
        <v>1</v>
      </c>
      <c r="F242" s="93">
        <v>57</v>
      </c>
      <c r="G242" s="93" t="s">
        <v>538</v>
      </c>
    </row>
    <row r="243" spans="1:9" s="6" customFormat="1" ht="37.5" x14ac:dyDescent="0.25">
      <c r="A243" s="488"/>
      <c r="B243" s="644"/>
      <c r="C243" s="153" t="s">
        <v>151</v>
      </c>
      <c r="D243" s="191" t="s">
        <v>612</v>
      </c>
      <c r="E243" s="93">
        <v>2</v>
      </c>
      <c r="F243" s="93"/>
      <c r="G243" s="93" t="s">
        <v>539</v>
      </c>
    </row>
    <row r="244" spans="1:9" s="6" customFormat="1" ht="20.25" x14ac:dyDescent="0.25">
      <c r="A244" s="489"/>
      <c r="B244" s="645"/>
      <c r="C244" s="153" t="s">
        <v>168</v>
      </c>
      <c r="D244" s="191" t="s">
        <v>613</v>
      </c>
      <c r="E244" s="93">
        <v>1</v>
      </c>
      <c r="F244" s="93">
        <v>80</v>
      </c>
      <c r="G244" s="93" t="s">
        <v>540</v>
      </c>
    </row>
    <row r="245" spans="1:9" s="6" customFormat="1" ht="20.25" x14ac:dyDescent="0.25">
      <c r="A245" s="487">
        <v>4</v>
      </c>
      <c r="B245" s="643" t="s">
        <v>165</v>
      </c>
      <c r="C245" s="153" t="s">
        <v>150</v>
      </c>
      <c r="D245" s="191" t="s">
        <v>611</v>
      </c>
      <c r="E245" s="93">
        <v>1</v>
      </c>
      <c r="F245" s="93">
        <v>35</v>
      </c>
      <c r="G245" s="93" t="s">
        <v>541</v>
      </c>
    </row>
    <row r="246" spans="1:9" s="6" customFormat="1" ht="20.25" x14ac:dyDescent="0.25">
      <c r="A246" s="488"/>
      <c r="B246" s="644"/>
      <c r="C246" s="153" t="s">
        <v>151</v>
      </c>
      <c r="D246" s="191" t="s">
        <v>612</v>
      </c>
      <c r="E246" s="93">
        <v>1</v>
      </c>
      <c r="F246" s="93">
        <v>30</v>
      </c>
      <c r="G246" s="93" t="s">
        <v>542</v>
      </c>
    </row>
    <row r="247" spans="1:9" s="6" customFormat="1" ht="20.25" x14ac:dyDescent="0.25">
      <c r="A247" s="489"/>
      <c r="B247" s="645"/>
      <c r="C247" s="153" t="s">
        <v>168</v>
      </c>
      <c r="D247" s="191" t="s">
        <v>613</v>
      </c>
      <c r="E247" s="93">
        <v>3</v>
      </c>
      <c r="F247" s="93">
        <v>175</v>
      </c>
      <c r="G247" s="93" t="s">
        <v>543</v>
      </c>
    </row>
    <row r="248" spans="1:9" s="6" customFormat="1" ht="20.25" x14ac:dyDescent="0.25">
      <c r="A248" s="487">
        <v>5</v>
      </c>
      <c r="B248" s="643" t="s">
        <v>25</v>
      </c>
      <c r="C248" s="153" t="s">
        <v>150</v>
      </c>
      <c r="D248" s="191" t="s">
        <v>611</v>
      </c>
      <c r="E248" s="93">
        <v>1</v>
      </c>
      <c r="F248" s="93">
        <v>167</v>
      </c>
      <c r="G248" s="93" t="s">
        <v>544</v>
      </c>
    </row>
    <row r="249" spans="1:9" s="6" customFormat="1" ht="20.25" x14ac:dyDescent="0.25">
      <c r="A249" s="488"/>
      <c r="B249" s="644"/>
      <c r="C249" s="153" t="s">
        <v>151</v>
      </c>
      <c r="D249" s="191" t="s">
        <v>612</v>
      </c>
      <c r="E249" s="93">
        <v>1</v>
      </c>
      <c r="F249" s="93">
        <v>150</v>
      </c>
      <c r="G249" s="93" t="s">
        <v>545</v>
      </c>
      <c r="H249" s="141"/>
    </row>
    <row r="250" spans="1:9" s="6" customFormat="1" ht="37.5" x14ac:dyDescent="0.25">
      <c r="A250" s="489"/>
      <c r="B250" s="645"/>
      <c r="C250" s="153" t="s">
        <v>168</v>
      </c>
      <c r="D250" s="191" t="s">
        <v>613</v>
      </c>
      <c r="E250" s="93">
        <v>2</v>
      </c>
      <c r="F250" s="93">
        <v>156</v>
      </c>
      <c r="G250" s="93" t="s">
        <v>546</v>
      </c>
      <c r="H250" s="141"/>
    </row>
    <row r="251" spans="1:9" s="6" customFormat="1" ht="56.25" x14ac:dyDescent="0.25">
      <c r="A251" s="487">
        <v>6</v>
      </c>
      <c r="B251" s="643" t="s">
        <v>28</v>
      </c>
      <c r="C251" s="153" t="s">
        <v>150</v>
      </c>
      <c r="D251" s="191" t="s">
        <v>611</v>
      </c>
      <c r="E251" s="93">
        <v>4</v>
      </c>
      <c r="F251" s="93">
        <v>392</v>
      </c>
      <c r="G251" s="93" t="s">
        <v>547</v>
      </c>
      <c r="H251" s="141"/>
    </row>
    <row r="252" spans="1:9" s="6" customFormat="1" ht="20.25" x14ac:dyDescent="0.25">
      <c r="A252" s="488"/>
      <c r="B252" s="644"/>
      <c r="C252" s="153" t="s">
        <v>151</v>
      </c>
      <c r="D252" s="191" t="s">
        <v>612</v>
      </c>
      <c r="E252" s="93"/>
      <c r="F252" s="93"/>
      <c r="G252" s="93"/>
      <c r="H252" s="141"/>
    </row>
    <row r="253" spans="1:9" s="6" customFormat="1" ht="56.25" x14ac:dyDescent="0.25">
      <c r="A253" s="489"/>
      <c r="B253" s="645"/>
      <c r="C253" s="153" t="s">
        <v>168</v>
      </c>
      <c r="D253" s="191" t="s">
        <v>613</v>
      </c>
      <c r="E253" s="93">
        <v>3</v>
      </c>
      <c r="F253" s="93">
        <v>2115</v>
      </c>
      <c r="G253" s="93" t="s">
        <v>548</v>
      </c>
      <c r="H253" s="141"/>
    </row>
    <row r="254" spans="1:9" s="6" customFormat="1" ht="131.25" x14ac:dyDescent="0.25">
      <c r="A254" s="487">
        <v>7</v>
      </c>
      <c r="B254" s="643" t="s">
        <v>33</v>
      </c>
      <c r="C254" s="153" t="s">
        <v>150</v>
      </c>
      <c r="D254" s="191" t="s">
        <v>611</v>
      </c>
      <c r="E254" s="93">
        <v>7</v>
      </c>
      <c r="F254" s="93">
        <v>730</v>
      </c>
      <c r="G254" s="93" t="s">
        <v>549</v>
      </c>
      <c r="H254" s="141"/>
    </row>
    <row r="255" spans="1:9" s="6" customFormat="1" ht="168.75" x14ac:dyDescent="0.25">
      <c r="A255" s="488"/>
      <c r="B255" s="644"/>
      <c r="C255" s="153" t="s">
        <v>151</v>
      </c>
      <c r="D255" s="191" t="s">
        <v>612</v>
      </c>
      <c r="E255" s="93">
        <v>10</v>
      </c>
      <c r="F255" s="93">
        <v>266</v>
      </c>
      <c r="G255" s="93" t="s">
        <v>550</v>
      </c>
      <c r="H255" s="142"/>
      <c r="I255" s="44"/>
    </row>
    <row r="256" spans="1:9" s="6" customFormat="1" ht="93.75" x14ac:dyDescent="0.25">
      <c r="A256" s="489"/>
      <c r="B256" s="645"/>
      <c r="C256" s="153" t="s">
        <v>168</v>
      </c>
      <c r="D256" s="191" t="s">
        <v>613</v>
      </c>
      <c r="E256" s="93">
        <v>5</v>
      </c>
      <c r="F256" s="93">
        <v>163</v>
      </c>
      <c r="G256" s="93" t="s">
        <v>551</v>
      </c>
      <c r="H256" s="142"/>
      <c r="I256" s="44"/>
    </row>
    <row r="257" spans="1:9" s="6" customFormat="1" ht="20.25" x14ac:dyDescent="0.25">
      <c r="A257" s="487">
        <v>8</v>
      </c>
      <c r="B257" s="643" t="s">
        <v>38</v>
      </c>
      <c r="C257" s="153" t="s">
        <v>150</v>
      </c>
      <c r="D257" s="191" t="s">
        <v>611</v>
      </c>
      <c r="E257" s="93">
        <v>1</v>
      </c>
      <c r="F257" s="93">
        <v>30</v>
      </c>
      <c r="G257" s="93" t="s">
        <v>505</v>
      </c>
      <c r="H257" s="142"/>
      <c r="I257" s="44"/>
    </row>
    <row r="258" spans="1:9" s="6" customFormat="1" ht="37.5" x14ac:dyDescent="0.25">
      <c r="A258" s="488"/>
      <c r="B258" s="644"/>
      <c r="C258" s="153" t="s">
        <v>151</v>
      </c>
      <c r="D258" s="191" t="s">
        <v>612</v>
      </c>
      <c r="E258" s="93">
        <v>2</v>
      </c>
      <c r="F258" s="93">
        <v>30</v>
      </c>
      <c r="G258" s="93" t="s">
        <v>552</v>
      </c>
      <c r="H258" s="141"/>
    </row>
    <row r="259" spans="1:9" s="6" customFormat="1" ht="20.25" x14ac:dyDescent="0.25">
      <c r="A259" s="489"/>
      <c r="B259" s="645"/>
      <c r="C259" s="153" t="s">
        <v>168</v>
      </c>
      <c r="D259" s="191" t="s">
        <v>613</v>
      </c>
      <c r="E259" s="93"/>
      <c r="F259" s="93"/>
      <c r="G259" s="93"/>
      <c r="H259" s="141"/>
    </row>
    <row r="260" spans="1:9" s="6" customFormat="1" ht="20.25" x14ac:dyDescent="0.25">
      <c r="A260" s="487">
        <v>9</v>
      </c>
      <c r="B260" s="643" t="s">
        <v>88</v>
      </c>
      <c r="C260" s="153" t="s">
        <v>150</v>
      </c>
      <c r="D260" s="191" t="s">
        <v>611</v>
      </c>
      <c r="E260" s="93"/>
      <c r="F260" s="93"/>
      <c r="G260" s="93"/>
      <c r="H260" s="141"/>
    </row>
    <row r="261" spans="1:9" s="6" customFormat="1" ht="20.25" x14ac:dyDescent="0.25">
      <c r="A261" s="488"/>
      <c r="B261" s="644"/>
      <c r="C261" s="153" t="s">
        <v>151</v>
      </c>
      <c r="D261" s="191" t="s">
        <v>612</v>
      </c>
      <c r="E261" s="93"/>
      <c r="F261" s="93"/>
      <c r="G261" s="93"/>
      <c r="H261" s="141"/>
    </row>
    <row r="262" spans="1:9" s="6" customFormat="1" ht="20.25" x14ac:dyDescent="0.25">
      <c r="A262" s="489"/>
      <c r="B262" s="645"/>
      <c r="C262" s="153" t="s">
        <v>168</v>
      </c>
      <c r="D262" s="191" t="s">
        <v>613</v>
      </c>
      <c r="E262" s="93"/>
      <c r="F262" s="93"/>
      <c r="G262" s="93"/>
      <c r="H262" s="141"/>
    </row>
    <row r="263" spans="1:9" s="6" customFormat="1" ht="37.5" x14ac:dyDescent="0.25">
      <c r="A263" s="487">
        <v>10</v>
      </c>
      <c r="B263" s="643" t="s">
        <v>43</v>
      </c>
      <c r="C263" s="153" t="s">
        <v>150</v>
      </c>
      <c r="D263" s="191" t="s">
        <v>611</v>
      </c>
      <c r="E263" s="93">
        <v>2</v>
      </c>
      <c r="F263" s="93">
        <v>350</v>
      </c>
      <c r="G263" s="93" t="s">
        <v>553</v>
      </c>
      <c r="H263" s="141"/>
    </row>
    <row r="264" spans="1:9" s="6" customFormat="1" ht="37.5" x14ac:dyDescent="0.25">
      <c r="A264" s="488"/>
      <c r="B264" s="644"/>
      <c r="C264" s="153" t="s">
        <v>151</v>
      </c>
      <c r="D264" s="191" t="s">
        <v>612</v>
      </c>
      <c r="E264" s="93">
        <v>2</v>
      </c>
      <c r="F264" s="93">
        <v>205</v>
      </c>
      <c r="G264" s="93" t="s">
        <v>554</v>
      </c>
      <c r="H264" s="141"/>
    </row>
    <row r="265" spans="1:9" s="6" customFormat="1" ht="20.25" x14ac:dyDescent="0.25">
      <c r="A265" s="489"/>
      <c r="B265" s="645"/>
      <c r="C265" s="153" t="s">
        <v>168</v>
      </c>
      <c r="D265" s="191" t="s">
        <v>613</v>
      </c>
      <c r="E265" s="93"/>
      <c r="F265" s="93"/>
      <c r="G265" s="93"/>
    </row>
    <row r="266" spans="1:9" s="6" customFormat="1" ht="20.25" x14ac:dyDescent="0.25">
      <c r="A266" s="487">
        <v>11</v>
      </c>
      <c r="B266" s="643" t="s">
        <v>46</v>
      </c>
      <c r="C266" s="153" t="s">
        <v>150</v>
      </c>
      <c r="D266" s="191" t="s">
        <v>611</v>
      </c>
      <c r="E266" s="93"/>
      <c r="F266" s="93"/>
      <c r="G266" s="93"/>
    </row>
    <row r="267" spans="1:9" s="6" customFormat="1" ht="20.25" x14ac:dyDescent="0.25">
      <c r="A267" s="488"/>
      <c r="B267" s="644"/>
      <c r="C267" s="153" t="s">
        <v>151</v>
      </c>
      <c r="D267" s="191" t="s">
        <v>612</v>
      </c>
      <c r="E267" s="93"/>
      <c r="F267" s="93"/>
      <c r="G267" s="93"/>
    </row>
    <row r="268" spans="1:9" s="6" customFormat="1" ht="20.25" x14ac:dyDescent="0.25">
      <c r="A268" s="489"/>
      <c r="B268" s="645"/>
      <c r="C268" s="153" t="s">
        <v>168</v>
      </c>
      <c r="D268" s="191" t="s">
        <v>613</v>
      </c>
      <c r="E268" s="93"/>
      <c r="F268" s="93"/>
      <c r="G268" s="93"/>
    </row>
    <row r="269" spans="1:9" s="6" customFormat="1" ht="20.25" x14ac:dyDescent="0.25">
      <c r="A269" s="487">
        <v>12</v>
      </c>
      <c r="B269" s="643" t="s">
        <v>49</v>
      </c>
      <c r="C269" s="153" t="s">
        <v>150</v>
      </c>
      <c r="D269" s="191" t="s">
        <v>611</v>
      </c>
      <c r="E269" s="93">
        <v>1</v>
      </c>
      <c r="F269" s="93">
        <v>50</v>
      </c>
      <c r="G269" s="93" t="s">
        <v>555</v>
      </c>
    </row>
    <row r="270" spans="1:9" s="6" customFormat="1" ht="131.25" x14ac:dyDescent="0.25">
      <c r="A270" s="488"/>
      <c r="B270" s="644"/>
      <c r="C270" s="153" t="s">
        <v>151</v>
      </c>
      <c r="D270" s="191" t="s">
        <v>612</v>
      </c>
      <c r="E270" s="93">
        <v>7</v>
      </c>
      <c r="F270" s="93">
        <v>425</v>
      </c>
      <c r="G270" s="93" t="s">
        <v>556</v>
      </c>
    </row>
    <row r="271" spans="1:9" s="6" customFormat="1" ht="20.25" x14ac:dyDescent="0.25">
      <c r="A271" s="489"/>
      <c r="B271" s="645"/>
      <c r="C271" s="153" t="s">
        <v>168</v>
      </c>
      <c r="D271" s="191" t="s">
        <v>613</v>
      </c>
      <c r="E271" s="93"/>
      <c r="F271" s="93"/>
      <c r="G271" s="93"/>
    </row>
    <row r="272" spans="1:9" s="6" customFormat="1" ht="37.5" x14ac:dyDescent="0.25">
      <c r="A272" s="487">
        <v>13</v>
      </c>
      <c r="B272" s="643" t="s">
        <v>52</v>
      </c>
      <c r="C272" s="153" t="s">
        <v>150</v>
      </c>
      <c r="D272" s="191" t="s">
        <v>611</v>
      </c>
      <c r="E272" s="93">
        <v>2</v>
      </c>
      <c r="F272" s="93">
        <v>160</v>
      </c>
      <c r="G272" s="93" t="s">
        <v>557</v>
      </c>
    </row>
    <row r="273" spans="1:7" s="6" customFormat="1" ht="56.25" x14ac:dyDescent="0.25">
      <c r="A273" s="488"/>
      <c r="B273" s="644"/>
      <c r="C273" s="153" t="s">
        <v>151</v>
      </c>
      <c r="D273" s="191" t="s">
        <v>612</v>
      </c>
      <c r="E273" s="93">
        <v>4</v>
      </c>
      <c r="F273" s="93">
        <v>231</v>
      </c>
      <c r="G273" s="93" t="s">
        <v>558</v>
      </c>
    </row>
    <row r="274" spans="1:7" s="6" customFormat="1" ht="131.25" x14ac:dyDescent="0.25">
      <c r="A274" s="489"/>
      <c r="B274" s="645"/>
      <c r="C274" s="153" t="s">
        <v>168</v>
      </c>
      <c r="D274" s="191" t="s">
        <v>613</v>
      </c>
      <c r="E274" s="93">
        <v>7</v>
      </c>
      <c r="F274" s="93">
        <v>144</v>
      </c>
      <c r="G274" s="93" t="s">
        <v>559</v>
      </c>
    </row>
    <row r="275" spans="1:7" s="6" customFormat="1" x14ac:dyDescent="0.25">
      <c r="A275" s="44"/>
      <c r="B275" s="43"/>
      <c r="C275" s="152"/>
      <c r="E275" s="44"/>
      <c r="F275" s="44"/>
      <c r="G275" s="44"/>
    </row>
    <row r="276" spans="1:7" ht="15" x14ac:dyDescent="0.25">
      <c r="E276" s="174"/>
      <c r="G276" s="6"/>
    </row>
  </sheetData>
  <mergeCells count="182">
    <mergeCell ref="A269:A271"/>
    <mergeCell ref="B269:B271"/>
    <mergeCell ref="A272:A274"/>
    <mergeCell ref="B272:B274"/>
    <mergeCell ref="A260:A262"/>
    <mergeCell ref="B260:B262"/>
    <mergeCell ref="A263:A265"/>
    <mergeCell ref="B263:B265"/>
    <mergeCell ref="A266:A268"/>
    <mergeCell ref="B266:B268"/>
    <mergeCell ref="A251:A253"/>
    <mergeCell ref="B251:B253"/>
    <mergeCell ref="A254:A256"/>
    <mergeCell ref="B254:B256"/>
    <mergeCell ref="A257:A259"/>
    <mergeCell ref="B257:B259"/>
    <mergeCell ref="A242:A244"/>
    <mergeCell ref="B242:B244"/>
    <mergeCell ref="A245:A247"/>
    <mergeCell ref="B245:B247"/>
    <mergeCell ref="A248:A250"/>
    <mergeCell ref="B248:B250"/>
    <mergeCell ref="A233:A235"/>
    <mergeCell ref="B233:B235"/>
    <mergeCell ref="A236:A238"/>
    <mergeCell ref="B236:B238"/>
    <mergeCell ref="A239:A241"/>
    <mergeCell ref="B239:B241"/>
    <mergeCell ref="A224:A226"/>
    <mergeCell ref="B224:B226"/>
    <mergeCell ref="A227:A229"/>
    <mergeCell ref="B227:B229"/>
    <mergeCell ref="A230:A232"/>
    <mergeCell ref="B230:B232"/>
    <mergeCell ref="A215:A217"/>
    <mergeCell ref="B215:B217"/>
    <mergeCell ref="A218:A220"/>
    <mergeCell ref="B218:B220"/>
    <mergeCell ref="A221:A223"/>
    <mergeCell ref="B221:B223"/>
    <mergeCell ref="A206:A208"/>
    <mergeCell ref="B206:B208"/>
    <mergeCell ref="A209:A211"/>
    <mergeCell ref="B209:B211"/>
    <mergeCell ref="A212:A214"/>
    <mergeCell ref="B212:B214"/>
    <mergeCell ref="A197:A199"/>
    <mergeCell ref="B197:B199"/>
    <mergeCell ref="A200:A202"/>
    <mergeCell ref="B200:B202"/>
    <mergeCell ref="A203:A205"/>
    <mergeCell ref="B203:B205"/>
    <mergeCell ref="A188:A190"/>
    <mergeCell ref="B188:B190"/>
    <mergeCell ref="A191:A193"/>
    <mergeCell ref="B191:B193"/>
    <mergeCell ref="A194:A196"/>
    <mergeCell ref="B194:B196"/>
    <mergeCell ref="A179:A181"/>
    <mergeCell ref="B179:B181"/>
    <mergeCell ref="A182:A184"/>
    <mergeCell ref="B182:B184"/>
    <mergeCell ref="A185:A187"/>
    <mergeCell ref="B185:B187"/>
    <mergeCell ref="A170:A172"/>
    <mergeCell ref="B170:B172"/>
    <mergeCell ref="A173:A175"/>
    <mergeCell ref="B173:B175"/>
    <mergeCell ref="A176:A178"/>
    <mergeCell ref="B176:B178"/>
    <mergeCell ref="A161:A163"/>
    <mergeCell ref="B161:B163"/>
    <mergeCell ref="A164:A166"/>
    <mergeCell ref="B164:B166"/>
    <mergeCell ref="A167:A169"/>
    <mergeCell ref="B167:B169"/>
    <mergeCell ref="A152:A154"/>
    <mergeCell ref="B152:B154"/>
    <mergeCell ref="A155:A157"/>
    <mergeCell ref="B155:B157"/>
    <mergeCell ref="A158:A160"/>
    <mergeCell ref="B158:B160"/>
    <mergeCell ref="A143:A145"/>
    <mergeCell ref="B143:B145"/>
    <mergeCell ref="A146:A148"/>
    <mergeCell ref="B146:B148"/>
    <mergeCell ref="A149:A151"/>
    <mergeCell ref="B149:B151"/>
    <mergeCell ref="A134:A136"/>
    <mergeCell ref="B134:B136"/>
    <mergeCell ref="A137:A139"/>
    <mergeCell ref="B137:B139"/>
    <mergeCell ref="A140:A142"/>
    <mergeCell ref="B140:B142"/>
    <mergeCell ref="A125:A127"/>
    <mergeCell ref="B125:B127"/>
    <mergeCell ref="A128:A130"/>
    <mergeCell ref="B128:B130"/>
    <mergeCell ref="A131:A133"/>
    <mergeCell ref="B131:B133"/>
    <mergeCell ref="A116:A118"/>
    <mergeCell ref="B116:B118"/>
    <mergeCell ref="A119:A121"/>
    <mergeCell ref="B119:B121"/>
    <mergeCell ref="A122:A124"/>
    <mergeCell ref="B122:B124"/>
    <mergeCell ref="A107:A109"/>
    <mergeCell ref="B107:B109"/>
    <mergeCell ref="A110:A112"/>
    <mergeCell ref="B110:B112"/>
    <mergeCell ref="A113:A115"/>
    <mergeCell ref="B113:B115"/>
    <mergeCell ref="A98:A100"/>
    <mergeCell ref="B98:B100"/>
    <mergeCell ref="A101:A103"/>
    <mergeCell ref="B101:B103"/>
    <mergeCell ref="A104:A106"/>
    <mergeCell ref="B104:B106"/>
    <mergeCell ref="A89:A91"/>
    <mergeCell ref="B89:B91"/>
    <mergeCell ref="A92:A94"/>
    <mergeCell ref="B92:B94"/>
    <mergeCell ref="A95:A97"/>
    <mergeCell ref="B95:B97"/>
    <mergeCell ref="A80:A82"/>
    <mergeCell ref="B80:B82"/>
    <mergeCell ref="A83:A85"/>
    <mergeCell ref="B83:B85"/>
    <mergeCell ref="A86:A88"/>
    <mergeCell ref="B86:B88"/>
    <mergeCell ref="A71:A73"/>
    <mergeCell ref="B71:B73"/>
    <mergeCell ref="A74:A76"/>
    <mergeCell ref="B74:B76"/>
    <mergeCell ref="A77:A79"/>
    <mergeCell ref="B77:B79"/>
    <mergeCell ref="A62:A64"/>
    <mergeCell ref="B62:B64"/>
    <mergeCell ref="A65:A67"/>
    <mergeCell ref="B65:B67"/>
    <mergeCell ref="A68:A70"/>
    <mergeCell ref="B68:B70"/>
    <mergeCell ref="A53:A55"/>
    <mergeCell ref="B53:B55"/>
    <mergeCell ref="A56:A58"/>
    <mergeCell ref="B56:B58"/>
    <mergeCell ref="A59:A61"/>
    <mergeCell ref="B59:B61"/>
    <mergeCell ref="A44:A46"/>
    <mergeCell ref="B44:B46"/>
    <mergeCell ref="A47:A49"/>
    <mergeCell ref="B47:B49"/>
    <mergeCell ref="A50:A52"/>
    <mergeCell ref="B50:B52"/>
    <mergeCell ref="A35:A37"/>
    <mergeCell ref="B35:B37"/>
    <mergeCell ref="A38:A40"/>
    <mergeCell ref="B38:B40"/>
    <mergeCell ref="A41:A43"/>
    <mergeCell ref="B41:B43"/>
    <mergeCell ref="A26:A28"/>
    <mergeCell ref="B26:B28"/>
    <mergeCell ref="A29:A31"/>
    <mergeCell ref="B29:B31"/>
    <mergeCell ref="A32:A34"/>
    <mergeCell ref="B32:B34"/>
    <mergeCell ref="A2:A4"/>
    <mergeCell ref="B2:B4"/>
    <mergeCell ref="A5:A7"/>
    <mergeCell ref="B5:B7"/>
    <mergeCell ref="A17:A19"/>
    <mergeCell ref="B17:B19"/>
    <mergeCell ref="A20:A22"/>
    <mergeCell ref="B20:B22"/>
    <mergeCell ref="A23:A25"/>
    <mergeCell ref="B23:B25"/>
    <mergeCell ref="A8:A10"/>
    <mergeCell ref="B8:B10"/>
    <mergeCell ref="A11:A13"/>
    <mergeCell ref="B11:B13"/>
    <mergeCell ref="A14:A16"/>
    <mergeCell ref="B14:B1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filterMode="1"/>
  <dimension ref="A2:I262"/>
  <sheetViews>
    <sheetView workbookViewId="0"/>
  </sheetViews>
  <sheetFormatPr defaultColWidth="9.140625" defaultRowHeight="18.75" x14ac:dyDescent="0.25"/>
  <cols>
    <col min="1" max="1" width="6.28515625" style="6" customWidth="1"/>
    <col min="2" max="2" width="15" style="24" customWidth="1"/>
    <col min="3" max="4" width="19.42578125" style="24" customWidth="1"/>
    <col min="5" max="5" width="7.85546875" style="24" customWidth="1"/>
    <col min="6" max="6" width="15.140625" style="6" customWidth="1"/>
    <col min="7" max="7" width="11.42578125" style="6" customWidth="1"/>
    <col min="8" max="8" width="60.42578125" style="237" customWidth="1"/>
    <col min="9" max="9" width="5.140625" style="6" bestFit="1" customWidth="1"/>
    <col min="10" max="14" width="4.140625" style="6" bestFit="1" customWidth="1"/>
    <col min="15" max="15" width="3" style="6" bestFit="1" customWidth="1"/>
    <col min="16" max="16" width="4.140625" style="6" bestFit="1" customWidth="1"/>
    <col min="17" max="35" width="3" style="6" bestFit="1" customWidth="1"/>
    <col min="36" max="36" width="4.140625" style="6" bestFit="1" customWidth="1"/>
    <col min="37" max="16384" width="9.140625" style="6"/>
  </cols>
  <sheetData>
    <row r="2" spans="1:8" ht="20.25" x14ac:dyDescent="0.25">
      <c r="A2" s="646">
        <v>1</v>
      </c>
      <c r="B2" s="649" t="s">
        <v>83</v>
      </c>
      <c r="C2" s="92" t="s">
        <v>150</v>
      </c>
      <c r="D2" s="191" t="s">
        <v>611</v>
      </c>
      <c r="E2" s="92"/>
      <c r="F2" s="35"/>
      <c r="G2" s="35"/>
      <c r="H2" s="40"/>
    </row>
    <row r="3" spans="1:8" ht="20.25" hidden="1" x14ac:dyDescent="0.25">
      <c r="A3" s="647"/>
      <c r="B3" s="650"/>
      <c r="C3" s="92" t="s">
        <v>151</v>
      </c>
      <c r="D3" s="191" t="s">
        <v>612</v>
      </c>
      <c r="E3" s="92"/>
      <c r="F3" s="35"/>
      <c r="G3" s="35"/>
      <c r="H3" s="40"/>
    </row>
    <row r="4" spans="1:8" ht="20.25" hidden="1" x14ac:dyDescent="0.25">
      <c r="A4" s="648"/>
      <c r="B4" s="651"/>
      <c r="C4" s="92" t="s">
        <v>168</v>
      </c>
      <c r="D4" s="191" t="s">
        <v>613</v>
      </c>
      <c r="E4" s="92"/>
      <c r="F4" s="35"/>
      <c r="G4" s="35"/>
      <c r="H4" s="40"/>
    </row>
    <row r="5" spans="1:8" ht="20.25" x14ac:dyDescent="0.25">
      <c r="A5" s="646">
        <v>2</v>
      </c>
      <c r="B5" s="649" t="s">
        <v>20</v>
      </c>
      <c r="C5" s="92" t="s">
        <v>150</v>
      </c>
      <c r="D5" s="191" t="s">
        <v>611</v>
      </c>
      <c r="E5" s="92"/>
      <c r="F5" s="35"/>
      <c r="G5" s="35"/>
      <c r="H5" s="40"/>
    </row>
    <row r="6" spans="1:8" ht="20.25" hidden="1" x14ac:dyDescent="0.25">
      <c r="A6" s="647"/>
      <c r="B6" s="650"/>
      <c r="C6" s="92" t="s">
        <v>151</v>
      </c>
      <c r="D6" s="191" t="s">
        <v>612</v>
      </c>
      <c r="E6" s="92"/>
      <c r="F6" s="35"/>
      <c r="G6" s="35"/>
      <c r="H6" s="40"/>
    </row>
    <row r="7" spans="1:8" ht="20.25" hidden="1" x14ac:dyDescent="0.25">
      <c r="A7" s="648"/>
      <c r="B7" s="651"/>
      <c r="C7" s="92" t="s">
        <v>168</v>
      </c>
      <c r="D7" s="191" t="s">
        <v>613</v>
      </c>
      <c r="E7" s="92"/>
      <c r="F7" s="35"/>
      <c r="G7" s="35"/>
      <c r="H7" s="40"/>
    </row>
    <row r="8" spans="1:8" ht="121.5" x14ac:dyDescent="0.25">
      <c r="A8" s="646">
        <v>3</v>
      </c>
      <c r="B8" s="649" t="s">
        <v>23</v>
      </c>
      <c r="C8" s="92" t="s">
        <v>150</v>
      </c>
      <c r="D8" s="191" t="s">
        <v>611</v>
      </c>
      <c r="E8" s="92"/>
      <c r="F8" s="35">
        <v>6</v>
      </c>
      <c r="G8" s="35">
        <v>290</v>
      </c>
      <c r="H8" s="40" t="s">
        <v>616</v>
      </c>
    </row>
    <row r="9" spans="1:8" ht="20.25" hidden="1" x14ac:dyDescent="0.25">
      <c r="A9" s="647"/>
      <c r="B9" s="650"/>
      <c r="C9" s="92" t="s">
        <v>151</v>
      </c>
      <c r="D9" s="191" t="s">
        <v>612</v>
      </c>
      <c r="E9" s="92"/>
      <c r="F9" s="35"/>
      <c r="G9" s="35"/>
      <c r="H9" s="40"/>
    </row>
    <row r="10" spans="1:8" ht="20.25" hidden="1" x14ac:dyDescent="0.25">
      <c r="A10" s="648"/>
      <c r="B10" s="651"/>
      <c r="C10" s="92" t="s">
        <v>168</v>
      </c>
      <c r="D10" s="191" t="s">
        <v>613</v>
      </c>
      <c r="E10" s="92"/>
      <c r="F10" s="35"/>
      <c r="G10" s="35"/>
      <c r="H10" s="40"/>
    </row>
    <row r="11" spans="1:8" ht="20.25" x14ac:dyDescent="0.25">
      <c r="A11" s="646">
        <v>4</v>
      </c>
      <c r="B11" s="649" t="s">
        <v>165</v>
      </c>
      <c r="C11" s="92" t="s">
        <v>150</v>
      </c>
      <c r="D11" s="191" t="s">
        <v>611</v>
      </c>
      <c r="E11" s="92"/>
      <c r="F11" s="35"/>
      <c r="G11" s="35"/>
      <c r="H11" s="40"/>
    </row>
    <row r="12" spans="1:8" ht="20.25" hidden="1" x14ac:dyDescent="0.25">
      <c r="A12" s="647"/>
      <c r="B12" s="650"/>
      <c r="C12" s="92" t="s">
        <v>151</v>
      </c>
      <c r="D12" s="191" t="s">
        <v>612</v>
      </c>
      <c r="E12" s="92"/>
      <c r="F12" s="35"/>
      <c r="G12" s="35"/>
      <c r="H12" s="40"/>
    </row>
    <row r="13" spans="1:8" ht="20.25" hidden="1" x14ac:dyDescent="0.25">
      <c r="A13" s="648"/>
      <c r="B13" s="651"/>
      <c r="C13" s="92" t="s">
        <v>168</v>
      </c>
      <c r="D13" s="191" t="s">
        <v>613</v>
      </c>
      <c r="E13" s="92"/>
      <c r="F13" s="35"/>
      <c r="G13" s="35"/>
      <c r="H13" s="40"/>
    </row>
    <row r="14" spans="1:8" ht="40.5" x14ac:dyDescent="0.25">
      <c r="A14" s="646">
        <v>5</v>
      </c>
      <c r="B14" s="649" t="s">
        <v>25</v>
      </c>
      <c r="C14" s="92" t="s">
        <v>150</v>
      </c>
      <c r="D14" s="191" t="s">
        <v>611</v>
      </c>
      <c r="E14" s="92"/>
      <c r="F14" s="35">
        <v>2</v>
      </c>
      <c r="G14" s="35">
        <v>94</v>
      </c>
      <c r="H14" s="40" t="s">
        <v>608</v>
      </c>
    </row>
    <row r="15" spans="1:8" ht="20.25" hidden="1" x14ac:dyDescent="0.25">
      <c r="A15" s="647"/>
      <c r="B15" s="650"/>
      <c r="C15" s="92" t="s">
        <v>151</v>
      </c>
      <c r="D15" s="191" t="s">
        <v>612</v>
      </c>
      <c r="E15" s="92"/>
      <c r="F15" s="35">
        <v>1</v>
      </c>
      <c r="G15" s="35">
        <v>150</v>
      </c>
      <c r="H15" s="40" t="s">
        <v>609</v>
      </c>
    </row>
    <row r="16" spans="1:8" ht="20.25" hidden="1" x14ac:dyDescent="0.25">
      <c r="A16" s="648"/>
      <c r="B16" s="651"/>
      <c r="C16" s="92" t="s">
        <v>168</v>
      </c>
      <c r="D16" s="191" t="s">
        <v>613</v>
      </c>
      <c r="E16" s="92"/>
      <c r="F16" s="35">
        <v>1</v>
      </c>
      <c r="G16" s="35">
        <v>10</v>
      </c>
      <c r="H16" s="40" t="s">
        <v>610</v>
      </c>
    </row>
    <row r="17" spans="1:9" ht="20.25" x14ac:dyDescent="0.25">
      <c r="A17" s="646">
        <v>6</v>
      </c>
      <c r="B17" s="649" t="s">
        <v>28</v>
      </c>
      <c r="C17" s="92" t="s">
        <v>150</v>
      </c>
      <c r="D17" s="191" t="s">
        <v>611</v>
      </c>
      <c r="E17" s="92"/>
      <c r="F17" s="35"/>
      <c r="G17" s="35"/>
      <c r="H17" s="40"/>
    </row>
    <row r="18" spans="1:9" ht="20.25" hidden="1" x14ac:dyDescent="0.25">
      <c r="A18" s="647"/>
      <c r="B18" s="650"/>
      <c r="C18" s="92" t="s">
        <v>151</v>
      </c>
      <c r="D18" s="191" t="s">
        <v>612</v>
      </c>
      <c r="E18" s="92"/>
      <c r="F18" s="35"/>
      <c r="G18" s="35"/>
      <c r="H18" s="40"/>
    </row>
    <row r="19" spans="1:9" ht="20.25" hidden="1" x14ac:dyDescent="0.25">
      <c r="A19" s="648"/>
      <c r="B19" s="651"/>
      <c r="C19" s="92" t="s">
        <v>168</v>
      </c>
      <c r="D19" s="191" t="s">
        <v>613</v>
      </c>
      <c r="E19" s="92"/>
      <c r="F19" s="35"/>
      <c r="G19" s="35"/>
      <c r="H19" s="40"/>
    </row>
    <row r="20" spans="1:9" ht="81" x14ac:dyDescent="0.25">
      <c r="A20" s="646">
        <v>7</v>
      </c>
      <c r="B20" s="649" t="s">
        <v>33</v>
      </c>
      <c r="C20" s="92" t="s">
        <v>150</v>
      </c>
      <c r="D20" s="191" t="s">
        <v>611</v>
      </c>
      <c r="E20" s="92"/>
      <c r="F20" s="35">
        <v>4</v>
      </c>
      <c r="G20" s="35">
        <v>1225</v>
      </c>
      <c r="H20" s="40" t="s">
        <v>605</v>
      </c>
    </row>
    <row r="21" spans="1:9" ht="263.25" hidden="1" x14ac:dyDescent="0.25">
      <c r="A21" s="647"/>
      <c r="B21" s="650"/>
      <c r="C21" s="92" t="s">
        <v>151</v>
      </c>
      <c r="D21" s="191" t="s">
        <v>612</v>
      </c>
      <c r="E21" s="92"/>
      <c r="F21" s="35">
        <v>14</v>
      </c>
      <c r="G21" s="35">
        <v>269</v>
      </c>
      <c r="H21" s="40" t="s">
        <v>606</v>
      </c>
      <c r="I21" s="43"/>
    </row>
    <row r="22" spans="1:9" ht="409.5" hidden="1" x14ac:dyDescent="0.25">
      <c r="A22" s="648"/>
      <c r="B22" s="651"/>
      <c r="C22" s="92" t="s">
        <v>168</v>
      </c>
      <c r="D22" s="191" t="s">
        <v>613</v>
      </c>
      <c r="E22" s="92"/>
      <c r="F22" s="35">
        <v>25</v>
      </c>
      <c r="G22" s="35">
        <v>374</v>
      </c>
      <c r="H22" s="189" t="s">
        <v>607</v>
      </c>
      <c r="I22" s="43"/>
    </row>
    <row r="23" spans="1:9" ht="40.5" x14ac:dyDescent="0.25">
      <c r="A23" s="646">
        <v>8</v>
      </c>
      <c r="B23" s="649" t="s">
        <v>38</v>
      </c>
      <c r="C23" s="92" t="s">
        <v>150</v>
      </c>
      <c r="D23" s="191" t="s">
        <v>611</v>
      </c>
      <c r="E23" s="92"/>
      <c r="F23" s="35">
        <v>2</v>
      </c>
      <c r="G23" s="35">
        <v>170</v>
      </c>
      <c r="H23" s="1" t="s">
        <v>615</v>
      </c>
      <c r="I23" s="43"/>
    </row>
    <row r="24" spans="1:9" ht="60.75" hidden="1" x14ac:dyDescent="0.25">
      <c r="A24" s="647"/>
      <c r="B24" s="650"/>
      <c r="C24" s="92" t="s">
        <v>151</v>
      </c>
      <c r="D24" s="191" t="s">
        <v>612</v>
      </c>
      <c r="E24" s="92"/>
      <c r="F24" s="35">
        <v>3</v>
      </c>
      <c r="G24" s="35">
        <v>70</v>
      </c>
      <c r="H24" s="40" t="s">
        <v>614</v>
      </c>
    </row>
    <row r="25" spans="1:9" ht="20.25" hidden="1" x14ac:dyDescent="0.25">
      <c r="A25" s="648"/>
      <c r="B25" s="651"/>
      <c r="C25" s="92" t="s">
        <v>168</v>
      </c>
      <c r="D25" s="191" t="s">
        <v>613</v>
      </c>
      <c r="E25" s="92"/>
      <c r="F25" s="35"/>
      <c r="G25" s="35"/>
      <c r="H25" s="40"/>
    </row>
    <row r="26" spans="1:9" ht="20.25" x14ac:dyDescent="0.25">
      <c r="A26" s="646">
        <v>9</v>
      </c>
      <c r="B26" s="649" t="s">
        <v>88</v>
      </c>
      <c r="C26" s="92" t="s">
        <v>150</v>
      </c>
      <c r="D26" s="191" t="s">
        <v>611</v>
      </c>
      <c r="E26" s="92"/>
      <c r="F26" s="35"/>
      <c r="G26" s="35"/>
      <c r="H26" s="40"/>
    </row>
    <row r="27" spans="1:9" ht="20.25" hidden="1" x14ac:dyDescent="0.25">
      <c r="A27" s="647"/>
      <c r="B27" s="650"/>
      <c r="C27" s="92" t="s">
        <v>151</v>
      </c>
      <c r="D27" s="191" t="s">
        <v>612</v>
      </c>
      <c r="E27" s="92"/>
      <c r="F27" s="35"/>
      <c r="G27" s="35"/>
      <c r="H27" s="40"/>
    </row>
    <row r="28" spans="1:9" ht="20.25" hidden="1" x14ac:dyDescent="0.25">
      <c r="A28" s="648"/>
      <c r="B28" s="651"/>
      <c r="C28" s="92" t="s">
        <v>168</v>
      </c>
      <c r="D28" s="191" t="s">
        <v>613</v>
      </c>
      <c r="E28" s="92"/>
      <c r="F28" s="35"/>
      <c r="G28" s="35"/>
      <c r="H28" s="40"/>
    </row>
    <row r="29" spans="1:9" ht="20.25" x14ac:dyDescent="0.25">
      <c r="A29" s="646">
        <v>10</v>
      </c>
      <c r="B29" s="649" t="s">
        <v>43</v>
      </c>
      <c r="C29" s="92" t="s">
        <v>150</v>
      </c>
      <c r="D29" s="191" t="s">
        <v>611</v>
      </c>
      <c r="E29" s="92"/>
      <c r="F29" s="35"/>
      <c r="G29" s="35"/>
      <c r="H29" s="40"/>
    </row>
    <row r="30" spans="1:9" ht="20.25" hidden="1" x14ac:dyDescent="0.25">
      <c r="A30" s="647"/>
      <c r="B30" s="650"/>
      <c r="C30" s="92" t="s">
        <v>151</v>
      </c>
      <c r="D30" s="191" t="s">
        <v>612</v>
      </c>
      <c r="E30" s="92"/>
      <c r="F30" s="35"/>
      <c r="G30" s="35"/>
      <c r="H30" s="40"/>
    </row>
    <row r="31" spans="1:9" ht="20.25" hidden="1" x14ac:dyDescent="0.25">
      <c r="A31" s="648"/>
      <c r="B31" s="651"/>
      <c r="C31" s="92" t="s">
        <v>168</v>
      </c>
      <c r="D31" s="191" t="s">
        <v>613</v>
      </c>
      <c r="E31" s="92"/>
      <c r="F31" s="35"/>
      <c r="G31" s="35"/>
      <c r="H31" s="40"/>
    </row>
    <row r="32" spans="1:9" ht="20.25" x14ac:dyDescent="0.25">
      <c r="A32" s="646">
        <v>11</v>
      </c>
      <c r="B32" s="649" t="s">
        <v>46</v>
      </c>
      <c r="C32" s="92" t="s">
        <v>150</v>
      </c>
      <c r="D32" s="191" t="s">
        <v>611</v>
      </c>
      <c r="E32" s="92"/>
      <c r="F32" s="190"/>
      <c r="G32" s="190"/>
      <c r="H32" s="40"/>
    </row>
    <row r="33" spans="1:8" ht="20.25" hidden="1" x14ac:dyDescent="0.25">
      <c r="A33" s="647"/>
      <c r="B33" s="650"/>
      <c r="C33" s="92" t="s">
        <v>151</v>
      </c>
      <c r="D33" s="191" t="s">
        <v>612</v>
      </c>
      <c r="E33" s="92"/>
      <c r="F33" s="35"/>
      <c r="G33" s="35"/>
      <c r="H33" s="40"/>
    </row>
    <row r="34" spans="1:8" ht="20.25" hidden="1" x14ac:dyDescent="0.25">
      <c r="A34" s="648"/>
      <c r="B34" s="651"/>
      <c r="C34" s="92" t="s">
        <v>168</v>
      </c>
      <c r="D34" s="191" t="s">
        <v>613</v>
      </c>
      <c r="E34" s="92"/>
      <c r="F34" s="35"/>
      <c r="G34" s="35"/>
      <c r="H34" s="40"/>
    </row>
    <row r="35" spans="1:8" ht="20.25" x14ac:dyDescent="0.25">
      <c r="A35" s="646">
        <v>12</v>
      </c>
      <c r="B35" s="649" t="s">
        <v>49</v>
      </c>
      <c r="C35" s="92" t="s">
        <v>150</v>
      </c>
      <c r="D35" s="191" t="s">
        <v>611</v>
      </c>
      <c r="E35" s="92"/>
      <c r="F35" s="35"/>
      <c r="G35" s="35"/>
      <c r="H35" s="40"/>
    </row>
    <row r="36" spans="1:8" ht="20.25" hidden="1" x14ac:dyDescent="0.25">
      <c r="A36" s="647"/>
      <c r="B36" s="650"/>
      <c r="C36" s="92" t="s">
        <v>151</v>
      </c>
      <c r="D36" s="191" t="s">
        <v>612</v>
      </c>
      <c r="E36" s="92"/>
      <c r="F36" s="35"/>
      <c r="G36" s="35"/>
      <c r="H36" s="40"/>
    </row>
    <row r="37" spans="1:8" ht="20.25" hidden="1" x14ac:dyDescent="0.25">
      <c r="A37" s="648"/>
      <c r="B37" s="651"/>
      <c r="C37" s="92" t="s">
        <v>168</v>
      </c>
      <c r="D37" s="191" t="s">
        <v>613</v>
      </c>
      <c r="E37" s="92"/>
      <c r="F37" s="35"/>
      <c r="G37" s="35"/>
      <c r="H37" s="40"/>
    </row>
    <row r="38" spans="1:8" ht="20.25" x14ac:dyDescent="0.25">
      <c r="A38" s="646">
        <v>13</v>
      </c>
      <c r="B38" s="649" t="s">
        <v>52</v>
      </c>
      <c r="C38" s="92" t="s">
        <v>150</v>
      </c>
      <c r="D38" s="191" t="s">
        <v>611</v>
      </c>
      <c r="E38" s="92"/>
      <c r="F38" s="35"/>
      <c r="G38" s="35"/>
      <c r="H38" s="40"/>
    </row>
    <row r="39" spans="1:8" ht="20.25" hidden="1" x14ac:dyDescent="0.25">
      <c r="A39" s="647"/>
      <c r="B39" s="650"/>
      <c r="C39" s="92" t="s">
        <v>151</v>
      </c>
      <c r="D39" s="191" t="s">
        <v>612</v>
      </c>
      <c r="E39" s="92"/>
      <c r="F39" s="35"/>
      <c r="G39" s="35"/>
      <c r="H39" s="40"/>
    </row>
    <row r="40" spans="1:8" ht="20.25" hidden="1" x14ac:dyDescent="0.25">
      <c r="A40" s="648"/>
      <c r="B40" s="651"/>
      <c r="C40" s="92" t="s">
        <v>168</v>
      </c>
      <c r="D40" s="191" t="s">
        <v>613</v>
      </c>
      <c r="E40" s="92"/>
      <c r="F40" s="35"/>
      <c r="G40" s="35"/>
      <c r="H40" s="40"/>
    </row>
    <row r="41" spans="1:8" ht="101.25" x14ac:dyDescent="0.25">
      <c r="A41" s="646">
        <v>1</v>
      </c>
      <c r="B41" s="649" t="s">
        <v>83</v>
      </c>
      <c r="C41" s="92" t="s">
        <v>150</v>
      </c>
      <c r="D41" s="191" t="s">
        <v>611</v>
      </c>
      <c r="E41" s="92"/>
      <c r="F41" s="35">
        <v>3</v>
      </c>
      <c r="G41" s="35">
        <v>281</v>
      </c>
      <c r="H41" s="40" t="s">
        <v>602</v>
      </c>
    </row>
    <row r="42" spans="1:8" ht="40.5" hidden="1" x14ac:dyDescent="0.25">
      <c r="A42" s="647"/>
      <c r="B42" s="650"/>
      <c r="C42" s="92" t="s">
        <v>151</v>
      </c>
      <c r="D42" s="191" t="s">
        <v>612</v>
      </c>
      <c r="E42" s="92"/>
      <c r="F42" s="35">
        <v>2</v>
      </c>
      <c r="G42" s="35">
        <v>390</v>
      </c>
      <c r="H42" s="40" t="s">
        <v>583</v>
      </c>
    </row>
    <row r="43" spans="1:8" ht="20.25" hidden="1" x14ac:dyDescent="0.25">
      <c r="A43" s="648"/>
      <c r="B43" s="651"/>
      <c r="C43" s="92" t="s">
        <v>168</v>
      </c>
      <c r="D43" s="191" t="s">
        <v>613</v>
      </c>
      <c r="E43" s="92"/>
      <c r="F43" s="35"/>
      <c r="G43" s="35"/>
      <c r="H43" s="40"/>
    </row>
    <row r="44" spans="1:8" ht="20.25" x14ac:dyDescent="0.25">
      <c r="A44" s="646">
        <v>2</v>
      </c>
      <c r="B44" s="649" t="s">
        <v>20</v>
      </c>
      <c r="C44" s="92" t="s">
        <v>150</v>
      </c>
      <c r="D44" s="191" t="s">
        <v>611</v>
      </c>
      <c r="E44" s="92"/>
      <c r="F44" s="35"/>
      <c r="G44" s="35"/>
      <c r="H44" s="40"/>
    </row>
    <row r="45" spans="1:8" ht="20.25" hidden="1" x14ac:dyDescent="0.25">
      <c r="A45" s="647"/>
      <c r="B45" s="650"/>
      <c r="C45" s="92" t="s">
        <v>151</v>
      </c>
      <c r="D45" s="191" t="s">
        <v>612</v>
      </c>
      <c r="E45" s="92"/>
      <c r="F45" s="35"/>
      <c r="G45" s="35"/>
      <c r="H45" s="40"/>
    </row>
    <row r="46" spans="1:8" ht="20.25" hidden="1" x14ac:dyDescent="0.25">
      <c r="A46" s="648"/>
      <c r="B46" s="651"/>
      <c r="C46" s="92" t="s">
        <v>168</v>
      </c>
      <c r="D46" s="191" t="s">
        <v>613</v>
      </c>
      <c r="E46" s="92"/>
      <c r="F46" s="35"/>
      <c r="G46" s="35"/>
      <c r="H46" s="40"/>
    </row>
    <row r="47" spans="1:8" ht="20.25" x14ac:dyDescent="0.25">
      <c r="A47" s="646">
        <v>3</v>
      </c>
      <c r="B47" s="649" t="s">
        <v>23</v>
      </c>
      <c r="C47" s="92" t="s">
        <v>150</v>
      </c>
      <c r="D47" s="191" t="s">
        <v>611</v>
      </c>
      <c r="E47" s="92"/>
      <c r="F47" s="35"/>
      <c r="G47" s="35"/>
      <c r="H47" s="40"/>
    </row>
    <row r="48" spans="1:8" ht="60.75" hidden="1" x14ac:dyDescent="0.25">
      <c r="A48" s="647"/>
      <c r="B48" s="650"/>
      <c r="C48" s="92" t="s">
        <v>151</v>
      </c>
      <c r="D48" s="191" t="s">
        <v>612</v>
      </c>
      <c r="E48" s="92"/>
      <c r="F48" s="35">
        <v>3</v>
      </c>
      <c r="G48" s="35">
        <v>107</v>
      </c>
      <c r="H48" s="40" t="s">
        <v>584</v>
      </c>
    </row>
    <row r="49" spans="1:9" ht="20.25" hidden="1" x14ac:dyDescent="0.25">
      <c r="A49" s="648"/>
      <c r="B49" s="651"/>
      <c r="C49" s="92" t="s">
        <v>168</v>
      </c>
      <c r="D49" s="191" t="s">
        <v>613</v>
      </c>
      <c r="E49" s="92"/>
      <c r="F49" s="35"/>
      <c r="G49" s="35"/>
      <c r="H49" s="40"/>
    </row>
    <row r="50" spans="1:9" ht="40.5" x14ac:dyDescent="0.25">
      <c r="A50" s="646">
        <v>4</v>
      </c>
      <c r="B50" s="649" t="s">
        <v>165</v>
      </c>
      <c r="C50" s="92" t="s">
        <v>150</v>
      </c>
      <c r="D50" s="191" t="s">
        <v>611</v>
      </c>
      <c r="E50" s="92"/>
      <c r="F50" s="35">
        <v>1</v>
      </c>
      <c r="G50" s="35">
        <v>80</v>
      </c>
      <c r="H50" s="40" t="s">
        <v>592</v>
      </c>
    </row>
    <row r="51" spans="1:9" ht="20.25" hidden="1" x14ac:dyDescent="0.25">
      <c r="A51" s="647"/>
      <c r="B51" s="650"/>
      <c r="C51" s="92" t="s">
        <v>151</v>
      </c>
      <c r="D51" s="191" t="s">
        <v>612</v>
      </c>
      <c r="E51" s="92"/>
      <c r="F51" s="35"/>
      <c r="G51" s="35"/>
      <c r="H51" s="40"/>
    </row>
    <row r="52" spans="1:9" ht="20.25" hidden="1" x14ac:dyDescent="0.25">
      <c r="A52" s="648"/>
      <c r="B52" s="651"/>
      <c r="C52" s="92" t="s">
        <v>168</v>
      </c>
      <c r="D52" s="191" t="s">
        <v>613</v>
      </c>
      <c r="E52" s="92"/>
      <c r="F52" s="35"/>
      <c r="G52" s="35"/>
      <c r="H52" s="40"/>
    </row>
    <row r="53" spans="1:9" ht="20.25" x14ac:dyDescent="0.25">
      <c r="A53" s="646">
        <v>5</v>
      </c>
      <c r="B53" s="649" t="s">
        <v>25</v>
      </c>
      <c r="C53" s="92" t="s">
        <v>150</v>
      </c>
      <c r="D53" s="191" t="s">
        <v>611</v>
      </c>
      <c r="E53" s="92"/>
      <c r="F53" s="35">
        <v>2</v>
      </c>
      <c r="G53" s="35">
        <v>22</v>
      </c>
      <c r="H53" s="40" t="s">
        <v>585</v>
      </c>
    </row>
    <row r="54" spans="1:9" ht="40.5" hidden="1" x14ac:dyDescent="0.25">
      <c r="A54" s="647"/>
      <c r="B54" s="650"/>
      <c r="C54" s="92" t="s">
        <v>151</v>
      </c>
      <c r="D54" s="191" t="s">
        <v>612</v>
      </c>
      <c r="E54" s="92"/>
      <c r="F54" s="35">
        <v>2</v>
      </c>
      <c r="G54" s="35">
        <v>260</v>
      </c>
      <c r="H54" s="40" t="s">
        <v>586</v>
      </c>
    </row>
    <row r="55" spans="1:9" ht="60.75" hidden="1" x14ac:dyDescent="0.25">
      <c r="A55" s="648"/>
      <c r="B55" s="651"/>
      <c r="C55" s="92" t="s">
        <v>168</v>
      </c>
      <c r="D55" s="191" t="s">
        <v>613</v>
      </c>
      <c r="E55" s="92"/>
      <c r="F55" s="35">
        <v>3</v>
      </c>
      <c r="G55" s="35">
        <v>41</v>
      </c>
      <c r="H55" s="40" t="s">
        <v>587</v>
      </c>
    </row>
    <row r="56" spans="1:9" ht="222.75" x14ac:dyDescent="0.25">
      <c r="A56" s="646">
        <v>6</v>
      </c>
      <c r="B56" s="649" t="s">
        <v>28</v>
      </c>
      <c r="C56" s="92" t="s">
        <v>150</v>
      </c>
      <c r="D56" s="191" t="s">
        <v>611</v>
      </c>
      <c r="E56" s="92"/>
      <c r="F56" s="35">
        <v>11</v>
      </c>
      <c r="G56" s="35">
        <v>1055</v>
      </c>
      <c r="H56" s="40" t="s">
        <v>598</v>
      </c>
    </row>
    <row r="57" spans="1:9" ht="40.5" hidden="1" x14ac:dyDescent="0.25">
      <c r="A57" s="647"/>
      <c r="B57" s="650"/>
      <c r="C57" s="92" t="s">
        <v>151</v>
      </c>
      <c r="D57" s="191" t="s">
        <v>612</v>
      </c>
      <c r="E57" s="92"/>
      <c r="F57" s="35">
        <v>2</v>
      </c>
      <c r="G57" s="35">
        <v>400</v>
      </c>
      <c r="H57" s="40" t="s">
        <v>599</v>
      </c>
    </row>
    <row r="58" spans="1:9" ht="20.25" hidden="1" x14ac:dyDescent="0.25">
      <c r="A58" s="648"/>
      <c r="B58" s="651"/>
      <c r="C58" s="92" t="s">
        <v>168</v>
      </c>
      <c r="D58" s="191" t="s">
        <v>613</v>
      </c>
      <c r="E58" s="92"/>
      <c r="F58" s="35"/>
      <c r="G58" s="35"/>
      <c r="H58" s="40"/>
    </row>
    <row r="59" spans="1:9" ht="141.75" x14ac:dyDescent="0.25">
      <c r="A59" s="646">
        <v>7</v>
      </c>
      <c r="B59" s="649" t="s">
        <v>33</v>
      </c>
      <c r="C59" s="92" t="s">
        <v>150</v>
      </c>
      <c r="D59" s="191" t="s">
        <v>611</v>
      </c>
      <c r="E59" s="92"/>
      <c r="F59" s="35">
        <v>7</v>
      </c>
      <c r="G59" s="35">
        <v>1227</v>
      </c>
      <c r="H59" s="40" t="s">
        <v>595</v>
      </c>
    </row>
    <row r="60" spans="1:9" ht="40.5" hidden="1" x14ac:dyDescent="0.25">
      <c r="A60" s="647"/>
      <c r="B60" s="650"/>
      <c r="C60" s="92" t="s">
        <v>151</v>
      </c>
      <c r="D60" s="191" t="s">
        <v>612</v>
      </c>
      <c r="E60" s="92"/>
      <c r="F60" s="35">
        <v>2</v>
      </c>
      <c r="G60" s="35">
        <v>300</v>
      </c>
      <c r="H60" s="40" t="s">
        <v>593</v>
      </c>
      <c r="I60" s="43"/>
    </row>
    <row r="61" spans="1:9" ht="409.5" hidden="1" x14ac:dyDescent="0.25">
      <c r="A61" s="648"/>
      <c r="B61" s="651"/>
      <c r="C61" s="92" t="s">
        <v>168</v>
      </c>
      <c r="D61" s="191" t="s">
        <v>613</v>
      </c>
      <c r="E61" s="92"/>
      <c r="F61" s="35">
        <v>4</v>
      </c>
      <c r="G61" s="35">
        <v>32</v>
      </c>
      <c r="H61" s="189" t="s">
        <v>594</v>
      </c>
      <c r="I61" s="43"/>
    </row>
    <row r="62" spans="1:9" ht="81" x14ac:dyDescent="0.25">
      <c r="A62" s="646">
        <v>8</v>
      </c>
      <c r="B62" s="649" t="s">
        <v>38</v>
      </c>
      <c r="C62" s="92" t="s">
        <v>150</v>
      </c>
      <c r="D62" s="191" t="s">
        <v>611</v>
      </c>
      <c r="E62" s="92"/>
      <c r="F62" s="35">
        <v>4</v>
      </c>
      <c r="G62" s="35">
        <v>260</v>
      </c>
      <c r="H62" s="1" t="s">
        <v>588</v>
      </c>
      <c r="I62" s="43"/>
    </row>
    <row r="63" spans="1:9" ht="20.25" hidden="1" x14ac:dyDescent="0.25">
      <c r="A63" s="647"/>
      <c r="B63" s="650"/>
      <c r="C63" s="92" t="s">
        <v>151</v>
      </c>
      <c r="D63" s="191" t="s">
        <v>612</v>
      </c>
      <c r="E63" s="92"/>
      <c r="F63" s="35"/>
      <c r="G63" s="35"/>
      <c r="H63" s="40"/>
    </row>
    <row r="64" spans="1:9" ht="20.25" hidden="1" x14ac:dyDescent="0.25">
      <c r="A64" s="648"/>
      <c r="B64" s="651"/>
      <c r="C64" s="92" t="s">
        <v>168</v>
      </c>
      <c r="D64" s="191" t="s">
        <v>613</v>
      </c>
      <c r="E64" s="92"/>
      <c r="F64" s="35"/>
      <c r="G64" s="35"/>
      <c r="H64" s="40"/>
    </row>
    <row r="65" spans="1:8" ht="20.25" x14ac:dyDescent="0.25">
      <c r="A65" s="646">
        <v>9</v>
      </c>
      <c r="B65" s="649" t="s">
        <v>88</v>
      </c>
      <c r="C65" s="92" t="s">
        <v>150</v>
      </c>
      <c r="D65" s="191" t="s">
        <v>611</v>
      </c>
      <c r="E65" s="92"/>
      <c r="F65" s="35">
        <v>1</v>
      </c>
      <c r="G65" s="35">
        <v>425</v>
      </c>
      <c r="H65" s="40" t="s">
        <v>600</v>
      </c>
    </row>
    <row r="66" spans="1:8" ht="20.25" hidden="1" x14ac:dyDescent="0.25">
      <c r="A66" s="647"/>
      <c r="B66" s="650"/>
      <c r="C66" s="92" t="s">
        <v>151</v>
      </c>
      <c r="D66" s="191" t="s">
        <v>612</v>
      </c>
      <c r="E66" s="92"/>
      <c r="F66" s="35"/>
      <c r="G66" s="35"/>
      <c r="H66" s="40"/>
    </row>
    <row r="67" spans="1:8" ht="20.25" hidden="1" x14ac:dyDescent="0.25">
      <c r="A67" s="648"/>
      <c r="B67" s="651"/>
      <c r="C67" s="92" t="s">
        <v>168</v>
      </c>
      <c r="D67" s="191" t="s">
        <v>613</v>
      </c>
      <c r="E67" s="92"/>
      <c r="F67" s="35"/>
      <c r="G67" s="35"/>
      <c r="H67" s="40"/>
    </row>
    <row r="68" spans="1:8" ht="60.75" x14ac:dyDescent="0.25">
      <c r="A68" s="646">
        <v>10</v>
      </c>
      <c r="B68" s="649" t="s">
        <v>43</v>
      </c>
      <c r="C68" s="92" t="s">
        <v>150</v>
      </c>
      <c r="D68" s="191" t="s">
        <v>611</v>
      </c>
      <c r="E68" s="92"/>
      <c r="F68" s="35">
        <v>2</v>
      </c>
      <c r="G68" s="35">
        <v>317</v>
      </c>
      <c r="H68" s="40" t="s">
        <v>582</v>
      </c>
    </row>
    <row r="69" spans="1:8" ht="40.5" hidden="1" x14ac:dyDescent="0.25">
      <c r="A69" s="647"/>
      <c r="B69" s="650"/>
      <c r="C69" s="92" t="s">
        <v>151</v>
      </c>
      <c r="D69" s="191" t="s">
        <v>612</v>
      </c>
      <c r="E69" s="92"/>
      <c r="F69" s="35">
        <v>2</v>
      </c>
      <c r="G69" s="35">
        <v>180</v>
      </c>
      <c r="H69" s="40" t="s">
        <v>581</v>
      </c>
    </row>
    <row r="70" spans="1:8" ht="20.25" hidden="1" x14ac:dyDescent="0.25">
      <c r="A70" s="648"/>
      <c r="B70" s="651"/>
      <c r="C70" s="92" t="s">
        <v>168</v>
      </c>
      <c r="D70" s="191" t="s">
        <v>613</v>
      </c>
      <c r="E70" s="92"/>
      <c r="F70" s="35"/>
      <c r="G70" s="35"/>
      <c r="H70" s="40"/>
    </row>
    <row r="71" spans="1:8" ht="20.25" x14ac:dyDescent="0.25">
      <c r="A71" s="646">
        <v>11</v>
      </c>
      <c r="B71" s="649" t="s">
        <v>46</v>
      </c>
      <c r="C71" s="92" t="s">
        <v>150</v>
      </c>
      <c r="D71" s="191" t="s">
        <v>611</v>
      </c>
      <c r="E71" s="92"/>
      <c r="F71" s="190"/>
      <c r="G71" s="190"/>
      <c r="H71" s="40"/>
    </row>
    <row r="72" spans="1:8" ht="20.25" hidden="1" x14ac:dyDescent="0.25">
      <c r="A72" s="647"/>
      <c r="B72" s="650"/>
      <c r="C72" s="92" t="s">
        <v>151</v>
      </c>
      <c r="D72" s="191" t="s">
        <v>612</v>
      </c>
      <c r="E72" s="92"/>
      <c r="F72" s="35">
        <v>1</v>
      </c>
      <c r="G72" s="35">
        <v>300</v>
      </c>
      <c r="H72" s="40" t="s">
        <v>580</v>
      </c>
    </row>
    <row r="73" spans="1:8" ht="20.25" hidden="1" x14ac:dyDescent="0.25">
      <c r="A73" s="648"/>
      <c r="B73" s="651"/>
      <c r="C73" s="92" t="s">
        <v>168</v>
      </c>
      <c r="D73" s="191" t="s">
        <v>613</v>
      </c>
      <c r="E73" s="92"/>
      <c r="F73" s="35"/>
      <c r="G73" s="35"/>
      <c r="H73" s="40"/>
    </row>
    <row r="74" spans="1:8" ht="121.5" x14ac:dyDescent="0.25">
      <c r="A74" s="646">
        <v>12</v>
      </c>
      <c r="B74" s="649" t="s">
        <v>49</v>
      </c>
      <c r="C74" s="92" t="s">
        <v>150</v>
      </c>
      <c r="D74" s="191" t="s">
        <v>611</v>
      </c>
      <c r="E74" s="92"/>
      <c r="F74" s="35">
        <v>6</v>
      </c>
      <c r="G74" s="35">
        <v>382</v>
      </c>
      <c r="H74" s="40" t="s">
        <v>590</v>
      </c>
    </row>
    <row r="75" spans="1:8" ht="243" hidden="1" x14ac:dyDescent="0.25">
      <c r="A75" s="647"/>
      <c r="B75" s="650"/>
      <c r="C75" s="92" t="s">
        <v>151</v>
      </c>
      <c r="D75" s="191" t="s">
        <v>612</v>
      </c>
      <c r="E75" s="92"/>
      <c r="F75" s="35">
        <v>11</v>
      </c>
      <c r="G75" s="35">
        <v>882</v>
      </c>
      <c r="H75" s="40" t="s">
        <v>591</v>
      </c>
    </row>
    <row r="76" spans="1:8" ht="40.5" hidden="1" x14ac:dyDescent="0.25">
      <c r="A76" s="648"/>
      <c r="B76" s="651"/>
      <c r="C76" s="92" t="s">
        <v>168</v>
      </c>
      <c r="D76" s="191" t="s">
        <v>613</v>
      </c>
      <c r="E76" s="92"/>
      <c r="F76" s="35">
        <v>2</v>
      </c>
      <c r="G76" s="35">
        <v>30</v>
      </c>
      <c r="H76" s="40" t="s">
        <v>589</v>
      </c>
    </row>
    <row r="77" spans="1:8" ht="60.75" x14ac:dyDescent="0.25">
      <c r="A77" s="646">
        <v>13</v>
      </c>
      <c r="B77" s="649" t="s">
        <v>52</v>
      </c>
      <c r="C77" s="92" t="s">
        <v>150</v>
      </c>
      <c r="D77" s="191" t="s">
        <v>611</v>
      </c>
      <c r="E77" s="92"/>
      <c r="F77" s="35">
        <v>3</v>
      </c>
      <c r="G77" s="35">
        <v>207</v>
      </c>
      <c r="H77" s="40" t="s">
        <v>596</v>
      </c>
    </row>
    <row r="78" spans="1:8" ht="81" hidden="1" x14ac:dyDescent="0.25">
      <c r="A78" s="647"/>
      <c r="B78" s="650"/>
      <c r="C78" s="92" t="s">
        <v>151</v>
      </c>
      <c r="D78" s="191" t="s">
        <v>612</v>
      </c>
      <c r="E78" s="92"/>
      <c r="F78" s="35">
        <v>3</v>
      </c>
      <c r="G78" s="35">
        <v>129</v>
      </c>
      <c r="H78" s="40" t="s">
        <v>597</v>
      </c>
    </row>
    <row r="79" spans="1:8" ht="162" hidden="1" x14ac:dyDescent="0.25">
      <c r="A79" s="648"/>
      <c r="B79" s="651"/>
      <c r="C79" s="92" t="s">
        <v>168</v>
      </c>
      <c r="D79" s="191" t="s">
        <v>613</v>
      </c>
      <c r="E79" s="92"/>
      <c r="F79" s="35">
        <v>6</v>
      </c>
      <c r="G79" s="35">
        <v>38</v>
      </c>
      <c r="H79" s="40" t="s">
        <v>601</v>
      </c>
    </row>
    <row r="80" spans="1:8" ht="20.25" x14ac:dyDescent="0.25">
      <c r="A80" s="515">
        <v>1</v>
      </c>
      <c r="B80" s="639" t="s">
        <v>83</v>
      </c>
      <c r="C80" s="89" t="s">
        <v>150</v>
      </c>
      <c r="D80" s="191" t="s">
        <v>611</v>
      </c>
      <c r="E80" s="89"/>
      <c r="F80" s="34">
        <v>1</v>
      </c>
      <c r="G80" s="34">
        <v>30</v>
      </c>
      <c r="H80" s="177" t="s">
        <v>506</v>
      </c>
    </row>
    <row r="81" spans="1:8" ht="20.25" hidden="1" x14ac:dyDescent="0.25">
      <c r="A81" s="638"/>
      <c r="B81" s="640"/>
      <c r="C81" s="89" t="s">
        <v>151</v>
      </c>
      <c r="D81" s="191" t="s">
        <v>612</v>
      </c>
      <c r="E81" s="89"/>
      <c r="F81" s="34">
        <v>1</v>
      </c>
      <c r="G81" s="34">
        <v>150</v>
      </c>
      <c r="H81" s="177" t="s">
        <v>472</v>
      </c>
    </row>
    <row r="82" spans="1:8" ht="121.5" hidden="1" x14ac:dyDescent="0.25">
      <c r="A82" s="516"/>
      <c r="B82" s="641"/>
      <c r="C82" s="89" t="s">
        <v>168</v>
      </c>
      <c r="D82" s="191" t="s">
        <v>613</v>
      </c>
      <c r="E82" s="89"/>
      <c r="F82" s="34">
        <v>6</v>
      </c>
      <c r="G82" s="34">
        <v>353</v>
      </c>
      <c r="H82" s="177" t="s">
        <v>473</v>
      </c>
    </row>
    <row r="83" spans="1:8" ht="20.25" x14ac:dyDescent="0.25">
      <c r="A83" s="515">
        <v>2</v>
      </c>
      <c r="B83" s="639" t="s">
        <v>20</v>
      </c>
      <c r="C83" s="89" t="s">
        <v>150</v>
      </c>
      <c r="D83" s="191" t="s">
        <v>611</v>
      </c>
      <c r="E83" s="89"/>
      <c r="F83" s="34">
        <v>1</v>
      </c>
      <c r="G83" s="34">
        <v>500</v>
      </c>
      <c r="H83" s="177" t="s">
        <v>503</v>
      </c>
    </row>
    <row r="84" spans="1:8" ht="20.25" hidden="1" x14ac:dyDescent="0.25">
      <c r="A84" s="638"/>
      <c r="B84" s="640"/>
      <c r="C84" s="89" t="s">
        <v>151</v>
      </c>
      <c r="D84" s="191" t="s">
        <v>612</v>
      </c>
      <c r="E84" s="89"/>
      <c r="F84" s="34"/>
      <c r="G84" s="34"/>
      <c r="H84" s="177"/>
    </row>
    <row r="85" spans="1:8" ht="40.5" hidden="1" x14ac:dyDescent="0.25">
      <c r="A85" s="516"/>
      <c r="B85" s="641"/>
      <c r="C85" s="89" t="s">
        <v>168</v>
      </c>
      <c r="D85" s="191" t="s">
        <v>613</v>
      </c>
      <c r="E85" s="89"/>
      <c r="F85" s="34">
        <v>2</v>
      </c>
      <c r="G85" s="34">
        <v>350</v>
      </c>
      <c r="H85" s="177" t="s">
        <v>474</v>
      </c>
    </row>
    <row r="86" spans="1:8" ht="20.25" x14ac:dyDescent="0.25">
      <c r="A86" s="515">
        <v>3</v>
      </c>
      <c r="B86" s="639" t="s">
        <v>23</v>
      </c>
      <c r="C86" s="89" t="s">
        <v>150</v>
      </c>
      <c r="D86" s="191" t="s">
        <v>611</v>
      </c>
      <c r="E86" s="89"/>
      <c r="F86" s="34">
        <v>1</v>
      </c>
      <c r="G86" s="34">
        <v>55</v>
      </c>
      <c r="H86" s="177" t="s">
        <v>480</v>
      </c>
    </row>
    <row r="87" spans="1:8" ht="60.75" hidden="1" x14ac:dyDescent="0.25">
      <c r="A87" s="638"/>
      <c r="B87" s="640"/>
      <c r="C87" s="89" t="s">
        <v>151</v>
      </c>
      <c r="D87" s="191" t="s">
        <v>612</v>
      </c>
      <c r="E87" s="89"/>
      <c r="F87" s="34">
        <v>2</v>
      </c>
      <c r="G87" s="34">
        <v>550</v>
      </c>
      <c r="H87" s="177" t="s">
        <v>481</v>
      </c>
    </row>
    <row r="88" spans="1:8" ht="20.25" hidden="1" x14ac:dyDescent="0.25">
      <c r="A88" s="516"/>
      <c r="B88" s="641"/>
      <c r="C88" s="89" t="s">
        <v>168</v>
      </c>
      <c r="D88" s="191" t="s">
        <v>613</v>
      </c>
      <c r="E88" s="89"/>
      <c r="F88" s="34"/>
      <c r="G88" s="34"/>
      <c r="H88" s="177"/>
    </row>
    <row r="89" spans="1:8" ht="60.75" x14ac:dyDescent="0.25">
      <c r="A89" s="515">
        <v>4</v>
      </c>
      <c r="B89" s="639" t="s">
        <v>165</v>
      </c>
      <c r="C89" s="89" t="s">
        <v>150</v>
      </c>
      <c r="D89" s="191" t="s">
        <v>611</v>
      </c>
      <c r="E89" s="89"/>
      <c r="F89" s="34">
        <v>3</v>
      </c>
      <c r="G89" s="34">
        <v>460</v>
      </c>
      <c r="H89" s="177" t="s">
        <v>475</v>
      </c>
    </row>
    <row r="90" spans="1:8" ht="101.25" hidden="1" x14ac:dyDescent="0.25">
      <c r="A90" s="638"/>
      <c r="B90" s="640"/>
      <c r="C90" s="89" t="s">
        <v>151</v>
      </c>
      <c r="D90" s="191" t="s">
        <v>612</v>
      </c>
      <c r="E90" s="89"/>
      <c r="F90" s="34">
        <v>5</v>
      </c>
      <c r="G90" s="34">
        <v>118</v>
      </c>
      <c r="H90" s="177" t="s">
        <v>476</v>
      </c>
    </row>
    <row r="91" spans="1:8" ht="101.25" hidden="1" x14ac:dyDescent="0.25">
      <c r="A91" s="516"/>
      <c r="B91" s="641"/>
      <c r="C91" s="89" t="s">
        <v>168</v>
      </c>
      <c r="D91" s="191" t="s">
        <v>613</v>
      </c>
      <c r="E91" s="89"/>
      <c r="F91" s="34">
        <v>5</v>
      </c>
      <c r="G91" s="34">
        <v>238</v>
      </c>
      <c r="H91" s="177" t="s">
        <v>477</v>
      </c>
    </row>
    <row r="92" spans="1:8" ht="20.25" x14ac:dyDescent="0.25">
      <c r="A92" s="515">
        <v>5</v>
      </c>
      <c r="B92" s="639" t="s">
        <v>25</v>
      </c>
      <c r="C92" s="89" t="s">
        <v>150</v>
      </c>
      <c r="D92" s="191" t="s">
        <v>611</v>
      </c>
      <c r="E92" s="89"/>
      <c r="F92" s="34"/>
      <c r="G92" s="34"/>
      <c r="H92" s="177"/>
    </row>
    <row r="93" spans="1:8" ht="40.5" hidden="1" x14ac:dyDescent="0.25">
      <c r="A93" s="638"/>
      <c r="B93" s="640"/>
      <c r="C93" s="89" t="s">
        <v>151</v>
      </c>
      <c r="D93" s="191" t="s">
        <v>612</v>
      </c>
      <c r="E93" s="89"/>
      <c r="F93" s="34">
        <v>2</v>
      </c>
      <c r="G93" s="34">
        <v>150</v>
      </c>
      <c r="H93" s="177" t="s">
        <v>482</v>
      </c>
    </row>
    <row r="94" spans="1:8" ht="60.75" hidden="1" x14ac:dyDescent="0.25">
      <c r="A94" s="516"/>
      <c r="B94" s="641"/>
      <c r="C94" s="89" t="s">
        <v>168</v>
      </c>
      <c r="D94" s="191" t="s">
        <v>613</v>
      </c>
      <c r="E94" s="89"/>
      <c r="F94" s="34">
        <v>3</v>
      </c>
      <c r="G94" s="34">
        <v>204</v>
      </c>
      <c r="H94" s="177" t="s">
        <v>483</v>
      </c>
    </row>
    <row r="95" spans="1:8" ht="409.5" x14ac:dyDescent="0.25">
      <c r="A95" s="515">
        <v>6</v>
      </c>
      <c r="B95" s="639" t="s">
        <v>28</v>
      </c>
      <c r="C95" s="89" t="s">
        <v>150</v>
      </c>
      <c r="D95" s="191" t="s">
        <v>611</v>
      </c>
      <c r="E95" s="89"/>
      <c r="F95" s="34">
        <v>22</v>
      </c>
      <c r="G95" s="34">
        <v>1685</v>
      </c>
      <c r="H95" s="177" t="s">
        <v>499</v>
      </c>
    </row>
    <row r="96" spans="1:8" ht="121.5" hidden="1" x14ac:dyDescent="0.25">
      <c r="A96" s="638"/>
      <c r="B96" s="640"/>
      <c r="C96" s="89" t="s">
        <v>151</v>
      </c>
      <c r="D96" s="191" t="s">
        <v>612</v>
      </c>
      <c r="E96" s="89"/>
      <c r="F96" s="34">
        <v>2</v>
      </c>
      <c r="G96" s="34">
        <v>400</v>
      </c>
      <c r="H96" s="177" t="s">
        <v>497</v>
      </c>
    </row>
    <row r="97" spans="1:9" ht="101.25" hidden="1" x14ac:dyDescent="0.25">
      <c r="A97" s="516"/>
      <c r="B97" s="641"/>
      <c r="C97" s="89" t="s">
        <v>168</v>
      </c>
      <c r="D97" s="191" t="s">
        <v>613</v>
      </c>
      <c r="E97" s="89"/>
      <c r="F97" s="34">
        <v>2</v>
      </c>
      <c r="G97" s="34">
        <v>270</v>
      </c>
      <c r="H97" s="177" t="s">
        <v>498</v>
      </c>
    </row>
    <row r="98" spans="1:9" ht="162" x14ac:dyDescent="0.25">
      <c r="A98" s="515">
        <v>7</v>
      </c>
      <c r="B98" s="639" t="s">
        <v>33</v>
      </c>
      <c r="C98" s="89" t="s">
        <v>150</v>
      </c>
      <c r="D98" s="191" t="s">
        <v>611</v>
      </c>
      <c r="E98" s="89"/>
      <c r="F98" s="34">
        <v>7</v>
      </c>
      <c r="G98" s="34">
        <v>1662</v>
      </c>
      <c r="H98" s="177" t="s">
        <v>484</v>
      </c>
    </row>
    <row r="99" spans="1:9" ht="222.75" hidden="1" x14ac:dyDescent="0.25">
      <c r="A99" s="638"/>
      <c r="B99" s="640"/>
      <c r="C99" s="89" t="s">
        <v>151</v>
      </c>
      <c r="D99" s="191" t="s">
        <v>612</v>
      </c>
      <c r="E99" s="89"/>
      <c r="F99" s="34">
        <v>8</v>
      </c>
      <c r="G99" s="34">
        <v>3601</v>
      </c>
      <c r="H99" s="177" t="s">
        <v>485</v>
      </c>
      <c r="I99" s="43"/>
    </row>
    <row r="100" spans="1:9" ht="409.5" hidden="1" x14ac:dyDescent="0.25">
      <c r="A100" s="516"/>
      <c r="B100" s="641"/>
      <c r="C100" s="89" t="s">
        <v>168</v>
      </c>
      <c r="D100" s="191" t="s">
        <v>613</v>
      </c>
      <c r="E100" s="89"/>
      <c r="F100" s="34">
        <v>23</v>
      </c>
      <c r="G100" s="34">
        <v>553</v>
      </c>
      <c r="H100" s="178" t="s">
        <v>486</v>
      </c>
      <c r="I100" s="43"/>
    </row>
    <row r="101" spans="1:9" ht="40.5" x14ac:dyDescent="0.25">
      <c r="A101" s="515">
        <v>8</v>
      </c>
      <c r="B101" s="639" t="s">
        <v>38</v>
      </c>
      <c r="C101" s="89" t="s">
        <v>150</v>
      </c>
      <c r="D101" s="191" t="s">
        <v>611</v>
      </c>
      <c r="E101" s="89"/>
      <c r="F101" s="34">
        <v>2</v>
      </c>
      <c r="G101" s="34">
        <v>275</v>
      </c>
      <c r="H101" s="179" t="s">
        <v>479</v>
      </c>
      <c r="I101" s="43"/>
    </row>
    <row r="102" spans="1:9" ht="81" hidden="1" x14ac:dyDescent="0.25">
      <c r="A102" s="638"/>
      <c r="B102" s="640"/>
      <c r="C102" s="89" t="s">
        <v>151</v>
      </c>
      <c r="D102" s="191" t="s">
        <v>612</v>
      </c>
      <c r="E102" s="89"/>
      <c r="F102" s="34">
        <v>4</v>
      </c>
      <c r="G102" s="34">
        <v>115</v>
      </c>
      <c r="H102" s="177" t="s">
        <v>478</v>
      </c>
    </row>
    <row r="103" spans="1:9" ht="20.25" hidden="1" x14ac:dyDescent="0.25">
      <c r="A103" s="516"/>
      <c r="B103" s="641"/>
      <c r="C103" s="89" t="s">
        <v>168</v>
      </c>
      <c r="D103" s="191" t="s">
        <v>613</v>
      </c>
      <c r="E103" s="89"/>
      <c r="F103" s="34"/>
      <c r="G103" s="34"/>
      <c r="H103" s="177"/>
    </row>
    <row r="104" spans="1:9" ht="60.75" x14ac:dyDescent="0.25">
      <c r="A104" s="515">
        <v>9</v>
      </c>
      <c r="B104" s="639" t="s">
        <v>88</v>
      </c>
      <c r="C104" s="89" t="s">
        <v>150</v>
      </c>
      <c r="D104" s="191" t="s">
        <v>611</v>
      </c>
      <c r="E104" s="89"/>
      <c r="F104" s="34">
        <v>3</v>
      </c>
      <c r="G104" s="34">
        <v>540</v>
      </c>
      <c r="H104" s="177" t="s">
        <v>500</v>
      </c>
    </row>
    <row r="105" spans="1:9" ht="40.5" hidden="1" x14ac:dyDescent="0.25">
      <c r="A105" s="638"/>
      <c r="B105" s="640"/>
      <c r="C105" s="89" t="s">
        <v>151</v>
      </c>
      <c r="D105" s="191" t="s">
        <v>612</v>
      </c>
      <c r="E105" s="89"/>
      <c r="F105" s="34">
        <v>2</v>
      </c>
      <c r="G105" s="34">
        <v>33</v>
      </c>
      <c r="H105" s="177" t="s">
        <v>501</v>
      </c>
    </row>
    <row r="106" spans="1:9" ht="20.25" hidden="1" x14ac:dyDescent="0.25">
      <c r="A106" s="516"/>
      <c r="B106" s="641"/>
      <c r="C106" s="89" t="s">
        <v>168</v>
      </c>
      <c r="D106" s="191" t="s">
        <v>613</v>
      </c>
      <c r="E106" s="89"/>
      <c r="F106" s="34"/>
      <c r="G106" s="34"/>
      <c r="H106" s="177"/>
    </row>
    <row r="107" spans="1:9" ht="40.5" x14ac:dyDescent="0.25">
      <c r="A107" s="515">
        <v>10</v>
      </c>
      <c r="B107" s="639" t="s">
        <v>43</v>
      </c>
      <c r="C107" s="89" t="s">
        <v>150</v>
      </c>
      <c r="D107" s="191" t="s">
        <v>611</v>
      </c>
      <c r="E107" s="89"/>
      <c r="F107" s="34">
        <v>2</v>
      </c>
      <c r="G107" s="34">
        <v>245</v>
      </c>
      <c r="H107" s="177" t="s">
        <v>487</v>
      </c>
    </row>
    <row r="108" spans="1:9" ht="20.25" hidden="1" x14ac:dyDescent="0.25">
      <c r="A108" s="638"/>
      <c r="B108" s="640"/>
      <c r="C108" s="89" t="s">
        <v>151</v>
      </c>
      <c r="D108" s="191" t="s">
        <v>612</v>
      </c>
      <c r="E108" s="89"/>
      <c r="F108" s="34">
        <v>1</v>
      </c>
      <c r="G108" s="34">
        <v>126</v>
      </c>
      <c r="H108" s="177" t="s">
        <v>488</v>
      </c>
    </row>
    <row r="109" spans="1:9" ht="20.25" hidden="1" x14ac:dyDescent="0.25">
      <c r="A109" s="516"/>
      <c r="B109" s="641"/>
      <c r="C109" s="89" t="s">
        <v>168</v>
      </c>
      <c r="D109" s="191" t="s">
        <v>613</v>
      </c>
      <c r="E109" s="89"/>
      <c r="F109" s="34"/>
      <c r="G109" s="34"/>
      <c r="H109" s="177"/>
    </row>
    <row r="110" spans="1:9" ht="20.25" x14ac:dyDescent="0.25">
      <c r="A110" s="515">
        <v>11</v>
      </c>
      <c r="B110" s="639" t="s">
        <v>46</v>
      </c>
      <c r="C110" s="89" t="s">
        <v>150</v>
      </c>
      <c r="D110" s="191" t="s">
        <v>611</v>
      </c>
      <c r="E110" s="89"/>
      <c r="F110" s="34">
        <v>1</v>
      </c>
      <c r="G110" s="34">
        <v>35</v>
      </c>
      <c r="H110" s="177" t="s">
        <v>471</v>
      </c>
    </row>
    <row r="111" spans="1:9" ht="20.25" hidden="1" x14ac:dyDescent="0.25">
      <c r="A111" s="638"/>
      <c r="B111" s="640"/>
      <c r="C111" s="89" t="s">
        <v>151</v>
      </c>
      <c r="D111" s="191" t="s">
        <v>612</v>
      </c>
      <c r="E111" s="89"/>
      <c r="F111" s="34">
        <v>1</v>
      </c>
      <c r="G111" s="34">
        <v>150</v>
      </c>
      <c r="H111" s="177" t="s">
        <v>470</v>
      </c>
    </row>
    <row r="112" spans="1:9" ht="20.25" hidden="1" x14ac:dyDescent="0.25">
      <c r="A112" s="516"/>
      <c r="B112" s="641"/>
      <c r="C112" s="89" t="s">
        <v>168</v>
      </c>
      <c r="D112" s="191" t="s">
        <v>613</v>
      </c>
      <c r="E112" s="89"/>
      <c r="F112" s="34"/>
      <c r="G112" s="34"/>
      <c r="H112" s="177"/>
    </row>
    <row r="113" spans="1:8" ht="101.25" x14ac:dyDescent="0.25">
      <c r="A113" s="515">
        <v>12</v>
      </c>
      <c r="B113" s="639" t="s">
        <v>49</v>
      </c>
      <c r="C113" s="89" t="s">
        <v>150</v>
      </c>
      <c r="D113" s="191" t="s">
        <v>611</v>
      </c>
      <c r="E113" s="89"/>
      <c r="F113" s="34">
        <v>4</v>
      </c>
      <c r="G113" s="34">
        <v>430</v>
      </c>
      <c r="H113" s="177" t="s">
        <v>492</v>
      </c>
    </row>
    <row r="114" spans="1:8" ht="409.5" hidden="1" x14ac:dyDescent="0.25">
      <c r="A114" s="638"/>
      <c r="B114" s="640"/>
      <c r="C114" s="89" t="s">
        <v>151</v>
      </c>
      <c r="D114" s="191" t="s">
        <v>612</v>
      </c>
      <c r="E114" s="89"/>
      <c r="F114" s="34">
        <v>21</v>
      </c>
      <c r="G114" s="34">
        <v>1435</v>
      </c>
      <c r="H114" s="177" t="s">
        <v>493</v>
      </c>
    </row>
    <row r="115" spans="1:8" ht="20.25" hidden="1" x14ac:dyDescent="0.25">
      <c r="A115" s="516"/>
      <c r="B115" s="641"/>
      <c r="C115" s="89" t="s">
        <v>168</v>
      </c>
      <c r="D115" s="191" t="s">
        <v>613</v>
      </c>
      <c r="E115" s="89"/>
      <c r="F115" s="34"/>
      <c r="G115" s="34"/>
      <c r="H115" s="177"/>
    </row>
    <row r="116" spans="1:8" ht="162" x14ac:dyDescent="0.25">
      <c r="A116" s="515">
        <v>13</v>
      </c>
      <c r="B116" s="639" t="s">
        <v>52</v>
      </c>
      <c r="C116" s="89" t="s">
        <v>150</v>
      </c>
      <c r="D116" s="191" t="s">
        <v>611</v>
      </c>
      <c r="E116" s="89"/>
      <c r="F116" s="34">
        <v>8</v>
      </c>
      <c r="G116" s="34">
        <v>1010</v>
      </c>
      <c r="H116" s="177" t="s">
        <v>494</v>
      </c>
    </row>
    <row r="117" spans="1:8" ht="243" hidden="1" x14ac:dyDescent="0.25">
      <c r="A117" s="638"/>
      <c r="B117" s="640"/>
      <c r="C117" s="89" t="s">
        <v>151</v>
      </c>
      <c r="D117" s="191" t="s">
        <v>612</v>
      </c>
      <c r="E117" s="89"/>
      <c r="F117" s="34">
        <v>17</v>
      </c>
      <c r="G117" s="34">
        <v>984</v>
      </c>
      <c r="H117" s="177" t="s">
        <v>495</v>
      </c>
    </row>
    <row r="118" spans="1:8" ht="162" hidden="1" x14ac:dyDescent="0.25">
      <c r="A118" s="516"/>
      <c r="B118" s="641"/>
      <c r="C118" s="89" t="s">
        <v>168</v>
      </c>
      <c r="D118" s="191" t="s">
        <v>613</v>
      </c>
      <c r="E118" s="89"/>
      <c r="F118" s="34">
        <v>7</v>
      </c>
      <c r="G118" s="34">
        <v>278</v>
      </c>
      <c r="H118" s="177" t="s">
        <v>496</v>
      </c>
    </row>
    <row r="119" spans="1:8" ht="20.25" x14ac:dyDescent="0.25">
      <c r="A119" s="487">
        <v>1</v>
      </c>
      <c r="B119" s="643" t="s">
        <v>83</v>
      </c>
      <c r="C119" s="181" t="s">
        <v>150</v>
      </c>
      <c r="D119" s="191" t="s">
        <v>611</v>
      </c>
      <c r="E119" s="181"/>
      <c r="F119" s="93"/>
      <c r="G119" s="93"/>
      <c r="H119" s="161"/>
    </row>
    <row r="120" spans="1:8" ht="20.25" hidden="1" x14ac:dyDescent="0.25">
      <c r="A120" s="488"/>
      <c r="B120" s="644"/>
      <c r="C120" s="181" t="s">
        <v>151</v>
      </c>
      <c r="D120" s="191" t="s">
        <v>612</v>
      </c>
      <c r="E120" s="181"/>
      <c r="F120" s="93"/>
      <c r="G120" s="93"/>
      <c r="H120" s="161"/>
    </row>
    <row r="121" spans="1:8" ht="20.25" hidden="1" x14ac:dyDescent="0.25">
      <c r="A121" s="489"/>
      <c r="B121" s="645"/>
      <c r="C121" s="181" t="s">
        <v>168</v>
      </c>
      <c r="D121" s="191" t="s">
        <v>613</v>
      </c>
      <c r="E121" s="181"/>
      <c r="F121" s="93">
        <v>1</v>
      </c>
      <c r="G121" s="93">
        <v>20</v>
      </c>
      <c r="H121" s="161" t="s">
        <v>464</v>
      </c>
    </row>
    <row r="122" spans="1:8" ht="20.25" x14ac:dyDescent="0.25">
      <c r="A122" s="487">
        <v>2</v>
      </c>
      <c r="B122" s="643" t="s">
        <v>20</v>
      </c>
      <c r="C122" s="181" t="s">
        <v>150</v>
      </c>
      <c r="D122" s="191" t="s">
        <v>611</v>
      </c>
      <c r="E122" s="181"/>
      <c r="F122" s="93">
        <v>1</v>
      </c>
      <c r="G122" s="93">
        <v>50</v>
      </c>
      <c r="H122" s="161" t="s">
        <v>461</v>
      </c>
    </row>
    <row r="123" spans="1:8" ht="20.25" hidden="1" x14ac:dyDescent="0.25">
      <c r="A123" s="488"/>
      <c r="B123" s="644"/>
      <c r="C123" s="181" t="s">
        <v>151</v>
      </c>
      <c r="D123" s="191" t="s">
        <v>612</v>
      </c>
      <c r="E123" s="181"/>
      <c r="F123" s="93"/>
      <c r="G123" s="93"/>
      <c r="H123" s="161"/>
    </row>
    <row r="124" spans="1:8" ht="20.25" hidden="1" x14ac:dyDescent="0.25">
      <c r="A124" s="489"/>
      <c r="B124" s="645"/>
      <c r="C124" s="181" t="s">
        <v>168</v>
      </c>
      <c r="D124" s="191" t="s">
        <v>613</v>
      </c>
      <c r="E124" s="181"/>
      <c r="F124" s="93"/>
      <c r="G124" s="93"/>
      <c r="H124" s="161"/>
    </row>
    <row r="125" spans="1:8" ht="20.25" x14ac:dyDescent="0.25">
      <c r="A125" s="487">
        <v>3</v>
      </c>
      <c r="B125" s="643" t="s">
        <v>23</v>
      </c>
      <c r="C125" s="181" t="s">
        <v>150</v>
      </c>
      <c r="D125" s="191" t="s">
        <v>611</v>
      </c>
      <c r="E125" s="181"/>
      <c r="F125" s="93">
        <v>1</v>
      </c>
      <c r="G125" s="93">
        <v>155</v>
      </c>
      <c r="H125" s="161" t="s">
        <v>459</v>
      </c>
    </row>
    <row r="126" spans="1:8" ht="20.25" hidden="1" x14ac:dyDescent="0.25">
      <c r="A126" s="488"/>
      <c r="B126" s="644"/>
      <c r="C126" s="181" t="s">
        <v>151</v>
      </c>
      <c r="D126" s="191" t="s">
        <v>612</v>
      </c>
      <c r="E126" s="181"/>
      <c r="F126" s="93">
        <v>1</v>
      </c>
      <c r="G126" s="93">
        <v>300</v>
      </c>
      <c r="H126" s="161" t="s">
        <v>460</v>
      </c>
    </row>
    <row r="127" spans="1:8" ht="20.25" hidden="1" x14ac:dyDescent="0.25">
      <c r="A127" s="489"/>
      <c r="B127" s="645"/>
      <c r="C127" s="181" t="s">
        <v>168</v>
      </c>
      <c r="D127" s="191" t="s">
        <v>613</v>
      </c>
      <c r="E127" s="181"/>
      <c r="F127" s="93"/>
      <c r="G127" s="93"/>
      <c r="H127" s="161"/>
    </row>
    <row r="128" spans="1:8" ht="37.5" x14ac:dyDescent="0.25">
      <c r="A128" s="487">
        <v>4</v>
      </c>
      <c r="B128" s="643" t="s">
        <v>165</v>
      </c>
      <c r="C128" s="181" t="s">
        <v>150</v>
      </c>
      <c r="D128" s="191" t="s">
        <v>611</v>
      </c>
      <c r="E128" s="181"/>
      <c r="F128" s="93">
        <v>1</v>
      </c>
      <c r="G128" s="93">
        <v>80</v>
      </c>
      <c r="H128" s="161" t="s">
        <v>444</v>
      </c>
    </row>
    <row r="129" spans="1:9" ht="37.5" hidden="1" x14ac:dyDescent="0.25">
      <c r="A129" s="488"/>
      <c r="B129" s="644"/>
      <c r="C129" s="181" t="s">
        <v>151</v>
      </c>
      <c r="D129" s="191" t="s">
        <v>612</v>
      </c>
      <c r="E129" s="181"/>
      <c r="F129" s="93">
        <v>2</v>
      </c>
      <c r="G129" s="93">
        <v>145</v>
      </c>
      <c r="H129" s="161" t="s">
        <v>445</v>
      </c>
    </row>
    <row r="130" spans="1:9" ht="20.25" hidden="1" x14ac:dyDescent="0.25">
      <c r="A130" s="489"/>
      <c r="B130" s="645"/>
      <c r="C130" s="181" t="s">
        <v>168</v>
      </c>
      <c r="D130" s="191" t="s">
        <v>613</v>
      </c>
      <c r="E130" s="181"/>
      <c r="F130" s="93"/>
      <c r="G130" s="93"/>
      <c r="H130" s="161"/>
    </row>
    <row r="131" spans="1:9" ht="37.5" x14ac:dyDescent="0.25">
      <c r="A131" s="487">
        <v>5</v>
      </c>
      <c r="B131" s="643" t="s">
        <v>25</v>
      </c>
      <c r="C131" s="181" t="s">
        <v>150</v>
      </c>
      <c r="D131" s="191" t="s">
        <v>611</v>
      </c>
      <c r="E131" s="181"/>
      <c r="F131" s="93">
        <v>2</v>
      </c>
      <c r="G131" s="93">
        <v>175</v>
      </c>
      <c r="H131" s="161" t="s">
        <v>446</v>
      </c>
    </row>
    <row r="132" spans="1:9" ht="37.5" hidden="1" x14ac:dyDescent="0.25">
      <c r="A132" s="488"/>
      <c r="B132" s="644"/>
      <c r="C132" s="181" t="s">
        <v>151</v>
      </c>
      <c r="D132" s="191" t="s">
        <v>612</v>
      </c>
      <c r="E132" s="181"/>
      <c r="F132" s="93">
        <v>2</v>
      </c>
      <c r="G132" s="93">
        <v>150</v>
      </c>
      <c r="H132" s="161" t="s">
        <v>447</v>
      </c>
    </row>
    <row r="133" spans="1:9" ht="75" hidden="1" x14ac:dyDescent="0.25">
      <c r="A133" s="489"/>
      <c r="B133" s="645"/>
      <c r="C133" s="181" t="s">
        <v>168</v>
      </c>
      <c r="D133" s="191" t="s">
        <v>613</v>
      </c>
      <c r="E133" s="181"/>
      <c r="F133" s="93">
        <v>4</v>
      </c>
      <c r="G133" s="93">
        <v>119</v>
      </c>
      <c r="H133" s="161" t="s">
        <v>448</v>
      </c>
    </row>
    <row r="134" spans="1:9" ht="206.25" x14ac:dyDescent="0.25">
      <c r="A134" s="487">
        <v>6</v>
      </c>
      <c r="B134" s="643" t="s">
        <v>28</v>
      </c>
      <c r="C134" s="181" t="s">
        <v>150</v>
      </c>
      <c r="D134" s="191" t="s">
        <v>611</v>
      </c>
      <c r="E134" s="181"/>
      <c r="F134" s="93">
        <v>11</v>
      </c>
      <c r="G134" s="93">
        <v>1676</v>
      </c>
      <c r="H134" s="161" t="s">
        <v>441</v>
      </c>
    </row>
    <row r="135" spans="1:9" ht="20.25" hidden="1" x14ac:dyDescent="0.25">
      <c r="A135" s="488"/>
      <c r="B135" s="644"/>
      <c r="C135" s="181" t="s">
        <v>151</v>
      </c>
      <c r="D135" s="191" t="s">
        <v>612</v>
      </c>
      <c r="E135" s="181"/>
      <c r="F135" s="93">
        <v>1</v>
      </c>
      <c r="G135" s="93">
        <v>105</v>
      </c>
      <c r="H135" s="161" t="s">
        <v>442</v>
      </c>
    </row>
    <row r="136" spans="1:9" ht="20.25" hidden="1" x14ac:dyDescent="0.25">
      <c r="A136" s="489"/>
      <c r="B136" s="645"/>
      <c r="C136" s="181" t="s">
        <v>168</v>
      </c>
      <c r="D136" s="191" t="s">
        <v>613</v>
      </c>
      <c r="E136" s="181"/>
      <c r="F136" s="93">
        <v>1</v>
      </c>
      <c r="G136" s="93">
        <v>70</v>
      </c>
      <c r="H136" s="161" t="s">
        <v>443</v>
      </c>
    </row>
    <row r="137" spans="1:9" ht="75" x14ac:dyDescent="0.25">
      <c r="A137" s="487">
        <v>7</v>
      </c>
      <c r="B137" s="643" t="s">
        <v>33</v>
      </c>
      <c r="C137" s="181" t="s">
        <v>150</v>
      </c>
      <c r="D137" s="191" t="s">
        <v>611</v>
      </c>
      <c r="E137" s="181"/>
      <c r="F137" s="93">
        <v>4</v>
      </c>
      <c r="G137" s="93">
        <v>120</v>
      </c>
      <c r="H137" s="161" t="s">
        <v>451</v>
      </c>
    </row>
    <row r="138" spans="1:9" ht="112.5" hidden="1" x14ac:dyDescent="0.25">
      <c r="A138" s="488"/>
      <c r="B138" s="644"/>
      <c r="C138" s="181" t="s">
        <v>151</v>
      </c>
      <c r="D138" s="191" t="s">
        <v>612</v>
      </c>
      <c r="E138" s="181"/>
      <c r="F138" s="93">
        <v>6</v>
      </c>
      <c r="G138" s="93">
        <v>285</v>
      </c>
      <c r="H138" s="161" t="s">
        <v>450</v>
      </c>
      <c r="I138" s="43"/>
    </row>
    <row r="139" spans="1:9" ht="75" hidden="1" x14ac:dyDescent="0.25">
      <c r="A139" s="489"/>
      <c r="B139" s="645"/>
      <c r="C139" s="181" t="s">
        <v>168</v>
      </c>
      <c r="D139" s="191" t="s">
        <v>613</v>
      </c>
      <c r="E139" s="181"/>
      <c r="F139" s="93">
        <v>4</v>
      </c>
      <c r="G139" s="93">
        <v>81</v>
      </c>
      <c r="H139" s="171" t="s">
        <v>449</v>
      </c>
      <c r="I139" s="43"/>
    </row>
    <row r="140" spans="1:9" ht="20.25" x14ac:dyDescent="0.25">
      <c r="A140" s="487">
        <v>8</v>
      </c>
      <c r="B140" s="643" t="s">
        <v>38</v>
      </c>
      <c r="C140" s="181" t="s">
        <v>150</v>
      </c>
      <c r="D140" s="191" t="s">
        <v>611</v>
      </c>
      <c r="E140" s="181"/>
      <c r="F140" s="93">
        <v>1</v>
      </c>
      <c r="G140" s="93">
        <v>30</v>
      </c>
      <c r="H140" s="166" t="s">
        <v>457</v>
      </c>
      <c r="I140" s="43"/>
    </row>
    <row r="141" spans="1:9" ht="56.25" hidden="1" x14ac:dyDescent="0.25">
      <c r="A141" s="488"/>
      <c r="B141" s="644"/>
      <c r="C141" s="181" t="s">
        <v>151</v>
      </c>
      <c r="D141" s="191" t="s">
        <v>612</v>
      </c>
      <c r="E141" s="181"/>
      <c r="F141" s="93">
        <v>3</v>
      </c>
      <c r="G141" s="93">
        <v>50</v>
      </c>
      <c r="H141" s="161" t="s">
        <v>458</v>
      </c>
    </row>
    <row r="142" spans="1:9" ht="20.25" hidden="1" x14ac:dyDescent="0.25">
      <c r="A142" s="489"/>
      <c r="B142" s="645"/>
      <c r="C142" s="181" t="s">
        <v>168</v>
      </c>
      <c r="D142" s="191" t="s">
        <v>613</v>
      </c>
      <c r="E142" s="181"/>
      <c r="F142" s="93"/>
      <c r="G142" s="93"/>
      <c r="H142" s="161"/>
    </row>
    <row r="143" spans="1:9" ht="20.25" x14ac:dyDescent="0.25">
      <c r="A143" s="487">
        <v>9</v>
      </c>
      <c r="B143" s="643" t="s">
        <v>88</v>
      </c>
      <c r="C143" s="181" t="s">
        <v>150</v>
      </c>
      <c r="D143" s="191" t="s">
        <v>611</v>
      </c>
      <c r="E143" s="181"/>
      <c r="F143" s="93"/>
      <c r="G143" s="93"/>
      <c r="H143" s="161"/>
    </row>
    <row r="144" spans="1:9" ht="56.25" hidden="1" x14ac:dyDescent="0.25">
      <c r="A144" s="488"/>
      <c r="B144" s="644"/>
      <c r="C144" s="181" t="s">
        <v>151</v>
      </c>
      <c r="D144" s="191" t="s">
        <v>612</v>
      </c>
      <c r="E144" s="181"/>
      <c r="F144" s="93">
        <v>4</v>
      </c>
      <c r="G144" s="93">
        <v>420</v>
      </c>
      <c r="H144" s="161" t="s">
        <v>466</v>
      </c>
    </row>
    <row r="145" spans="1:8" ht="20.25" hidden="1" x14ac:dyDescent="0.25">
      <c r="A145" s="489"/>
      <c r="B145" s="645"/>
      <c r="C145" s="181" t="s">
        <v>168</v>
      </c>
      <c r="D145" s="191" t="s">
        <v>613</v>
      </c>
      <c r="E145" s="181"/>
      <c r="F145" s="93"/>
      <c r="G145" s="93"/>
      <c r="H145" s="161"/>
    </row>
    <row r="146" spans="1:8" ht="37.5" x14ac:dyDescent="0.25">
      <c r="A146" s="487">
        <v>10</v>
      </c>
      <c r="B146" s="643" t="s">
        <v>43</v>
      </c>
      <c r="C146" s="181" t="s">
        <v>150</v>
      </c>
      <c r="D146" s="191" t="s">
        <v>611</v>
      </c>
      <c r="E146" s="181"/>
      <c r="F146" s="93">
        <v>2</v>
      </c>
      <c r="G146" s="93">
        <v>335</v>
      </c>
      <c r="H146" s="161" t="s">
        <v>455</v>
      </c>
    </row>
    <row r="147" spans="1:8" ht="20.25" hidden="1" x14ac:dyDescent="0.25">
      <c r="A147" s="488"/>
      <c r="B147" s="644"/>
      <c r="C147" s="181" t="s">
        <v>151</v>
      </c>
      <c r="D147" s="191" t="s">
        <v>612</v>
      </c>
      <c r="E147" s="181"/>
      <c r="F147" s="93"/>
      <c r="G147" s="93"/>
      <c r="H147" s="161"/>
    </row>
    <row r="148" spans="1:8" ht="20.25" hidden="1" x14ac:dyDescent="0.25">
      <c r="A148" s="489"/>
      <c r="B148" s="645"/>
      <c r="C148" s="181" t="s">
        <v>168</v>
      </c>
      <c r="D148" s="191" t="s">
        <v>613</v>
      </c>
      <c r="E148" s="181"/>
      <c r="F148" s="93"/>
      <c r="G148" s="93"/>
      <c r="H148" s="161"/>
    </row>
    <row r="149" spans="1:8" ht="20.25" x14ac:dyDescent="0.25">
      <c r="A149" s="487">
        <v>11</v>
      </c>
      <c r="B149" s="643" t="s">
        <v>46</v>
      </c>
      <c r="C149" s="181" t="s">
        <v>150</v>
      </c>
      <c r="D149" s="191" t="s">
        <v>611</v>
      </c>
      <c r="E149" s="181"/>
      <c r="F149" s="93">
        <v>1</v>
      </c>
      <c r="G149" s="93">
        <v>60</v>
      </c>
      <c r="H149" s="161" t="s">
        <v>465</v>
      </c>
    </row>
    <row r="150" spans="1:8" ht="20.25" hidden="1" x14ac:dyDescent="0.25">
      <c r="A150" s="488"/>
      <c r="B150" s="644"/>
      <c r="C150" s="181" t="s">
        <v>151</v>
      </c>
      <c r="D150" s="191" t="s">
        <v>612</v>
      </c>
      <c r="E150" s="181"/>
      <c r="F150" s="93"/>
      <c r="G150" s="93"/>
      <c r="H150" s="161"/>
    </row>
    <row r="151" spans="1:8" ht="20.25" hidden="1" x14ac:dyDescent="0.25">
      <c r="A151" s="489"/>
      <c r="B151" s="645"/>
      <c r="C151" s="181" t="s">
        <v>168</v>
      </c>
      <c r="D151" s="191" t="s">
        <v>613</v>
      </c>
      <c r="E151" s="181"/>
      <c r="F151" s="93"/>
      <c r="G151" s="93"/>
      <c r="H151" s="161"/>
    </row>
    <row r="152" spans="1:8" ht="75" x14ac:dyDescent="0.25">
      <c r="A152" s="487">
        <v>12</v>
      </c>
      <c r="B152" s="643" t="s">
        <v>49</v>
      </c>
      <c r="C152" s="181" t="s">
        <v>150</v>
      </c>
      <c r="D152" s="191" t="s">
        <v>611</v>
      </c>
      <c r="E152" s="181"/>
      <c r="F152" s="93">
        <v>4</v>
      </c>
      <c r="G152" s="93">
        <v>355</v>
      </c>
      <c r="H152" s="161" t="s">
        <v>462</v>
      </c>
    </row>
    <row r="153" spans="1:8" ht="112.5" hidden="1" x14ac:dyDescent="0.25">
      <c r="A153" s="488"/>
      <c r="B153" s="644"/>
      <c r="C153" s="181" t="s">
        <v>151</v>
      </c>
      <c r="D153" s="191" t="s">
        <v>612</v>
      </c>
      <c r="E153" s="181"/>
      <c r="F153" s="93">
        <v>6</v>
      </c>
      <c r="G153" s="93">
        <v>498</v>
      </c>
      <c r="H153" s="161" t="s">
        <v>463</v>
      </c>
    </row>
    <row r="154" spans="1:8" ht="20.25" hidden="1" x14ac:dyDescent="0.25">
      <c r="A154" s="489"/>
      <c r="B154" s="645"/>
      <c r="C154" s="181" t="s">
        <v>168</v>
      </c>
      <c r="D154" s="191" t="s">
        <v>613</v>
      </c>
      <c r="E154" s="181"/>
      <c r="F154" s="93"/>
      <c r="G154" s="93"/>
      <c r="H154" s="161"/>
    </row>
    <row r="155" spans="1:8" ht="93.75" x14ac:dyDescent="0.25">
      <c r="A155" s="487">
        <v>13</v>
      </c>
      <c r="B155" s="643" t="s">
        <v>52</v>
      </c>
      <c r="C155" s="181" t="s">
        <v>150</v>
      </c>
      <c r="D155" s="191" t="s">
        <v>611</v>
      </c>
      <c r="E155" s="181"/>
      <c r="F155" s="93">
        <v>4</v>
      </c>
      <c r="G155" s="93">
        <v>650</v>
      </c>
      <c r="H155" s="161" t="s">
        <v>452</v>
      </c>
    </row>
    <row r="156" spans="1:8" ht="75" hidden="1" x14ac:dyDescent="0.25">
      <c r="A156" s="488"/>
      <c r="B156" s="644"/>
      <c r="C156" s="181" t="s">
        <v>151</v>
      </c>
      <c r="D156" s="191" t="s">
        <v>612</v>
      </c>
      <c r="E156" s="181"/>
      <c r="F156" s="93">
        <v>4</v>
      </c>
      <c r="G156" s="93">
        <v>204</v>
      </c>
      <c r="H156" s="161" t="s">
        <v>453</v>
      </c>
    </row>
    <row r="157" spans="1:8" ht="93.75" hidden="1" x14ac:dyDescent="0.25">
      <c r="A157" s="489"/>
      <c r="B157" s="645"/>
      <c r="C157" s="181" t="s">
        <v>168</v>
      </c>
      <c r="D157" s="191" t="s">
        <v>613</v>
      </c>
      <c r="E157" s="181"/>
      <c r="F157" s="93">
        <v>5</v>
      </c>
      <c r="G157" s="93">
        <v>218</v>
      </c>
      <c r="H157" s="161" t="s">
        <v>454</v>
      </c>
    </row>
    <row r="158" spans="1:8" ht="20.25" x14ac:dyDescent="0.25">
      <c r="A158" s="487">
        <v>1</v>
      </c>
      <c r="B158" s="643" t="s">
        <v>83</v>
      </c>
      <c r="C158" s="181" t="s">
        <v>150</v>
      </c>
      <c r="D158" s="191" t="s">
        <v>611</v>
      </c>
      <c r="E158" s="181"/>
      <c r="F158" s="93"/>
      <c r="G158" s="93"/>
      <c r="H158" s="161"/>
    </row>
    <row r="159" spans="1:8" ht="20.25" hidden="1" x14ac:dyDescent="0.25">
      <c r="A159" s="488"/>
      <c r="B159" s="644"/>
      <c r="C159" s="181" t="s">
        <v>151</v>
      </c>
      <c r="D159" s="191" t="s">
        <v>612</v>
      </c>
      <c r="E159" s="181"/>
      <c r="F159" s="93"/>
      <c r="G159" s="93"/>
      <c r="H159" s="161"/>
    </row>
    <row r="160" spans="1:8" ht="37.5" hidden="1" x14ac:dyDescent="0.25">
      <c r="A160" s="489"/>
      <c r="B160" s="645"/>
      <c r="C160" s="181" t="s">
        <v>168</v>
      </c>
      <c r="D160" s="191" t="s">
        <v>613</v>
      </c>
      <c r="E160" s="181"/>
      <c r="F160" s="93">
        <v>1</v>
      </c>
      <c r="G160" s="93">
        <v>30</v>
      </c>
      <c r="H160" s="161" t="s">
        <v>436</v>
      </c>
    </row>
    <row r="161" spans="1:8" ht="20.25" x14ac:dyDescent="0.25">
      <c r="A161" s="487">
        <v>2</v>
      </c>
      <c r="B161" s="643" t="s">
        <v>20</v>
      </c>
      <c r="C161" s="181" t="s">
        <v>150</v>
      </c>
      <c r="D161" s="191" t="s">
        <v>611</v>
      </c>
      <c r="E161" s="181"/>
      <c r="F161" s="93"/>
      <c r="G161" s="93"/>
      <c r="H161" s="161"/>
    </row>
    <row r="162" spans="1:8" ht="20.25" hidden="1" x14ac:dyDescent="0.25">
      <c r="A162" s="488"/>
      <c r="B162" s="644"/>
      <c r="C162" s="181" t="s">
        <v>151</v>
      </c>
      <c r="D162" s="191" t="s">
        <v>612</v>
      </c>
      <c r="E162" s="181"/>
      <c r="F162" s="93"/>
      <c r="G162" s="93"/>
      <c r="H162" s="161"/>
    </row>
    <row r="163" spans="1:8" ht="20.25" hidden="1" x14ac:dyDescent="0.25">
      <c r="A163" s="489"/>
      <c r="B163" s="645"/>
      <c r="C163" s="181" t="s">
        <v>168</v>
      </c>
      <c r="D163" s="191" t="s">
        <v>613</v>
      </c>
      <c r="E163" s="181"/>
      <c r="F163" s="93"/>
      <c r="G163" s="93"/>
      <c r="H163" s="161"/>
    </row>
    <row r="164" spans="1:8" ht="37.5" x14ac:dyDescent="0.25">
      <c r="A164" s="487">
        <v>3</v>
      </c>
      <c r="B164" s="643" t="s">
        <v>23</v>
      </c>
      <c r="C164" s="181" t="s">
        <v>150</v>
      </c>
      <c r="D164" s="191" t="s">
        <v>611</v>
      </c>
      <c r="E164" s="181"/>
      <c r="F164" s="93">
        <v>2</v>
      </c>
      <c r="G164" s="93">
        <v>71</v>
      </c>
      <c r="H164" s="161" t="s">
        <v>418</v>
      </c>
    </row>
    <row r="165" spans="1:8" ht="112.5" hidden="1" x14ac:dyDescent="0.25">
      <c r="A165" s="488"/>
      <c r="B165" s="644"/>
      <c r="C165" s="181" t="s">
        <v>151</v>
      </c>
      <c r="D165" s="191" t="s">
        <v>612</v>
      </c>
      <c r="E165" s="181"/>
      <c r="F165" s="93">
        <v>4</v>
      </c>
      <c r="G165" s="93">
        <v>180</v>
      </c>
      <c r="H165" s="161" t="s">
        <v>419</v>
      </c>
    </row>
    <row r="166" spans="1:8" ht="20.25" hidden="1" x14ac:dyDescent="0.25">
      <c r="A166" s="489"/>
      <c r="B166" s="645"/>
      <c r="C166" s="181" t="s">
        <v>168</v>
      </c>
      <c r="D166" s="191" t="s">
        <v>613</v>
      </c>
      <c r="E166" s="181"/>
      <c r="F166" s="93"/>
      <c r="G166" s="93"/>
      <c r="H166" s="161"/>
    </row>
    <row r="167" spans="1:8" ht="20.25" x14ac:dyDescent="0.25">
      <c r="A167" s="487">
        <v>4</v>
      </c>
      <c r="B167" s="643" t="s">
        <v>165</v>
      </c>
      <c r="C167" s="181" t="s">
        <v>150</v>
      </c>
      <c r="D167" s="191" t="s">
        <v>611</v>
      </c>
      <c r="E167" s="181"/>
      <c r="F167" s="93">
        <v>1</v>
      </c>
      <c r="G167" s="93">
        <v>80</v>
      </c>
      <c r="H167" s="161" t="s">
        <v>420</v>
      </c>
    </row>
    <row r="168" spans="1:8" ht="20.25" hidden="1" x14ac:dyDescent="0.25">
      <c r="A168" s="488"/>
      <c r="B168" s="644"/>
      <c r="C168" s="181" t="s">
        <v>151</v>
      </c>
      <c r="D168" s="191" t="s">
        <v>612</v>
      </c>
      <c r="E168" s="181"/>
      <c r="F168" s="93"/>
      <c r="G168" s="93"/>
      <c r="H168" s="161"/>
    </row>
    <row r="169" spans="1:8" ht="37.5" hidden="1" x14ac:dyDescent="0.25">
      <c r="A169" s="489"/>
      <c r="B169" s="645"/>
      <c r="C169" s="181" t="s">
        <v>168</v>
      </c>
      <c r="D169" s="191" t="s">
        <v>613</v>
      </c>
      <c r="E169" s="181"/>
      <c r="F169" s="93">
        <v>2</v>
      </c>
      <c r="G169" s="93">
        <v>80</v>
      </c>
      <c r="H169" s="161" t="s">
        <v>421</v>
      </c>
    </row>
    <row r="170" spans="1:8" ht="37.5" x14ac:dyDescent="0.25">
      <c r="A170" s="487">
        <v>5</v>
      </c>
      <c r="B170" s="643" t="s">
        <v>25</v>
      </c>
      <c r="C170" s="181" t="s">
        <v>150</v>
      </c>
      <c r="D170" s="191" t="s">
        <v>611</v>
      </c>
      <c r="E170" s="181"/>
      <c r="F170" s="93">
        <v>2</v>
      </c>
      <c r="G170" s="93">
        <v>185</v>
      </c>
      <c r="H170" s="161" t="s">
        <v>416</v>
      </c>
    </row>
    <row r="171" spans="1:8" ht="20.25" hidden="1" x14ac:dyDescent="0.25">
      <c r="A171" s="488"/>
      <c r="B171" s="644"/>
      <c r="C171" s="181" t="s">
        <v>151</v>
      </c>
      <c r="D171" s="191" t="s">
        <v>612</v>
      </c>
      <c r="E171" s="181"/>
      <c r="F171" s="93">
        <v>7</v>
      </c>
      <c r="G171" s="93">
        <v>870</v>
      </c>
      <c r="H171" s="161"/>
    </row>
    <row r="172" spans="1:8" ht="75" hidden="1" x14ac:dyDescent="0.25">
      <c r="A172" s="489"/>
      <c r="B172" s="645"/>
      <c r="C172" s="181" t="s">
        <v>168</v>
      </c>
      <c r="D172" s="191" t="s">
        <v>613</v>
      </c>
      <c r="E172" s="181"/>
      <c r="F172" s="93">
        <v>4</v>
      </c>
      <c r="G172" s="93">
        <v>16</v>
      </c>
      <c r="H172" s="161" t="s">
        <v>417</v>
      </c>
    </row>
    <row r="173" spans="1:8" ht="75" x14ac:dyDescent="0.25">
      <c r="A173" s="487">
        <v>6</v>
      </c>
      <c r="B173" s="643" t="s">
        <v>28</v>
      </c>
      <c r="C173" s="181" t="s">
        <v>150</v>
      </c>
      <c r="D173" s="191" t="s">
        <v>611</v>
      </c>
      <c r="E173" s="181"/>
      <c r="F173" s="93">
        <v>4</v>
      </c>
      <c r="G173" s="93">
        <v>420</v>
      </c>
      <c r="H173" s="161" t="s">
        <v>424</v>
      </c>
    </row>
    <row r="174" spans="1:8" ht="206.25" hidden="1" x14ac:dyDescent="0.25">
      <c r="A174" s="488"/>
      <c r="B174" s="644"/>
      <c r="C174" s="181" t="s">
        <v>151</v>
      </c>
      <c r="D174" s="191" t="s">
        <v>612</v>
      </c>
      <c r="E174" s="181"/>
      <c r="F174" s="93">
        <v>14</v>
      </c>
      <c r="G174" s="93">
        <v>1770</v>
      </c>
      <c r="H174" s="161" t="s">
        <v>425</v>
      </c>
    </row>
    <row r="175" spans="1:8" ht="20.25" hidden="1" x14ac:dyDescent="0.25">
      <c r="A175" s="489"/>
      <c r="B175" s="645"/>
      <c r="C175" s="181" t="s">
        <v>168</v>
      </c>
      <c r="D175" s="191" t="s">
        <v>613</v>
      </c>
      <c r="E175" s="181"/>
      <c r="F175" s="93"/>
      <c r="G175" s="93"/>
      <c r="H175" s="161"/>
    </row>
    <row r="176" spans="1:8" ht="75" x14ac:dyDescent="0.25">
      <c r="A176" s="487">
        <v>7</v>
      </c>
      <c r="B176" s="643" t="s">
        <v>33</v>
      </c>
      <c r="C176" s="181" t="s">
        <v>150</v>
      </c>
      <c r="D176" s="191" t="s">
        <v>611</v>
      </c>
      <c r="E176" s="181"/>
      <c r="F176" s="93">
        <v>4</v>
      </c>
      <c r="G176" s="93">
        <v>310</v>
      </c>
      <c r="H176" s="161" t="s">
        <v>426</v>
      </c>
    </row>
    <row r="177" spans="1:9" ht="93.75" hidden="1" x14ac:dyDescent="0.25">
      <c r="A177" s="488"/>
      <c r="B177" s="644"/>
      <c r="C177" s="181" t="s">
        <v>151</v>
      </c>
      <c r="D177" s="191" t="s">
        <v>612</v>
      </c>
      <c r="E177" s="181"/>
      <c r="F177" s="93">
        <v>5</v>
      </c>
      <c r="G177" s="93">
        <v>320</v>
      </c>
      <c r="H177" s="161" t="s">
        <v>428</v>
      </c>
      <c r="I177" s="43"/>
    </row>
    <row r="178" spans="1:9" ht="206.25" hidden="1" x14ac:dyDescent="0.25">
      <c r="A178" s="489"/>
      <c r="B178" s="645"/>
      <c r="C178" s="181" t="s">
        <v>168</v>
      </c>
      <c r="D178" s="191" t="s">
        <v>613</v>
      </c>
      <c r="E178" s="181"/>
      <c r="F178" s="93">
        <v>11</v>
      </c>
      <c r="G178" s="93">
        <v>231</v>
      </c>
      <c r="H178" s="161" t="s">
        <v>427</v>
      </c>
      <c r="I178" s="43"/>
    </row>
    <row r="179" spans="1:9" ht="37.5" x14ac:dyDescent="0.25">
      <c r="A179" s="487">
        <v>8</v>
      </c>
      <c r="B179" s="643" t="s">
        <v>38</v>
      </c>
      <c r="C179" s="181" t="s">
        <v>150</v>
      </c>
      <c r="D179" s="191" t="s">
        <v>611</v>
      </c>
      <c r="E179" s="181"/>
      <c r="F179" s="93">
        <v>2</v>
      </c>
      <c r="G179" s="93">
        <v>200</v>
      </c>
      <c r="H179" s="166" t="s">
        <v>429</v>
      </c>
      <c r="I179" s="43"/>
    </row>
    <row r="180" spans="1:9" ht="56.25" hidden="1" x14ac:dyDescent="0.25">
      <c r="A180" s="488"/>
      <c r="B180" s="644"/>
      <c r="C180" s="181" t="s">
        <v>151</v>
      </c>
      <c r="D180" s="191" t="s">
        <v>612</v>
      </c>
      <c r="E180" s="181"/>
      <c r="F180" s="93">
        <v>3</v>
      </c>
      <c r="G180" s="93">
        <v>60</v>
      </c>
      <c r="H180" s="161" t="s">
        <v>430</v>
      </c>
    </row>
    <row r="181" spans="1:9" ht="20.25" hidden="1" x14ac:dyDescent="0.25">
      <c r="A181" s="489"/>
      <c r="B181" s="645"/>
      <c r="C181" s="181" t="s">
        <v>168</v>
      </c>
      <c r="D181" s="191" t="s">
        <v>613</v>
      </c>
      <c r="E181" s="181"/>
      <c r="F181" s="93"/>
      <c r="G181" s="93"/>
      <c r="H181" s="161"/>
    </row>
    <row r="182" spans="1:9" ht="20.25" x14ac:dyDescent="0.25">
      <c r="A182" s="487">
        <v>9</v>
      </c>
      <c r="B182" s="643" t="s">
        <v>88</v>
      </c>
      <c r="C182" s="181" t="s">
        <v>150</v>
      </c>
      <c r="D182" s="191" t="s">
        <v>611</v>
      </c>
      <c r="E182" s="181"/>
      <c r="F182" s="93">
        <v>1</v>
      </c>
      <c r="G182" s="93">
        <v>85</v>
      </c>
      <c r="H182" s="161" t="s">
        <v>431</v>
      </c>
    </row>
    <row r="183" spans="1:9" ht="20.25" hidden="1" x14ac:dyDescent="0.25">
      <c r="A183" s="488"/>
      <c r="B183" s="644"/>
      <c r="C183" s="181" t="s">
        <v>151</v>
      </c>
      <c r="D183" s="191" t="s">
        <v>612</v>
      </c>
      <c r="E183" s="181"/>
      <c r="F183" s="93">
        <v>1</v>
      </c>
      <c r="G183" s="93">
        <v>8</v>
      </c>
      <c r="H183" s="161" t="s">
        <v>432</v>
      </c>
    </row>
    <row r="184" spans="1:9" ht="20.25" hidden="1" x14ac:dyDescent="0.25">
      <c r="A184" s="489"/>
      <c r="B184" s="645"/>
      <c r="C184" s="181" t="s">
        <v>168</v>
      </c>
      <c r="D184" s="191" t="s">
        <v>613</v>
      </c>
      <c r="E184" s="181"/>
      <c r="F184" s="93"/>
      <c r="G184" s="93"/>
      <c r="H184" s="161"/>
    </row>
    <row r="185" spans="1:9" ht="20.25" x14ac:dyDescent="0.25">
      <c r="A185" s="487">
        <v>10</v>
      </c>
      <c r="B185" s="643" t="s">
        <v>43</v>
      </c>
      <c r="C185" s="181" t="s">
        <v>150</v>
      </c>
      <c r="D185" s="191" t="s">
        <v>611</v>
      </c>
      <c r="E185" s="181"/>
      <c r="F185" s="93"/>
      <c r="G185" s="93"/>
      <c r="H185" s="161"/>
    </row>
    <row r="186" spans="1:9" ht="20.25" hidden="1" x14ac:dyDescent="0.25">
      <c r="A186" s="488"/>
      <c r="B186" s="644"/>
      <c r="C186" s="181" t="s">
        <v>151</v>
      </c>
      <c r="D186" s="191" t="s">
        <v>612</v>
      </c>
      <c r="E186" s="181"/>
      <c r="F186" s="93"/>
      <c r="G186" s="93"/>
      <c r="H186" s="161"/>
    </row>
    <row r="187" spans="1:9" ht="20.25" hidden="1" x14ac:dyDescent="0.25">
      <c r="A187" s="489"/>
      <c r="B187" s="645"/>
      <c r="C187" s="181" t="s">
        <v>168</v>
      </c>
      <c r="D187" s="191" t="s">
        <v>613</v>
      </c>
      <c r="E187" s="181"/>
      <c r="F187" s="93"/>
      <c r="G187" s="93"/>
      <c r="H187" s="161"/>
    </row>
    <row r="188" spans="1:9" ht="20.25" x14ac:dyDescent="0.25">
      <c r="A188" s="487">
        <v>11</v>
      </c>
      <c r="B188" s="643" t="s">
        <v>46</v>
      </c>
      <c r="C188" s="181" t="s">
        <v>150</v>
      </c>
      <c r="D188" s="191" t="s">
        <v>611</v>
      </c>
      <c r="E188" s="181"/>
      <c r="F188" s="93">
        <v>1</v>
      </c>
      <c r="G188" s="93">
        <v>60</v>
      </c>
      <c r="H188" s="161" t="s">
        <v>437</v>
      </c>
    </row>
    <row r="189" spans="1:9" ht="20.25" hidden="1" x14ac:dyDescent="0.25">
      <c r="A189" s="488"/>
      <c r="B189" s="644"/>
      <c r="C189" s="181" t="s">
        <v>151</v>
      </c>
      <c r="D189" s="191" t="s">
        <v>612</v>
      </c>
      <c r="E189" s="181"/>
      <c r="F189" s="93">
        <v>1</v>
      </c>
      <c r="G189" s="93">
        <v>15</v>
      </c>
      <c r="H189" s="161" t="s">
        <v>438</v>
      </c>
    </row>
    <row r="190" spans="1:9" ht="37.5" hidden="1" x14ac:dyDescent="0.25">
      <c r="A190" s="489"/>
      <c r="B190" s="645"/>
      <c r="C190" s="181" t="s">
        <v>168</v>
      </c>
      <c r="D190" s="191" t="s">
        <v>613</v>
      </c>
      <c r="E190" s="181"/>
      <c r="F190" s="93">
        <v>2</v>
      </c>
      <c r="G190" s="93">
        <v>25</v>
      </c>
      <c r="H190" s="161" t="s">
        <v>439</v>
      </c>
    </row>
    <row r="191" spans="1:9" ht="37.5" x14ac:dyDescent="0.25">
      <c r="A191" s="487">
        <v>12</v>
      </c>
      <c r="B191" s="643" t="s">
        <v>49</v>
      </c>
      <c r="C191" s="181" t="s">
        <v>150</v>
      </c>
      <c r="D191" s="191" t="s">
        <v>611</v>
      </c>
      <c r="E191" s="181"/>
      <c r="F191" s="93">
        <v>2</v>
      </c>
      <c r="G191" s="93">
        <v>405</v>
      </c>
      <c r="H191" s="161" t="s">
        <v>434</v>
      </c>
    </row>
    <row r="192" spans="1:9" ht="131.25" hidden="1" x14ac:dyDescent="0.25">
      <c r="A192" s="488"/>
      <c r="B192" s="644"/>
      <c r="C192" s="181" t="s">
        <v>151</v>
      </c>
      <c r="D192" s="191" t="s">
        <v>612</v>
      </c>
      <c r="E192" s="181"/>
      <c r="F192" s="93">
        <v>7</v>
      </c>
      <c r="G192" s="93">
        <v>603</v>
      </c>
      <c r="H192" s="161" t="s">
        <v>435</v>
      </c>
    </row>
    <row r="193" spans="1:8" ht="20.25" hidden="1" x14ac:dyDescent="0.25">
      <c r="A193" s="489"/>
      <c r="B193" s="645"/>
      <c r="C193" s="181" t="s">
        <v>168</v>
      </c>
      <c r="D193" s="191" t="s">
        <v>613</v>
      </c>
      <c r="E193" s="181"/>
      <c r="F193" s="93"/>
      <c r="G193" s="93"/>
      <c r="H193" s="161"/>
    </row>
    <row r="194" spans="1:8" ht="112.5" x14ac:dyDescent="0.25">
      <c r="A194" s="487">
        <v>13</v>
      </c>
      <c r="B194" s="643" t="s">
        <v>52</v>
      </c>
      <c r="C194" s="181" t="s">
        <v>150</v>
      </c>
      <c r="D194" s="191" t="s">
        <v>611</v>
      </c>
      <c r="E194" s="181"/>
      <c r="F194" s="93">
        <v>6</v>
      </c>
      <c r="G194" s="93">
        <v>1105</v>
      </c>
      <c r="H194" s="161" t="s">
        <v>433</v>
      </c>
    </row>
    <row r="195" spans="1:8" ht="75" hidden="1" x14ac:dyDescent="0.25">
      <c r="A195" s="488"/>
      <c r="B195" s="644"/>
      <c r="C195" s="181" t="s">
        <v>151</v>
      </c>
      <c r="D195" s="191" t="s">
        <v>612</v>
      </c>
      <c r="E195" s="181"/>
      <c r="F195" s="93">
        <v>4</v>
      </c>
      <c r="G195" s="93">
        <v>159</v>
      </c>
      <c r="H195" s="161" t="s">
        <v>422</v>
      </c>
    </row>
    <row r="196" spans="1:8" ht="75" hidden="1" x14ac:dyDescent="0.25">
      <c r="A196" s="489"/>
      <c r="B196" s="645"/>
      <c r="C196" s="181" t="s">
        <v>168</v>
      </c>
      <c r="D196" s="191" t="s">
        <v>613</v>
      </c>
      <c r="E196" s="181"/>
      <c r="F196" s="93">
        <v>4</v>
      </c>
      <c r="G196" s="93">
        <v>176</v>
      </c>
      <c r="H196" s="161" t="s">
        <v>423</v>
      </c>
    </row>
    <row r="197" spans="1:8" ht="20.25" x14ac:dyDescent="0.25">
      <c r="A197" s="487">
        <v>1</v>
      </c>
      <c r="B197" s="643" t="s">
        <v>83</v>
      </c>
      <c r="C197" s="181" t="s">
        <v>150</v>
      </c>
      <c r="D197" s="191" t="s">
        <v>611</v>
      </c>
      <c r="E197" s="181"/>
      <c r="F197" s="93"/>
      <c r="G197" s="93"/>
      <c r="H197" s="161"/>
    </row>
    <row r="198" spans="1:8" ht="20.25" hidden="1" x14ac:dyDescent="0.25">
      <c r="A198" s="488"/>
      <c r="B198" s="644"/>
      <c r="C198" s="181" t="s">
        <v>151</v>
      </c>
      <c r="D198" s="191" t="s">
        <v>612</v>
      </c>
      <c r="E198" s="181"/>
      <c r="F198" s="93"/>
      <c r="G198" s="93"/>
      <c r="H198" s="161"/>
    </row>
    <row r="199" spans="1:8" ht="75" hidden="1" x14ac:dyDescent="0.25">
      <c r="A199" s="489"/>
      <c r="B199" s="645"/>
      <c r="C199" s="181" t="s">
        <v>168</v>
      </c>
      <c r="D199" s="191" t="s">
        <v>613</v>
      </c>
      <c r="E199" s="181"/>
      <c r="F199" s="93">
        <v>4</v>
      </c>
      <c r="G199" s="93">
        <v>510</v>
      </c>
      <c r="H199" s="161" t="s">
        <v>393</v>
      </c>
    </row>
    <row r="200" spans="1:8" ht="20.25" x14ac:dyDescent="0.25">
      <c r="A200" s="487">
        <v>2</v>
      </c>
      <c r="B200" s="643" t="s">
        <v>20</v>
      </c>
      <c r="C200" s="181" t="s">
        <v>150</v>
      </c>
      <c r="D200" s="191" t="s">
        <v>611</v>
      </c>
      <c r="E200" s="181"/>
      <c r="F200" s="93"/>
      <c r="G200" s="93"/>
      <c r="H200" s="161"/>
    </row>
    <row r="201" spans="1:8" ht="20.25" hidden="1" x14ac:dyDescent="0.25">
      <c r="A201" s="488"/>
      <c r="B201" s="644"/>
      <c r="C201" s="181" t="s">
        <v>151</v>
      </c>
      <c r="D201" s="191" t="s">
        <v>612</v>
      </c>
      <c r="E201" s="181"/>
      <c r="F201" s="93"/>
      <c r="G201" s="93"/>
      <c r="H201" s="161"/>
    </row>
    <row r="202" spans="1:8" ht="20.25" hidden="1" x14ac:dyDescent="0.25">
      <c r="A202" s="489"/>
      <c r="B202" s="645"/>
      <c r="C202" s="181" t="s">
        <v>168</v>
      </c>
      <c r="D202" s="191" t="s">
        <v>613</v>
      </c>
      <c r="E202" s="181"/>
      <c r="F202" s="93"/>
      <c r="G202" s="93"/>
      <c r="H202" s="161"/>
    </row>
    <row r="203" spans="1:8" ht="37.5" x14ac:dyDescent="0.25">
      <c r="A203" s="487">
        <v>3</v>
      </c>
      <c r="B203" s="643" t="s">
        <v>23</v>
      </c>
      <c r="C203" s="181" t="s">
        <v>150</v>
      </c>
      <c r="D203" s="191" t="s">
        <v>611</v>
      </c>
      <c r="E203" s="181"/>
      <c r="F203" s="93">
        <v>2</v>
      </c>
      <c r="G203" s="93">
        <v>78</v>
      </c>
      <c r="H203" s="161" t="s">
        <v>387</v>
      </c>
    </row>
    <row r="204" spans="1:8" ht="37.5" hidden="1" x14ac:dyDescent="0.25">
      <c r="A204" s="488"/>
      <c r="B204" s="644"/>
      <c r="C204" s="181" t="s">
        <v>151</v>
      </c>
      <c r="D204" s="191" t="s">
        <v>612</v>
      </c>
      <c r="E204" s="181"/>
      <c r="F204" s="93">
        <v>2</v>
      </c>
      <c r="G204" s="93">
        <v>24</v>
      </c>
      <c r="H204" s="161" t="s">
        <v>388</v>
      </c>
    </row>
    <row r="205" spans="1:8" ht="20.25" hidden="1" x14ac:dyDescent="0.25">
      <c r="A205" s="489"/>
      <c r="B205" s="645"/>
      <c r="C205" s="181" t="s">
        <v>168</v>
      </c>
      <c r="D205" s="191" t="s">
        <v>613</v>
      </c>
      <c r="E205" s="181"/>
      <c r="F205" s="93"/>
      <c r="G205" s="93"/>
      <c r="H205" s="161"/>
    </row>
    <row r="206" spans="1:8" ht="20.25" x14ac:dyDescent="0.25">
      <c r="A206" s="487">
        <v>4</v>
      </c>
      <c r="B206" s="643" t="s">
        <v>165</v>
      </c>
      <c r="C206" s="181" t="s">
        <v>150</v>
      </c>
      <c r="D206" s="191" t="s">
        <v>611</v>
      </c>
      <c r="E206" s="181"/>
      <c r="F206" s="93">
        <v>1</v>
      </c>
      <c r="G206" s="93">
        <v>70</v>
      </c>
      <c r="H206" s="161" t="s">
        <v>389</v>
      </c>
    </row>
    <row r="207" spans="1:8" ht="20.25" hidden="1" x14ac:dyDescent="0.25">
      <c r="A207" s="488"/>
      <c r="B207" s="644"/>
      <c r="C207" s="181" t="s">
        <v>151</v>
      </c>
      <c r="D207" s="191" t="s">
        <v>612</v>
      </c>
      <c r="E207" s="181"/>
      <c r="F207" s="93"/>
      <c r="G207" s="93"/>
      <c r="H207" s="161"/>
    </row>
    <row r="208" spans="1:8" ht="20.25" hidden="1" x14ac:dyDescent="0.25">
      <c r="A208" s="489"/>
      <c r="B208" s="645"/>
      <c r="C208" s="181" t="s">
        <v>168</v>
      </c>
      <c r="D208" s="191" t="s">
        <v>613</v>
      </c>
      <c r="E208" s="181"/>
      <c r="F208" s="93"/>
      <c r="G208" s="93"/>
      <c r="H208" s="161"/>
    </row>
    <row r="209" spans="1:9" ht="37.5" x14ac:dyDescent="0.25">
      <c r="A209" s="487">
        <v>5</v>
      </c>
      <c r="B209" s="643" t="s">
        <v>25</v>
      </c>
      <c r="C209" s="181" t="s">
        <v>150</v>
      </c>
      <c r="D209" s="191" t="s">
        <v>611</v>
      </c>
      <c r="E209" s="181"/>
      <c r="F209" s="93">
        <v>2</v>
      </c>
      <c r="G209" s="93">
        <v>205</v>
      </c>
      <c r="H209" s="161" t="s">
        <v>390</v>
      </c>
    </row>
    <row r="210" spans="1:9" ht="20.25" hidden="1" x14ac:dyDescent="0.25">
      <c r="A210" s="488"/>
      <c r="B210" s="644"/>
      <c r="C210" s="181" t="s">
        <v>151</v>
      </c>
      <c r="D210" s="191" t="s">
        <v>612</v>
      </c>
      <c r="E210" s="181"/>
      <c r="F210" s="93">
        <v>1</v>
      </c>
      <c r="G210" s="93">
        <v>150</v>
      </c>
      <c r="H210" s="161" t="s">
        <v>391</v>
      </c>
    </row>
    <row r="211" spans="1:9" ht="56.25" hidden="1" x14ac:dyDescent="0.25">
      <c r="A211" s="489"/>
      <c r="B211" s="645"/>
      <c r="C211" s="181" t="s">
        <v>168</v>
      </c>
      <c r="D211" s="191" t="s">
        <v>613</v>
      </c>
      <c r="E211" s="181"/>
      <c r="F211" s="93">
        <v>3</v>
      </c>
      <c r="G211" s="93">
        <v>15</v>
      </c>
      <c r="H211" s="161" t="s">
        <v>392</v>
      </c>
    </row>
    <row r="212" spans="1:9" ht="56.25" x14ac:dyDescent="0.25">
      <c r="A212" s="487">
        <v>6</v>
      </c>
      <c r="B212" s="643" t="s">
        <v>28</v>
      </c>
      <c r="C212" s="181" t="s">
        <v>150</v>
      </c>
      <c r="D212" s="191" t="s">
        <v>611</v>
      </c>
      <c r="E212" s="181"/>
      <c r="F212" s="93">
        <v>5</v>
      </c>
      <c r="G212" s="93">
        <v>335</v>
      </c>
      <c r="H212" s="161" t="s">
        <v>397</v>
      </c>
    </row>
    <row r="213" spans="1:9" ht="20.25" hidden="1" x14ac:dyDescent="0.25">
      <c r="A213" s="488"/>
      <c r="B213" s="644"/>
      <c r="C213" s="181" t="s">
        <v>151</v>
      </c>
      <c r="D213" s="191" t="s">
        <v>612</v>
      </c>
      <c r="E213" s="181"/>
      <c r="F213" s="93"/>
      <c r="G213" s="93"/>
      <c r="H213" s="161"/>
    </row>
    <row r="214" spans="1:9" ht="20.25" hidden="1" x14ac:dyDescent="0.25">
      <c r="A214" s="489"/>
      <c r="B214" s="645"/>
      <c r="C214" s="181" t="s">
        <v>168</v>
      </c>
      <c r="D214" s="191" t="s">
        <v>613</v>
      </c>
      <c r="E214" s="181"/>
      <c r="F214" s="93"/>
      <c r="G214" s="93"/>
      <c r="H214" s="161"/>
    </row>
    <row r="215" spans="1:9" ht="93.75" x14ac:dyDescent="0.25">
      <c r="A215" s="487">
        <v>7</v>
      </c>
      <c r="B215" s="643" t="s">
        <v>33</v>
      </c>
      <c r="C215" s="181" t="s">
        <v>150</v>
      </c>
      <c r="D215" s="191" t="s">
        <v>611</v>
      </c>
      <c r="E215" s="181"/>
      <c r="F215" s="93">
        <v>5</v>
      </c>
      <c r="G215" s="93">
        <v>360</v>
      </c>
      <c r="H215" s="161" t="s">
        <v>396</v>
      </c>
    </row>
    <row r="216" spans="1:9" ht="206.25" hidden="1" x14ac:dyDescent="0.25">
      <c r="A216" s="488"/>
      <c r="B216" s="644"/>
      <c r="C216" s="181" t="s">
        <v>151</v>
      </c>
      <c r="D216" s="191" t="s">
        <v>612</v>
      </c>
      <c r="E216" s="181"/>
      <c r="F216" s="93">
        <v>11</v>
      </c>
      <c r="G216" s="93">
        <v>433</v>
      </c>
      <c r="H216" s="161" t="s">
        <v>394</v>
      </c>
      <c r="I216" s="43"/>
    </row>
    <row r="217" spans="1:9" ht="93.75" hidden="1" x14ac:dyDescent="0.25">
      <c r="A217" s="489"/>
      <c r="B217" s="645"/>
      <c r="C217" s="181" t="s">
        <v>168</v>
      </c>
      <c r="D217" s="191" t="s">
        <v>613</v>
      </c>
      <c r="E217" s="181"/>
      <c r="F217" s="93">
        <v>11</v>
      </c>
      <c r="G217" s="93">
        <v>360</v>
      </c>
      <c r="H217" s="161" t="s">
        <v>395</v>
      </c>
      <c r="I217" s="43"/>
    </row>
    <row r="218" spans="1:9" ht="20.25" x14ac:dyDescent="0.25">
      <c r="A218" s="487">
        <v>8</v>
      </c>
      <c r="B218" s="643" t="s">
        <v>38</v>
      </c>
      <c r="C218" s="181" t="s">
        <v>150</v>
      </c>
      <c r="D218" s="191" t="s">
        <v>611</v>
      </c>
      <c r="E218" s="181"/>
      <c r="F218" s="93">
        <v>1</v>
      </c>
      <c r="G218" s="93">
        <v>190</v>
      </c>
      <c r="H218" s="164" t="s">
        <v>400</v>
      </c>
      <c r="I218" s="43"/>
    </row>
    <row r="219" spans="1:9" ht="20.25" hidden="1" x14ac:dyDescent="0.25">
      <c r="A219" s="488"/>
      <c r="B219" s="644"/>
      <c r="C219" s="181" t="s">
        <v>151</v>
      </c>
      <c r="D219" s="191" t="s">
        <v>612</v>
      </c>
      <c r="E219" s="181"/>
      <c r="F219" s="93">
        <v>2</v>
      </c>
      <c r="G219" s="93">
        <v>59</v>
      </c>
      <c r="H219" s="161" t="s">
        <v>399</v>
      </c>
    </row>
    <row r="220" spans="1:9" ht="20.25" hidden="1" x14ac:dyDescent="0.25">
      <c r="A220" s="489"/>
      <c r="B220" s="645"/>
      <c r="C220" s="181" t="s">
        <v>168</v>
      </c>
      <c r="D220" s="191" t="s">
        <v>613</v>
      </c>
      <c r="E220" s="181"/>
      <c r="F220" s="93"/>
      <c r="G220" s="93"/>
      <c r="H220" s="161"/>
    </row>
    <row r="221" spans="1:9" ht="20.25" x14ac:dyDescent="0.25">
      <c r="A221" s="487">
        <v>9</v>
      </c>
      <c r="B221" s="643" t="s">
        <v>88</v>
      </c>
      <c r="C221" s="181" t="s">
        <v>150</v>
      </c>
      <c r="D221" s="191" t="s">
        <v>611</v>
      </c>
      <c r="E221" s="181"/>
      <c r="F221" s="93"/>
      <c r="G221" s="93"/>
      <c r="H221" s="161"/>
    </row>
    <row r="222" spans="1:9" ht="37.5" hidden="1" x14ac:dyDescent="0.25">
      <c r="A222" s="488"/>
      <c r="B222" s="644"/>
      <c r="C222" s="181" t="s">
        <v>151</v>
      </c>
      <c r="D222" s="191" t="s">
        <v>612</v>
      </c>
      <c r="E222" s="181"/>
      <c r="F222" s="93">
        <v>3</v>
      </c>
      <c r="G222" s="93">
        <v>615</v>
      </c>
      <c r="H222" s="161" t="s">
        <v>398</v>
      </c>
    </row>
    <row r="223" spans="1:9" ht="20.25" hidden="1" x14ac:dyDescent="0.25">
      <c r="A223" s="489"/>
      <c r="B223" s="645"/>
      <c r="C223" s="181" t="s">
        <v>168</v>
      </c>
      <c r="D223" s="191" t="s">
        <v>613</v>
      </c>
      <c r="E223" s="181"/>
      <c r="F223" s="93"/>
      <c r="G223" s="93"/>
      <c r="H223" s="161"/>
    </row>
    <row r="224" spans="1:9" ht="20.25" x14ac:dyDescent="0.25">
      <c r="A224" s="487">
        <v>10</v>
      </c>
      <c r="B224" s="643" t="s">
        <v>43</v>
      </c>
      <c r="C224" s="181" t="s">
        <v>150</v>
      </c>
      <c r="D224" s="191" t="s">
        <v>611</v>
      </c>
      <c r="E224" s="181"/>
      <c r="F224" s="93">
        <v>1</v>
      </c>
      <c r="G224" s="93">
        <v>30</v>
      </c>
      <c r="H224" s="161" t="s">
        <v>401</v>
      </c>
    </row>
    <row r="225" spans="1:8" ht="20.25" hidden="1" x14ac:dyDescent="0.25">
      <c r="A225" s="488"/>
      <c r="B225" s="644"/>
      <c r="C225" s="181" t="s">
        <v>151</v>
      </c>
      <c r="D225" s="191" t="s">
        <v>612</v>
      </c>
      <c r="E225" s="181"/>
      <c r="F225" s="93"/>
      <c r="G225" s="93"/>
      <c r="H225" s="161"/>
    </row>
    <row r="226" spans="1:8" ht="20.25" hidden="1" x14ac:dyDescent="0.25">
      <c r="A226" s="489"/>
      <c r="B226" s="645"/>
      <c r="C226" s="181" t="s">
        <v>168</v>
      </c>
      <c r="D226" s="191" t="s">
        <v>613</v>
      </c>
      <c r="E226" s="181"/>
      <c r="F226" s="93"/>
      <c r="G226" s="93"/>
      <c r="H226" s="161"/>
    </row>
    <row r="227" spans="1:8" ht="20.25" x14ac:dyDescent="0.25">
      <c r="A227" s="487">
        <v>11</v>
      </c>
      <c r="B227" s="643" t="s">
        <v>46</v>
      </c>
      <c r="C227" s="181" t="s">
        <v>150</v>
      </c>
      <c r="D227" s="191" t="s">
        <v>611</v>
      </c>
      <c r="E227" s="181"/>
      <c r="F227" s="93">
        <v>1</v>
      </c>
      <c r="G227" s="93">
        <v>10</v>
      </c>
      <c r="H227" s="161" t="s">
        <v>412</v>
      </c>
    </row>
    <row r="228" spans="1:8" ht="20.25" hidden="1" x14ac:dyDescent="0.25">
      <c r="A228" s="488"/>
      <c r="B228" s="644"/>
      <c r="C228" s="181" t="s">
        <v>151</v>
      </c>
      <c r="D228" s="191" t="s">
        <v>612</v>
      </c>
      <c r="E228" s="181"/>
      <c r="F228" s="93">
        <v>1</v>
      </c>
      <c r="G228" s="93">
        <v>15</v>
      </c>
      <c r="H228" s="161" t="s">
        <v>413</v>
      </c>
    </row>
    <row r="229" spans="1:8" ht="37.5" hidden="1" x14ac:dyDescent="0.25">
      <c r="A229" s="489"/>
      <c r="B229" s="645"/>
      <c r="C229" s="181" t="s">
        <v>168</v>
      </c>
      <c r="D229" s="191" t="s">
        <v>613</v>
      </c>
      <c r="E229" s="181"/>
      <c r="F229" s="93">
        <v>2</v>
      </c>
      <c r="G229" s="93">
        <v>25</v>
      </c>
      <c r="H229" s="161" t="s">
        <v>414</v>
      </c>
    </row>
    <row r="230" spans="1:8" ht="56.25" x14ac:dyDescent="0.25">
      <c r="A230" s="487">
        <v>12</v>
      </c>
      <c r="B230" s="643" t="s">
        <v>49</v>
      </c>
      <c r="C230" s="181" t="s">
        <v>150</v>
      </c>
      <c r="D230" s="191" t="s">
        <v>611</v>
      </c>
      <c r="E230" s="181"/>
      <c r="F230" s="93">
        <v>3</v>
      </c>
      <c r="G230" s="93">
        <v>355</v>
      </c>
      <c r="H230" s="161" t="s">
        <v>406</v>
      </c>
    </row>
    <row r="231" spans="1:8" ht="131.25" hidden="1" x14ac:dyDescent="0.25">
      <c r="A231" s="488"/>
      <c r="B231" s="644"/>
      <c r="C231" s="181" t="s">
        <v>151</v>
      </c>
      <c r="D231" s="191" t="s">
        <v>612</v>
      </c>
      <c r="E231" s="181"/>
      <c r="F231" s="93">
        <v>9</v>
      </c>
      <c r="G231" s="93">
        <v>889</v>
      </c>
      <c r="H231" s="161" t="s">
        <v>407</v>
      </c>
    </row>
    <row r="232" spans="1:8" ht="20.25" hidden="1" x14ac:dyDescent="0.25">
      <c r="A232" s="489"/>
      <c r="B232" s="645"/>
      <c r="C232" s="181" t="s">
        <v>168</v>
      </c>
      <c r="D232" s="191" t="s">
        <v>613</v>
      </c>
      <c r="E232" s="181"/>
      <c r="F232" s="93">
        <v>1</v>
      </c>
      <c r="G232" s="93">
        <v>250</v>
      </c>
      <c r="H232" s="161" t="s">
        <v>405</v>
      </c>
    </row>
    <row r="233" spans="1:8" ht="20.25" x14ac:dyDescent="0.25">
      <c r="A233" s="487">
        <v>13</v>
      </c>
      <c r="B233" s="643" t="s">
        <v>52</v>
      </c>
      <c r="C233" s="181" t="s">
        <v>150</v>
      </c>
      <c r="D233" s="191" t="s">
        <v>611</v>
      </c>
      <c r="E233" s="181"/>
      <c r="F233" s="93">
        <v>3</v>
      </c>
      <c r="G233" s="93">
        <v>510</v>
      </c>
      <c r="H233" s="161" t="s">
        <v>402</v>
      </c>
    </row>
    <row r="234" spans="1:8" ht="37.5" hidden="1" x14ac:dyDescent="0.25">
      <c r="A234" s="488"/>
      <c r="B234" s="644"/>
      <c r="C234" s="181" t="s">
        <v>151</v>
      </c>
      <c r="D234" s="191" t="s">
        <v>612</v>
      </c>
      <c r="E234" s="181"/>
      <c r="F234" s="93">
        <v>2</v>
      </c>
      <c r="G234" s="93">
        <v>39</v>
      </c>
      <c r="H234" s="161" t="s">
        <v>404</v>
      </c>
    </row>
    <row r="235" spans="1:8" ht="150" hidden="1" x14ac:dyDescent="0.25">
      <c r="A235" s="489"/>
      <c r="B235" s="645"/>
      <c r="C235" s="181" t="s">
        <v>168</v>
      </c>
      <c r="D235" s="191" t="s">
        <v>613</v>
      </c>
      <c r="E235" s="181"/>
      <c r="F235" s="93">
        <v>10</v>
      </c>
      <c r="G235" s="93">
        <v>308</v>
      </c>
      <c r="H235" s="161" t="s">
        <v>403</v>
      </c>
    </row>
    <row r="236" spans="1:8" hidden="1" x14ac:dyDescent="0.25">
      <c r="H236" s="163"/>
    </row>
    <row r="237" spans="1:8" hidden="1" x14ac:dyDescent="0.25">
      <c r="H237" s="163"/>
    </row>
    <row r="238" spans="1:8" hidden="1" x14ac:dyDescent="0.25">
      <c r="H238" s="163"/>
    </row>
    <row r="239" spans="1:8" hidden="1" x14ac:dyDescent="0.25">
      <c r="H239" s="163"/>
    </row>
    <row r="240" spans="1:8" hidden="1" x14ac:dyDescent="0.25">
      <c r="H240" s="163"/>
    </row>
    <row r="241" spans="8:8" hidden="1" x14ac:dyDescent="0.25">
      <c r="H241" s="163"/>
    </row>
    <row r="242" spans="8:8" hidden="1" x14ac:dyDescent="0.25">
      <c r="H242" s="163"/>
    </row>
    <row r="243" spans="8:8" hidden="1" x14ac:dyDescent="0.25">
      <c r="H243" s="163"/>
    </row>
    <row r="244" spans="8:8" hidden="1" x14ac:dyDescent="0.25">
      <c r="H244" s="163"/>
    </row>
    <row r="245" spans="8:8" hidden="1" x14ac:dyDescent="0.25">
      <c r="H245" s="163"/>
    </row>
    <row r="246" spans="8:8" hidden="1" x14ac:dyDescent="0.25">
      <c r="H246" s="163"/>
    </row>
    <row r="247" spans="8:8" hidden="1" x14ac:dyDescent="0.25">
      <c r="H247" s="163"/>
    </row>
    <row r="248" spans="8:8" hidden="1" x14ac:dyDescent="0.25">
      <c r="H248" s="163"/>
    </row>
    <row r="249" spans="8:8" hidden="1" x14ac:dyDescent="0.25">
      <c r="H249" s="163"/>
    </row>
    <row r="250" spans="8:8" hidden="1" x14ac:dyDescent="0.25">
      <c r="H250" s="163"/>
    </row>
    <row r="251" spans="8:8" hidden="1" x14ac:dyDescent="0.25">
      <c r="H251" s="163"/>
    </row>
    <row r="252" spans="8:8" hidden="1" x14ac:dyDescent="0.25">
      <c r="H252" s="163"/>
    </row>
    <row r="253" spans="8:8" hidden="1" x14ac:dyDescent="0.25">
      <c r="H253" s="163"/>
    </row>
    <row r="254" spans="8:8" hidden="1" x14ac:dyDescent="0.25">
      <c r="H254" s="163"/>
    </row>
    <row r="255" spans="8:8" hidden="1" x14ac:dyDescent="0.25">
      <c r="H255" s="163"/>
    </row>
    <row r="256" spans="8:8" hidden="1" x14ac:dyDescent="0.25">
      <c r="H256" s="163"/>
    </row>
    <row r="257" spans="8:8" hidden="1" x14ac:dyDescent="0.25">
      <c r="H257" s="163"/>
    </row>
    <row r="258" spans="8:8" hidden="1" x14ac:dyDescent="0.25">
      <c r="H258" s="163"/>
    </row>
    <row r="259" spans="8:8" hidden="1" x14ac:dyDescent="0.25">
      <c r="H259" s="163"/>
    </row>
    <row r="260" spans="8:8" hidden="1" x14ac:dyDescent="0.25">
      <c r="H260" s="163"/>
    </row>
    <row r="261" spans="8:8" hidden="1" x14ac:dyDescent="0.25">
      <c r="H261" s="163"/>
    </row>
    <row r="262" spans="8:8" hidden="1" x14ac:dyDescent="0.25">
      <c r="H262" s="163"/>
    </row>
  </sheetData>
  <autoFilter ref="D1:D262" xr:uid="{00000000-0009-0000-0000-000018000000}">
    <filterColumn colId="0">
      <filters>
        <filter val="mock drill"/>
      </filters>
    </filterColumn>
  </autoFilter>
  <mergeCells count="156">
    <mergeCell ref="A227:A229"/>
    <mergeCell ref="B227:B229"/>
    <mergeCell ref="A230:A232"/>
    <mergeCell ref="B230:B232"/>
    <mergeCell ref="A233:A235"/>
    <mergeCell ref="B233:B235"/>
    <mergeCell ref="A218:A220"/>
    <mergeCell ref="B218:B220"/>
    <mergeCell ref="A221:A223"/>
    <mergeCell ref="B221:B223"/>
    <mergeCell ref="A224:A226"/>
    <mergeCell ref="B224:B226"/>
    <mergeCell ref="A209:A211"/>
    <mergeCell ref="B209:B211"/>
    <mergeCell ref="A212:A214"/>
    <mergeCell ref="B212:B214"/>
    <mergeCell ref="A215:A217"/>
    <mergeCell ref="B215:B217"/>
    <mergeCell ref="A200:A202"/>
    <mergeCell ref="B200:B202"/>
    <mergeCell ref="A203:A205"/>
    <mergeCell ref="B203:B205"/>
    <mergeCell ref="A206:A208"/>
    <mergeCell ref="B206:B208"/>
    <mergeCell ref="A191:A193"/>
    <mergeCell ref="B191:B193"/>
    <mergeCell ref="A194:A196"/>
    <mergeCell ref="B194:B196"/>
    <mergeCell ref="A197:A199"/>
    <mergeCell ref="B197:B199"/>
    <mergeCell ref="A182:A184"/>
    <mergeCell ref="B182:B184"/>
    <mergeCell ref="A185:A187"/>
    <mergeCell ref="B185:B187"/>
    <mergeCell ref="A188:A190"/>
    <mergeCell ref="B188:B190"/>
    <mergeCell ref="A173:A175"/>
    <mergeCell ref="B173:B175"/>
    <mergeCell ref="A176:A178"/>
    <mergeCell ref="B176:B178"/>
    <mergeCell ref="A179:A181"/>
    <mergeCell ref="B179:B181"/>
    <mergeCell ref="A164:A166"/>
    <mergeCell ref="B164:B166"/>
    <mergeCell ref="A167:A169"/>
    <mergeCell ref="B167:B169"/>
    <mergeCell ref="A170:A172"/>
    <mergeCell ref="B170:B172"/>
    <mergeCell ref="A155:A157"/>
    <mergeCell ref="B155:B157"/>
    <mergeCell ref="A158:A160"/>
    <mergeCell ref="B158:B160"/>
    <mergeCell ref="A161:A163"/>
    <mergeCell ref="B161:B163"/>
    <mergeCell ref="A146:A148"/>
    <mergeCell ref="B146:B148"/>
    <mergeCell ref="A149:A151"/>
    <mergeCell ref="B149:B151"/>
    <mergeCell ref="A152:A154"/>
    <mergeCell ref="B152:B154"/>
    <mergeCell ref="A137:A139"/>
    <mergeCell ref="B137:B139"/>
    <mergeCell ref="A140:A142"/>
    <mergeCell ref="B140:B142"/>
    <mergeCell ref="A143:A145"/>
    <mergeCell ref="B143:B145"/>
    <mergeCell ref="A128:A130"/>
    <mergeCell ref="B128:B130"/>
    <mergeCell ref="A131:A133"/>
    <mergeCell ref="B131:B133"/>
    <mergeCell ref="A134:A136"/>
    <mergeCell ref="B134:B136"/>
    <mergeCell ref="A119:A121"/>
    <mergeCell ref="B119:B121"/>
    <mergeCell ref="A122:A124"/>
    <mergeCell ref="B122:B124"/>
    <mergeCell ref="A125:A127"/>
    <mergeCell ref="B125:B127"/>
    <mergeCell ref="A110:A112"/>
    <mergeCell ref="B110:B112"/>
    <mergeCell ref="A113:A115"/>
    <mergeCell ref="B113:B115"/>
    <mergeCell ref="A116:A118"/>
    <mergeCell ref="B116:B118"/>
    <mergeCell ref="A101:A103"/>
    <mergeCell ref="B101:B103"/>
    <mergeCell ref="A104:A106"/>
    <mergeCell ref="B104:B106"/>
    <mergeCell ref="A107:A109"/>
    <mergeCell ref="B107:B109"/>
    <mergeCell ref="A92:A94"/>
    <mergeCell ref="B92:B94"/>
    <mergeCell ref="A95:A97"/>
    <mergeCell ref="B95:B97"/>
    <mergeCell ref="A98:A100"/>
    <mergeCell ref="B98:B100"/>
    <mergeCell ref="A83:A85"/>
    <mergeCell ref="B83:B85"/>
    <mergeCell ref="A86:A88"/>
    <mergeCell ref="B86:B88"/>
    <mergeCell ref="A89:A91"/>
    <mergeCell ref="B89:B91"/>
    <mergeCell ref="A74:A76"/>
    <mergeCell ref="B74:B76"/>
    <mergeCell ref="A77:A79"/>
    <mergeCell ref="B77:B79"/>
    <mergeCell ref="A80:A82"/>
    <mergeCell ref="B80:B82"/>
    <mergeCell ref="A65:A67"/>
    <mergeCell ref="B65:B67"/>
    <mergeCell ref="A68:A70"/>
    <mergeCell ref="B68:B70"/>
    <mergeCell ref="A71:A73"/>
    <mergeCell ref="B71:B73"/>
    <mergeCell ref="A56:A58"/>
    <mergeCell ref="B56:B58"/>
    <mergeCell ref="A59:A61"/>
    <mergeCell ref="B59:B61"/>
    <mergeCell ref="A62:A64"/>
    <mergeCell ref="B62:B64"/>
    <mergeCell ref="A47:A49"/>
    <mergeCell ref="B47:B49"/>
    <mergeCell ref="A50:A52"/>
    <mergeCell ref="B50:B52"/>
    <mergeCell ref="A53:A55"/>
    <mergeCell ref="B53:B55"/>
    <mergeCell ref="A38:A40"/>
    <mergeCell ref="B38:B40"/>
    <mergeCell ref="A41:A43"/>
    <mergeCell ref="B41:B43"/>
    <mergeCell ref="A44:A46"/>
    <mergeCell ref="B44:B46"/>
    <mergeCell ref="A29:A31"/>
    <mergeCell ref="B29:B31"/>
    <mergeCell ref="A32:A34"/>
    <mergeCell ref="B32:B34"/>
    <mergeCell ref="A35:A37"/>
    <mergeCell ref="B35:B37"/>
    <mergeCell ref="A20:A22"/>
    <mergeCell ref="B20:B22"/>
    <mergeCell ref="A23:A25"/>
    <mergeCell ref="B23:B25"/>
    <mergeCell ref="A26:A28"/>
    <mergeCell ref="B26:B28"/>
    <mergeCell ref="A11:A13"/>
    <mergeCell ref="B11:B13"/>
    <mergeCell ref="A14:A16"/>
    <mergeCell ref="B14:B16"/>
    <mergeCell ref="A17:A19"/>
    <mergeCell ref="B17:B19"/>
    <mergeCell ref="A2:A4"/>
    <mergeCell ref="B2:B4"/>
    <mergeCell ref="A5:A7"/>
    <mergeCell ref="B5:B7"/>
    <mergeCell ref="A8:A10"/>
    <mergeCell ref="B8:B10"/>
  </mergeCells>
  <pageMargins left="0.70866141732283472" right="0.70866141732283472" top="0.74803149606299213" bottom="0.74803149606299213" header="0.31496062992125984" footer="0.31496062992125984"/>
  <pageSetup scale="75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G41"/>
  <sheetViews>
    <sheetView workbookViewId="0"/>
  </sheetViews>
  <sheetFormatPr defaultRowHeight="15" x14ac:dyDescent="0.25"/>
  <cols>
    <col min="3" max="4" width="29.85546875" customWidth="1"/>
  </cols>
  <sheetData>
    <row r="2" spans="1:7" ht="65.25" customHeight="1" x14ac:dyDescent="0.25">
      <c r="A2" s="35" t="s">
        <v>149</v>
      </c>
      <c r="B2" s="92" t="s">
        <v>1</v>
      </c>
      <c r="C2" s="92" t="s">
        <v>146</v>
      </c>
      <c r="D2" s="92"/>
      <c r="E2" s="35" t="s">
        <v>166</v>
      </c>
      <c r="F2" s="35" t="s">
        <v>147</v>
      </c>
      <c r="G2" s="40" t="s">
        <v>148</v>
      </c>
    </row>
    <row r="3" spans="1:7" ht="20.25" x14ac:dyDescent="0.25">
      <c r="A3" s="646">
        <v>1</v>
      </c>
      <c r="B3" s="649" t="s">
        <v>83</v>
      </c>
      <c r="C3" s="92" t="s">
        <v>150</v>
      </c>
      <c r="D3" s="191" t="s">
        <v>651</v>
      </c>
      <c r="E3" s="35"/>
      <c r="F3" s="35"/>
      <c r="G3" s="40"/>
    </row>
    <row r="4" spans="1:7" ht="20.25" x14ac:dyDescent="0.25">
      <c r="A4" s="647"/>
      <c r="B4" s="650"/>
      <c r="C4" s="92" t="s">
        <v>151</v>
      </c>
      <c r="D4" s="191" t="s">
        <v>652</v>
      </c>
      <c r="E4" s="35"/>
      <c r="F4" s="35"/>
      <c r="G4" s="40"/>
    </row>
    <row r="5" spans="1:7" ht="20.25" x14ac:dyDescent="0.25">
      <c r="A5" s="648"/>
      <c r="B5" s="651"/>
      <c r="C5" s="92" t="s">
        <v>168</v>
      </c>
      <c r="D5" s="191" t="s">
        <v>653</v>
      </c>
      <c r="E5" s="35">
        <v>1</v>
      </c>
      <c r="F5" s="35">
        <v>25</v>
      </c>
      <c r="G5" s="40"/>
    </row>
    <row r="6" spans="1:7" ht="20.25" x14ac:dyDescent="0.25">
      <c r="A6" s="646">
        <v>2</v>
      </c>
      <c r="B6" s="649" t="s">
        <v>20</v>
      </c>
      <c r="C6" s="92" t="s">
        <v>150</v>
      </c>
      <c r="D6" s="191" t="s">
        <v>651</v>
      </c>
      <c r="E6" s="147"/>
      <c r="F6" s="147"/>
      <c r="G6" s="200"/>
    </row>
    <row r="7" spans="1:7" ht="20.25" x14ac:dyDescent="0.25">
      <c r="A7" s="647"/>
      <c r="B7" s="650"/>
      <c r="C7" s="92" t="s">
        <v>151</v>
      </c>
      <c r="D7" s="191" t="s">
        <v>652</v>
      </c>
      <c r="E7" s="35"/>
      <c r="F7" s="35"/>
      <c r="G7" s="40"/>
    </row>
    <row r="8" spans="1:7" ht="20.25" x14ac:dyDescent="0.25">
      <c r="A8" s="648"/>
      <c r="B8" s="651"/>
      <c r="C8" s="92" t="s">
        <v>168</v>
      </c>
      <c r="D8" s="191" t="s">
        <v>653</v>
      </c>
      <c r="E8" s="35"/>
      <c r="F8" s="35"/>
      <c r="G8" s="40"/>
    </row>
    <row r="9" spans="1:7" ht="20.25" x14ac:dyDescent="0.25">
      <c r="A9" s="646">
        <v>3</v>
      </c>
      <c r="B9" s="649" t="s">
        <v>23</v>
      </c>
      <c r="C9" s="92" t="s">
        <v>150</v>
      </c>
      <c r="D9" s="191" t="s">
        <v>651</v>
      </c>
      <c r="E9" s="35">
        <v>4</v>
      </c>
      <c r="F9" s="35">
        <v>1050</v>
      </c>
      <c r="G9" s="40"/>
    </row>
    <row r="10" spans="1:7" ht="20.25" x14ac:dyDescent="0.25">
      <c r="A10" s="647"/>
      <c r="B10" s="650"/>
      <c r="C10" s="92" t="s">
        <v>151</v>
      </c>
      <c r="D10" s="191" t="s">
        <v>652</v>
      </c>
      <c r="E10" s="35"/>
      <c r="F10" s="35"/>
      <c r="G10" s="40"/>
    </row>
    <row r="11" spans="1:7" ht="20.25" x14ac:dyDescent="0.25">
      <c r="A11" s="648"/>
      <c r="B11" s="651"/>
      <c r="C11" s="92" t="s">
        <v>168</v>
      </c>
      <c r="D11" s="191" t="s">
        <v>653</v>
      </c>
      <c r="E11" s="35"/>
      <c r="F11" s="35"/>
      <c r="G11" s="40"/>
    </row>
    <row r="12" spans="1:7" ht="20.25" x14ac:dyDescent="0.25">
      <c r="A12" s="646">
        <v>4</v>
      </c>
      <c r="B12" s="649" t="s">
        <v>165</v>
      </c>
      <c r="C12" s="92" t="s">
        <v>150</v>
      </c>
      <c r="D12" s="191" t="s">
        <v>651</v>
      </c>
      <c r="E12" s="35">
        <v>1</v>
      </c>
      <c r="F12" s="35">
        <v>300</v>
      </c>
      <c r="G12" s="40"/>
    </row>
    <row r="13" spans="1:7" ht="20.25" x14ac:dyDescent="0.25">
      <c r="A13" s="647"/>
      <c r="B13" s="650"/>
      <c r="C13" s="92" t="s">
        <v>151</v>
      </c>
      <c r="D13" s="191" t="s">
        <v>652</v>
      </c>
      <c r="E13" s="35">
        <v>1</v>
      </c>
      <c r="F13" s="35">
        <v>300</v>
      </c>
      <c r="G13" s="40"/>
    </row>
    <row r="14" spans="1:7" ht="20.25" x14ac:dyDescent="0.25">
      <c r="A14" s="648"/>
      <c r="B14" s="651"/>
      <c r="C14" s="92" t="s">
        <v>168</v>
      </c>
      <c r="D14" s="191" t="s">
        <v>653</v>
      </c>
      <c r="E14" s="35">
        <v>4</v>
      </c>
      <c r="F14" s="35">
        <v>630</v>
      </c>
      <c r="G14" s="40"/>
    </row>
    <row r="15" spans="1:7" ht="20.25" x14ac:dyDescent="0.25">
      <c r="A15" s="646">
        <v>5</v>
      </c>
      <c r="B15" s="649" t="s">
        <v>25</v>
      </c>
      <c r="C15" s="92" t="s">
        <v>150</v>
      </c>
      <c r="D15" s="191" t="s">
        <v>651</v>
      </c>
      <c r="E15" s="35">
        <v>1</v>
      </c>
      <c r="F15" s="35">
        <v>35</v>
      </c>
      <c r="G15" s="40"/>
    </row>
    <row r="16" spans="1:7" ht="20.25" x14ac:dyDescent="0.25">
      <c r="A16" s="647"/>
      <c r="B16" s="650"/>
      <c r="C16" s="92" t="s">
        <v>151</v>
      </c>
      <c r="D16" s="191" t="s">
        <v>652</v>
      </c>
      <c r="E16" s="35">
        <v>3</v>
      </c>
      <c r="F16" s="35">
        <v>400</v>
      </c>
      <c r="G16" s="40"/>
    </row>
    <row r="17" spans="1:7" ht="20.25" x14ac:dyDescent="0.25">
      <c r="A17" s="648"/>
      <c r="B17" s="651"/>
      <c r="C17" s="92" t="s">
        <v>168</v>
      </c>
      <c r="D17" s="191" t="s">
        <v>653</v>
      </c>
      <c r="E17" s="35">
        <v>13</v>
      </c>
      <c r="F17" s="35">
        <v>163</v>
      </c>
      <c r="G17" s="40"/>
    </row>
    <row r="18" spans="1:7" ht="20.25" x14ac:dyDescent="0.25">
      <c r="A18" s="646">
        <v>6</v>
      </c>
      <c r="B18" s="649" t="s">
        <v>28</v>
      </c>
      <c r="C18" s="92" t="s">
        <v>150</v>
      </c>
      <c r="D18" s="191" t="s">
        <v>651</v>
      </c>
      <c r="E18" s="35">
        <v>21</v>
      </c>
      <c r="F18" s="35">
        <v>3465</v>
      </c>
      <c r="G18" s="201"/>
    </row>
    <row r="19" spans="1:7" ht="20.25" x14ac:dyDescent="0.25">
      <c r="A19" s="647"/>
      <c r="B19" s="650"/>
      <c r="C19" s="92" t="s">
        <v>151</v>
      </c>
      <c r="D19" s="191" t="s">
        <v>652</v>
      </c>
      <c r="E19" s="35"/>
      <c r="F19" s="35"/>
      <c r="G19" s="40"/>
    </row>
    <row r="20" spans="1:7" ht="20.25" x14ac:dyDescent="0.25">
      <c r="A20" s="648"/>
      <c r="B20" s="651"/>
      <c r="C20" s="92" t="s">
        <v>168</v>
      </c>
      <c r="D20" s="191" t="s">
        <v>653</v>
      </c>
      <c r="E20" s="35">
        <v>1</v>
      </c>
      <c r="F20" s="35">
        <v>15</v>
      </c>
      <c r="G20" s="40"/>
    </row>
    <row r="21" spans="1:7" ht="20.25" x14ac:dyDescent="0.25">
      <c r="A21" s="646">
        <v>7</v>
      </c>
      <c r="B21" s="649" t="s">
        <v>33</v>
      </c>
      <c r="C21" s="92" t="s">
        <v>150</v>
      </c>
      <c r="D21" s="191" t="s">
        <v>651</v>
      </c>
      <c r="E21" s="35">
        <v>4</v>
      </c>
      <c r="F21" s="35">
        <v>651</v>
      </c>
      <c r="G21" s="40"/>
    </row>
    <row r="22" spans="1:7" ht="20.25" x14ac:dyDescent="0.25">
      <c r="A22" s="647"/>
      <c r="B22" s="650"/>
      <c r="C22" s="92" t="s">
        <v>151</v>
      </c>
      <c r="D22" s="191" t="s">
        <v>652</v>
      </c>
      <c r="E22" s="35">
        <v>2</v>
      </c>
      <c r="F22" s="35">
        <v>55</v>
      </c>
      <c r="G22" s="40"/>
    </row>
    <row r="23" spans="1:7" ht="20.25" x14ac:dyDescent="0.25">
      <c r="A23" s="648"/>
      <c r="B23" s="651"/>
      <c r="C23" s="92" t="s">
        <v>168</v>
      </c>
      <c r="D23" s="191" t="s">
        <v>653</v>
      </c>
      <c r="E23" s="35">
        <v>25</v>
      </c>
      <c r="F23" s="35">
        <v>78</v>
      </c>
      <c r="G23" s="189"/>
    </row>
    <row r="24" spans="1:7" ht="20.25" x14ac:dyDescent="0.25">
      <c r="A24" s="646">
        <v>8</v>
      </c>
      <c r="B24" s="649" t="s">
        <v>38</v>
      </c>
      <c r="C24" s="92" t="s">
        <v>150</v>
      </c>
      <c r="D24" s="191" t="s">
        <v>651</v>
      </c>
      <c r="E24" s="35">
        <v>5</v>
      </c>
      <c r="F24" s="35">
        <v>95</v>
      </c>
      <c r="G24" s="40"/>
    </row>
    <row r="25" spans="1:7" ht="20.25" x14ac:dyDescent="0.25">
      <c r="A25" s="647"/>
      <c r="B25" s="650"/>
      <c r="C25" s="92" t="s">
        <v>151</v>
      </c>
      <c r="D25" s="191" t="s">
        <v>652</v>
      </c>
      <c r="E25" s="35"/>
      <c r="F25" s="35"/>
      <c r="G25" s="40"/>
    </row>
    <row r="26" spans="1:7" ht="20.25" x14ac:dyDescent="0.25">
      <c r="A26" s="648"/>
      <c r="B26" s="651"/>
      <c r="C26" s="92" t="s">
        <v>168</v>
      </c>
      <c r="D26" s="191" t="s">
        <v>653</v>
      </c>
      <c r="E26" s="35"/>
      <c r="F26" s="35"/>
      <c r="G26" s="40"/>
    </row>
    <row r="27" spans="1:7" ht="20.25" x14ac:dyDescent="0.25">
      <c r="A27" s="646">
        <v>9</v>
      </c>
      <c r="B27" s="649" t="s">
        <v>88</v>
      </c>
      <c r="C27" s="92" t="s">
        <v>150</v>
      </c>
      <c r="D27" s="191" t="s">
        <v>651</v>
      </c>
      <c r="E27" s="35">
        <v>2</v>
      </c>
      <c r="F27" s="35">
        <v>568</v>
      </c>
      <c r="G27" s="40"/>
    </row>
    <row r="28" spans="1:7" ht="20.25" x14ac:dyDescent="0.25">
      <c r="A28" s="647"/>
      <c r="B28" s="650"/>
      <c r="C28" s="92" t="s">
        <v>151</v>
      </c>
      <c r="D28" s="191" t="s">
        <v>652</v>
      </c>
      <c r="E28" s="35">
        <v>1</v>
      </c>
      <c r="F28" s="35">
        <v>10</v>
      </c>
      <c r="G28" s="40"/>
    </row>
    <row r="29" spans="1:7" ht="20.25" x14ac:dyDescent="0.25">
      <c r="A29" s="648"/>
      <c r="B29" s="651"/>
      <c r="C29" s="92" t="s">
        <v>168</v>
      </c>
      <c r="D29" s="191" t="s">
        <v>653</v>
      </c>
      <c r="E29" s="35"/>
      <c r="F29" s="35"/>
      <c r="G29" s="40"/>
    </row>
    <row r="30" spans="1:7" ht="20.25" x14ac:dyDescent="0.25">
      <c r="A30" s="646">
        <v>10</v>
      </c>
      <c r="B30" s="649" t="s">
        <v>43</v>
      </c>
      <c r="C30" s="92" t="s">
        <v>150</v>
      </c>
      <c r="D30" s="191" t="s">
        <v>651</v>
      </c>
      <c r="E30" s="35">
        <v>2</v>
      </c>
      <c r="F30" s="35">
        <v>274</v>
      </c>
      <c r="G30" s="40"/>
    </row>
    <row r="31" spans="1:7" ht="20.25" x14ac:dyDescent="0.25">
      <c r="A31" s="647"/>
      <c r="B31" s="650"/>
      <c r="C31" s="92" t="s">
        <v>151</v>
      </c>
      <c r="D31" s="191" t="s">
        <v>652</v>
      </c>
      <c r="E31" s="35"/>
      <c r="F31" s="35"/>
      <c r="G31" s="40"/>
    </row>
    <row r="32" spans="1:7" ht="20.25" x14ac:dyDescent="0.25">
      <c r="A32" s="648"/>
      <c r="B32" s="651"/>
      <c r="C32" s="92" t="s">
        <v>168</v>
      </c>
      <c r="D32" s="191" t="s">
        <v>653</v>
      </c>
      <c r="E32" s="35"/>
      <c r="F32" s="35"/>
      <c r="G32" s="40"/>
    </row>
    <row r="33" spans="1:7" ht="20.25" x14ac:dyDescent="0.25">
      <c r="A33" s="646">
        <v>11</v>
      </c>
      <c r="B33" s="649" t="s">
        <v>46</v>
      </c>
      <c r="C33" s="92" t="s">
        <v>150</v>
      </c>
      <c r="D33" s="191" t="s">
        <v>651</v>
      </c>
      <c r="E33" s="35">
        <v>1</v>
      </c>
      <c r="F33" s="35">
        <v>80</v>
      </c>
      <c r="G33" s="40"/>
    </row>
    <row r="34" spans="1:7" ht="20.25" x14ac:dyDescent="0.25">
      <c r="A34" s="647"/>
      <c r="B34" s="650"/>
      <c r="C34" s="92" t="s">
        <v>151</v>
      </c>
      <c r="D34" s="191" t="s">
        <v>652</v>
      </c>
      <c r="E34" s="35"/>
      <c r="F34" s="35"/>
      <c r="G34" s="40"/>
    </row>
    <row r="35" spans="1:7" ht="20.25" x14ac:dyDescent="0.25">
      <c r="A35" s="648"/>
      <c r="B35" s="651"/>
      <c r="C35" s="92" t="s">
        <v>168</v>
      </c>
      <c r="D35" s="191" t="s">
        <v>653</v>
      </c>
      <c r="E35" s="35"/>
      <c r="F35" s="35"/>
      <c r="G35" s="40"/>
    </row>
    <row r="36" spans="1:7" ht="20.25" x14ac:dyDescent="0.25">
      <c r="A36" s="646">
        <v>12</v>
      </c>
      <c r="B36" s="649" t="s">
        <v>49</v>
      </c>
      <c r="C36" s="92" t="s">
        <v>150</v>
      </c>
      <c r="D36" s="191" t="s">
        <v>651</v>
      </c>
      <c r="E36" s="35">
        <v>16</v>
      </c>
      <c r="F36" s="35">
        <v>1364</v>
      </c>
      <c r="G36" s="40"/>
    </row>
    <row r="37" spans="1:7" ht="20.25" x14ac:dyDescent="0.25">
      <c r="A37" s="647"/>
      <c r="B37" s="650"/>
      <c r="C37" s="92" t="s">
        <v>151</v>
      </c>
      <c r="D37" s="191" t="s">
        <v>652</v>
      </c>
      <c r="E37" s="35"/>
      <c r="F37" s="35"/>
      <c r="G37" s="40"/>
    </row>
    <row r="38" spans="1:7" ht="20.25" x14ac:dyDescent="0.25">
      <c r="A38" s="648"/>
      <c r="B38" s="651"/>
      <c r="C38" s="92" t="s">
        <v>168</v>
      </c>
      <c r="D38" s="191" t="s">
        <v>653</v>
      </c>
      <c r="E38" s="35"/>
      <c r="F38" s="35"/>
      <c r="G38" s="40"/>
    </row>
    <row r="39" spans="1:7" ht="20.25" x14ac:dyDescent="0.25">
      <c r="A39" s="646">
        <v>13</v>
      </c>
      <c r="B39" s="649" t="s">
        <v>52</v>
      </c>
      <c r="C39" s="92" t="s">
        <v>150</v>
      </c>
      <c r="D39" s="191" t="s">
        <v>651</v>
      </c>
      <c r="E39" s="194">
        <v>5</v>
      </c>
      <c r="F39" s="194">
        <v>399</v>
      </c>
      <c r="G39" s="40"/>
    </row>
    <row r="40" spans="1:7" ht="20.25" x14ac:dyDescent="0.25">
      <c r="A40" s="647"/>
      <c r="B40" s="650"/>
      <c r="C40" s="92" t="s">
        <v>151</v>
      </c>
      <c r="D40" s="191" t="s">
        <v>652</v>
      </c>
      <c r="E40" s="35"/>
      <c r="F40" s="35"/>
      <c r="G40" s="40"/>
    </row>
    <row r="41" spans="1:7" ht="20.25" x14ac:dyDescent="0.25">
      <c r="A41" s="648"/>
      <c r="B41" s="651"/>
      <c r="C41" s="92" t="s">
        <v>168</v>
      </c>
      <c r="D41" s="191" t="s">
        <v>653</v>
      </c>
      <c r="E41" s="35">
        <v>5</v>
      </c>
      <c r="F41" s="35">
        <v>98</v>
      </c>
      <c r="G41" s="40"/>
    </row>
  </sheetData>
  <mergeCells count="26">
    <mergeCell ref="A3:A5"/>
    <mergeCell ref="B3:B5"/>
    <mergeCell ref="A6:A8"/>
    <mergeCell ref="B6:B8"/>
    <mergeCell ref="A9:A11"/>
    <mergeCell ref="B9:B11"/>
    <mergeCell ref="A12:A14"/>
    <mergeCell ref="B12:B14"/>
    <mergeCell ref="A15:A17"/>
    <mergeCell ref="B15:B17"/>
    <mergeCell ref="A18:A20"/>
    <mergeCell ref="B18:B20"/>
    <mergeCell ref="A21:A23"/>
    <mergeCell ref="B21:B23"/>
    <mergeCell ref="A24:A26"/>
    <mergeCell ref="B24:B26"/>
    <mergeCell ref="A27:A29"/>
    <mergeCell ref="B27:B29"/>
    <mergeCell ref="A39:A41"/>
    <mergeCell ref="B39:B41"/>
    <mergeCell ref="A30:A32"/>
    <mergeCell ref="B30:B32"/>
    <mergeCell ref="A33:A35"/>
    <mergeCell ref="B33:B35"/>
    <mergeCell ref="A36:A38"/>
    <mergeCell ref="B36:B38"/>
  </mergeCells>
  <pageMargins left="0.31496062992125984" right="0.23622047244094491" top="0.23622047244094491" bottom="0.15748031496062992" header="0.23622047244094491" footer="0.15748031496062992"/>
  <pageSetup paperSize="9" scale="9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O165"/>
  <sheetViews>
    <sheetView topLeftCell="A153" workbookViewId="0">
      <selection activeCell="K164" sqref="K164:L164"/>
    </sheetView>
  </sheetViews>
  <sheetFormatPr defaultRowHeight="15" x14ac:dyDescent="0.25"/>
  <cols>
    <col min="1" max="1" width="7.5703125" customWidth="1"/>
    <col min="2" max="2" width="14" customWidth="1"/>
    <col min="4" max="4" width="8.140625" customWidth="1"/>
    <col min="5" max="5" width="13.85546875" bestFit="1" customWidth="1"/>
    <col min="6" max="6" width="18.140625" customWidth="1"/>
    <col min="7" max="7" width="20.85546875" bestFit="1" customWidth="1"/>
    <col min="8" max="8" width="7" bestFit="1" customWidth="1"/>
    <col min="9" max="9" width="6.140625" bestFit="1" customWidth="1"/>
    <col min="10" max="10" width="7" bestFit="1" customWidth="1"/>
    <col min="11" max="11" width="6.140625" bestFit="1" customWidth="1"/>
    <col min="12" max="12" width="7.5703125" bestFit="1" customWidth="1"/>
    <col min="13" max="13" width="6" bestFit="1" customWidth="1"/>
  </cols>
  <sheetData>
    <row r="2" spans="1:13" ht="23.25" customHeight="1" x14ac:dyDescent="0.25">
      <c r="A2" s="499" t="s">
        <v>1398</v>
      </c>
      <c r="B2" s="499"/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499"/>
    </row>
    <row r="3" spans="1:13" ht="46.5" x14ac:dyDescent="0.25">
      <c r="A3" s="58" t="s">
        <v>0</v>
      </c>
      <c r="B3" s="71" t="s">
        <v>182</v>
      </c>
      <c r="C3" s="58" t="s">
        <v>3</v>
      </c>
      <c r="D3" s="58" t="s">
        <v>4</v>
      </c>
      <c r="E3" s="58" t="s">
        <v>5</v>
      </c>
      <c r="F3" s="58" t="s">
        <v>9</v>
      </c>
      <c r="G3" s="58" t="s">
        <v>183</v>
      </c>
      <c r="H3" s="499" t="s">
        <v>11</v>
      </c>
      <c r="I3" s="499"/>
      <c r="J3" s="499" t="s">
        <v>300</v>
      </c>
      <c r="K3" s="499"/>
      <c r="L3" s="499" t="s">
        <v>12</v>
      </c>
      <c r="M3" s="499"/>
    </row>
    <row r="4" spans="1:13" ht="23.25" x14ac:dyDescent="0.25">
      <c r="A4" s="58"/>
      <c r="B4" s="71"/>
      <c r="C4" s="58"/>
      <c r="D4" s="58"/>
      <c r="E4" s="58"/>
      <c r="F4" s="58"/>
      <c r="G4" s="58"/>
      <c r="H4" s="58" t="s">
        <v>14</v>
      </c>
      <c r="I4" s="58" t="s">
        <v>15</v>
      </c>
      <c r="J4" s="58" t="s">
        <v>14</v>
      </c>
      <c r="K4" s="58" t="s">
        <v>15</v>
      </c>
      <c r="L4" s="58" t="s">
        <v>14</v>
      </c>
      <c r="M4" s="58" t="s">
        <v>15</v>
      </c>
    </row>
    <row r="5" spans="1:13" ht="23.25" x14ac:dyDescent="0.25">
      <c r="A5" s="57">
        <v>4</v>
      </c>
      <c r="B5" s="71" t="s">
        <v>111</v>
      </c>
      <c r="C5" s="58">
        <v>439</v>
      </c>
      <c r="D5" s="58">
        <v>0</v>
      </c>
      <c r="E5" s="58">
        <v>439</v>
      </c>
      <c r="F5" s="58">
        <v>45490000</v>
      </c>
      <c r="G5" s="58">
        <v>423716100</v>
      </c>
      <c r="H5" s="58">
        <v>0</v>
      </c>
      <c r="I5" s="58">
        <v>9</v>
      </c>
      <c r="J5" s="58">
        <v>2</v>
      </c>
      <c r="K5" s="58">
        <v>1</v>
      </c>
      <c r="L5" s="58">
        <v>8</v>
      </c>
      <c r="M5" s="58">
        <v>2</v>
      </c>
    </row>
    <row r="6" spans="1:13" ht="23.25" x14ac:dyDescent="0.25">
      <c r="A6" s="57">
        <v>5</v>
      </c>
      <c r="B6" s="71" t="s">
        <v>130</v>
      </c>
      <c r="C6" s="58">
        <v>468</v>
      </c>
      <c r="D6" s="58">
        <v>0</v>
      </c>
      <c r="E6" s="58">
        <v>468</v>
      </c>
      <c r="F6" s="58">
        <v>51388500</v>
      </c>
      <c r="G6" s="58">
        <v>1104924000</v>
      </c>
      <c r="H6" s="58">
        <v>1</v>
      </c>
      <c r="I6" s="58">
        <v>6</v>
      </c>
      <c r="J6" s="58">
        <v>18</v>
      </c>
      <c r="K6" s="58">
        <v>10</v>
      </c>
      <c r="L6" s="58">
        <v>433</v>
      </c>
      <c r="M6" s="58">
        <v>5</v>
      </c>
    </row>
    <row r="7" spans="1:13" ht="23.25" x14ac:dyDescent="0.25">
      <c r="A7" s="57">
        <v>6</v>
      </c>
      <c r="B7" s="71" t="s">
        <v>131</v>
      </c>
      <c r="C7" s="58">
        <v>371</v>
      </c>
      <c r="D7" s="58">
        <v>3</v>
      </c>
      <c r="E7" s="58">
        <v>368</v>
      </c>
      <c r="F7" s="58">
        <v>32098517</v>
      </c>
      <c r="G7" s="58">
        <v>277527183</v>
      </c>
      <c r="H7" s="58">
        <v>2</v>
      </c>
      <c r="I7" s="58">
        <v>97</v>
      </c>
      <c r="J7" s="72">
        <v>6</v>
      </c>
      <c r="K7" s="72">
        <v>1</v>
      </c>
      <c r="L7" s="72">
        <v>9</v>
      </c>
      <c r="M7" s="72">
        <v>203</v>
      </c>
    </row>
    <row r="8" spans="1:13" ht="23.25" x14ac:dyDescent="0.25">
      <c r="A8" s="57">
        <v>7</v>
      </c>
      <c r="B8" s="71" t="s">
        <v>114</v>
      </c>
      <c r="C8" s="58">
        <v>98</v>
      </c>
      <c r="D8" s="58">
        <v>1</v>
      </c>
      <c r="E8" s="58">
        <v>97</v>
      </c>
      <c r="F8" s="58">
        <v>7229500</v>
      </c>
      <c r="G8" s="58">
        <v>112198500</v>
      </c>
      <c r="H8" s="58">
        <v>2</v>
      </c>
      <c r="I8" s="58">
        <v>0</v>
      </c>
      <c r="J8" s="72">
        <v>8</v>
      </c>
      <c r="K8" s="72">
        <v>0</v>
      </c>
      <c r="L8" s="72">
        <v>41</v>
      </c>
      <c r="M8" s="72">
        <v>0</v>
      </c>
    </row>
    <row r="9" spans="1:13" ht="23.25" x14ac:dyDescent="0.25">
      <c r="A9" s="57">
        <v>8</v>
      </c>
      <c r="B9" s="71" t="s">
        <v>115</v>
      </c>
      <c r="C9" s="58">
        <v>59</v>
      </c>
      <c r="D9" s="58">
        <v>0</v>
      </c>
      <c r="E9" s="58">
        <v>59</v>
      </c>
      <c r="F9" s="58">
        <v>6184000</v>
      </c>
      <c r="G9" s="72">
        <v>161795000</v>
      </c>
      <c r="H9" s="72">
        <v>0</v>
      </c>
      <c r="I9" s="72">
        <v>0</v>
      </c>
      <c r="J9" s="72">
        <v>1</v>
      </c>
      <c r="K9" s="72">
        <v>0</v>
      </c>
      <c r="L9" s="72">
        <v>1</v>
      </c>
      <c r="M9" s="72">
        <v>0</v>
      </c>
    </row>
    <row r="10" spans="1:13" ht="23.25" x14ac:dyDescent="0.25">
      <c r="A10" s="57">
        <v>9</v>
      </c>
      <c r="B10" s="71" t="s">
        <v>116</v>
      </c>
      <c r="C10" s="58">
        <v>65</v>
      </c>
      <c r="D10" s="58">
        <v>0</v>
      </c>
      <c r="E10" s="58">
        <v>65</v>
      </c>
      <c r="F10" s="72">
        <v>8493000</v>
      </c>
      <c r="G10" s="72">
        <v>95728000</v>
      </c>
      <c r="H10" s="72">
        <v>0</v>
      </c>
      <c r="I10" s="72">
        <v>0</v>
      </c>
      <c r="J10" s="72">
        <v>4</v>
      </c>
      <c r="K10" s="72">
        <v>0</v>
      </c>
      <c r="L10" s="72">
        <v>54</v>
      </c>
      <c r="M10" s="72">
        <v>2</v>
      </c>
    </row>
    <row r="11" spans="1:13" ht="23.25" x14ac:dyDescent="0.25">
      <c r="A11" s="57"/>
      <c r="B11" s="71" t="s">
        <v>102</v>
      </c>
      <c r="C11" s="58">
        <f>SUM(C5:C10)</f>
        <v>1500</v>
      </c>
      <c r="D11" s="58">
        <f t="shared" ref="D11:M11" si="0">SUM(D5:D10)</f>
        <v>4</v>
      </c>
      <c r="E11" s="58">
        <f t="shared" si="0"/>
        <v>1496</v>
      </c>
      <c r="F11" s="58">
        <f t="shared" si="0"/>
        <v>150883517</v>
      </c>
      <c r="G11" s="58">
        <f t="shared" si="0"/>
        <v>2175888783</v>
      </c>
      <c r="H11" s="58">
        <f t="shared" si="0"/>
        <v>5</v>
      </c>
      <c r="I11" s="58">
        <f t="shared" si="0"/>
        <v>112</v>
      </c>
      <c r="J11" s="58">
        <f t="shared" si="0"/>
        <v>39</v>
      </c>
      <c r="K11" s="58">
        <f t="shared" si="0"/>
        <v>12</v>
      </c>
      <c r="L11" s="58">
        <f t="shared" si="0"/>
        <v>546</v>
      </c>
      <c r="M11" s="58">
        <f t="shared" si="0"/>
        <v>212</v>
      </c>
    </row>
    <row r="12" spans="1:13" ht="23.25" x14ac:dyDescent="0.25">
      <c r="A12" s="98"/>
      <c r="B12" s="349"/>
      <c r="C12" s="196"/>
      <c r="D12" s="196"/>
      <c r="E12" s="196"/>
      <c r="F12" s="196"/>
      <c r="G12" s="196"/>
      <c r="H12" s="196"/>
      <c r="I12" s="196"/>
      <c r="J12" s="196"/>
      <c r="K12" s="196"/>
      <c r="L12" s="196"/>
      <c r="M12" s="196"/>
    </row>
    <row r="13" spans="1:13" ht="23.25" customHeight="1" x14ac:dyDescent="0.25">
      <c r="A13" s="499" t="s">
        <v>1468</v>
      </c>
      <c r="B13" s="499"/>
      <c r="C13" s="499"/>
      <c r="D13" s="499"/>
      <c r="E13" s="499"/>
      <c r="F13" s="499"/>
      <c r="G13" s="499"/>
      <c r="H13" s="499"/>
      <c r="I13" s="499"/>
      <c r="J13" s="499"/>
      <c r="K13" s="499"/>
      <c r="L13" s="499"/>
      <c r="M13" s="499"/>
    </row>
    <row r="14" spans="1:13" ht="46.5" x14ac:dyDescent="0.25">
      <c r="A14" s="58" t="s">
        <v>0</v>
      </c>
      <c r="B14" s="71" t="s">
        <v>104</v>
      </c>
      <c r="C14" s="58" t="s">
        <v>3</v>
      </c>
      <c r="D14" s="58" t="s">
        <v>4</v>
      </c>
      <c r="E14" s="58" t="s">
        <v>5</v>
      </c>
      <c r="F14" s="58" t="s">
        <v>9</v>
      </c>
      <c r="G14" s="58" t="s">
        <v>183</v>
      </c>
      <c r="H14" s="499" t="s">
        <v>11</v>
      </c>
      <c r="I14" s="499"/>
      <c r="J14" s="499" t="s">
        <v>300</v>
      </c>
      <c r="K14" s="499"/>
      <c r="L14" s="499" t="s">
        <v>12</v>
      </c>
      <c r="M14" s="499"/>
    </row>
    <row r="15" spans="1:13" s="73" customFormat="1" ht="23.25" x14ac:dyDescent="0.25">
      <c r="A15" s="57">
        <v>10</v>
      </c>
      <c r="B15" s="71" t="s">
        <v>1462</v>
      </c>
      <c r="C15" s="58">
        <v>171</v>
      </c>
      <c r="D15" s="58">
        <v>0</v>
      </c>
      <c r="E15" s="58">
        <v>171</v>
      </c>
      <c r="F15" s="72">
        <v>12102000</v>
      </c>
      <c r="G15" s="72">
        <v>216332000</v>
      </c>
      <c r="H15" s="72">
        <v>0</v>
      </c>
      <c r="I15" s="72">
        <v>0</v>
      </c>
      <c r="J15" s="72">
        <v>0</v>
      </c>
      <c r="K15" s="72">
        <v>0</v>
      </c>
      <c r="L15" s="72">
        <v>338</v>
      </c>
      <c r="M15" s="72">
        <v>0</v>
      </c>
    </row>
    <row r="16" spans="1:13" s="73" customFormat="1" ht="23.25" x14ac:dyDescent="0.25">
      <c r="A16" s="57">
        <v>11</v>
      </c>
      <c r="B16" s="71" t="s">
        <v>1463</v>
      </c>
      <c r="C16" s="58">
        <v>167</v>
      </c>
      <c r="D16" s="72">
        <v>0</v>
      </c>
      <c r="E16" s="72">
        <v>167</v>
      </c>
      <c r="F16" s="72">
        <v>16591200</v>
      </c>
      <c r="G16" s="72">
        <v>184445800</v>
      </c>
      <c r="H16" s="72">
        <v>2</v>
      </c>
      <c r="I16" s="72">
        <v>0</v>
      </c>
      <c r="J16" s="72">
        <v>11</v>
      </c>
      <c r="K16" s="72">
        <v>0</v>
      </c>
      <c r="L16" s="72">
        <v>98</v>
      </c>
      <c r="M16" s="72">
        <v>0</v>
      </c>
    </row>
    <row r="17" spans="1:13" s="73" customFormat="1" ht="23.25" x14ac:dyDescent="0.25">
      <c r="A17" s="57">
        <v>12</v>
      </c>
      <c r="B17" s="71" t="s">
        <v>1464</v>
      </c>
      <c r="C17" s="58">
        <v>172</v>
      </c>
      <c r="D17" s="72">
        <v>0</v>
      </c>
      <c r="E17" s="72">
        <v>172</v>
      </c>
      <c r="F17" s="72">
        <v>14412200</v>
      </c>
      <c r="G17" s="72">
        <v>636679800</v>
      </c>
      <c r="H17" s="72">
        <v>1</v>
      </c>
      <c r="I17" s="72">
        <v>1</v>
      </c>
      <c r="J17" s="72">
        <v>2</v>
      </c>
      <c r="K17" s="72">
        <v>0</v>
      </c>
      <c r="L17" s="72">
        <v>40</v>
      </c>
      <c r="M17" s="72">
        <v>35</v>
      </c>
    </row>
    <row r="18" spans="1:13" ht="23.25" x14ac:dyDescent="0.25">
      <c r="A18" s="57">
        <v>1</v>
      </c>
      <c r="B18" s="71" t="s">
        <v>1264</v>
      </c>
      <c r="C18" s="58">
        <v>120</v>
      </c>
      <c r="D18" s="58">
        <v>1</v>
      </c>
      <c r="E18" s="58">
        <v>119</v>
      </c>
      <c r="F18" s="58">
        <v>15049500</v>
      </c>
      <c r="G18" s="58">
        <v>121124500</v>
      </c>
      <c r="H18" s="58">
        <v>0</v>
      </c>
      <c r="I18" s="58">
        <v>63</v>
      </c>
      <c r="J18" s="58">
        <v>1</v>
      </c>
      <c r="K18" s="72">
        <v>0</v>
      </c>
      <c r="L18" s="72">
        <v>76</v>
      </c>
      <c r="M18" s="72">
        <v>0</v>
      </c>
    </row>
    <row r="19" spans="1:13" ht="23.25" x14ac:dyDescent="0.25">
      <c r="A19" s="57">
        <v>2</v>
      </c>
      <c r="B19" s="71" t="s">
        <v>1265</v>
      </c>
      <c r="C19" s="58">
        <v>188</v>
      </c>
      <c r="D19" s="58">
        <v>0</v>
      </c>
      <c r="E19" s="58">
        <v>188</v>
      </c>
      <c r="F19" s="58">
        <v>7935000</v>
      </c>
      <c r="G19" s="58">
        <v>86488500</v>
      </c>
      <c r="H19" s="58">
        <v>2</v>
      </c>
      <c r="I19" s="58">
        <v>0</v>
      </c>
      <c r="J19" s="58">
        <v>2</v>
      </c>
      <c r="K19" s="72">
        <v>6</v>
      </c>
      <c r="L19" s="72">
        <v>361</v>
      </c>
      <c r="M19" s="72">
        <v>1</v>
      </c>
    </row>
    <row r="20" spans="1:13" ht="23.25" x14ac:dyDescent="0.25">
      <c r="A20" s="57">
        <v>3</v>
      </c>
      <c r="B20" s="71" t="s">
        <v>1390</v>
      </c>
      <c r="C20" s="58">
        <v>228</v>
      </c>
      <c r="D20" s="58">
        <v>1</v>
      </c>
      <c r="E20" s="58">
        <v>227</v>
      </c>
      <c r="F20" s="58">
        <v>20351500</v>
      </c>
      <c r="G20" s="58">
        <v>610635300</v>
      </c>
      <c r="H20" s="58">
        <v>2</v>
      </c>
      <c r="I20" s="58">
        <v>7</v>
      </c>
      <c r="J20" s="58">
        <v>6</v>
      </c>
      <c r="K20" s="72">
        <v>3</v>
      </c>
      <c r="L20" s="72">
        <v>92</v>
      </c>
      <c r="M20" s="72">
        <v>7</v>
      </c>
    </row>
    <row r="21" spans="1:13" ht="23.25" x14ac:dyDescent="0.25">
      <c r="A21" s="37"/>
      <c r="B21" s="71" t="s">
        <v>102</v>
      </c>
      <c r="C21" s="58">
        <f>SUM(C15:C20)</f>
        <v>1046</v>
      </c>
      <c r="D21" s="58">
        <f t="shared" ref="D21:M21" si="1">SUM(D15:D20)</f>
        <v>2</v>
      </c>
      <c r="E21" s="58">
        <f t="shared" si="1"/>
        <v>1044</v>
      </c>
      <c r="F21" s="353">
        <f t="shared" si="1"/>
        <v>86441400</v>
      </c>
      <c r="G21" s="353">
        <f t="shared" si="1"/>
        <v>1855705900</v>
      </c>
      <c r="H21" s="58">
        <f t="shared" si="1"/>
        <v>7</v>
      </c>
      <c r="I21" s="58">
        <f t="shared" si="1"/>
        <v>71</v>
      </c>
      <c r="J21" s="58">
        <f t="shared" si="1"/>
        <v>22</v>
      </c>
      <c r="K21" s="58">
        <f t="shared" si="1"/>
        <v>9</v>
      </c>
      <c r="L21" s="58">
        <f t="shared" si="1"/>
        <v>1005</v>
      </c>
      <c r="M21" s="58">
        <f t="shared" si="1"/>
        <v>43</v>
      </c>
    </row>
    <row r="27" spans="1:13" ht="70.5" customHeight="1" x14ac:dyDescent="0.25">
      <c r="A27" s="505" t="s">
        <v>1399</v>
      </c>
      <c r="B27" s="506"/>
      <c r="C27" s="506"/>
      <c r="D27" s="506"/>
      <c r="E27" s="506"/>
      <c r="F27" s="506"/>
      <c r="G27" s="506"/>
      <c r="H27" s="506"/>
      <c r="I27" s="506"/>
      <c r="J27" s="506"/>
      <c r="K27" s="506"/>
      <c r="L27" s="506"/>
    </row>
    <row r="28" spans="1:13" ht="20.25" customHeight="1" x14ac:dyDescent="0.25">
      <c r="A28" s="515" t="s">
        <v>189</v>
      </c>
      <c r="B28" s="517" t="s">
        <v>1</v>
      </c>
      <c r="C28" s="517" t="s">
        <v>3</v>
      </c>
      <c r="D28" s="519" t="s">
        <v>61</v>
      </c>
      <c r="E28" s="520"/>
      <c r="F28" s="521"/>
      <c r="G28" s="524" t="s">
        <v>11</v>
      </c>
      <c r="H28" s="525"/>
      <c r="I28" s="524" t="s">
        <v>13</v>
      </c>
      <c r="J28" s="525"/>
      <c r="K28" s="524" t="s">
        <v>12</v>
      </c>
      <c r="L28" s="525"/>
    </row>
    <row r="29" spans="1:13" ht="20.25" x14ac:dyDescent="0.25">
      <c r="A29" s="516"/>
      <c r="B29" s="518"/>
      <c r="C29" s="518"/>
      <c r="D29" s="40" t="s">
        <v>63</v>
      </c>
      <c r="E29" s="40" t="s">
        <v>64</v>
      </c>
      <c r="F29" s="40" t="s">
        <v>65</v>
      </c>
      <c r="G29" s="40" t="s">
        <v>14</v>
      </c>
      <c r="H29" s="40" t="s">
        <v>15</v>
      </c>
      <c r="I29" s="40" t="s">
        <v>14</v>
      </c>
      <c r="J29" s="40" t="s">
        <v>15</v>
      </c>
      <c r="K29" s="40" t="s">
        <v>14</v>
      </c>
      <c r="L29" s="40" t="s">
        <v>15</v>
      </c>
    </row>
    <row r="30" spans="1:13" ht="20.25" x14ac:dyDescent="0.25">
      <c r="A30" s="34">
        <v>4</v>
      </c>
      <c r="B30" s="92" t="s">
        <v>111</v>
      </c>
      <c r="C30" s="35">
        <v>35</v>
      </c>
      <c r="D30" s="35">
        <v>7</v>
      </c>
      <c r="E30" s="35">
        <v>15</v>
      </c>
      <c r="F30" s="35">
        <v>13</v>
      </c>
      <c r="G30" s="35">
        <v>8</v>
      </c>
      <c r="H30" s="35">
        <v>1</v>
      </c>
      <c r="I30" s="35">
        <v>26</v>
      </c>
      <c r="J30" s="35">
        <v>1</v>
      </c>
      <c r="K30" s="35">
        <v>16</v>
      </c>
      <c r="L30" s="35">
        <v>3</v>
      </c>
    </row>
    <row r="31" spans="1:13" ht="20.25" x14ac:dyDescent="0.25">
      <c r="A31" s="34">
        <v>5</v>
      </c>
      <c r="B31" s="92" t="s">
        <v>130</v>
      </c>
      <c r="C31" s="35">
        <v>53</v>
      </c>
      <c r="D31" s="35">
        <v>3</v>
      </c>
      <c r="E31" s="35">
        <v>20</v>
      </c>
      <c r="F31" s="35">
        <v>30</v>
      </c>
      <c r="G31" s="35">
        <v>12</v>
      </c>
      <c r="H31" s="35">
        <v>1</v>
      </c>
      <c r="I31" s="35">
        <v>23</v>
      </c>
      <c r="J31" s="35">
        <v>1</v>
      </c>
      <c r="K31" s="35">
        <v>24</v>
      </c>
      <c r="L31" s="35">
        <v>8</v>
      </c>
    </row>
    <row r="32" spans="1:13" ht="20.25" x14ac:dyDescent="0.25">
      <c r="A32" s="34">
        <v>6</v>
      </c>
      <c r="B32" s="92" t="s">
        <v>131</v>
      </c>
      <c r="C32" s="35">
        <v>56</v>
      </c>
      <c r="D32" s="35">
        <v>6</v>
      </c>
      <c r="E32" s="35">
        <v>21</v>
      </c>
      <c r="F32" s="35">
        <v>31</v>
      </c>
      <c r="G32" s="35">
        <v>3</v>
      </c>
      <c r="H32" s="35">
        <v>0</v>
      </c>
      <c r="I32" s="35">
        <v>34</v>
      </c>
      <c r="J32" s="35">
        <v>0</v>
      </c>
      <c r="K32" s="35">
        <v>17</v>
      </c>
      <c r="L32" s="35">
        <v>5</v>
      </c>
    </row>
    <row r="33" spans="1:12" ht="20.25" x14ac:dyDescent="0.25">
      <c r="A33" s="34">
        <v>7</v>
      </c>
      <c r="B33" s="92" t="s">
        <v>114</v>
      </c>
      <c r="C33" s="35">
        <v>118</v>
      </c>
      <c r="D33" s="35">
        <v>9</v>
      </c>
      <c r="E33" s="35">
        <v>33</v>
      </c>
      <c r="F33" s="35">
        <v>76</v>
      </c>
      <c r="G33" s="35">
        <v>5</v>
      </c>
      <c r="H33" s="35">
        <v>2</v>
      </c>
      <c r="I33" s="35">
        <v>5</v>
      </c>
      <c r="J33" s="35">
        <v>4</v>
      </c>
      <c r="K33" s="35">
        <v>24</v>
      </c>
      <c r="L33" s="35">
        <v>22</v>
      </c>
    </row>
    <row r="34" spans="1:12" ht="20.25" x14ac:dyDescent="0.25">
      <c r="A34" s="34">
        <v>8</v>
      </c>
      <c r="B34" s="92" t="s">
        <v>115</v>
      </c>
      <c r="C34" s="35">
        <v>103</v>
      </c>
      <c r="D34" s="35">
        <v>2</v>
      </c>
      <c r="E34" s="35">
        <v>29</v>
      </c>
      <c r="F34" s="35">
        <v>72</v>
      </c>
      <c r="G34" s="35">
        <v>8</v>
      </c>
      <c r="H34" s="35">
        <v>4</v>
      </c>
      <c r="I34" s="35">
        <v>9</v>
      </c>
      <c r="J34" s="35">
        <v>4</v>
      </c>
      <c r="K34" s="35">
        <v>8028</v>
      </c>
      <c r="L34" s="35">
        <v>23</v>
      </c>
    </row>
    <row r="35" spans="1:12" ht="20.25" x14ac:dyDescent="0.25">
      <c r="A35" s="34">
        <v>9</v>
      </c>
      <c r="B35" s="92" t="s">
        <v>116</v>
      </c>
      <c r="C35" s="35">
        <v>140</v>
      </c>
      <c r="D35" s="35">
        <v>4</v>
      </c>
      <c r="E35" s="35">
        <v>66</v>
      </c>
      <c r="F35" s="35">
        <v>70</v>
      </c>
      <c r="G35" s="35">
        <v>10</v>
      </c>
      <c r="H35" s="35">
        <v>5</v>
      </c>
      <c r="I35" s="35">
        <v>23</v>
      </c>
      <c r="J35" s="35">
        <v>3</v>
      </c>
      <c r="K35" s="35">
        <v>32</v>
      </c>
      <c r="L35" s="35">
        <v>21</v>
      </c>
    </row>
    <row r="36" spans="1:12" ht="20.25" x14ac:dyDescent="0.25">
      <c r="A36" s="69"/>
      <c r="B36" s="92" t="s">
        <v>102</v>
      </c>
      <c r="C36" s="35">
        <f>SUM(C30:C35)</f>
        <v>505</v>
      </c>
      <c r="D36" s="35">
        <f t="shared" ref="D36:L36" si="2">SUM(D30:D35)</f>
        <v>31</v>
      </c>
      <c r="E36" s="35">
        <f t="shared" si="2"/>
        <v>184</v>
      </c>
      <c r="F36" s="35">
        <f t="shared" si="2"/>
        <v>292</v>
      </c>
      <c r="G36" s="35">
        <f t="shared" si="2"/>
        <v>46</v>
      </c>
      <c r="H36" s="35">
        <f t="shared" si="2"/>
        <v>13</v>
      </c>
      <c r="I36" s="35">
        <f t="shared" si="2"/>
        <v>120</v>
      </c>
      <c r="J36" s="35">
        <f t="shared" si="2"/>
        <v>13</v>
      </c>
      <c r="K36" s="35">
        <f t="shared" si="2"/>
        <v>8141</v>
      </c>
      <c r="L36" s="35">
        <f t="shared" si="2"/>
        <v>82</v>
      </c>
    </row>
    <row r="38" spans="1:12" ht="70.5" customHeight="1" x14ac:dyDescent="0.25">
      <c r="A38" s="505" t="s">
        <v>1469</v>
      </c>
      <c r="B38" s="506"/>
      <c r="C38" s="506"/>
      <c r="D38" s="506"/>
      <c r="E38" s="506"/>
      <c r="F38" s="506"/>
      <c r="G38" s="506"/>
      <c r="H38" s="506"/>
      <c r="I38" s="506"/>
      <c r="J38" s="506"/>
      <c r="K38" s="506"/>
      <c r="L38" s="506"/>
    </row>
    <row r="39" spans="1:12" ht="20.25" customHeight="1" x14ac:dyDescent="0.25">
      <c r="A39" s="526" t="s">
        <v>189</v>
      </c>
      <c r="B39" s="527" t="s">
        <v>1</v>
      </c>
      <c r="C39" s="527" t="s">
        <v>3</v>
      </c>
      <c r="D39" s="528" t="s">
        <v>61</v>
      </c>
      <c r="E39" s="528"/>
      <c r="F39" s="528"/>
      <c r="G39" s="527" t="s">
        <v>11</v>
      </c>
      <c r="H39" s="527"/>
      <c r="I39" s="527" t="s">
        <v>13</v>
      </c>
      <c r="J39" s="527"/>
      <c r="K39" s="527" t="s">
        <v>12</v>
      </c>
      <c r="L39" s="527"/>
    </row>
    <row r="40" spans="1:12" ht="20.25" x14ac:dyDescent="0.25">
      <c r="A40" s="526"/>
      <c r="B40" s="527"/>
      <c r="C40" s="527"/>
      <c r="D40" s="40" t="s">
        <v>63</v>
      </c>
      <c r="E40" s="40" t="s">
        <v>64</v>
      </c>
      <c r="F40" s="40" t="s">
        <v>65</v>
      </c>
      <c r="G40" s="40" t="s">
        <v>14</v>
      </c>
      <c r="H40" s="40" t="s">
        <v>15</v>
      </c>
      <c r="I40" s="40" t="s">
        <v>14</v>
      </c>
      <c r="J40" s="40" t="s">
        <v>15</v>
      </c>
      <c r="K40" s="40" t="s">
        <v>14</v>
      </c>
      <c r="L40" s="40" t="s">
        <v>15</v>
      </c>
    </row>
    <row r="41" spans="1:12" ht="20.25" x14ac:dyDescent="0.25">
      <c r="A41" s="34">
        <v>10</v>
      </c>
      <c r="B41" s="92" t="s">
        <v>117</v>
      </c>
      <c r="C41" s="35">
        <v>36</v>
      </c>
      <c r="D41" s="35"/>
      <c r="E41" s="35"/>
      <c r="F41" s="35">
        <v>36</v>
      </c>
      <c r="G41" s="35">
        <v>7</v>
      </c>
      <c r="H41" s="35">
        <v>0</v>
      </c>
      <c r="I41" s="35">
        <v>0</v>
      </c>
      <c r="J41" s="35">
        <v>0</v>
      </c>
      <c r="K41" s="35">
        <v>19</v>
      </c>
      <c r="L41" s="35">
        <v>11</v>
      </c>
    </row>
    <row r="42" spans="1:12" ht="20.25" x14ac:dyDescent="0.25">
      <c r="A42" s="34">
        <v>11</v>
      </c>
      <c r="B42" s="92" t="s">
        <v>134</v>
      </c>
      <c r="C42" s="35">
        <v>35</v>
      </c>
      <c r="D42" s="35">
        <v>0</v>
      </c>
      <c r="E42" s="35">
        <v>9</v>
      </c>
      <c r="F42" s="35">
        <v>26</v>
      </c>
      <c r="G42" s="35">
        <v>36</v>
      </c>
      <c r="H42" s="35">
        <v>1</v>
      </c>
      <c r="I42" s="35">
        <v>66</v>
      </c>
      <c r="J42" s="35">
        <v>1</v>
      </c>
      <c r="K42" s="35">
        <v>87</v>
      </c>
      <c r="L42" s="35">
        <v>10</v>
      </c>
    </row>
    <row r="43" spans="1:12" ht="20.25" x14ac:dyDescent="0.25">
      <c r="A43" s="34">
        <v>12</v>
      </c>
      <c r="B43" s="92" t="s">
        <v>318</v>
      </c>
      <c r="C43" s="35">
        <v>16</v>
      </c>
      <c r="D43" s="35">
        <v>0</v>
      </c>
      <c r="E43" s="35">
        <v>4</v>
      </c>
      <c r="F43" s="35">
        <v>12</v>
      </c>
      <c r="G43" s="35">
        <v>4</v>
      </c>
      <c r="H43" s="35">
        <v>0</v>
      </c>
      <c r="I43" s="35">
        <v>30</v>
      </c>
      <c r="J43" s="35">
        <v>0</v>
      </c>
      <c r="K43" s="35">
        <v>34</v>
      </c>
      <c r="L43" s="35">
        <v>1</v>
      </c>
    </row>
    <row r="44" spans="1:12" ht="20.25" x14ac:dyDescent="0.25">
      <c r="A44" s="34">
        <v>1</v>
      </c>
      <c r="B44" s="40" t="s">
        <v>1264</v>
      </c>
      <c r="C44" s="35">
        <v>27</v>
      </c>
      <c r="D44" s="35">
        <v>0</v>
      </c>
      <c r="E44" s="35">
        <v>9</v>
      </c>
      <c r="F44" s="35">
        <v>18</v>
      </c>
      <c r="G44" s="35">
        <v>16</v>
      </c>
      <c r="H44" s="35">
        <v>0</v>
      </c>
      <c r="I44" s="35">
        <v>32</v>
      </c>
      <c r="J44" s="35">
        <v>1</v>
      </c>
      <c r="K44" s="35">
        <v>41</v>
      </c>
      <c r="L44" s="35">
        <v>6</v>
      </c>
    </row>
    <row r="45" spans="1:12" ht="20.25" x14ac:dyDescent="0.25">
      <c r="A45" s="34">
        <v>2</v>
      </c>
      <c r="B45" s="40" t="s">
        <v>1265</v>
      </c>
      <c r="C45" s="35">
        <v>19</v>
      </c>
      <c r="D45" s="35">
        <v>0</v>
      </c>
      <c r="E45" s="35">
        <v>2</v>
      </c>
      <c r="F45" s="35">
        <v>17</v>
      </c>
      <c r="G45" s="35">
        <v>3</v>
      </c>
      <c r="H45" s="35">
        <v>0</v>
      </c>
      <c r="I45" s="35">
        <v>10</v>
      </c>
      <c r="J45" s="35">
        <v>3</v>
      </c>
      <c r="K45" s="35">
        <v>22</v>
      </c>
      <c r="L45" s="35">
        <v>5</v>
      </c>
    </row>
    <row r="46" spans="1:12" ht="20.25" x14ac:dyDescent="0.25">
      <c r="A46" s="34">
        <v>3</v>
      </c>
      <c r="B46" s="40" t="s">
        <v>1390</v>
      </c>
      <c r="C46" s="35">
        <v>19</v>
      </c>
      <c r="D46" s="35">
        <v>0</v>
      </c>
      <c r="E46" s="35">
        <v>2</v>
      </c>
      <c r="F46" s="35">
        <v>17</v>
      </c>
      <c r="G46" s="35">
        <v>3</v>
      </c>
      <c r="H46" s="35">
        <v>0</v>
      </c>
      <c r="I46" s="35">
        <v>10</v>
      </c>
      <c r="J46" s="35">
        <v>3</v>
      </c>
      <c r="K46" s="35">
        <v>22</v>
      </c>
      <c r="L46" s="35">
        <v>5</v>
      </c>
    </row>
    <row r="47" spans="1:12" ht="20.25" x14ac:dyDescent="0.25">
      <c r="A47" s="37"/>
      <c r="B47" s="92" t="s">
        <v>102</v>
      </c>
      <c r="C47" s="35">
        <f>SUM(C41:C46)</f>
        <v>152</v>
      </c>
      <c r="D47" s="35">
        <f t="shared" ref="D47:L47" si="3">SUM(D41:D46)</f>
        <v>0</v>
      </c>
      <c r="E47" s="35">
        <f t="shared" si="3"/>
        <v>26</v>
      </c>
      <c r="F47" s="35">
        <f t="shared" si="3"/>
        <v>126</v>
      </c>
      <c r="G47" s="35">
        <f t="shared" si="3"/>
        <v>69</v>
      </c>
      <c r="H47" s="35">
        <f t="shared" si="3"/>
        <v>1</v>
      </c>
      <c r="I47" s="35">
        <f t="shared" si="3"/>
        <v>148</v>
      </c>
      <c r="J47" s="35">
        <f t="shared" si="3"/>
        <v>8</v>
      </c>
      <c r="K47" s="35">
        <f t="shared" si="3"/>
        <v>225</v>
      </c>
      <c r="L47" s="35">
        <f t="shared" si="3"/>
        <v>38</v>
      </c>
    </row>
    <row r="58" spans="2:12" ht="45.75" customHeight="1" x14ac:dyDescent="0.25">
      <c r="B58" s="534" t="s">
        <v>1400</v>
      </c>
      <c r="C58" s="535"/>
      <c r="D58" s="535"/>
      <c r="E58" s="535"/>
      <c r="F58" s="535"/>
      <c r="G58" s="535"/>
      <c r="H58" s="535"/>
      <c r="I58" s="535"/>
      <c r="J58" s="535"/>
      <c r="K58" s="535"/>
      <c r="L58" s="536"/>
    </row>
    <row r="59" spans="2:12" ht="18.75" x14ac:dyDescent="0.25">
      <c r="B59" s="537" t="s">
        <v>104</v>
      </c>
      <c r="C59" s="500" t="s">
        <v>3</v>
      </c>
      <c r="D59" s="500" t="s">
        <v>73</v>
      </c>
      <c r="E59" s="500" t="s">
        <v>9</v>
      </c>
      <c r="F59" s="500" t="s">
        <v>10</v>
      </c>
      <c r="G59" s="500" t="s">
        <v>11</v>
      </c>
      <c r="H59" s="500"/>
      <c r="I59" s="500" t="s">
        <v>12</v>
      </c>
      <c r="J59" s="500"/>
      <c r="K59" s="500" t="s">
        <v>13</v>
      </c>
      <c r="L59" s="500"/>
    </row>
    <row r="60" spans="2:12" ht="117" customHeight="1" x14ac:dyDescent="0.25">
      <c r="B60" s="537"/>
      <c r="C60" s="500"/>
      <c r="D60" s="500"/>
      <c r="E60" s="500"/>
      <c r="F60" s="500"/>
      <c r="G60" s="126" t="s">
        <v>14</v>
      </c>
      <c r="H60" s="126" t="s">
        <v>15</v>
      </c>
      <c r="I60" s="126" t="s">
        <v>14</v>
      </c>
      <c r="J60" s="126" t="s">
        <v>15</v>
      </c>
      <c r="K60" s="126" t="s">
        <v>14</v>
      </c>
      <c r="L60" s="126" t="s">
        <v>15</v>
      </c>
    </row>
    <row r="61" spans="2:12" ht="18.75" x14ac:dyDescent="0.25">
      <c r="B61" s="153" t="s">
        <v>1466</v>
      </c>
      <c r="C61" s="62">
        <v>462</v>
      </c>
      <c r="D61" s="62"/>
      <c r="E61" s="188">
        <v>6590000</v>
      </c>
      <c r="F61" s="188">
        <v>245249300</v>
      </c>
      <c r="G61" s="62">
        <v>0</v>
      </c>
      <c r="H61" s="62">
        <v>0</v>
      </c>
      <c r="I61" s="62">
        <v>1</v>
      </c>
      <c r="J61" s="62">
        <v>0</v>
      </c>
      <c r="K61" s="62">
        <v>0</v>
      </c>
      <c r="L61" s="62">
        <v>8</v>
      </c>
    </row>
    <row r="62" spans="2:12" ht="18.75" x14ac:dyDescent="0.25">
      <c r="B62" s="153" t="s">
        <v>130</v>
      </c>
      <c r="C62" s="62">
        <v>579</v>
      </c>
      <c r="D62" s="62"/>
      <c r="E62" s="188">
        <v>8584500</v>
      </c>
      <c r="F62" s="188">
        <v>1024114200</v>
      </c>
      <c r="G62" s="62">
        <v>0</v>
      </c>
      <c r="H62" s="62">
        <v>1</v>
      </c>
      <c r="I62" s="62">
        <v>0</v>
      </c>
      <c r="J62" s="62">
        <v>1</v>
      </c>
      <c r="K62" s="62">
        <v>0</v>
      </c>
      <c r="L62" s="62">
        <v>150</v>
      </c>
    </row>
    <row r="63" spans="2:12" ht="18.75" x14ac:dyDescent="0.25">
      <c r="B63" s="153" t="s">
        <v>131</v>
      </c>
      <c r="C63" s="62">
        <v>346</v>
      </c>
      <c r="D63" s="62"/>
      <c r="E63" s="188">
        <v>8890200</v>
      </c>
      <c r="F63" s="188">
        <v>259449500</v>
      </c>
      <c r="G63" s="62">
        <v>0</v>
      </c>
      <c r="H63" s="62">
        <v>0</v>
      </c>
      <c r="I63" s="62">
        <v>0</v>
      </c>
      <c r="J63" s="62">
        <v>0</v>
      </c>
      <c r="K63" s="62">
        <v>0</v>
      </c>
      <c r="L63" s="62">
        <v>0</v>
      </c>
    </row>
    <row r="64" spans="2:12" ht="18.75" x14ac:dyDescent="0.25">
      <c r="B64" s="153" t="s">
        <v>114</v>
      </c>
      <c r="C64" s="62">
        <v>0</v>
      </c>
      <c r="D64" s="62"/>
      <c r="E64" s="188">
        <v>0</v>
      </c>
      <c r="F64" s="188">
        <v>0</v>
      </c>
      <c r="G64" s="62">
        <v>0</v>
      </c>
      <c r="H64" s="62">
        <v>0</v>
      </c>
      <c r="I64" s="62">
        <v>0</v>
      </c>
      <c r="J64" s="62">
        <v>0</v>
      </c>
      <c r="K64" s="62">
        <v>0</v>
      </c>
      <c r="L64" s="62">
        <v>0</v>
      </c>
    </row>
    <row r="65" spans="1:15" ht="18.75" x14ac:dyDescent="0.25">
      <c r="B65" s="153" t="s">
        <v>681</v>
      </c>
      <c r="C65" s="62">
        <v>0</v>
      </c>
      <c r="D65" s="62"/>
      <c r="E65" s="188">
        <v>0</v>
      </c>
      <c r="F65" s="188">
        <v>0</v>
      </c>
      <c r="G65" s="62">
        <v>0</v>
      </c>
      <c r="H65" s="62">
        <v>0</v>
      </c>
      <c r="I65" s="62">
        <v>0</v>
      </c>
      <c r="J65" s="62">
        <v>0</v>
      </c>
      <c r="K65" s="62">
        <v>0</v>
      </c>
      <c r="L65" s="62">
        <v>0</v>
      </c>
    </row>
    <row r="66" spans="1:15" ht="18.75" x14ac:dyDescent="0.25">
      <c r="B66" s="153" t="s">
        <v>116</v>
      </c>
      <c r="C66" s="62">
        <v>0</v>
      </c>
      <c r="D66" s="62"/>
      <c r="E66" s="188">
        <v>0</v>
      </c>
      <c r="F66" s="188">
        <v>0</v>
      </c>
      <c r="G66" s="62">
        <v>0</v>
      </c>
      <c r="H66" s="62">
        <v>0</v>
      </c>
      <c r="I66" s="62">
        <v>0</v>
      </c>
      <c r="J66" s="62">
        <v>0</v>
      </c>
      <c r="K66" s="62">
        <v>0</v>
      </c>
      <c r="L66" s="62">
        <v>0</v>
      </c>
    </row>
    <row r="67" spans="1:15" ht="18.75" x14ac:dyDescent="0.25">
      <c r="B67" s="153" t="s">
        <v>102</v>
      </c>
      <c r="C67" s="62">
        <f>SUM(C61:C66)</f>
        <v>1387</v>
      </c>
      <c r="D67" s="62">
        <f t="shared" ref="D67:L67" si="4">SUM(D61:D66)</f>
        <v>0</v>
      </c>
      <c r="E67" s="62">
        <f t="shared" si="4"/>
        <v>24064700</v>
      </c>
      <c r="F67" s="62">
        <f t="shared" si="4"/>
        <v>1528813000</v>
      </c>
      <c r="G67" s="62">
        <f t="shared" si="4"/>
        <v>0</v>
      </c>
      <c r="H67" s="62">
        <f t="shared" si="4"/>
        <v>1</v>
      </c>
      <c r="I67" s="62">
        <f t="shared" si="4"/>
        <v>1</v>
      </c>
      <c r="J67" s="62">
        <f t="shared" si="4"/>
        <v>1</v>
      </c>
      <c r="K67" s="62">
        <f t="shared" si="4"/>
        <v>0</v>
      </c>
      <c r="L67" s="62">
        <f t="shared" si="4"/>
        <v>158</v>
      </c>
    </row>
    <row r="70" spans="1:15" s="2" customFormat="1" ht="38.25" customHeight="1" x14ac:dyDescent="0.25">
      <c r="B70" s="478" t="s">
        <v>1467</v>
      </c>
      <c r="C70" s="478"/>
      <c r="D70" s="478"/>
      <c r="E70" s="478"/>
      <c r="F70" s="478"/>
      <c r="G70" s="478"/>
      <c r="H70" s="478"/>
      <c r="I70" s="478"/>
      <c r="J70" s="478"/>
      <c r="K70" s="478"/>
      <c r="L70" s="478"/>
      <c r="M70" s="352"/>
      <c r="N70" s="352"/>
      <c r="O70" s="352"/>
    </row>
    <row r="71" spans="1:15" s="2" customFormat="1" ht="131.25" x14ac:dyDescent="0.25">
      <c r="A71" s="199"/>
      <c r="B71" s="234" t="s">
        <v>104</v>
      </c>
      <c r="C71" s="234" t="s">
        <v>3</v>
      </c>
      <c r="D71" s="234" t="s">
        <v>1471</v>
      </c>
      <c r="E71" s="234" t="s">
        <v>9</v>
      </c>
      <c r="F71" s="234" t="s">
        <v>10</v>
      </c>
      <c r="G71" s="597" t="s">
        <v>11</v>
      </c>
      <c r="H71" s="599"/>
      <c r="I71" s="597" t="s">
        <v>12</v>
      </c>
      <c r="J71" s="599"/>
      <c r="K71" s="597" t="s">
        <v>13</v>
      </c>
      <c r="L71" s="599"/>
    </row>
    <row r="72" spans="1:15" s="2" customFormat="1" ht="18.75" x14ac:dyDescent="0.25">
      <c r="A72" s="7"/>
      <c r="B72" s="350"/>
      <c r="C72" s="62"/>
      <c r="D72" s="62"/>
      <c r="E72" s="62"/>
      <c r="F72" s="62"/>
      <c r="G72" s="234" t="s">
        <v>14</v>
      </c>
      <c r="H72" s="234" t="s">
        <v>15</v>
      </c>
      <c r="I72" s="234" t="s">
        <v>14</v>
      </c>
      <c r="J72" s="234" t="s">
        <v>15</v>
      </c>
      <c r="K72" s="234" t="s">
        <v>14</v>
      </c>
      <c r="L72" s="234" t="s">
        <v>15</v>
      </c>
    </row>
    <row r="73" spans="1:15" s="2" customFormat="1" ht="18.75" x14ac:dyDescent="0.25">
      <c r="A73" s="7"/>
      <c r="B73" s="234" t="s">
        <v>1462</v>
      </c>
      <c r="C73" s="62">
        <v>1</v>
      </c>
      <c r="D73" s="62"/>
      <c r="E73" s="62">
        <v>0</v>
      </c>
      <c r="F73" s="62">
        <v>0</v>
      </c>
      <c r="G73" s="62">
        <v>0</v>
      </c>
      <c r="H73" s="62">
        <v>0</v>
      </c>
      <c r="I73" s="62">
        <v>0</v>
      </c>
      <c r="J73" s="62">
        <v>0</v>
      </c>
      <c r="K73" s="62">
        <v>0</v>
      </c>
      <c r="L73" s="62">
        <v>0</v>
      </c>
    </row>
    <row r="74" spans="1:15" s="2" customFormat="1" ht="18.75" x14ac:dyDescent="0.25">
      <c r="A74" s="7"/>
      <c r="B74" s="234" t="s">
        <v>1463</v>
      </c>
      <c r="C74" s="62">
        <v>1</v>
      </c>
      <c r="D74" s="62"/>
      <c r="E74" s="62">
        <v>0</v>
      </c>
      <c r="F74" s="62">
        <v>0</v>
      </c>
      <c r="G74" s="62">
        <v>0</v>
      </c>
      <c r="H74" s="62">
        <v>0</v>
      </c>
      <c r="I74" s="62">
        <v>0</v>
      </c>
      <c r="J74" s="62">
        <v>0</v>
      </c>
      <c r="K74" s="62">
        <v>0</v>
      </c>
      <c r="L74" s="62">
        <v>0</v>
      </c>
    </row>
    <row r="75" spans="1:15" s="2" customFormat="1" ht="18.75" x14ac:dyDescent="0.25">
      <c r="A75" s="7"/>
      <c r="B75" s="234" t="s">
        <v>1464</v>
      </c>
      <c r="C75" s="62">
        <v>14</v>
      </c>
      <c r="D75" s="62"/>
      <c r="E75" s="62">
        <v>256000</v>
      </c>
      <c r="F75" s="62">
        <v>15978000</v>
      </c>
      <c r="G75" s="62">
        <v>0</v>
      </c>
      <c r="H75" s="62">
        <v>0</v>
      </c>
      <c r="I75" s="62">
        <v>0</v>
      </c>
      <c r="J75" s="62">
        <v>0</v>
      </c>
      <c r="K75" s="62">
        <v>0</v>
      </c>
      <c r="L75" s="62">
        <v>0</v>
      </c>
    </row>
    <row r="76" spans="1:15" s="2" customFormat="1" ht="18.75" x14ac:dyDescent="0.25">
      <c r="A76" s="7"/>
      <c r="B76" s="234" t="s">
        <v>1264</v>
      </c>
      <c r="C76" s="62">
        <v>24</v>
      </c>
      <c r="D76" s="62"/>
      <c r="E76" s="62">
        <v>253000</v>
      </c>
      <c r="F76" s="62">
        <v>4093000</v>
      </c>
      <c r="G76" s="62">
        <v>0</v>
      </c>
      <c r="H76" s="62">
        <v>0</v>
      </c>
      <c r="I76" s="62">
        <v>0</v>
      </c>
      <c r="J76" s="62">
        <v>0</v>
      </c>
      <c r="K76" s="62">
        <v>0</v>
      </c>
      <c r="L76" s="62">
        <v>0</v>
      </c>
    </row>
    <row r="77" spans="1:15" s="2" customFormat="1" ht="18.75" x14ac:dyDescent="0.25">
      <c r="A77" s="7"/>
      <c r="B77" s="234" t="s">
        <v>1265</v>
      </c>
      <c r="C77" s="62">
        <v>72</v>
      </c>
      <c r="D77" s="62"/>
      <c r="E77" s="62">
        <v>1827000</v>
      </c>
      <c r="F77" s="62">
        <v>21516000</v>
      </c>
      <c r="G77" s="62">
        <v>0</v>
      </c>
      <c r="H77" s="62">
        <v>0</v>
      </c>
      <c r="I77" s="62">
        <v>0</v>
      </c>
      <c r="J77" s="62">
        <v>0</v>
      </c>
      <c r="K77" s="62">
        <v>0</v>
      </c>
      <c r="L77" s="62">
        <v>0</v>
      </c>
    </row>
    <row r="78" spans="1:15" s="2" customFormat="1" ht="18.75" x14ac:dyDescent="0.25">
      <c r="A78" s="7"/>
      <c r="B78" s="234" t="s">
        <v>1465</v>
      </c>
      <c r="C78" s="62"/>
      <c r="D78" s="62"/>
      <c r="E78" s="62"/>
      <c r="F78" s="62"/>
      <c r="G78" s="62"/>
      <c r="H78" s="62"/>
      <c r="I78" s="62"/>
      <c r="J78" s="62"/>
      <c r="K78" s="62"/>
      <c r="L78" s="62"/>
    </row>
    <row r="79" spans="1:15" s="2" customFormat="1" ht="18.75" x14ac:dyDescent="0.25">
      <c r="A79" s="7"/>
      <c r="B79" s="234" t="s">
        <v>102</v>
      </c>
      <c r="C79" s="62">
        <f>SUM(C73:C78)</f>
        <v>112</v>
      </c>
      <c r="D79" s="62"/>
      <c r="E79" s="351">
        <f>SUM(E73:E78)</f>
        <v>2336000</v>
      </c>
      <c r="F79" s="351">
        <f>SUM(F73:F78)</f>
        <v>41587000</v>
      </c>
      <c r="G79" s="62">
        <f t="shared" ref="G79:L79" si="5">SUM(G73:G78)</f>
        <v>0</v>
      </c>
      <c r="H79" s="62">
        <f t="shared" si="5"/>
        <v>0</v>
      </c>
      <c r="I79" s="62">
        <f t="shared" si="5"/>
        <v>0</v>
      </c>
      <c r="J79" s="62">
        <f t="shared" si="5"/>
        <v>0</v>
      </c>
      <c r="K79" s="62">
        <f t="shared" si="5"/>
        <v>0</v>
      </c>
      <c r="L79" s="62">
        <f t="shared" si="5"/>
        <v>0</v>
      </c>
    </row>
    <row r="85" spans="1:13" ht="23.25" customHeight="1" x14ac:dyDescent="0.25">
      <c r="A85" s="499" t="s">
        <v>1398</v>
      </c>
      <c r="B85" s="499"/>
      <c r="C85" s="499"/>
      <c r="D85" s="499"/>
      <c r="E85" s="499"/>
      <c r="F85" s="499"/>
      <c r="G85" s="499"/>
      <c r="H85" s="499"/>
      <c r="I85" s="499"/>
      <c r="J85" s="499"/>
      <c r="K85" s="499"/>
      <c r="L85" s="499"/>
      <c r="M85" s="499"/>
    </row>
    <row r="86" spans="1:13" ht="46.5" x14ac:dyDescent="0.25">
      <c r="A86" s="58" t="s">
        <v>0</v>
      </c>
      <c r="B86" s="71" t="s">
        <v>182</v>
      </c>
      <c r="C86" s="58" t="s">
        <v>3</v>
      </c>
      <c r="D86" s="58" t="s">
        <v>4</v>
      </c>
      <c r="E86" s="58" t="s">
        <v>5</v>
      </c>
      <c r="F86" s="58" t="s">
        <v>9</v>
      </c>
      <c r="G86" s="58" t="s">
        <v>183</v>
      </c>
      <c r="H86" s="499" t="s">
        <v>11</v>
      </c>
      <c r="I86" s="499"/>
      <c r="J86" s="499" t="s">
        <v>300</v>
      </c>
      <c r="K86" s="499"/>
      <c r="L86" s="499" t="s">
        <v>12</v>
      </c>
      <c r="M86" s="499"/>
    </row>
    <row r="87" spans="1:13" ht="23.25" x14ac:dyDescent="0.25">
      <c r="A87" s="58"/>
      <c r="B87" s="71"/>
      <c r="C87" s="58"/>
      <c r="D87" s="58"/>
      <c r="E87" s="58"/>
      <c r="F87" s="58"/>
      <c r="G87" s="58"/>
      <c r="H87" s="58" t="s">
        <v>14</v>
      </c>
      <c r="I87" s="58" t="s">
        <v>15</v>
      </c>
      <c r="J87" s="58" t="s">
        <v>14</v>
      </c>
      <c r="K87" s="58" t="s">
        <v>15</v>
      </c>
      <c r="L87" s="58" t="s">
        <v>14</v>
      </c>
      <c r="M87" s="58" t="s">
        <v>15</v>
      </c>
    </row>
    <row r="88" spans="1:13" ht="23.25" x14ac:dyDescent="0.25">
      <c r="A88" s="57">
        <v>4</v>
      </c>
      <c r="B88" s="71" t="s">
        <v>111</v>
      </c>
      <c r="C88" s="58">
        <v>439</v>
      </c>
      <c r="D88" s="58">
        <v>0</v>
      </c>
      <c r="E88" s="58">
        <v>439</v>
      </c>
      <c r="F88" s="58">
        <v>45490000</v>
      </c>
      <c r="G88" s="58">
        <v>423716100</v>
      </c>
      <c r="H88" s="58">
        <v>0</v>
      </c>
      <c r="I88" s="58">
        <v>9</v>
      </c>
      <c r="J88" s="58">
        <v>2</v>
      </c>
      <c r="K88" s="58">
        <v>1</v>
      </c>
      <c r="L88" s="58">
        <v>8</v>
      </c>
      <c r="M88" s="58">
        <v>2</v>
      </c>
    </row>
    <row r="89" spans="1:13" ht="23.25" x14ac:dyDescent="0.25">
      <c r="A89" s="57">
        <v>5</v>
      </c>
      <c r="B89" s="71" t="s">
        <v>130</v>
      </c>
      <c r="C89" s="58">
        <v>468</v>
      </c>
      <c r="D89" s="58">
        <v>0</v>
      </c>
      <c r="E89" s="58">
        <v>468</v>
      </c>
      <c r="F89" s="58">
        <v>51388500</v>
      </c>
      <c r="G89" s="58">
        <v>1104924000</v>
      </c>
      <c r="H89" s="58">
        <v>1</v>
      </c>
      <c r="I89" s="58">
        <v>6</v>
      </c>
      <c r="J89" s="58">
        <v>18</v>
      </c>
      <c r="K89" s="58">
        <v>10</v>
      </c>
      <c r="L89" s="58">
        <v>433</v>
      </c>
      <c r="M89" s="58">
        <v>5</v>
      </c>
    </row>
    <row r="90" spans="1:13" ht="23.25" x14ac:dyDescent="0.25">
      <c r="A90" s="57">
        <v>6</v>
      </c>
      <c r="B90" s="71" t="s">
        <v>131</v>
      </c>
      <c r="C90" s="58">
        <v>371</v>
      </c>
      <c r="D90" s="58">
        <v>3</v>
      </c>
      <c r="E90" s="58">
        <v>368</v>
      </c>
      <c r="F90" s="58">
        <v>32098517</v>
      </c>
      <c r="G90" s="58">
        <v>277527183</v>
      </c>
      <c r="H90" s="58">
        <v>2</v>
      </c>
      <c r="I90" s="58">
        <v>97</v>
      </c>
      <c r="J90" s="72">
        <v>6</v>
      </c>
      <c r="K90" s="72">
        <v>1</v>
      </c>
      <c r="L90" s="72">
        <v>9</v>
      </c>
      <c r="M90" s="72">
        <v>203</v>
      </c>
    </row>
    <row r="91" spans="1:13" ht="23.25" x14ac:dyDescent="0.25">
      <c r="A91" s="57">
        <v>7</v>
      </c>
      <c r="B91" s="71" t="s">
        <v>114</v>
      </c>
      <c r="C91" s="58">
        <v>98</v>
      </c>
      <c r="D91" s="58">
        <v>1</v>
      </c>
      <c r="E91" s="58">
        <v>97</v>
      </c>
      <c r="F91" s="58">
        <v>7229500</v>
      </c>
      <c r="G91" s="58">
        <v>112198500</v>
      </c>
      <c r="H91" s="58">
        <v>2</v>
      </c>
      <c r="I91" s="58">
        <v>0</v>
      </c>
      <c r="J91" s="72">
        <v>8</v>
      </c>
      <c r="K91" s="72">
        <v>0</v>
      </c>
      <c r="L91" s="72">
        <v>41</v>
      </c>
      <c r="M91" s="72">
        <v>0</v>
      </c>
    </row>
    <row r="92" spans="1:13" ht="23.25" x14ac:dyDescent="0.25">
      <c r="A92" s="57">
        <v>8</v>
      </c>
      <c r="B92" s="71" t="s">
        <v>115</v>
      </c>
      <c r="C92" s="58">
        <v>59</v>
      </c>
      <c r="D92" s="58">
        <v>0</v>
      </c>
      <c r="E92" s="58">
        <v>59</v>
      </c>
      <c r="F92" s="58">
        <v>6184000</v>
      </c>
      <c r="G92" s="72">
        <v>161795000</v>
      </c>
      <c r="H92" s="72">
        <v>0</v>
      </c>
      <c r="I92" s="72">
        <v>0</v>
      </c>
      <c r="J92" s="72">
        <v>1</v>
      </c>
      <c r="K92" s="72">
        <v>0</v>
      </c>
      <c r="L92" s="72">
        <v>1</v>
      </c>
      <c r="M92" s="72">
        <v>0</v>
      </c>
    </row>
    <row r="93" spans="1:13" ht="23.25" x14ac:dyDescent="0.25">
      <c r="A93" s="57">
        <v>9</v>
      </c>
      <c r="B93" s="71" t="s">
        <v>116</v>
      </c>
      <c r="C93" s="58">
        <v>65</v>
      </c>
      <c r="D93" s="58">
        <v>0</v>
      </c>
      <c r="E93" s="58">
        <v>65</v>
      </c>
      <c r="F93" s="72">
        <v>8493000</v>
      </c>
      <c r="G93" s="72">
        <v>95728000</v>
      </c>
      <c r="H93" s="72">
        <v>0</v>
      </c>
      <c r="I93" s="72">
        <v>0</v>
      </c>
      <c r="J93" s="72">
        <v>4</v>
      </c>
      <c r="K93" s="72">
        <v>0</v>
      </c>
      <c r="L93" s="72">
        <v>54</v>
      </c>
      <c r="M93" s="72">
        <v>2</v>
      </c>
    </row>
    <row r="94" spans="1:13" ht="23.25" x14ac:dyDescent="0.25">
      <c r="A94" s="57"/>
      <c r="B94" s="71" t="s">
        <v>102</v>
      </c>
      <c r="C94" s="58">
        <f>SUM(C88:C93)</f>
        <v>1500</v>
      </c>
      <c r="D94" s="58">
        <f t="shared" ref="D94:M94" si="6">SUM(D88:D93)</f>
        <v>4</v>
      </c>
      <c r="E94" s="58">
        <f t="shared" si="6"/>
        <v>1496</v>
      </c>
      <c r="F94" s="58">
        <f t="shared" si="6"/>
        <v>150883517</v>
      </c>
      <c r="G94" s="58">
        <f t="shared" si="6"/>
        <v>2175888783</v>
      </c>
      <c r="H94" s="58">
        <f t="shared" si="6"/>
        <v>5</v>
      </c>
      <c r="I94" s="58">
        <f t="shared" si="6"/>
        <v>112</v>
      </c>
      <c r="J94" s="58">
        <f t="shared" si="6"/>
        <v>39</v>
      </c>
      <c r="K94" s="58">
        <f t="shared" si="6"/>
        <v>12</v>
      </c>
      <c r="L94" s="58">
        <f t="shared" si="6"/>
        <v>546</v>
      </c>
      <c r="M94" s="58">
        <f t="shared" si="6"/>
        <v>212</v>
      </c>
    </row>
    <row r="95" spans="1:13" ht="23.25" x14ac:dyDescent="0.25">
      <c r="A95" s="98"/>
      <c r="B95" s="349"/>
      <c r="C95" s="196"/>
      <c r="D95" s="196"/>
      <c r="E95" s="196"/>
      <c r="F95" s="196"/>
      <c r="G95" s="196"/>
      <c r="H95" s="196"/>
      <c r="I95" s="196"/>
      <c r="J95" s="196"/>
      <c r="K95" s="196"/>
      <c r="L95" s="196"/>
      <c r="M95" s="196"/>
    </row>
    <row r="96" spans="1:13" s="356" customFormat="1" ht="23.25" customHeight="1" x14ac:dyDescent="0.25">
      <c r="A96" s="657" t="s">
        <v>1473</v>
      </c>
      <c r="B96" s="657"/>
      <c r="C96" s="657"/>
      <c r="D96" s="657"/>
      <c r="E96" s="657"/>
      <c r="F96" s="657"/>
      <c r="G96" s="657"/>
      <c r="H96" s="657"/>
      <c r="I96" s="657"/>
      <c r="J96" s="657"/>
      <c r="K96" s="657"/>
      <c r="L96" s="657"/>
      <c r="M96" s="657"/>
    </row>
    <row r="97" spans="1:13" s="356" customFormat="1" ht="46.5" x14ac:dyDescent="0.25">
      <c r="A97" s="357" t="s">
        <v>0</v>
      </c>
      <c r="B97" s="358" t="s">
        <v>104</v>
      </c>
      <c r="C97" s="357" t="s">
        <v>3</v>
      </c>
      <c r="D97" s="357" t="s">
        <v>4</v>
      </c>
      <c r="E97" s="357" t="s">
        <v>5</v>
      </c>
      <c r="F97" s="357" t="s">
        <v>9</v>
      </c>
      <c r="G97" s="357" t="s">
        <v>183</v>
      </c>
      <c r="H97" s="657" t="s">
        <v>11</v>
      </c>
      <c r="I97" s="657"/>
      <c r="J97" s="657" t="s">
        <v>300</v>
      </c>
      <c r="K97" s="657"/>
      <c r="L97" s="657" t="s">
        <v>12</v>
      </c>
      <c r="M97" s="657"/>
    </row>
    <row r="98" spans="1:13" s="356" customFormat="1" ht="23.25" x14ac:dyDescent="0.25">
      <c r="A98" s="359">
        <v>9</v>
      </c>
      <c r="B98" s="358" t="s">
        <v>1472</v>
      </c>
      <c r="C98" s="231">
        <v>65</v>
      </c>
      <c r="D98" s="231">
        <v>0</v>
      </c>
      <c r="E98" s="231">
        <v>65</v>
      </c>
      <c r="F98" s="231">
        <v>8493000</v>
      </c>
      <c r="G98" s="231">
        <v>95728000</v>
      </c>
      <c r="H98" s="231">
        <v>0</v>
      </c>
      <c r="I98" s="231">
        <v>0</v>
      </c>
      <c r="J98" s="231">
        <v>4</v>
      </c>
      <c r="K98" s="231">
        <v>0</v>
      </c>
      <c r="L98" s="231">
        <v>54</v>
      </c>
      <c r="M98" s="231">
        <v>2</v>
      </c>
    </row>
    <row r="99" spans="1:13" s="229" customFormat="1" ht="23.25" x14ac:dyDescent="0.25">
      <c r="A99" s="359">
        <v>10</v>
      </c>
      <c r="B99" s="358" t="s">
        <v>1462</v>
      </c>
      <c r="C99" s="231">
        <v>171</v>
      </c>
      <c r="D99" s="231">
        <v>0</v>
      </c>
      <c r="E99" s="231">
        <v>171</v>
      </c>
      <c r="F99" s="231">
        <v>12102000</v>
      </c>
      <c r="G99" s="231">
        <v>216332000</v>
      </c>
      <c r="H99" s="231">
        <v>0</v>
      </c>
      <c r="I99" s="231">
        <v>0</v>
      </c>
      <c r="J99" s="231">
        <v>0</v>
      </c>
      <c r="K99" s="231">
        <v>0</v>
      </c>
      <c r="L99" s="231">
        <v>338</v>
      </c>
      <c r="M99" s="231">
        <v>0</v>
      </c>
    </row>
    <row r="100" spans="1:13" s="229" customFormat="1" ht="23.25" x14ac:dyDescent="0.25">
      <c r="A100" s="359">
        <v>11</v>
      </c>
      <c r="B100" s="358" t="s">
        <v>1463</v>
      </c>
      <c r="C100" s="231">
        <v>167</v>
      </c>
      <c r="D100" s="231">
        <v>0</v>
      </c>
      <c r="E100" s="231">
        <v>167</v>
      </c>
      <c r="F100" s="231">
        <v>16591200</v>
      </c>
      <c r="G100" s="231">
        <v>184445800</v>
      </c>
      <c r="H100" s="231">
        <v>2</v>
      </c>
      <c r="I100" s="231">
        <v>0</v>
      </c>
      <c r="J100" s="231">
        <v>11</v>
      </c>
      <c r="K100" s="231">
        <v>0</v>
      </c>
      <c r="L100" s="231">
        <v>98</v>
      </c>
      <c r="M100" s="231">
        <v>0</v>
      </c>
    </row>
    <row r="101" spans="1:13" s="229" customFormat="1" ht="23.25" x14ac:dyDescent="0.25">
      <c r="A101" s="359">
        <v>12</v>
      </c>
      <c r="B101" s="358" t="s">
        <v>1464</v>
      </c>
      <c r="C101" s="231">
        <v>172</v>
      </c>
      <c r="D101" s="231">
        <v>0</v>
      </c>
      <c r="E101" s="231">
        <v>172</v>
      </c>
      <c r="F101" s="231">
        <v>14412200</v>
      </c>
      <c r="G101" s="231">
        <v>636679800</v>
      </c>
      <c r="H101" s="231">
        <v>1</v>
      </c>
      <c r="I101" s="231">
        <v>1</v>
      </c>
      <c r="J101" s="231">
        <v>2</v>
      </c>
      <c r="K101" s="231">
        <v>0</v>
      </c>
      <c r="L101" s="231">
        <v>40</v>
      </c>
      <c r="M101" s="231">
        <v>35</v>
      </c>
    </row>
    <row r="102" spans="1:13" s="356" customFormat="1" ht="23.25" x14ac:dyDescent="0.25">
      <c r="A102" s="359">
        <v>1</v>
      </c>
      <c r="B102" s="358" t="s">
        <v>1264</v>
      </c>
      <c r="C102" s="231">
        <v>120</v>
      </c>
      <c r="D102" s="231">
        <v>1</v>
      </c>
      <c r="E102" s="231">
        <v>119</v>
      </c>
      <c r="F102" s="231">
        <v>15049500</v>
      </c>
      <c r="G102" s="231">
        <v>121124500</v>
      </c>
      <c r="H102" s="231">
        <v>0</v>
      </c>
      <c r="I102" s="231">
        <v>63</v>
      </c>
      <c r="J102" s="231">
        <v>1</v>
      </c>
      <c r="K102" s="231">
        <v>0</v>
      </c>
      <c r="L102" s="231">
        <v>76</v>
      </c>
      <c r="M102" s="231">
        <v>0</v>
      </c>
    </row>
    <row r="103" spans="1:13" s="356" customFormat="1" ht="23.25" x14ac:dyDescent="0.25">
      <c r="A103" s="359">
        <v>2</v>
      </c>
      <c r="B103" s="358" t="s">
        <v>1265</v>
      </c>
      <c r="C103" s="231">
        <v>188</v>
      </c>
      <c r="D103" s="231">
        <v>0</v>
      </c>
      <c r="E103" s="231">
        <v>188</v>
      </c>
      <c r="F103" s="231">
        <v>7935000</v>
      </c>
      <c r="G103" s="231">
        <v>86488500</v>
      </c>
      <c r="H103" s="231">
        <v>2</v>
      </c>
      <c r="I103" s="231">
        <v>0</v>
      </c>
      <c r="J103" s="231">
        <v>2</v>
      </c>
      <c r="K103" s="231">
        <v>6</v>
      </c>
      <c r="L103" s="231">
        <v>361</v>
      </c>
      <c r="M103" s="231">
        <v>1</v>
      </c>
    </row>
    <row r="104" spans="1:13" s="356" customFormat="1" ht="23.25" x14ac:dyDescent="0.25">
      <c r="A104" s="359">
        <v>3</v>
      </c>
      <c r="B104" s="358" t="s">
        <v>1390</v>
      </c>
      <c r="C104" s="231">
        <v>228</v>
      </c>
      <c r="D104" s="231">
        <v>1</v>
      </c>
      <c r="E104" s="231">
        <v>227</v>
      </c>
      <c r="F104" s="231">
        <v>20351500</v>
      </c>
      <c r="G104" s="231">
        <v>610635300</v>
      </c>
      <c r="H104" s="231">
        <v>2</v>
      </c>
      <c r="I104" s="231">
        <v>7</v>
      </c>
      <c r="J104" s="231">
        <v>6</v>
      </c>
      <c r="K104" s="231">
        <v>3</v>
      </c>
      <c r="L104" s="231">
        <v>92</v>
      </c>
      <c r="M104" s="231">
        <v>7</v>
      </c>
    </row>
    <row r="105" spans="1:13" s="356" customFormat="1" ht="23.25" x14ac:dyDescent="0.25">
      <c r="A105" s="360"/>
      <c r="B105" s="358" t="s">
        <v>102</v>
      </c>
      <c r="C105" s="231">
        <f>SUM(C98:C104)</f>
        <v>1111</v>
      </c>
      <c r="D105" s="231">
        <f t="shared" ref="D105:M105" si="7">SUM(D98:D104)</f>
        <v>2</v>
      </c>
      <c r="E105" s="231">
        <f t="shared" si="7"/>
        <v>1109</v>
      </c>
      <c r="F105" s="377">
        <f t="shared" si="7"/>
        <v>94934400</v>
      </c>
      <c r="G105" s="377">
        <f t="shared" si="7"/>
        <v>1951433900</v>
      </c>
      <c r="H105" s="231">
        <f t="shared" si="7"/>
        <v>7</v>
      </c>
      <c r="I105" s="231">
        <f t="shared" si="7"/>
        <v>71</v>
      </c>
      <c r="J105" s="231">
        <f t="shared" si="7"/>
        <v>26</v>
      </c>
      <c r="K105" s="231">
        <f t="shared" si="7"/>
        <v>9</v>
      </c>
      <c r="L105" s="231">
        <f t="shared" si="7"/>
        <v>1059</v>
      </c>
      <c r="M105" s="231">
        <f t="shared" si="7"/>
        <v>45</v>
      </c>
    </row>
    <row r="111" spans="1:13" ht="70.5" customHeight="1" x14ac:dyDescent="0.25">
      <c r="A111" s="505" t="s">
        <v>1399</v>
      </c>
      <c r="B111" s="506"/>
      <c r="C111" s="506"/>
      <c r="D111" s="506"/>
      <c r="E111" s="506"/>
      <c r="F111" s="506"/>
      <c r="G111" s="506"/>
      <c r="H111" s="506"/>
      <c r="I111" s="506"/>
      <c r="J111" s="506"/>
      <c r="K111" s="506"/>
      <c r="L111" s="506"/>
    </row>
    <row r="112" spans="1:13" ht="20.25" customHeight="1" x14ac:dyDescent="0.25">
      <c r="A112" s="515" t="s">
        <v>189</v>
      </c>
      <c r="B112" s="517" t="s">
        <v>1</v>
      </c>
      <c r="C112" s="517" t="s">
        <v>3</v>
      </c>
      <c r="D112" s="519" t="s">
        <v>61</v>
      </c>
      <c r="E112" s="520"/>
      <c r="F112" s="521"/>
      <c r="G112" s="524" t="s">
        <v>11</v>
      </c>
      <c r="H112" s="525"/>
      <c r="I112" s="524" t="s">
        <v>13</v>
      </c>
      <c r="J112" s="525"/>
      <c r="K112" s="524" t="s">
        <v>12</v>
      </c>
      <c r="L112" s="525"/>
    </row>
    <row r="113" spans="1:12" ht="20.25" x14ac:dyDescent="0.25">
      <c r="A113" s="516"/>
      <c r="B113" s="518"/>
      <c r="C113" s="518"/>
      <c r="D113" s="40" t="s">
        <v>63</v>
      </c>
      <c r="E113" s="40" t="s">
        <v>64</v>
      </c>
      <c r="F113" s="40" t="s">
        <v>65</v>
      </c>
      <c r="G113" s="40" t="s">
        <v>14</v>
      </c>
      <c r="H113" s="40" t="s">
        <v>15</v>
      </c>
      <c r="I113" s="40" t="s">
        <v>14</v>
      </c>
      <c r="J113" s="40" t="s">
        <v>15</v>
      </c>
      <c r="K113" s="40" t="s">
        <v>14</v>
      </c>
      <c r="L113" s="40" t="s">
        <v>15</v>
      </c>
    </row>
    <row r="114" spans="1:12" ht="20.25" x14ac:dyDescent="0.25">
      <c r="A114" s="34">
        <v>4</v>
      </c>
      <c r="B114" s="92" t="s">
        <v>111</v>
      </c>
      <c r="C114" s="35">
        <v>35</v>
      </c>
      <c r="D114" s="35">
        <v>7</v>
      </c>
      <c r="E114" s="35">
        <v>15</v>
      </c>
      <c r="F114" s="35">
        <v>13</v>
      </c>
      <c r="G114" s="35">
        <v>8</v>
      </c>
      <c r="H114" s="35">
        <v>1</v>
      </c>
      <c r="I114" s="35">
        <v>26</v>
      </c>
      <c r="J114" s="35">
        <v>1</v>
      </c>
      <c r="K114" s="35">
        <v>16</v>
      </c>
      <c r="L114" s="35">
        <v>3</v>
      </c>
    </row>
    <row r="115" spans="1:12" ht="20.25" x14ac:dyDescent="0.25">
      <c r="A115" s="34">
        <v>5</v>
      </c>
      <c r="B115" s="92" t="s">
        <v>130</v>
      </c>
      <c r="C115" s="35">
        <v>53</v>
      </c>
      <c r="D115" s="35">
        <v>3</v>
      </c>
      <c r="E115" s="35">
        <v>20</v>
      </c>
      <c r="F115" s="35">
        <v>30</v>
      </c>
      <c r="G115" s="35">
        <v>12</v>
      </c>
      <c r="H115" s="35">
        <v>1</v>
      </c>
      <c r="I115" s="35">
        <v>23</v>
      </c>
      <c r="J115" s="35">
        <v>1</v>
      </c>
      <c r="K115" s="35">
        <v>24</v>
      </c>
      <c r="L115" s="35">
        <v>8</v>
      </c>
    </row>
    <row r="116" spans="1:12" ht="20.25" x14ac:dyDescent="0.25">
      <c r="A116" s="34">
        <v>6</v>
      </c>
      <c r="B116" s="92" t="s">
        <v>131</v>
      </c>
      <c r="C116" s="35">
        <v>56</v>
      </c>
      <c r="D116" s="35">
        <v>6</v>
      </c>
      <c r="E116" s="35">
        <v>21</v>
      </c>
      <c r="F116" s="35">
        <v>31</v>
      </c>
      <c r="G116" s="35">
        <v>3</v>
      </c>
      <c r="H116" s="35">
        <v>0</v>
      </c>
      <c r="I116" s="35">
        <v>34</v>
      </c>
      <c r="J116" s="35">
        <v>0</v>
      </c>
      <c r="K116" s="35">
        <v>17</v>
      </c>
      <c r="L116" s="35">
        <v>5</v>
      </c>
    </row>
    <row r="117" spans="1:12" ht="20.25" x14ac:dyDescent="0.25">
      <c r="A117" s="34">
        <v>7</v>
      </c>
      <c r="B117" s="92" t="s">
        <v>114</v>
      </c>
      <c r="C117" s="35">
        <v>118</v>
      </c>
      <c r="D117" s="35">
        <v>9</v>
      </c>
      <c r="E117" s="35">
        <v>33</v>
      </c>
      <c r="F117" s="35">
        <v>76</v>
      </c>
      <c r="G117" s="35">
        <v>5</v>
      </c>
      <c r="H117" s="35">
        <v>2</v>
      </c>
      <c r="I117" s="35">
        <v>5</v>
      </c>
      <c r="J117" s="35">
        <v>4</v>
      </c>
      <c r="K117" s="35">
        <v>24</v>
      </c>
      <c r="L117" s="35">
        <v>22</v>
      </c>
    </row>
    <row r="118" spans="1:12" ht="20.25" x14ac:dyDescent="0.25">
      <c r="A118" s="34">
        <v>8</v>
      </c>
      <c r="B118" s="92" t="s">
        <v>115</v>
      </c>
      <c r="C118" s="35">
        <v>103</v>
      </c>
      <c r="D118" s="35">
        <v>2</v>
      </c>
      <c r="E118" s="35">
        <v>29</v>
      </c>
      <c r="F118" s="35">
        <v>72</v>
      </c>
      <c r="G118" s="35">
        <v>8</v>
      </c>
      <c r="H118" s="35">
        <v>4</v>
      </c>
      <c r="I118" s="35">
        <v>9</v>
      </c>
      <c r="J118" s="35">
        <v>4</v>
      </c>
      <c r="K118" s="35">
        <v>8028</v>
      </c>
      <c r="L118" s="35">
        <v>23</v>
      </c>
    </row>
    <row r="119" spans="1:12" ht="20.25" x14ac:dyDescent="0.25">
      <c r="A119" s="34">
        <v>9</v>
      </c>
      <c r="B119" s="92" t="s">
        <v>116</v>
      </c>
      <c r="C119" s="35">
        <v>140</v>
      </c>
      <c r="D119" s="35">
        <v>4</v>
      </c>
      <c r="E119" s="35">
        <v>66</v>
      </c>
      <c r="F119" s="35">
        <v>70</v>
      </c>
      <c r="G119" s="35">
        <v>10</v>
      </c>
      <c r="H119" s="35">
        <v>5</v>
      </c>
      <c r="I119" s="35">
        <v>23</v>
      </c>
      <c r="J119" s="35">
        <v>3</v>
      </c>
      <c r="K119" s="35">
        <v>32</v>
      </c>
      <c r="L119" s="35">
        <v>21</v>
      </c>
    </row>
    <row r="120" spans="1:12" ht="20.25" x14ac:dyDescent="0.25">
      <c r="A120" s="69"/>
      <c r="B120" s="92" t="s">
        <v>102</v>
      </c>
      <c r="C120" s="35">
        <f>SUM(C114:C119)</f>
        <v>505</v>
      </c>
      <c r="D120" s="35">
        <f t="shared" ref="D120:L120" si="8">SUM(D114:D119)</f>
        <v>31</v>
      </c>
      <c r="E120" s="35">
        <f t="shared" si="8"/>
        <v>184</v>
      </c>
      <c r="F120" s="35">
        <f t="shared" si="8"/>
        <v>292</v>
      </c>
      <c r="G120" s="35">
        <f t="shared" si="8"/>
        <v>46</v>
      </c>
      <c r="H120" s="35">
        <f t="shared" si="8"/>
        <v>13</v>
      </c>
      <c r="I120" s="35">
        <f t="shared" si="8"/>
        <v>120</v>
      </c>
      <c r="J120" s="35">
        <f t="shared" si="8"/>
        <v>13</v>
      </c>
      <c r="K120" s="35">
        <f t="shared" si="8"/>
        <v>8141</v>
      </c>
      <c r="L120" s="35">
        <f t="shared" si="8"/>
        <v>82</v>
      </c>
    </row>
    <row r="122" spans="1:12" s="361" customFormat="1" ht="70.5" customHeight="1" x14ac:dyDescent="0.25">
      <c r="A122" s="652" t="s">
        <v>1474</v>
      </c>
      <c r="B122" s="653"/>
      <c r="C122" s="653"/>
      <c r="D122" s="653"/>
      <c r="E122" s="653"/>
      <c r="F122" s="653"/>
      <c r="G122" s="653"/>
      <c r="H122" s="653"/>
      <c r="I122" s="653"/>
      <c r="J122" s="653"/>
      <c r="K122" s="653"/>
      <c r="L122" s="653"/>
    </row>
    <row r="123" spans="1:12" s="361" customFormat="1" ht="20.25" customHeight="1" x14ac:dyDescent="0.25">
      <c r="A123" s="654" t="s">
        <v>189</v>
      </c>
      <c r="B123" s="655" t="s">
        <v>1</v>
      </c>
      <c r="C123" s="655" t="s">
        <v>3</v>
      </c>
      <c r="D123" s="656" t="s">
        <v>61</v>
      </c>
      <c r="E123" s="656"/>
      <c r="F123" s="656"/>
      <c r="G123" s="655" t="s">
        <v>11</v>
      </c>
      <c r="H123" s="655"/>
      <c r="I123" s="655" t="s">
        <v>13</v>
      </c>
      <c r="J123" s="655"/>
      <c r="K123" s="655" t="s">
        <v>12</v>
      </c>
      <c r="L123" s="655"/>
    </row>
    <row r="124" spans="1:12" s="361" customFormat="1" ht="20.25" x14ac:dyDescent="0.25">
      <c r="A124" s="654"/>
      <c r="B124" s="655"/>
      <c r="C124" s="655"/>
      <c r="D124" s="363" t="s">
        <v>63</v>
      </c>
      <c r="E124" s="363" t="s">
        <v>64</v>
      </c>
      <c r="F124" s="363" t="s">
        <v>65</v>
      </c>
      <c r="G124" s="363" t="s">
        <v>14</v>
      </c>
      <c r="H124" s="363" t="s">
        <v>15</v>
      </c>
      <c r="I124" s="363" t="s">
        <v>14</v>
      </c>
      <c r="J124" s="363" t="s">
        <v>15</v>
      </c>
      <c r="K124" s="363" t="s">
        <v>14</v>
      </c>
      <c r="L124" s="363" t="s">
        <v>15</v>
      </c>
    </row>
    <row r="125" spans="1:12" s="361" customFormat="1" ht="20.25" x14ac:dyDescent="0.25">
      <c r="A125" s="364">
        <v>9</v>
      </c>
      <c r="B125" s="365" t="s">
        <v>1472</v>
      </c>
      <c r="C125" s="366">
        <v>140</v>
      </c>
      <c r="D125" s="366">
        <v>4</v>
      </c>
      <c r="E125" s="366">
        <v>66</v>
      </c>
      <c r="F125" s="366">
        <v>70</v>
      </c>
      <c r="G125" s="366">
        <v>10</v>
      </c>
      <c r="H125" s="366">
        <v>5</v>
      </c>
      <c r="I125" s="366">
        <v>23</v>
      </c>
      <c r="J125" s="366">
        <v>3</v>
      </c>
      <c r="K125" s="366">
        <v>32</v>
      </c>
      <c r="L125" s="366">
        <v>21</v>
      </c>
    </row>
    <row r="126" spans="1:12" s="361" customFormat="1" ht="20.25" x14ac:dyDescent="0.25">
      <c r="A126" s="364">
        <v>10</v>
      </c>
      <c r="B126" s="365" t="s">
        <v>1462</v>
      </c>
      <c r="C126" s="366">
        <v>36</v>
      </c>
      <c r="D126" s="366"/>
      <c r="E126" s="366"/>
      <c r="F126" s="366">
        <v>36</v>
      </c>
      <c r="G126" s="366">
        <v>7</v>
      </c>
      <c r="H126" s="366">
        <v>0</v>
      </c>
      <c r="I126" s="366">
        <v>0</v>
      </c>
      <c r="J126" s="366">
        <v>0</v>
      </c>
      <c r="K126" s="366">
        <v>19</v>
      </c>
      <c r="L126" s="366">
        <v>11</v>
      </c>
    </row>
    <row r="127" spans="1:12" s="361" customFormat="1" ht="20.25" x14ac:dyDescent="0.25">
      <c r="A127" s="364">
        <v>11</v>
      </c>
      <c r="B127" s="365" t="s">
        <v>1463</v>
      </c>
      <c r="C127" s="366">
        <v>35</v>
      </c>
      <c r="D127" s="366">
        <v>0</v>
      </c>
      <c r="E127" s="366">
        <v>9</v>
      </c>
      <c r="F127" s="366">
        <v>26</v>
      </c>
      <c r="G127" s="366">
        <v>36</v>
      </c>
      <c r="H127" s="366">
        <v>1</v>
      </c>
      <c r="I127" s="366">
        <v>66</v>
      </c>
      <c r="J127" s="366">
        <v>1</v>
      </c>
      <c r="K127" s="366">
        <v>87</v>
      </c>
      <c r="L127" s="366">
        <v>10</v>
      </c>
    </row>
    <row r="128" spans="1:12" s="361" customFormat="1" ht="20.25" x14ac:dyDescent="0.25">
      <c r="A128" s="364">
        <v>12</v>
      </c>
      <c r="B128" s="365" t="s">
        <v>1464</v>
      </c>
      <c r="C128" s="366">
        <v>16</v>
      </c>
      <c r="D128" s="366">
        <v>0</v>
      </c>
      <c r="E128" s="366">
        <v>4</v>
      </c>
      <c r="F128" s="366">
        <v>12</v>
      </c>
      <c r="G128" s="366">
        <v>4</v>
      </c>
      <c r="H128" s="366">
        <v>0</v>
      </c>
      <c r="I128" s="366">
        <v>30</v>
      </c>
      <c r="J128" s="366">
        <v>0</v>
      </c>
      <c r="K128" s="366">
        <v>34</v>
      </c>
      <c r="L128" s="366">
        <v>1</v>
      </c>
    </row>
    <row r="129" spans="1:12" s="361" customFormat="1" ht="20.25" x14ac:dyDescent="0.25">
      <c r="A129" s="364">
        <v>1</v>
      </c>
      <c r="B129" s="363" t="s">
        <v>1264</v>
      </c>
      <c r="C129" s="366">
        <v>27</v>
      </c>
      <c r="D129" s="366">
        <v>0</v>
      </c>
      <c r="E129" s="366">
        <v>9</v>
      </c>
      <c r="F129" s="366">
        <v>18</v>
      </c>
      <c r="G129" s="366">
        <v>16</v>
      </c>
      <c r="H129" s="366">
        <v>0</v>
      </c>
      <c r="I129" s="366">
        <v>32</v>
      </c>
      <c r="J129" s="366">
        <v>1</v>
      </c>
      <c r="K129" s="366">
        <v>41</v>
      </c>
      <c r="L129" s="366">
        <v>6</v>
      </c>
    </row>
    <row r="130" spans="1:12" s="361" customFormat="1" ht="20.25" x14ac:dyDescent="0.25">
      <c r="A130" s="364">
        <v>2</v>
      </c>
      <c r="B130" s="363" t="s">
        <v>1265</v>
      </c>
      <c r="C130" s="366">
        <v>19</v>
      </c>
      <c r="D130" s="366">
        <v>0</v>
      </c>
      <c r="E130" s="366">
        <v>2</v>
      </c>
      <c r="F130" s="366">
        <v>17</v>
      </c>
      <c r="G130" s="366">
        <v>3</v>
      </c>
      <c r="H130" s="366">
        <v>0</v>
      </c>
      <c r="I130" s="366">
        <v>10</v>
      </c>
      <c r="J130" s="366">
        <v>3</v>
      </c>
      <c r="K130" s="366">
        <v>22</v>
      </c>
      <c r="L130" s="366">
        <v>5</v>
      </c>
    </row>
    <row r="131" spans="1:12" s="361" customFormat="1" ht="20.25" x14ac:dyDescent="0.25">
      <c r="A131" s="364">
        <v>3</v>
      </c>
      <c r="B131" s="363" t="s">
        <v>1390</v>
      </c>
      <c r="C131" s="366">
        <v>19</v>
      </c>
      <c r="D131" s="366">
        <v>0</v>
      </c>
      <c r="E131" s="366">
        <v>2</v>
      </c>
      <c r="F131" s="366">
        <v>17</v>
      </c>
      <c r="G131" s="366">
        <v>3</v>
      </c>
      <c r="H131" s="366">
        <v>0</v>
      </c>
      <c r="I131" s="366">
        <v>10</v>
      </c>
      <c r="J131" s="366">
        <v>3</v>
      </c>
      <c r="K131" s="366">
        <v>22</v>
      </c>
      <c r="L131" s="366">
        <v>5</v>
      </c>
    </row>
    <row r="132" spans="1:12" s="361" customFormat="1" ht="20.25" x14ac:dyDescent="0.25">
      <c r="A132" s="362"/>
      <c r="B132" s="365" t="s">
        <v>102</v>
      </c>
      <c r="C132" s="366">
        <f>SUM(C125:C131)</f>
        <v>292</v>
      </c>
      <c r="D132" s="366">
        <f t="shared" ref="D132:L132" si="9">SUM(D125:D131)</f>
        <v>4</v>
      </c>
      <c r="E132" s="366">
        <f t="shared" si="9"/>
        <v>92</v>
      </c>
      <c r="F132" s="366">
        <f t="shared" si="9"/>
        <v>196</v>
      </c>
      <c r="G132" s="366">
        <f t="shared" si="9"/>
        <v>79</v>
      </c>
      <c r="H132" s="366">
        <f t="shared" si="9"/>
        <v>6</v>
      </c>
      <c r="I132" s="366">
        <f t="shared" si="9"/>
        <v>171</v>
      </c>
      <c r="J132" s="366">
        <f t="shared" si="9"/>
        <v>11</v>
      </c>
      <c r="K132" s="366">
        <f t="shared" si="9"/>
        <v>257</v>
      </c>
      <c r="L132" s="366">
        <f t="shared" si="9"/>
        <v>59</v>
      </c>
    </row>
    <row r="143" spans="1:12" ht="45.75" customHeight="1" x14ac:dyDescent="0.25">
      <c r="B143" s="534" t="s">
        <v>1400</v>
      </c>
      <c r="C143" s="535"/>
      <c r="D143" s="535"/>
      <c r="E143" s="535"/>
      <c r="F143" s="535"/>
      <c r="G143" s="535"/>
      <c r="H143" s="535"/>
      <c r="I143" s="535"/>
      <c r="J143" s="535"/>
      <c r="K143" s="535"/>
      <c r="L143" s="536"/>
    </row>
    <row r="144" spans="1:12" ht="18.75" x14ac:dyDescent="0.25">
      <c r="B144" s="537" t="s">
        <v>104</v>
      </c>
      <c r="C144" s="500" t="s">
        <v>3</v>
      </c>
      <c r="D144" s="500" t="s">
        <v>73</v>
      </c>
      <c r="E144" s="500" t="s">
        <v>9</v>
      </c>
      <c r="F144" s="500" t="s">
        <v>10</v>
      </c>
      <c r="G144" s="500" t="s">
        <v>11</v>
      </c>
      <c r="H144" s="500"/>
      <c r="I144" s="500" t="s">
        <v>12</v>
      </c>
      <c r="J144" s="500"/>
      <c r="K144" s="500" t="s">
        <v>13</v>
      </c>
      <c r="L144" s="500"/>
    </row>
    <row r="145" spans="1:15" ht="117" customHeight="1" x14ac:dyDescent="0.25">
      <c r="B145" s="537"/>
      <c r="C145" s="500"/>
      <c r="D145" s="500"/>
      <c r="E145" s="500"/>
      <c r="F145" s="500"/>
      <c r="G145" s="126" t="s">
        <v>14</v>
      </c>
      <c r="H145" s="126" t="s">
        <v>15</v>
      </c>
      <c r="I145" s="126" t="s">
        <v>14</v>
      </c>
      <c r="J145" s="126" t="s">
        <v>15</v>
      </c>
      <c r="K145" s="126" t="s">
        <v>14</v>
      </c>
      <c r="L145" s="126" t="s">
        <v>15</v>
      </c>
    </row>
    <row r="146" spans="1:15" ht="18.75" x14ac:dyDescent="0.25">
      <c r="B146" s="153" t="s">
        <v>1466</v>
      </c>
      <c r="C146" s="62">
        <v>462</v>
      </c>
      <c r="D146" s="62"/>
      <c r="E146" s="188">
        <v>6590000</v>
      </c>
      <c r="F146" s="188">
        <v>245249300</v>
      </c>
      <c r="G146" s="62">
        <v>0</v>
      </c>
      <c r="H146" s="62">
        <v>0</v>
      </c>
      <c r="I146" s="62">
        <v>1</v>
      </c>
      <c r="J146" s="62">
        <v>0</v>
      </c>
      <c r="K146" s="62">
        <v>0</v>
      </c>
      <c r="L146" s="62">
        <v>8</v>
      </c>
    </row>
    <row r="147" spans="1:15" ht="18.75" x14ac:dyDescent="0.25">
      <c r="B147" s="153" t="s">
        <v>130</v>
      </c>
      <c r="C147" s="62">
        <v>579</v>
      </c>
      <c r="D147" s="62"/>
      <c r="E147" s="188">
        <v>8584500</v>
      </c>
      <c r="F147" s="188">
        <v>1024114200</v>
      </c>
      <c r="G147" s="62">
        <v>0</v>
      </c>
      <c r="H147" s="62">
        <v>1</v>
      </c>
      <c r="I147" s="62">
        <v>0</v>
      </c>
      <c r="J147" s="62">
        <v>1</v>
      </c>
      <c r="K147" s="62">
        <v>0</v>
      </c>
      <c r="L147" s="62">
        <v>150</v>
      </c>
    </row>
    <row r="148" spans="1:15" ht="18.75" x14ac:dyDescent="0.25">
      <c r="B148" s="153" t="s">
        <v>131</v>
      </c>
      <c r="C148" s="62">
        <v>346</v>
      </c>
      <c r="D148" s="62"/>
      <c r="E148" s="188">
        <v>8890200</v>
      </c>
      <c r="F148" s="188">
        <v>259449500</v>
      </c>
      <c r="G148" s="62">
        <v>0</v>
      </c>
      <c r="H148" s="62">
        <v>0</v>
      </c>
      <c r="I148" s="62">
        <v>0</v>
      </c>
      <c r="J148" s="62">
        <v>0</v>
      </c>
      <c r="K148" s="62">
        <v>0</v>
      </c>
      <c r="L148" s="62">
        <v>0</v>
      </c>
    </row>
    <row r="149" spans="1:15" ht="18.75" x14ac:dyDescent="0.25">
      <c r="B149" s="153" t="s">
        <v>114</v>
      </c>
      <c r="C149" s="62">
        <v>0</v>
      </c>
      <c r="D149" s="62"/>
      <c r="E149" s="188">
        <v>0</v>
      </c>
      <c r="F149" s="188">
        <v>0</v>
      </c>
      <c r="G149" s="62">
        <v>0</v>
      </c>
      <c r="H149" s="62">
        <v>0</v>
      </c>
      <c r="I149" s="62">
        <v>0</v>
      </c>
      <c r="J149" s="62">
        <v>0</v>
      </c>
      <c r="K149" s="62">
        <v>0</v>
      </c>
      <c r="L149" s="62">
        <v>0</v>
      </c>
    </row>
    <row r="150" spans="1:15" ht="18.75" x14ac:dyDescent="0.25">
      <c r="B150" s="153" t="s">
        <v>681</v>
      </c>
      <c r="C150" s="62">
        <v>0</v>
      </c>
      <c r="D150" s="62"/>
      <c r="E150" s="188">
        <v>0</v>
      </c>
      <c r="F150" s="188">
        <v>0</v>
      </c>
      <c r="G150" s="62">
        <v>0</v>
      </c>
      <c r="H150" s="62">
        <v>0</v>
      </c>
      <c r="I150" s="62">
        <v>0</v>
      </c>
      <c r="J150" s="62">
        <v>0</v>
      </c>
      <c r="K150" s="62">
        <v>0</v>
      </c>
      <c r="L150" s="62">
        <v>0</v>
      </c>
    </row>
    <row r="151" spans="1:15" ht="18.75" x14ac:dyDescent="0.25">
      <c r="B151" s="153" t="s">
        <v>116</v>
      </c>
      <c r="C151" s="62">
        <v>0</v>
      </c>
      <c r="D151" s="62"/>
      <c r="E151" s="188">
        <v>0</v>
      </c>
      <c r="F151" s="188">
        <v>0</v>
      </c>
      <c r="G151" s="62">
        <v>0</v>
      </c>
      <c r="H151" s="62">
        <v>0</v>
      </c>
      <c r="I151" s="62">
        <v>0</v>
      </c>
      <c r="J151" s="62">
        <v>0</v>
      </c>
      <c r="K151" s="62">
        <v>0</v>
      </c>
      <c r="L151" s="62">
        <v>0</v>
      </c>
    </row>
    <row r="152" spans="1:15" ht="18.75" x14ac:dyDescent="0.25">
      <c r="B152" s="153" t="s">
        <v>102</v>
      </c>
      <c r="C152" s="62">
        <f>SUM(C146:C151)</f>
        <v>1387</v>
      </c>
      <c r="D152" s="62">
        <f t="shared" ref="D152:L152" si="10">SUM(D146:D151)</f>
        <v>0</v>
      </c>
      <c r="E152" s="62">
        <f t="shared" si="10"/>
        <v>24064700</v>
      </c>
      <c r="F152" s="62">
        <f t="shared" si="10"/>
        <v>1528813000</v>
      </c>
      <c r="G152" s="62">
        <f t="shared" si="10"/>
        <v>0</v>
      </c>
      <c r="H152" s="62">
        <f t="shared" si="10"/>
        <v>1</v>
      </c>
      <c r="I152" s="62">
        <f t="shared" si="10"/>
        <v>1</v>
      </c>
      <c r="J152" s="62">
        <f t="shared" si="10"/>
        <v>1</v>
      </c>
      <c r="K152" s="62">
        <f t="shared" si="10"/>
        <v>0</v>
      </c>
      <c r="L152" s="62">
        <f t="shared" si="10"/>
        <v>158</v>
      </c>
    </row>
    <row r="155" spans="1:15" s="367" customFormat="1" ht="38.25" customHeight="1" x14ac:dyDescent="0.25">
      <c r="B155" s="636" t="s">
        <v>1475</v>
      </c>
      <c r="C155" s="636"/>
      <c r="D155" s="636"/>
      <c r="E155" s="636"/>
      <c r="F155" s="636"/>
      <c r="G155" s="636"/>
      <c r="H155" s="636"/>
      <c r="I155" s="636"/>
      <c r="J155" s="636"/>
      <c r="K155" s="636"/>
      <c r="L155" s="636"/>
      <c r="M155" s="369"/>
      <c r="N155" s="369"/>
      <c r="O155" s="369"/>
    </row>
    <row r="156" spans="1:15" s="367" customFormat="1" ht="131.25" x14ac:dyDescent="0.25">
      <c r="A156" s="370"/>
      <c r="B156" s="371" t="s">
        <v>104</v>
      </c>
      <c r="C156" s="371" t="s">
        <v>3</v>
      </c>
      <c r="D156" s="371" t="s">
        <v>1471</v>
      </c>
      <c r="E156" s="371" t="s">
        <v>9</v>
      </c>
      <c r="F156" s="371" t="s">
        <v>10</v>
      </c>
      <c r="G156" s="636" t="s">
        <v>11</v>
      </c>
      <c r="H156" s="636"/>
      <c r="I156" s="636" t="s">
        <v>12</v>
      </c>
      <c r="J156" s="636"/>
      <c r="K156" s="636" t="s">
        <v>13</v>
      </c>
      <c r="L156" s="636"/>
    </row>
    <row r="157" spans="1:15" s="367" customFormat="1" ht="18.75" x14ac:dyDescent="0.25">
      <c r="A157" s="372"/>
      <c r="B157" s="373"/>
      <c r="C157" s="374"/>
      <c r="D157" s="374"/>
      <c r="E157" s="374"/>
      <c r="F157" s="374"/>
      <c r="G157" s="371" t="s">
        <v>14</v>
      </c>
      <c r="H157" s="371" t="s">
        <v>15</v>
      </c>
      <c r="I157" s="371" t="s">
        <v>14</v>
      </c>
      <c r="J157" s="371" t="s">
        <v>15</v>
      </c>
      <c r="K157" s="371" t="s">
        <v>14</v>
      </c>
      <c r="L157" s="371" t="s">
        <v>15</v>
      </c>
    </row>
    <row r="158" spans="1:15" s="361" customFormat="1" ht="18.75" x14ac:dyDescent="0.25">
      <c r="B158" s="371" t="s">
        <v>1472</v>
      </c>
      <c r="C158" s="374">
        <v>0</v>
      </c>
      <c r="D158" s="374"/>
      <c r="E158" s="374">
        <v>0</v>
      </c>
      <c r="F158" s="374">
        <v>0</v>
      </c>
      <c r="G158" s="374">
        <v>0</v>
      </c>
      <c r="H158" s="374">
        <v>0</v>
      </c>
      <c r="I158" s="374">
        <v>0</v>
      </c>
      <c r="J158" s="374">
        <v>0</v>
      </c>
      <c r="K158" s="374">
        <v>0</v>
      </c>
      <c r="L158" s="374">
        <v>0</v>
      </c>
    </row>
    <row r="159" spans="1:15" s="367" customFormat="1" ht="18.75" x14ac:dyDescent="0.25">
      <c r="A159" s="372"/>
      <c r="B159" s="371" t="s">
        <v>1462</v>
      </c>
      <c r="C159" s="374">
        <v>1</v>
      </c>
      <c r="D159" s="374"/>
      <c r="E159" s="374">
        <v>0</v>
      </c>
      <c r="F159" s="374">
        <v>0</v>
      </c>
      <c r="G159" s="374">
        <v>0</v>
      </c>
      <c r="H159" s="374">
        <v>0</v>
      </c>
      <c r="I159" s="374">
        <v>0</v>
      </c>
      <c r="J159" s="374">
        <v>0</v>
      </c>
      <c r="K159" s="374">
        <v>0</v>
      </c>
      <c r="L159" s="374">
        <v>0</v>
      </c>
    </row>
    <row r="160" spans="1:15" s="367" customFormat="1" ht="18.75" x14ac:dyDescent="0.25">
      <c r="A160" s="372"/>
      <c r="B160" s="371" t="s">
        <v>1463</v>
      </c>
      <c r="C160" s="374">
        <v>1</v>
      </c>
      <c r="D160" s="374"/>
      <c r="E160" s="374">
        <v>0</v>
      </c>
      <c r="F160" s="374">
        <v>0</v>
      </c>
      <c r="G160" s="374">
        <v>0</v>
      </c>
      <c r="H160" s="374">
        <v>0</v>
      </c>
      <c r="I160" s="374">
        <v>0</v>
      </c>
      <c r="J160" s="374">
        <v>0</v>
      </c>
      <c r="K160" s="374">
        <v>0</v>
      </c>
      <c r="L160" s="374">
        <v>0</v>
      </c>
    </row>
    <row r="161" spans="1:12" s="367" customFormat="1" ht="18.75" x14ac:dyDescent="0.25">
      <c r="A161" s="372"/>
      <c r="B161" s="371" t="s">
        <v>1464</v>
      </c>
      <c r="C161" s="374">
        <v>14</v>
      </c>
      <c r="D161" s="374"/>
      <c r="E161" s="374">
        <v>256000</v>
      </c>
      <c r="F161" s="374">
        <v>15978000</v>
      </c>
      <c r="G161" s="374">
        <v>0</v>
      </c>
      <c r="H161" s="374">
        <v>0</v>
      </c>
      <c r="I161" s="374">
        <v>0</v>
      </c>
      <c r="J161" s="374">
        <v>0</v>
      </c>
      <c r="K161" s="374">
        <v>0</v>
      </c>
      <c r="L161" s="374">
        <v>0</v>
      </c>
    </row>
    <row r="162" spans="1:12" s="367" customFormat="1" ht="18.75" x14ac:dyDescent="0.25">
      <c r="A162" s="372"/>
      <c r="B162" s="371" t="s">
        <v>1264</v>
      </c>
      <c r="C162" s="374">
        <v>24</v>
      </c>
      <c r="D162" s="374"/>
      <c r="E162" s="374">
        <v>253000</v>
      </c>
      <c r="F162" s="374">
        <v>4093000</v>
      </c>
      <c r="G162" s="374">
        <v>0</v>
      </c>
      <c r="H162" s="374">
        <v>0</v>
      </c>
      <c r="I162" s="374">
        <v>0</v>
      </c>
      <c r="J162" s="374">
        <v>0</v>
      </c>
      <c r="K162" s="374">
        <v>0</v>
      </c>
      <c r="L162" s="374">
        <v>0</v>
      </c>
    </row>
    <row r="163" spans="1:12" s="367" customFormat="1" ht="18.75" x14ac:dyDescent="0.25">
      <c r="A163" s="372"/>
      <c r="B163" s="371" t="s">
        <v>1265</v>
      </c>
      <c r="C163" s="374">
        <v>72</v>
      </c>
      <c r="D163" s="374"/>
      <c r="E163" s="374">
        <v>1827000</v>
      </c>
      <c r="F163" s="374">
        <v>21516000</v>
      </c>
      <c r="G163" s="374">
        <v>0</v>
      </c>
      <c r="H163" s="374">
        <v>0</v>
      </c>
      <c r="I163" s="374">
        <v>0</v>
      </c>
      <c r="J163" s="374">
        <v>0</v>
      </c>
      <c r="K163" s="374">
        <v>0</v>
      </c>
      <c r="L163" s="374">
        <v>0</v>
      </c>
    </row>
    <row r="164" spans="1:12" s="367" customFormat="1" ht="18.75" x14ac:dyDescent="0.25">
      <c r="A164" s="372"/>
      <c r="B164" s="371" t="s">
        <v>1465</v>
      </c>
      <c r="C164" s="374">
        <v>49</v>
      </c>
      <c r="D164" s="374"/>
      <c r="E164" s="375">
        <v>562000</v>
      </c>
      <c r="F164" s="375">
        <v>24306100</v>
      </c>
      <c r="G164" s="374">
        <v>0</v>
      </c>
      <c r="H164" s="374">
        <v>0</v>
      </c>
      <c r="I164" s="374">
        <v>0</v>
      </c>
      <c r="J164" s="374">
        <v>0</v>
      </c>
      <c r="K164" s="378">
        <v>0</v>
      </c>
      <c r="L164" s="378">
        <v>0</v>
      </c>
    </row>
    <row r="165" spans="1:12" s="367" customFormat="1" ht="18.75" x14ac:dyDescent="0.25">
      <c r="A165" s="372"/>
      <c r="B165" s="371" t="s">
        <v>102</v>
      </c>
      <c r="C165" s="374">
        <f>SUM(C158:C164)</f>
        <v>161</v>
      </c>
      <c r="D165" s="374">
        <f t="shared" ref="D165:L165" si="11">SUM(D158:D164)</f>
        <v>0</v>
      </c>
      <c r="E165" s="376">
        <f t="shared" si="11"/>
        <v>2898000</v>
      </c>
      <c r="F165" s="376">
        <f t="shared" si="11"/>
        <v>65893100</v>
      </c>
      <c r="G165" s="374">
        <f t="shared" si="11"/>
        <v>0</v>
      </c>
      <c r="H165" s="374">
        <f t="shared" si="11"/>
        <v>0</v>
      </c>
      <c r="I165" s="374">
        <f t="shared" si="11"/>
        <v>0</v>
      </c>
      <c r="J165" s="374">
        <f t="shared" si="11"/>
        <v>0</v>
      </c>
      <c r="K165" s="374">
        <f t="shared" si="11"/>
        <v>0</v>
      </c>
      <c r="L165" s="374">
        <f t="shared" si="11"/>
        <v>0</v>
      </c>
    </row>
  </sheetData>
  <mergeCells count="74">
    <mergeCell ref="A2:M2"/>
    <mergeCell ref="H3:I3"/>
    <mergeCell ref="J3:K3"/>
    <mergeCell ref="L3:M3"/>
    <mergeCell ref="A27:L27"/>
    <mergeCell ref="A13:M13"/>
    <mergeCell ref="H14:I14"/>
    <mergeCell ref="J14:K14"/>
    <mergeCell ref="L14:M14"/>
    <mergeCell ref="D28:F28"/>
    <mergeCell ref="C28:C29"/>
    <mergeCell ref="I39:J39"/>
    <mergeCell ref="K39:L39"/>
    <mergeCell ref="B58:L58"/>
    <mergeCell ref="A38:L38"/>
    <mergeCell ref="A28:A29"/>
    <mergeCell ref="B28:B29"/>
    <mergeCell ref="G28:H28"/>
    <mergeCell ref="I28:J28"/>
    <mergeCell ref="K28:L28"/>
    <mergeCell ref="A39:A40"/>
    <mergeCell ref="B39:B40"/>
    <mergeCell ref="C39:C40"/>
    <mergeCell ref="D39:F39"/>
    <mergeCell ref="G39:H39"/>
    <mergeCell ref="B70:L70"/>
    <mergeCell ref="G71:H71"/>
    <mergeCell ref="I71:J71"/>
    <mergeCell ref="K71:L71"/>
    <mergeCell ref="B59:B60"/>
    <mergeCell ref="E59:E60"/>
    <mergeCell ref="C59:C60"/>
    <mergeCell ref="D59:D60"/>
    <mergeCell ref="F59:F60"/>
    <mergeCell ref="G59:H59"/>
    <mergeCell ref="I59:J59"/>
    <mergeCell ref="K59:L59"/>
    <mergeCell ref="A85:M85"/>
    <mergeCell ref="H86:I86"/>
    <mergeCell ref="J86:K86"/>
    <mergeCell ref="L86:M86"/>
    <mergeCell ref="A96:M96"/>
    <mergeCell ref="H97:I97"/>
    <mergeCell ref="J97:K97"/>
    <mergeCell ref="L97:M97"/>
    <mergeCell ref="A111:L111"/>
    <mergeCell ref="A112:A113"/>
    <mergeCell ref="B112:B113"/>
    <mergeCell ref="C112:C113"/>
    <mergeCell ref="D112:F112"/>
    <mergeCell ref="G112:H112"/>
    <mergeCell ref="I112:J112"/>
    <mergeCell ref="K112:L112"/>
    <mergeCell ref="A122:L122"/>
    <mergeCell ref="A123:A124"/>
    <mergeCell ref="B123:B124"/>
    <mergeCell ref="C123:C124"/>
    <mergeCell ref="D123:F123"/>
    <mergeCell ref="G123:H123"/>
    <mergeCell ref="I123:J123"/>
    <mergeCell ref="K123:L123"/>
    <mergeCell ref="B155:L155"/>
    <mergeCell ref="G156:H156"/>
    <mergeCell ref="I156:J156"/>
    <mergeCell ref="K156:L156"/>
    <mergeCell ref="B143:L143"/>
    <mergeCell ref="B144:B145"/>
    <mergeCell ref="C144:C145"/>
    <mergeCell ref="D144:D145"/>
    <mergeCell ref="E144:E145"/>
    <mergeCell ref="F144:F145"/>
    <mergeCell ref="G144:H144"/>
    <mergeCell ref="I144:J144"/>
    <mergeCell ref="K144:L144"/>
  </mergeCells>
  <pageMargins left="0.44" right="0.17" top="0.38" bottom="0.74803149606299213" header="0.31496062992125984" footer="0.31496062992125984"/>
  <pageSetup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430"/>
  <sheetViews>
    <sheetView topLeftCell="A16" workbookViewId="0">
      <selection activeCell="D9" sqref="D9"/>
    </sheetView>
  </sheetViews>
  <sheetFormatPr defaultColWidth="9.140625" defaultRowHeight="18.75" x14ac:dyDescent="0.25"/>
  <cols>
    <col min="1" max="1" width="6.28515625" style="6" customWidth="1"/>
    <col min="2" max="2" width="15" style="24" customWidth="1"/>
    <col min="3" max="3" width="19.42578125" style="174" customWidth="1"/>
    <col min="4" max="4" width="18.140625" style="6" customWidth="1"/>
    <col min="5" max="5" width="13.42578125" style="6" customWidth="1"/>
    <col min="6" max="6" width="81" style="163" customWidth="1"/>
    <col min="7" max="7" width="55.5703125" style="6" customWidth="1"/>
    <col min="8" max="8" width="4" style="203" bestFit="1" customWidth="1"/>
    <col min="9" max="9" width="19.28515625" style="6" customWidth="1"/>
    <col min="10" max="12" width="4.140625" style="6" bestFit="1" customWidth="1"/>
    <col min="13" max="13" width="3" style="6" bestFit="1" customWidth="1"/>
    <col min="14" max="14" width="4.140625" style="6" bestFit="1" customWidth="1"/>
    <col min="15" max="33" width="3" style="6" bestFit="1" customWidth="1"/>
    <col min="34" max="34" width="4.140625" style="6" bestFit="1" customWidth="1"/>
    <col min="35" max="16384" width="9.140625" style="6"/>
  </cols>
  <sheetData>
    <row r="1" spans="1:8" x14ac:dyDescent="0.25">
      <c r="C1" s="174" t="s">
        <v>772</v>
      </c>
    </row>
    <row r="2" spans="1:8" customFormat="1" x14ac:dyDescent="0.25">
      <c r="A2" s="500">
        <v>1</v>
      </c>
      <c r="B2" s="503" t="s">
        <v>83</v>
      </c>
      <c r="C2" s="238" t="s">
        <v>489</v>
      </c>
      <c r="D2" s="126">
        <v>1</v>
      </c>
      <c r="E2" s="126">
        <v>300</v>
      </c>
      <c r="F2" s="180" t="s">
        <v>741</v>
      </c>
      <c r="H2" s="204"/>
    </row>
    <row r="3" spans="1:8" customFormat="1" ht="37.5" x14ac:dyDescent="0.25">
      <c r="A3" s="500"/>
      <c r="B3" s="503"/>
      <c r="C3" s="238" t="s">
        <v>490</v>
      </c>
      <c r="D3" s="126"/>
      <c r="E3" s="126"/>
      <c r="F3" s="180"/>
      <c r="H3" s="204"/>
    </row>
    <row r="4" spans="1:8" customFormat="1" ht="56.25" x14ac:dyDescent="0.25">
      <c r="A4" s="500"/>
      <c r="B4" s="503"/>
      <c r="C4" s="238" t="s">
        <v>491</v>
      </c>
      <c r="D4" s="126">
        <v>3</v>
      </c>
      <c r="E4" s="126">
        <v>85</v>
      </c>
      <c r="F4" s="180" t="s">
        <v>740</v>
      </c>
      <c r="H4" s="204"/>
    </row>
    <row r="5" spans="1:8" customFormat="1" x14ac:dyDescent="0.25">
      <c r="A5" s="500">
        <v>2</v>
      </c>
      <c r="B5" s="503" t="s">
        <v>20</v>
      </c>
      <c r="C5" s="238" t="s">
        <v>489</v>
      </c>
      <c r="D5" s="147"/>
      <c r="E5" s="147"/>
      <c r="F5" s="147"/>
      <c r="H5" s="204"/>
    </row>
    <row r="6" spans="1:8" customFormat="1" ht="37.5" x14ac:dyDescent="0.25">
      <c r="A6" s="500"/>
      <c r="B6" s="503"/>
      <c r="C6" s="238" t="s">
        <v>490</v>
      </c>
      <c r="D6" s="126">
        <v>1</v>
      </c>
      <c r="E6" s="126">
        <v>300</v>
      </c>
      <c r="F6" s="180" t="s">
        <v>759</v>
      </c>
      <c r="H6" s="204"/>
    </row>
    <row r="7" spans="1:8" customFormat="1" x14ac:dyDescent="0.25">
      <c r="A7" s="500"/>
      <c r="B7" s="503"/>
      <c r="C7" s="238" t="s">
        <v>491</v>
      </c>
      <c r="D7" s="126"/>
      <c r="E7" s="126"/>
      <c r="F7" s="180"/>
      <c r="H7" s="205"/>
    </row>
    <row r="8" spans="1:8" customFormat="1" x14ac:dyDescent="0.25">
      <c r="A8" s="500">
        <v>3</v>
      </c>
      <c r="B8" s="503" t="s">
        <v>23</v>
      </c>
      <c r="C8" s="238" t="s">
        <v>489</v>
      </c>
      <c r="D8" s="126"/>
      <c r="E8" s="126"/>
      <c r="F8" s="180"/>
      <c r="H8" s="205"/>
    </row>
    <row r="9" spans="1:8" customFormat="1" ht="37.5" x14ac:dyDescent="0.25">
      <c r="A9" s="500"/>
      <c r="B9" s="503"/>
      <c r="C9" s="238" t="s">
        <v>490</v>
      </c>
      <c r="D9" s="126"/>
      <c r="E9" s="126"/>
      <c r="F9" s="180"/>
      <c r="H9" s="205"/>
    </row>
    <row r="10" spans="1:8" customFormat="1" x14ac:dyDescent="0.25">
      <c r="A10" s="500"/>
      <c r="B10" s="503"/>
      <c r="C10" s="238" t="s">
        <v>491</v>
      </c>
      <c r="D10" s="126"/>
      <c r="E10" s="126"/>
      <c r="F10" s="180"/>
      <c r="H10" s="205"/>
    </row>
    <row r="11" spans="1:8" customFormat="1" x14ac:dyDescent="0.25">
      <c r="A11" s="500">
        <v>4</v>
      </c>
      <c r="B11" s="503" t="s">
        <v>165</v>
      </c>
      <c r="C11" s="238" t="s">
        <v>489</v>
      </c>
      <c r="D11" s="126">
        <v>1</v>
      </c>
      <c r="E11" s="126">
        <v>15</v>
      </c>
      <c r="F11" s="180" t="s">
        <v>742</v>
      </c>
      <c r="H11" s="205"/>
    </row>
    <row r="12" spans="1:8" customFormat="1" ht="37.5" x14ac:dyDescent="0.25">
      <c r="A12" s="500"/>
      <c r="B12" s="503"/>
      <c r="C12" s="238" t="s">
        <v>490</v>
      </c>
      <c r="D12" s="126"/>
      <c r="E12" s="126"/>
      <c r="F12" s="180"/>
      <c r="H12" s="205"/>
    </row>
    <row r="13" spans="1:8" customFormat="1" x14ac:dyDescent="0.25">
      <c r="A13" s="500"/>
      <c r="B13" s="503"/>
      <c r="C13" s="238" t="s">
        <v>491</v>
      </c>
      <c r="D13" s="126"/>
      <c r="E13" s="126"/>
      <c r="F13" s="180"/>
      <c r="H13" s="205"/>
    </row>
    <row r="14" spans="1:8" customFormat="1" ht="56.25" x14ac:dyDescent="0.25">
      <c r="A14" s="500">
        <v>5</v>
      </c>
      <c r="B14" s="503" t="s">
        <v>25</v>
      </c>
      <c r="C14" s="238" t="s">
        <v>489</v>
      </c>
      <c r="D14" s="126">
        <v>3</v>
      </c>
      <c r="E14" s="126">
        <v>65</v>
      </c>
      <c r="F14" s="180" t="s">
        <v>760</v>
      </c>
      <c r="H14" s="205"/>
    </row>
    <row r="15" spans="1:8" customFormat="1" ht="93.75" x14ac:dyDescent="0.25">
      <c r="A15" s="500"/>
      <c r="B15" s="503"/>
      <c r="C15" s="238" t="s">
        <v>490</v>
      </c>
      <c r="D15" s="126">
        <v>5</v>
      </c>
      <c r="E15" s="126">
        <v>375</v>
      </c>
      <c r="F15" s="180" t="s">
        <v>761</v>
      </c>
      <c r="H15" s="205"/>
    </row>
    <row r="16" spans="1:8" customFormat="1" ht="56.25" x14ac:dyDescent="0.25">
      <c r="A16" s="500"/>
      <c r="B16" s="503"/>
      <c r="C16" s="238" t="s">
        <v>491</v>
      </c>
      <c r="D16" s="126">
        <v>2</v>
      </c>
      <c r="E16" s="126">
        <v>12</v>
      </c>
      <c r="F16" s="180" t="s">
        <v>762</v>
      </c>
      <c r="H16" s="205"/>
    </row>
    <row r="17" spans="1:8" customFormat="1" ht="150" x14ac:dyDescent="0.25">
      <c r="A17" s="500">
        <v>6</v>
      </c>
      <c r="B17" s="503" t="s">
        <v>28</v>
      </c>
      <c r="C17" s="238" t="s">
        <v>489</v>
      </c>
      <c r="D17" s="126">
        <v>8</v>
      </c>
      <c r="E17" s="126">
        <v>510</v>
      </c>
      <c r="F17" s="180" t="s">
        <v>743</v>
      </c>
      <c r="H17" s="205"/>
    </row>
    <row r="18" spans="1:8" customFormat="1" ht="187.5" x14ac:dyDescent="0.25">
      <c r="A18" s="500"/>
      <c r="B18" s="503"/>
      <c r="C18" s="238" t="s">
        <v>490</v>
      </c>
      <c r="D18" s="126">
        <v>10</v>
      </c>
      <c r="E18" s="126">
        <v>1412</v>
      </c>
      <c r="F18" s="180" t="s">
        <v>744</v>
      </c>
      <c r="H18" s="205"/>
    </row>
    <row r="19" spans="1:8" customFormat="1" ht="56.25" x14ac:dyDescent="0.25">
      <c r="A19" s="500"/>
      <c r="B19" s="503"/>
      <c r="C19" s="238" t="s">
        <v>491</v>
      </c>
      <c r="D19" s="126">
        <v>3</v>
      </c>
      <c r="E19" s="126">
        <v>211</v>
      </c>
      <c r="F19" s="180" t="s">
        <v>745</v>
      </c>
      <c r="G19">
        <v>50</v>
      </c>
      <c r="H19" s="205"/>
    </row>
    <row r="20" spans="1:8" customFormat="1" ht="131.25" x14ac:dyDescent="0.25">
      <c r="A20" s="500">
        <v>7</v>
      </c>
      <c r="B20" s="503" t="s">
        <v>33</v>
      </c>
      <c r="C20" s="238" t="s">
        <v>489</v>
      </c>
      <c r="D20" s="126">
        <v>7</v>
      </c>
      <c r="E20" s="126">
        <v>1170</v>
      </c>
      <c r="F20" s="180" t="s">
        <v>753</v>
      </c>
      <c r="G20">
        <v>400</v>
      </c>
      <c r="H20" s="205"/>
    </row>
    <row r="21" spans="1:8" customFormat="1" ht="168.75" x14ac:dyDescent="0.25">
      <c r="A21" s="500"/>
      <c r="B21" s="503"/>
      <c r="C21" s="238" t="s">
        <v>490</v>
      </c>
      <c r="D21" s="126">
        <v>9</v>
      </c>
      <c r="E21" s="126">
        <v>640</v>
      </c>
      <c r="F21" s="180" t="s">
        <v>751</v>
      </c>
      <c r="G21" s="208"/>
      <c r="H21" s="205"/>
    </row>
    <row r="22" spans="1:8" customFormat="1" ht="243.75" x14ac:dyDescent="0.25">
      <c r="A22" s="500"/>
      <c r="B22" s="503"/>
      <c r="C22" s="238" t="s">
        <v>491</v>
      </c>
      <c r="D22" s="126">
        <v>13</v>
      </c>
      <c r="E22" s="126">
        <v>174</v>
      </c>
      <c r="F22" s="180" t="s">
        <v>752</v>
      </c>
      <c r="G22" s="208"/>
      <c r="H22" s="205"/>
    </row>
    <row r="23" spans="1:8" customFormat="1" x14ac:dyDescent="0.25">
      <c r="A23" s="500">
        <v>8</v>
      </c>
      <c r="B23" s="503" t="s">
        <v>38</v>
      </c>
      <c r="C23" s="238" t="s">
        <v>489</v>
      </c>
      <c r="D23" s="126">
        <v>1</v>
      </c>
      <c r="E23" s="126">
        <v>150</v>
      </c>
      <c r="F23" s="180" t="s">
        <v>746</v>
      </c>
      <c r="G23" s="208"/>
      <c r="H23" s="205"/>
    </row>
    <row r="24" spans="1:8" customFormat="1" ht="56.25" x14ac:dyDescent="0.25">
      <c r="A24" s="500"/>
      <c r="B24" s="503"/>
      <c r="C24" s="238" t="s">
        <v>490</v>
      </c>
      <c r="D24" s="126">
        <v>3</v>
      </c>
      <c r="E24" s="126">
        <v>72</v>
      </c>
      <c r="F24" s="180" t="s">
        <v>770</v>
      </c>
      <c r="H24" s="205"/>
    </row>
    <row r="25" spans="1:8" customFormat="1" x14ac:dyDescent="0.25">
      <c r="A25" s="500"/>
      <c r="B25" s="503"/>
      <c r="C25" s="238" t="s">
        <v>491</v>
      </c>
      <c r="D25" s="126"/>
      <c r="E25" s="126"/>
      <c r="F25" s="180"/>
      <c r="H25" s="205"/>
    </row>
    <row r="26" spans="1:8" customFormat="1" x14ac:dyDescent="0.25">
      <c r="A26" s="500">
        <v>9</v>
      </c>
      <c r="B26" s="503" t="s">
        <v>88</v>
      </c>
      <c r="C26" s="238" t="s">
        <v>489</v>
      </c>
      <c r="D26" s="126"/>
      <c r="E26" s="126"/>
      <c r="F26" s="180"/>
      <c r="H26" s="205"/>
    </row>
    <row r="27" spans="1:8" customFormat="1" ht="131.25" x14ac:dyDescent="0.25">
      <c r="A27" s="500"/>
      <c r="B27" s="503"/>
      <c r="C27" s="238" t="s">
        <v>490</v>
      </c>
      <c r="D27" s="126">
        <v>6</v>
      </c>
      <c r="E27" s="126">
        <v>1980</v>
      </c>
      <c r="F27" s="180" t="s">
        <v>763</v>
      </c>
      <c r="H27" s="205"/>
    </row>
    <row r="28" spans="1:8" customFormat="1" x14ac:dyDescent="0.25">
      <c r="A28" s="500"/>
      <c r="B28" s="503"/>
      <c r="C28" s="238" t="s">
        <v>491</v>
      </c>
      <c r="D28" s="126"/>
      <c r="E28" s="126"/>
      <c r="F28" s="180"/>
      <c r="H28" s="205"/>
    </row>
    <row r="29" spans="1:8" s="132" customFormat="1" ht="187.5" x14ac:dyDescent="0.25">
      <c r="A29" s="500">
        <v>10</v>
      </c>
      <c r="B29" s="503" t="s">
        <v>43</v>
      </c>
      <c r="C29" s="238" t="s">
        <v>489</v>
      </c>
      <c r="D29" s="126">
        <v>9</v>
      </c>
      <c r="E29" s="126">
        <v>950</v>
      </c>
      <c r="F29" s="180" t="s">
        <v>747</v>
      </c>
      <c r="H29" s="213"/>
    </row>
    <row r="30" spans="1:8" s="132" customFormat="1" ht="75" x14ac:dyDescent="0.25">
      <c r="A30" s="500"/>
      <c r="B30" s="503"/>
      <c r="C30" s="238" t="s">
        <v>490</v>
      </c>
      <c r="D30" s="126">
        <v>4</v>
      </c>
      <c r="E30" s="126">
        <v>345</v>
      </c>
      <c r="F30" s="180" t="s">
        <v>748</v>
      </c>
      <c r="H30" s="213"/>
    </row>
    <row r="31" spans="1:8" s="132" customFormat="1" x14ac:dyDescent="0.25">
      <c r="A31" s="500"/>
      <c r="B31" s="503"/>
      <c r="C31" s="238" t="s">
        <v>491</v>
      </c>
      <c r="D31" s="126"/>
      <c r="E31" s="126"/>
      <c r="F31" s="180"/>
      <c r="H31" s="213"/>
    </row>
    <row r="32" spans="1:8" customFormat="1" ht="37.5" x14ac:dyDescent="0.25">
      <c r="A32" s="500">
        <v>11</v>
      </c>
      <c r="B32" s="503" t="s">
        <v>46</v>
      </c>
      <c r="C32" s="238" t="s">
        <v>489</v>
      </c>
      <c r="D32" s="126">
        <v>2</v>
      </c>
      <c r="E32" s="126">
        <v>250</v>
      </c>
      <c r="F32" s="180" t="s">
        <v>758</v>
      </c>
      <c r="H32" s="205"/>
    </row>
    <row r="33" spans="1:8" customFormat="1" ht="37.5" x14ac:dyDescent="0.25">
      <c r="A33" s="500"/>
      <c r="B33" s="503"/>
      <c r="C33" s="238" t="s">
        <v>490</v>
      </c>
      <c r="D33" s="126"/>
      <c r="E33" s="126"/>
      <c r="F33" s="180"/>
      <c r="H33" s="205"/>
    </row>
    <row r="34" spans="1:8" customFormat="1" ht="37.5" x14ac:dyDescent="0.25">
      <c r="A34" s="500"/>
      <c r="B34" s="503"/>
      <c r="C34" s="238" t="s">
        <v>491</v>
      </c>
      <c r="D34" s="126">
        <v>2</v>
      </c>
      <c r="E34" s="126">
        <v>35</v>
      </c>
      <c r="F34" s="180" t="s">
        <v>757</v>
      </c>
      <c r="H34" s="205"/>
    </row>
    <row r="35" spans="1:8" customFormat="1" ht="37.5" x14ac:dyDescent="0.25">
      <c r="A35" s="500">
        <v>12</v>
      </c>
      <c r="B35" s="503" t="s">
        <v>49</v>
      </c>
      <c r="C35" s="238" t="s">
        <v>489</v>
      </c>
      <c r="D35" s="126">
        <v>2</v>
      </c>
      <c r="E35" s="126">
        <v>258</v>
      </c>
      <c r="F35" s="180" t="s">
        <v>749</v>
      </c>
      <c r="H35" s="205"/>
    </row>
    <row r="36" spans="1:8" customFormat="1" ht="75" x14ac:dyDescent="0.25">
      <c r="A36" s="500"/>
      <c r="B36" s="503"/>
      <c r="C36" s="238" t="s">
        <v>490</v>
      </c>
      <c r="D36" s="126">
        <v>4</v>
      </c>
      <c r="E36" s="126">
        <v>115</v>
      </c>
      <c r="F36" s="180" t="s">
        <v>750</v>
      </c>
      <c r="H36" s="205"/>
    </row>
    <row r="37" spans="1:8" customFormat="1" x14ac:dyDescent="0.25">
      <c r="A37" s="500"/>
      <c r="B37" s="503"/>
      <c r="C37" s="238" t="s">
        <v>491</v>
      </c>
      <c r="D37" s="126"/>
      <c r="E37" s="126"/>
      <c r="F37" s="180"/>
      <c r="H37" s="205"/>
    </row>
    <row r="38" spans="1:8" customFormat="1" ht="93.75" x14ac:dyDescent="0.25">
      <c r="A38" s="500">
        <v>13</v>
      </c>
      <c r="B38" s="503" t="s">
        <v>52</v>
      </c>
      <c r="C38" s="238" t="s">
        <v>489</v>
      </c>
      <c r="D38" s="126">
        <v>5</v>
      </c>
      <c r="E38" s="126">
        <v>210</v>
      </c>
      <c r="F38" s="180" t="s">
        <v>754</v>
      </c>
      <c r="G38" s="216"/>
      <c r="H38" s="205"/>
    </row>
    <row r="39" spans="1:8" customFormat="1" ht="131.25" x14ac:dyDescent="0.25">
      <c r="A39" s="500"/>
      <c r="B39" s="503"/>
      <c r="C39" s="238" t="s">
        <v>490</v>
      </c>
      <c r="D39" s="126">
        <v>7</v>
      </c>
      <c r="E39" s="126">
        <v>490</v>
      </c>
      <c r="F39" s="180" t="s">
        <v>755</v>
      </c>
      <c r="H39" s="205"/>
    </row>
    <row r="40" spans="1:8" customFormat="1" x14ac:dyDescent="0.25">
      <c r="A40" s="500"/>
      <c r="B40" s="503"/>
      <c r="C40" s="238" t="s">
        <v>491</v>
      </c>
      <c r="D40" s="126">
        <v>1</v>
      </c>
      <c r="E40" s="126">
        <v>4</v>
      </c>
      <c r="F40" s="180" t="s">
        <v>756</v>
      </c>
      <c r="G40" s="217"/>
      <c r="H40" s="205"/>
    </row>
    <row r="41" spans="1:8" customFormat="1" x14ac:dyDescent="0.25">
      <c r="A41" s="500">
        <v>1</v>
      </c>
      <c r="B41" s="503" t="s">
        <v>83</v>
      </c>
      <c r="C41" s="238" t="s">
        <v>489</v>
      </c>
      <c r="D41" s="126">
        <v>1</v>
      </c>
      <c r="E41" s="126">
        <v>10</v>
      </c>
      <c r="F41" s="180" t="s">
        <v>716</v>
      </c>
      <c r="H41" s="204"/>
    </row>
    <row r="42" spans="1:8" customFormat="1" ht="75" x14ac:dyDescent="0.25">
      <c r="A42" s="500"/>
      <c r="B42" s="503"/>
      <c r="C42" s="238" t="s">
        <v>490</v>
      </c>
      <c r="D42" s="126">
        <v>4</v>
      </c>
      <c r="E42" s="126">
        <v>180</v>
      </c>
      <c r="F42" s="180" t="s">
        <v>717</v>
      </c>
      <c r="H42" s="204"/>
    </row>
    <row r="43" spans="1:8" customFormat="1" ht="75" x14ac:dyDescent="0.25">
      <c r="A43" s="500"/>
      <c r="B43" s="503"/>
      <c r="C43" s="238" t="s">
        <v>491</v>
      </c>
      <c r="D43" s="126">
        <v>4</v>
      </c>
      <c r="E43" s="126">
        <v>403</v>
      </c>
      <c r="F43" s="180" t="s">
        <v>718</v>
      </c>
      <c r="H43" s="204"/>
    </row>
    <row r="44" spans="1:8" customFormat="1" x14ac:dyDescent="0.25">
      <c r="A44" s="500">
        <v>2</v>
      </c>
      <c r="B44" s="503" t="s">
        <v>20</v>
      </c>
      <c r="C44" s="238" t="s">
        <v>489</v>
      </c>
      <c r="D44" s="147"/>
      <c r="E44" s="147"/>
      <c r="F44" s="147"/>
      <c r="H44" s="204"/>
    </row>
    <row r="45" spans="1:8" customFormat="1" ht="37.5" x14ac:dyDescent="0.25">
      <c r="A45" s="500"/>
      <c r="B45" s="503"/>
      <c r="C45" s="238" t="s">
        <v>490</v>
      </c>
      <c r="D45" s="126">
        <v>1</v>
      </c>
      <c r="E45" s="126">
        <v>20</v>
      </c>
      <c r="F45" s="180" t="s">
        <v>739</v>
      </c>
      <c r="H45" s="204"/>
    </row>
    <row r="46" spans="1:8" customFormat="1" x14ac:dyDescent="0.25">
      <c r="A46" s="500"/>
      <c r="B46" s="503"/>
      <c r="C46" s="238" t="s">
        <v>491</v>
      </c>
      <c r="D46" s="126"/>
      <c r="E46" s="126"/>
      <c r="F46" s="180"/>
      <c r="H46" s="205"/>
    </row>
    <row r="47" spans="1:8" customFormat="1" x14ac:dyDescent="0.25">
      <c r="A47" s="500">
        <v>3</v>
      </c>
      <c r="B47" s="503" t="s">
        <v>23</v>
      </c>
      <c r="C47" s="238" t="s">
        <v>489</v>
      </c>
      <c r="D47" s="126">
        <v>4</v>
      </c>
      <c r="E47" s="126">
        <v>1620</v>
      </c>
      <c r="F47" s="180"/>
      <c r="H47" s="205"/>
    </row>
    <row r="48" spans="1:8" customFormat="1" ht="37.5" x14ac:dyDescent="0.25">
      <c r="A48" s="500"/>
      <c r="B48" s="503"/>
      <c r="C48" s="238" t="s">
        <v>490</v>
      </c>
      <c r="D48" s="126">
        <v>1</v>
      </c>
      <c r="E48" s="126">
        <v>115</v>
      </c>
      <c r="F48" s="180" t="s">
        <v>713</v>
      </c>
      <c r="H48" s="205"/>
    </row>
    <row r="49" spans="1:8" customFormat="1" x14ac:dyDescent="0.25">
      <c r="A49" s="500"/>
      <c r="B49" s="503"/>
      <c r="C49" s="238" t="s">
        <v>491</v>
      </c>
      <c r="D49" s="126"/>
      <c r="E49" s="126"/>
      <c r="F49" s="180"/>
      <c r="H49" s="205"/>
    </row>
    <row r="50" spans="1:8" customFormat="1" ht="37.5" x14ac:dyDescent="0.25">
      <c r="A50" s="500">
        <v>4</v>
      </c>
      <c r="B50" s="503" t="s">
        <v>165</v>
      </c>
      <c r="C50" s="238" t="s">
        <v>489</v>
      </c>
      <c r="D50" s="126">
        <v>2</v>
      </c>
      <c r="E50" s="126">
        <v>966</v>
      </c>
      <c r="F50" s="180" t="s">
        <v>715</v>
      </c>
      <c r="H50" s="205"/>
    </row>
    <row r="51" spans="1:8" customFormat="1" ht="37.5" x14ac:dyDescent="0.25">
      <c r="A51" s="500"/>
      <c r="B51" s="503"/>
      <c r="C51" s="238" t="s">
        <v>490</v>
      </c>
      <c r="D51" s="126">
        <v>2</v>
      </c>
      <c r="E51" s="126">
        <v>100</v>
      </c>
      <c r="F51" s="180" t="s">
        <v>714</v>
      </c>
      <c r="H51" s="205"/>
    </row>
    <row r="52" spans="1:8" customFormat="1" x14ac:dyDescent="0.25">
      <c r="A52" s="500"/>
      <c r="B52" s="503"/>
      <c r="C52" s="238" t="s">
        <v>491</v>
      </c>
      <c r="D52" s="126"/>
      <c r="E52" s="126"/>
      <c r="F52" s="180"/>
      <c r="H52" s="205"/>
    </row>
    <row r="53" spans="1:8" customFormat="1" x14ac:dyDescent="0.25">
      <c r="A53" s="500">
        <v>5</v>
      </c>
      <c r="B53" s="503" t="s">
        <v>25</v>
      </c>
      <c r="C53" s="238" t="s">
        <v>489</v>
      </c>
      <c r="D53" s="126"/>
      <c r="E53" s="126"/>
      <c r="F53" s="180"/>
      <c r="H53" s="205"/>
    </row>
    <row r="54" spans="1:8" customFormat="1" ht="37.5" x14ac:dyDescent="0.25">
      <c r="A54" s="500"/>
      <c r="B54" s="503"/>
      <c r="C54" s="238" t="s">
        <v>490</v>
      </c>
      <c r="D54" s="126"/>
      <c r="E54" s="126"/>
      <c r="F54" s="180"/>
      <c r="H54" s="205"/>
    </row>
    <row r="55" spans="1:8" customFormat="1" x14ac:dyDescent="0.25">
      <c r="A55" s="500"/>
      <c r="B55" s="503"/>
      <c r="C55" s="238" t="s">
        <v>491</v>
      </c>
      <c r="D55" s="126"/>
      <c r="E55" s="126"/>
      <c r="F55" s="180"/>
      <c r="H55" s="205"/>
    </row>
    <row r="56" spans="1:8" customFormat="1" ht="225" x14ac:dyDescent="0.25">
      <c r="A56" s="500">
        <v>6</v>
      </c>
      <c r="B56" s="503" t="s">
        <v>28</v>
      </c>
      <c r="C56" s="238" t="s">
        <v>489</v>
      </c>
      <c r="D56" s="126">
        <v>14</v>
      </c>
      <c r="E56" s="126">
        <v>1398</v>
      </c>
      <c r="F56" s="180" t="s">
        <v>720</v>
      </c>
      <c r="H56" s="205"/>
    </row>
    <row r="57" spans="1:8" customFormat="1" ht="112.5" x14ac:dyDescent="0.25">
      <c r="A57" s="500"/>
      <c r="B57" s="503"/>
      <c r="C57" s="238" t="s">
        <v>490</v>
      </c>
      <c r="D57" s="126">
        <v>7</v>
      </c>
      <c r="E57" s="126">
        <v>1211</v>
      </c>
      <c r="F57" s="180" t="s">
        <v>721</v>
      </c>
      <c r="H57" s="205"/>
    </row>
    <row r="58" spans="1:8" customFormat="1" ht="37.5" x14ac:dyDescent="0.25">
      <c r="A58" s="500"/>
      <c r="B58" s="503"/>
      <c r="C58" s="238" t="s">
        <v>491</v>
      </c>
      <c r="D58" s="126">
        <v>2</v>
      </c>
      <c r="E58" s="126">
        <v>450</v>
      </c>
      <c r="F58" s="180" t="s">
        <v>722</v>
      </c>
      <c r="G58">
        <v>50</v>
      </c>
      <c r="H58" s="205"/>
    </row>
    <row r="59" spans="1:8" customFormat="1" ht="131.25" x14ac:dyDescent="0.25">
      <c r="A59" s="500">
        <v>7</v>
      </c>
      <c r="B59" s="503" t="s">
        <v>33</v>
      </c>
      <c r="C59" s="238" t="s">
        <v>489</v>
      </c>
      <c r="D59" s="126">
        <v>7</v>
      </c>
      <c r="E59" s="126">
        <v>1687</v>
      </c>
      <c r="F59" s="180" t="s">
        <v>726</v>
      </c>
      <c r="G59">
        <v>400</v>
      </c>
      <c r="H59" s="205"/>
    </row>
    <row r="60" spans="1:8" customFormat="1" ht="150" x14ac:dyDescent="0.25">
      <c r="A60" s="500"/>
      <c r="B60" s="503"/>
      <c r="C60" s="238" t="s">
        <v>490</v>
      </c>
      <c r="D60" s="126">
        <v>8</v>
      </c>
      <c r="E60" s="126">
        <v>212</v>
      </c>
      <c r="F60" s="180" t="s">
        <v>724</v>
      </c>
      <c r="G60" s="208"/>
      <c r="H60" s="205"/>
    </row>
    <row r="61" spans="1:8" customFormat="1" ht="243.75" x14ac:dyDescent="0.25">
      <c r="A61" s="500"/>
      <c r="B61" s="503"/>
      <c r="C61" s="238" t="s">
        <v>491</v>
      </c>
      <c r="D61" s="126">
        <v>14</v>
      </c>
      <c r="E61" s="126">
        <v>212</v>
      </c>
      <c r="F61" s="180" t="s">
        <v>725</v>
      </c>
      <c r="G61" s="208"/>
      <c r="H61" s="205"/>
    </row>
    <row r="62" spans="1:8" customFormat="1" ht="37.5" x14ac:dyDescent="0.25">
      <c r="A62" s="500">
        <v>8</v>
      </c>
      <c r="B62" s="503" t="s">
        <v>38</v>
      </c>
      <c r="C62" s="238" t="s">
        <v>489</v>
      </c>
      <c r="D62" s="126">
        <v>2</v>
      </c>
      <c r="E62" s="126">
        <v>340</v>
      </c>
      <c r="F62" s="180" t="s">
        <v>728</v>
      </c>
      <c r="G62" s="208"/>
      <c r="H62" s="205"/>
    </row>
    <row r="63" spans="1:8" customFormat="1" ht="37.5" x14ac:dyDescent="0.25">
      <c r="A63" s="500"/>
      <c r="B63" s="503"/>
      <c r="C63" s="238" t="s">
        <v>490</v>
      </c>
      <c r="D63" s="126">
        <v>2</v>
      </c>
      <c r="E63" s="126">
        <v>35</v>
      </c>
      <c r="F63" s="180" t="s">
        <v>727</v>
      </c>
      <c r="H63" s="205"/>
    </row>
    <row r="64" spans="1:8" customFormat="1" x14ac:dyDescent="0.25">
      <c r="A64" s="500"/>
      <c r="B64" s="503"/>
      <c r="C64" s="238" t="s">
        <v>491</v>
      </c>
      <c r="D64" s="126"/>
      <c r="E64" s="126"/>
      <c r="F64" s="180"/>
      <c r="H64" s="205"/>
    </row>
    <row r="65" spans="1:8" customFormat="1" ht="37.5" x14ac:dyDescent="0.25">
      <c r="A65" s="500">
        <v>9</v>
      </c>
      <c r="B65" s="503" t="s">
        <v>88</v>
      </c>
      <c r="C65" s="238" t="s">
        <v>489</v>
      </c>
      <c r="D65" s="126">
        <v>2</v>
      </c>
      <c r="E65" s="126">
        <v>210</v>
      </c>
      <c r="F65" s="180" t="s">
        <v>729</v>
      </c>
      <c r="H65" s="205"/>
    </row>
    <row r="66" spans="1:8" customFormat="1" ht="75" x14ac:dyDescent="0.25">
      <c r="A66" s="500"/>
      <c r="B66" s="503"/>
      <c r="C66" s="238" t="s">
        <v>490</v>
      </c>
      <c r="D66" s="126">
        <v>3</v>
      </c>
      <c r="E66" s="126">
        <v>130</v>
      </c>
      <c r="F66" s="180" t="s">
        <v>730</v>
      </c>
      <c r="H66" s="205"/>
    </row>
    <row r="67" spans="1:8" customFormat="1" x14ac:dyDescent="0.25">
      <c r="A67" s="500"/>
      <c r="B67" s="503"/>
      <c r="C67" s="238" t="s">
        <v>491</v>
      </c>
      <c r="D67" s="126"/>
      <c r="E67" s="126"/>
      <c r="F67" s="180"/>
      <c r="H67" s="205"/>
    </row>
    <row r="68" spans="1:8" s="132" customFormat="1" x14ac:dyDescent="0.25">
      <c r="A68" s="500">
        <v>10</v>
      </c>
      <c r="B68" s="503" t="s">
        <v>43</v>
      </c>
      <c r="C68" s="238" t="s">
        <v>489</v>
      </c>
      <c r="D68" s="126">
        <v>1</v>
      </c>
      <c r="E68" s="126">
        <v>200</v>
      </c>
      <c r="F68" s="180" t="s">
        <v>731</v>
      </c>
      <c r="H68" s="213"/>
    </row>
    <row r="69" spans="1:8" s="132" customFormat="1" ht="37.5" x14ac:dyDescent="0.25">
      <c r="A69" s="500"/>
      <c r="B69" s="503"/>
      <c r="C69" s="238" t="s">
        <v>490</v>
      </c>
      <c r="D69" s="126"/>
      <c r="E69" s="126"/>
      <c r="F69" s="180"/>
      <c r="H69" s="213"/>
    </row>
    <row r="70" spans="1:8" s="132" customFormat="1" x14ac:dyDescent="0.25">
      <c r="A70" s="500"/>
      <c r="B70" s="503"/>
      <c r="C70" s="238" t="s">
        <v>491</v>
      </c>
      <c r="D70" s="126"/>
      <c r="E70" s="126"/>
      <c r="F70" s="180"/>
      <c r="H70" s="213"/>
    </row>
    <row r="71" spans="1:8" customFormat="1" x14ac:dyDescent="0.25">
      <c r="A71" s="500">
        <v>11</v>
      </c>
      <c r="B71" s="503" t="s">
        <v>46</v>
      </c>
      <c r="C71" s="238" t="s">
        <v>489</v>
      </c>
      <c r="D71" s="126"/>
      <c r="E71" s="126"/>
      <c r="F71" s="180"/>
      <c r="H71" s="205"/>
    </row>
    <row r="72" spans="1:8" customFormat="1" ht="37.5" x14ac:dyDescent="0.25">
      <c r="A72" s="500"/>
      <c r="B72" s="503"/>
      <c r="C72" s="238" t="s">
        <v>490</v>
      </c>
      <c r="D72" s="126"/>
      <c r="E72" s="126"/>
      <c r="F72" s="180"/>
      <c r="H72" s="205"/>
    </row>
    <row r="73" spans="1:8" customFormat="1" x14ac:dyDescent="0.25">
      <c r="A73" s="500"/>
      <c r="B73" s="503"/>
      <c r="C73" s="238" t="s">
        <v>491</v>
      </c>
      <c r="D73" s="126">
        <v>1</v>
      </c>
      <c r="E73" s="126">
        <v>5</v>
      </c>
      <c r="F73" s="180" t="s">
        <v>738</v>
      </c>
      <c r="H73" s="205"/>
    </row>
    <row r="74" spans="1:8" customFormat="1" ht="93.75" x14ac:dyDescent="0.25">
      <c r="A74" s="500">
        <v>12</v>
      </c>
      <c r="B74" s="503" t="s">
        <v>49</v>
      </c>
      <c r="C74" s="238" t="s">
        <v>489</v>
      </c>
      <c r="D74" s="126">
        <v>5</v>
      </c>
      <c r="E74" s="126">
        <v>529</v>
      </c>
      <c r="F74" s="180" t="s">
        <v>737</v>
      </c>
      <c r="H74" s="205"/>
    </row>
    <row r="75" spans="1:8" customFormat="1" ht="75" x14ac:dyDescent="0.25">
      <c r="A75" s="500"/>
      <c r="B75" s="503"/>
      <c r="C75" s="238" t="s">
        <v>490</v>
      </c>
      <c r="D75" s="126">
        <v>4</v>
      </c>
      <c r="E75" s="126">
        <v>485</v>
      </c>
      <c r="F75" s="180" t="s">
        <v>736</v>
      </c>
      <c r="H75" s="205"/>
    </row>
    <row r="76" spans="1:8" customFormat="1" x14ac:dyDescent="0.25">
      <c r="A76" s="500"/>
      <c r="B76" s="503"/>
      <c r="C76" s="238" t="s">
        <v>491</v>
      </c>
      <c r="D76" s="126">
        <v>1</v>
      </c>
      <c r="E76" s="126">
        <v>400</v>
      </c>
      <c r="F76" s="180" t="s">
        <v>735</v>
      </c>
      <c r="H76" s="205"/>
    </row>
    <row r="77" spans="1:8" customFormat="1" ht="37.5" x14ac:dyDescent="0.25">
      <c r="A77" s="500">
        <v>13</v>
      </c>
      <c r="B77" s="503" t="s">
        <v>52</v>
      </c>
      <c r="C77" s="238" t="s">
        <v>489</v>
      </c>
      <c r="D77" s="126">
        <v>2</v>
      </c>
      <c r="E77" s="126">
        <v>160</v>
      </c>
      <c r="F77" s="180" t="s">
        <v>732</v>
      </c>
      <c r="G77" s="216"/>
      <c r="H77" s="205"/>
    </row>
    <row r="78" spans="1:8" customFormat="1" ht="168.75" x14ac:dyDescent="0.25">
      <c r="A78" s="500"/>
      <c r="B78" s="503"/>
      <c r="C78" s="238" t="s">
        <v>490</v>
      </c>
      <c r="D78" s="126">
        <v>9</v>
      </c>
      <c r="E78" s="126">
        <v>866</v>
      </c>
      <c r="F78" s="180" t="s">
        <v>734</v>
      </c>
      <c r="H78" s="205"/>
    </row>
    <row r="79" spans="1:8" customFormat="1" ht="37.5" x14ac:dyDescent="0.25">
      <c r="A79" s="500"/>
      <c r="B79" s="503"/>
      <c r="C79" s="238" t="s">
        <v>491</v>
      </c>
      <c r="D79" s="126">
        <v>2</v>
      </c>
      <c r="E79" s="126">
        <v>11</v>
      </c>
      <c r="F79" s="180" t="s">
        <v>733</v>
      </c>
      <c r="G79" s="217"/>
      <c r="H79" s="205"/>
    </row>
    <row r="80" spans="1:8" customFormat="1" ht="37.5" x14ac:dyDescent="0.25">
      <c r="A80" s="500">
        <v>1</v>
      </c>
      <c r="B80" s="503" t="s">
        <v>83</v>
      </c>
      <c r="C80" s="238" t="s">
        <v>489</v>
      </c>
      <c r="D80" s="126">
        <v>2</v>
      </c>
      <c r="E80" s="126">
        <v>140</v>
      </c>
      <c r="F80" s="180" t="s">
        <v>699</v>
      </c>
      <c r="H80" s="204"/>
    </row>
    <row r="81" spans="1:8" customFormat="1" ht="93.75" x14ac:dyDescent="0.25">
      <c r="A81" s="500"/>
      <c r="B81" s="503"/>
      <c r="C81" s="238" t="s">
        <v>490</v>
      </c>
      <c r="D81" s="126">
        <v>4</v>
      </c>
      <c r="E81" s="126">
        <v>550</v>
      </c>
      <c r="F81" s="180" t="s">
        <v>700</v>
      </c>
      <c r="H81" s="204"/>
    </row>
    <row r="82" spans="1:8" customFormat="1" x14ac:dyDescent="0.25">
      <c r="A82" s="500"/>
      <c r="B82" s="503"/>
      <c r="C82" s="238" t="s">
        <v>491</v>
      </c>
      <c r="D82" s="126"/>
      <c r="E82" s="126"/>
      <c r="F82" s="180"/>
      <c r="H82" s="204"/>
    </row>
    <row r="83" spans="1:8" customFormat="1" x14ac:dyDescent="0.25">
      <c r="A83" s="500">
        <v>2</v>
      </c>
      <c r="B83" s="503" t="s">
        <v>20</v>
      </c>
      <c r="C83" s="238" t="s">
        <v>489</v>
      </c>
      <c r="D83" s="147"/>
      <c r="E83" s="147"/>
      <c r="F83" s="147"/>
      <c r="H83" s="204"/>
    </row>
    <row r="84" spans="1:8" customFormat="1" ht="37.5" x14ac:dyDescent="0.25">
      <c r="A84" s="500"/>
      <c r="B84" s="503"/>
      <c r="C84" s="238" t="s">
        <v>490</v>
      </c>
      <c r="D84" s="126">
        <v>1</v>
      </c>
      <c r="E84" s="126">
        <v>100</v>
      </c>
      <c r="F84" s="180" t="s">
        <v>705</v>
      </c>
      <c r="H84" s="204"/>
    </row>
    <row r="85" spans="1:8" customFormat="1" x14ac:dyDescent="0.25">
      <c r="A85" s="500"/>
      <c r="B85" s="503"/>
      <c r="C85" s="238" t="s">
        <v>491</v>
      </c>
      <c r="D85" s="126"/>
      <c r="E85" s="126"/>
      <c r="F85" s="180"/>
      <c r="H85" s="205"/>
    </row>
    <row r="86" spans="1:8" customFormat="1" x14ac:dyDescent="0.25">
      <c r="A86" s="500">
        <v>3</v>
      </c>
      <c r="B86" s="503" t="s">
        <v>23</v>
      </c>
      <c r="C86" s="238" t="s">
        <v>489</v>
      </c>
      <c r="D86" s="126">
        <v>3</v>
      </c>
      <c r="E86" s="126">
        <v>1480</v>
      </c>
      <c r="F86" s="180" t="s">
        <v>686</v>
      </c>
      <c r="H86" s="205"/>
    </row>
    <row r="87" spans="1:8" customFormat="1" ht="56.25" x14ac:dyDescent="0.25">
      <c r="A87" s="500"/>
      <c r="B87" s="503"/>
      <c r="C87" s="238" t="s">
        <v>490</v>
      </c>
      <c r="D87" s="126">
        <v>3</v>
      </c>
      <c r="E87" s="126">
        <v>1010</v>
      </c>
      <c r="F87" s="180" t="s">
        <v>687</v>
      </c>
      <c r="H87" s="205"/>
    </row>
    <row r="88" spans="1:8" customFormat="1" x14ac:dyDescent="0.25">
      <c r="A88" s="500"/>
      <c r="B88" s="503"/>
      <c r="C88" s="238" t="s">
        <v>491</v>
      </c>
      <c r="D88" s="126"/>
      <c r="E88" s="126"/>
      <c r="F88" s="180"/>
      <c r="H88" s="205"/>
    </row>
    <row r="89" spans="1:8" customFormat="1" x14ac:dyDescent="0.25">
      <c r="A89" s="500">
        <v>4</v>
      </c>
      <c r="B89" s="503" t="s">
        <v>165</v>
      </c>
      <c r="C89" s="238" t="s">
        <v>489</v>
      </c>
      <c r="D89" s="126"/>
      <c r="E89" s="126"/>
      <c r="F89" s="180"/>
      <c r="H89" s="205"/>
    </row>
    <row r="90" spans="1:8" customFormat="1" ht="37.5" x14ac:dyDescent="0.25">
      <c r="A90" s="500"/>
      <c r="B90" s="503"/>
      <c r="C90" s="238" t="s">
        <v>490</v>
      </c>
      <c r="D90" s="126"/>
      <c r="E90" s="126"/>
      <c r="F90" s="180"/>
      <c r="H90" s="205"/>
    </row>
    <row r="91" spans="1:8" customFormat="1" ht="37.5" x14ac:dyDescent="0.25">
      <c r="A91" s="500"/>
      <c r="B91" s="503"/>
      <c r="C91" s="238" t="s">
        <v>491</v>
      </c>
      <c r="D91" s="126">
        <v>2</v>
      </c>
      <c r="E91" s="126">
        <v>7</v>
      </c>
      <c r="F91" s="180" t="s">
        <v>701</v>
      </c>
      <c r="H91" s="205"/>
    </row>
    <row r="92" spans="1:8" customFormat="1" ht="37.5" x14ac:dyDescent="0.25">
      <c r="A92" s="500">
        <v>5</v>
      </c>
      <c r="B92" s="503" t="s">
        <v>25</v>
      </c>
      <c r="C92" s="238" t="s">
        <v>489</v>
      </c>
      <c r="D92" s="126">
        <v>2</v>
      </c>
      <c r="E92" s="126">
        <v>200</v>
      </c>
      <c r="F92" s="180" t="s">
        <v>682</v>
      </c>
      <c r="H92" s="205"/>
    </row>
    <row r="93" spans="1:8" customFormat="1" ht="37.5" x14ac:dyDescent="0.25">
      <c r="A93" s="500"/>
      <c r="B93" s="503"/>
      <c r="C93" s="238" t="s">
        <v>490</v>
      </c>
      <c r="D93" s="126">
        <v>1</v>
      </c>
      <c r="E93" s="126">
        <v>165</v>
      </c>
      <c r="F93" s="180" t="s">
        <v>683</v>
      </c>
      <c r="H93" s="205"/>
    </row>
    <row r="94" spans="1:8" customFormat="1" ht="37.5" x14ac:dyDescent="0.25">
      <c r="A94" s="500"/>
      <c r="B94" s="503"/>
      <c r="C94" s="238" t="s">
        <v>491</v>
      </c>
      <c r="D94" s="126">
        <v>2</v>
      </c>
      <c r="E94" s="126">
        <v>9</v>
      </c>
      <c r="F94" s="180" t="s">
        <v>684</v>
      </c>
      <c r="H94" s="205"/>
    </row>
    <row r="95" spans="1:8" customFormat="1" ht="300" x14ac:dyDescent="0.25">
      <c r="A95" s="500">
        <v>6</v>
      </c>
      <c r="B95" s="503" t="s">
        <v>28</v>
      </c>
      <c r="C95" s="238" t="s">
        <v>489</v>
      </c>
      <c r="D95" s="126">
        <v>15</v>
      </c>
      <c r="E95" s="126">
        <v>1040</v>
      </c>
      <c r="F95" s="180" t="s">
        <v>708</v>
      </c>
      <c r="H95" s="205"/>
    </row>
    <row r="96" spans="1:8" customFormat="1" ht="37.5" x14ac:dyDescent="0.25">
      <c r="A96" s="500"/>
      <c r="B96" s="503"/>
      <c r="C96" s="238" t="s">
        <v>490</v>
      </c>
      <c r="D96" s="126">
        <v>2</v>
      </c>
      <c r="E96" s="126">
        <v>229</v>
      </c>
      <c r="F96" s="180" t="s">
        <v>709</v>
      </c>
      <c r="H96" s="205"/>
    </row>
    <row r="97" spans="1:8" customFormat="1" x14ac:dyDescent="0.25">
      <c r="A97" s="500"/>
      <c r="B97" s="503"/>
      <c r="C97" s="238" t="s">
        <v>491</v>
      </c>
      <c r="D97" s="126"/>
      <c r="E97" s="126"/>
      <c r="F97" s="180"/>
      <c r="H97" s="205"/>
    </row>
    <row r="98" spans="1:8" customFormat="1" ht="131.25" x14ac:dyDescent="0.25">
      <c r="A98" s="500">
        <v>7</v>
      </c>
      <c r="B98" s="503" t="s">
        <v>33</v>
      </c>
      <c r="C98" s="238" t="s">
        <v>489</v>
      </c>
      <c r="D98" s="126">
        <v>7</v>
      </c>
      <c r="E98" s="126">
        <v>715</v>
      </c>
      <c r="F98" s="180" t="s">
        <v>691</v>
      </c>
      <c r="H98" s="205"/>
    </row>
    <row r="99" spans="1:8" customFormat="1" ht="206.25" x14ac:dyDescent="0.25">
      <c r="A99" s="500"/>
      <c r="B99" s="503"/>
      <c r="C99" s="238" t="s">
        <v>490</v>
      </c>
      <c r="D99" s="126">
        <v>10</v>
      </c>
      <c r="E99" s="126">
        <v>258</v>
      </c>
      <c r="F99" s="180" t="s">
        <v>692</v>
      </c>
      <c r="G99" s="208"/>
      <c r="H99" s="205"/>
    </row>
    <row r="100" spans="1:8" customFormat="1" ht="243.75" x14ac:dyDescent="0.25">
      <c r="A100" s="500"/>
      <c r="B100" s="503"/>
      <c r="C100" s="238" t="s">
        <v>491</v>
      </c>
      <c r="D100" s="126">
        <v>12</v>
      </c>
      <c r="E100" s="126">
        <v>242</v>
      </c>
      <c r="F100" s="180" t="s">
        <v>693</v>
      </c>
      <c r="G100" s="208"/>
      <c r="H100" s="205"/>
    </row>
    <row r="101" spans="1:8" customFormat="1" ht="56.25" x14ac:dyDescent="0.25">
      <c r="A101" s="500">
        <v>8</v>
      </c>
      <c r="B101" s="503" t="s">
        <v>38</v>
      </c>
      <c r="C101" s="238" t="s">
        <v>489</v>
      </c>
      <c r="D101" s="126">
        <v>2</v>
      </c>
      <c r="E101" s="126">
        <v>210</v>
      </c>
      <c r="F101" s="180" t="s">
        <v>695</v>
      </c>
      <c r="G101" s="208"/>
      <c r="H101" s="205"/>
    </row>
    <row r="102" spans="1:8" customFormat="1" ht="56.25" x14ac:dyDescent="0.25">
      <c r="A102" s="500"/>
      <c r="B102" s="503"/>
      <c r="C102" s="238" t="s">
        <v>490</v>
      </c>
      <c r="D102" s="126">
        <v>3</v>
      </c>
      <c r="E102" s="126">
        <v>50</v>
      </c>
      <c r="F102" s="180" t="s">
        <v>694</v>
      </c>
      <c r="H102" s="205"/>
    </row>
    <row r="103" spans="1:8" customFormat="1" x14ac:dyDescent="0.25">
      <c r="A103" s="500"/>
      <c r="B103" s="503"/>
      <c r="C103" s="238" t="s">
        <v>491</v>
      </c>
      <c r="D103" s="126"/>
      <c r="E103" s="126"/>
      <c r="F103" s="180"/>
      <c r="H103" s="205"/>
    </row>
    <row r="104" spans="1:8" customFormat="1" x14ac:dyDescent="0.25">
      <c r="A104" s="500">
        <v>9</v>
      </c>
      <c r="B104" s="503" t="s">
        <v>88</v>
      </c>
      <c r="C104" s="238" t="s">
        <v>489</v>
      </c>
      <c r="D104" s="126"/>
      <c r="E104" s="126"/>
      <c r="F104" s="180"/>
      <c r="H104" s="205"/>
    </row>
    <row r="105" spans="1:8" customFormat="1" ht="75" x14ac:dyDescent="0.25">
      <c r="A105" s="500"/>
      <c r="B105" s="503"/>
      <c r="C105" s="238" t="s">
        <v>490</v>
      </c>
      <c r="D105" s="126">
        <v>4</v>
      </c>
      <c r="E105" s="126">
        <v>1003</v>
      </c>
      <c r="F105" s="180" t="s">
        <v>704</v>
      </c>
      <c r="H105" s="205"/>
    </row>
    <row r="106" spans="1:8" customFormat="1" x14ac:dyDescent="0.25">
      <c r="A106" s="500"/>
      <c r="B106" s="503"/>
      <c r="C106" s="238" t="s">
        <v>491</v>
      </c>
      <c r="D106" s="126"/>
      <c r="E106" s="126"/>
      <c r="F106" s="180"/>
      <c r="H106" s="205"/>
    </row>
    <row r="107" spans="1:8" s="132" customFormat="1" ht="37.5" x14ac:dyDescent="0.25">
      <c r="A107" s="500">
        <v>10</v>
      </c>
      <c r="B107" s="503" t="s">
        <v>43</v>
      </c>
      <c r="C107" s="238" t="s">
        <v>489</v>
      </c>
      <c r="D107" s="126">
        <v>2</v>
      </c>
      <c r="E107" s="126">
        <v>700</v>
      </c>
      <c r="F107" s="180" t="s">
        <v>689</v>
      </c>
      <c r="H107" s="213"/>
    </row>
    <row r="108" spans="1:8" s="132" customFormat="1" ht="37.5" x14ac:dyDescent="0.25">
      <c r="A108" s="500"/>
      <c r="B108" s="503"/>
      <c r="C108" s="238" t="s">
        <v>490</v>
      </c>
      <c r="D108" s="126"/>
      <c r="E108" s="126"/>
      <c r="F108" s="180"/>
      <c r="H108" s="213"/>
    </row>
    <row r="109" spans="1:8" s="132" customFormat="1" ht="37.5" x14ac:dyDescent="0.25">
      <c r="A109" s="500"/>
      <c r="B109" s="503"/>
      <c r="C109" s="238" t="s">
        <v>491</v>
      </c>
      <c r="D109" s="126">
        <v>1</v>
      </c>
      <c r="E109" s="126">
        <v>150</v>
      </c>
      <c r="F109" s="180" t="s">
        <v>688</v>
      </c>
      <c r="H109" s="213"/>
    </row>
    <row r="110" spans="1:8" customFormat="1" x14ac:dyDescent="0.25">
      <c r="A110" s="500">
        <v>11</v>
      </c>
      <c r="B110" s="503" t="s">
        <v>46</v>
      </c>
      <c r="C110" s="238" t="s">
        <v>489</v>
      </c>
      <c r="D110" s="126">
        <v>1</v>
      </c>
      <c r="E110" s="126">
        <v>350</v>
      </c>
      <c r="F110" s="180" t="s">
        <v>706</v>
      </c>
      <c r="H110" s="205"/>
    </row>
    <row r="111" spans="1:8" customFormat="1" ht="37.5" x14ac:dyDescent="0.25">
      <c r="A111" s="500"/>
      <c r="B111" s="503"/>
      <c r="C111" s="238" t="s">
        <v>490</v>
      </c>
      <c r="D111" s="126"/>
      <c r="E111" s="126"/>
      <c r="F111" s="180"/>
      <c r="H111" s="205"/>
    </row>
    <row r="112" spans="1:8" customFormat="1" x14ac:dyDescent="0.25">
      <c r="A112" s="500"/>
      <c r="B112" s="503"/>
      <c r="C112" s="238" t="s">
        <v>491</v>
      </c>
      <c r="D112" s="126"/>
      <c r="E112" s="126"/>
      <c r="F112" s="180"/>
      <c r="H112" s="205"/>
    </row>
    <row r="113" spans="1:8" customFormat="1" ht="56.25" x14ac:dyDescent="0.25">
      <c r="A113" s="500">
        <v>12</v>
      </c>
      <c r="B113" s="503" t="s">
        <v>49</v>
      </c>
      <c r="C113" s="238" t="s">
        <v>489</v>
      </c>
      <c r="D113" s="126">
        <v>3</v>
      </c>
      <c r="E113" s="126">
        <v>425</v>
      </c>
      <c r="F113" s="180" t="s">
        <v>702</v>
      </c>
      <c r="H113" s="205"/>
    </row>
    <row r="114" spans="1:8" customFormat="1" ht="150" x14ac:dyDescent="0.25">
      <c r="A114" s="500"/>
      <c r="B114" s="503"/>
      <c r="C114" s="238" t="s">
        <v>490</v>
      </c>
      <c r="D114" s="126">
        <v>8</v>
      </c>
      <c r="E114" s="126">
        <v>1048</v>
      </c>
      <c r="F114" s="180" t="s">
        <v>703</v>
      </c>
      <c r="H114" s="205"/>
    </row>
    <row r="115" spans="1:8" customFormat="1" x14ac:dyDescent="0.25">
      <c r="A115" s="500"/>
      <c r="B115" s="503"/>
      <c r="C115" s="238" t="s">
        <v>491</v>
      </c>
      <c r="D115" s="126"/>
      <c r="E115" s="126"/>
      <c r="F115" s="180"/>
      <c r="H115" s="205"/>
    </row>
    <row r="116" spans="1:8" customFormat="1" ht="93.75" x14ac:dyDescent="0.25">
      <c r="A116" s="500">
        <v>13</v>
      </c>
      <c r="B116" s="503" t="s">
        <v>52</v>
      </c>
      <c r="C116" s="238" t="s">
        <v>489</v>
      </c>
      <c r="D116" s="214">
        <v>5</v>
      </c>
      <c r="E116" s="214">
        <v>274</v>
      </c>
      <c r="F116" s="180" t="s">
        <v>711</v>
      </c>
      <c r="G116" s="216"/>
      <c r="H116" s="205"/>
    </row>
    <row r="117" spans="1:8" customFormat="1" ht="37.5" x14ac:dyDescent="0.25">
      <c r="A117" s="500"/>
      <c r="B117" s="503"/>
      <c r="C117" s="238" t="s">
        <v>490</v>
      </c>
      <c r="D117" s="126">
        <v>1</v>
      </c>
      <c r="E117" s="126">
        <v>600</v>
      </c>
      <c r="F117" s="180" t="s">
        <v>710</v>
      </c>
      <c r="H117" s="205"/>
    </row>
    <row r="118" spans="1:8" customFormat="1" ht="75" x14ac:dyDescent="0.25">
      <c r="A118" s="500"/>
      <c r="B118" s="503"/>
      <c r="C118" s="238" t="s">
        <v>491</v>
      </c>
      <c r="D118" s="126">
        <v>4</v>
      </c>
      <c r="E118" s="126">
        <v>65</v>
      </c>
      <c r="F118" s="215" t="s">
        <v>712</v>
      </c>
      <c r="G118" s="217"/>
      <c r="H118" s="205"/>
    </row>
    <row r="119" spans="1:8" customFormat="1" x14ac:dyDescent="0.25">
      <c r="A119" s="478">
        <v>1</v>
      </c>
      <c r="B119" s="479" t="s">
        <v>83</v>
      </c>
      <c r="C119" s="239" t="s">
        <v>489</v>
      </c>
      <c r="D119" s="233">
        <v>1</v>
      </c>
      <c r="E119" s="233">
        <v>100</v>
      </c>
      <c r="F119" s="232" t="s">
        <v>656</v>
      </c>
      <c r="H119" s="204"/>
    </row>
    <row r="120" spans="1:8" customFormat="1" ht="37.5" x14ac:dyDescent="0.25">
      <c r="A120" s="478"/>
      <c r="B120" s="479"/>
      <c r="C120" s="239" t="s">
        <v>490</v>
      </c>
      <c r="D120" s="233"/>
      <c r="E120" s="233"/>
      <c r="F120" s="232"/>
      <c r="H120" s="204"/>
    </row>
    <row r="121" spans="1:8" customFormat="1" x14ac:dyDescent="0.25">
      <c r="A121" s="478"/>
      <c r="B121" s="479"/>
      <c r="C121" s="239" t="s">
        <v>491</v>
      </c>
      <c r="D121" s="233"/>
      <c r="E121" s="233"/>
      <c r="F121" s="232"/>
      <c r="H121" s="204"/>
    </row>
    <row r="122" spans="1:8" customFormat="1" x14ac:dyDescent="0.3">
      <c r="A122" s="478">
        <v>2</v>
      </c>
      <c r="B122" s="479" t="s">
        <v>20</v>
      </c>
      <c r="C122" s="239" t="s">
        <v>489</v>
      </c>
      <c r="D122" s="211"/>
      <c r="E122" s="211"/>
      <c r="F122" s="207"/>
      <c r="H122" s="204"/>
    </row>
    <row r="123" spans="1:8" customFormat="1" ht="37.5" x14ac:dyDescent="0.25">
      <c r="A123" s="478"/>
      <c r="B123" s="479"/>
      <c r="C123" s="239" t="s">
        <v>490</v>
      </c>
      <c r="D123" s="233">
        <v>1</v>
      </c>
      <c r="E123" s="233">
        <v>35</v>
      </c>
      <c r="F123" s="232" t="s">
        <v>680</v>
      </c>
      <c r="H123" s="204"/>
    </row>
    <row r="124" spans="1:8" customFormat="1" x14ac:dyDescent="0.25">
      <c r="A124" s="478"/>
      <c r="B124" s="479"/>
      <c r="C124" s="239" t="s">
        <v>491</v>
      </c>
      <c r="D124" s="233"/>
      <c r="E124" s="233"/>
      <c r="F124" s="232"/>
      <c r="H124" s="205"/>
    </row>
    <row r="125" spans="1:8" customFormat="1" x14ac:dyDescent="0.25">
      <c r="A125" s="478">
        <v>3</v>
      </c>
      <c r="B125" s="479" t="s">
        <v>23</v>
      </c>
      <c r="C125" s="239" t="s">
        <v>489</v>
      </c>
      <c r="D125" s="233">
        <v>1</v>
      </c>
      <c r="E125" s="233">
        <v>110</v>
      </c>
      <c r="F125" s="232" t="s">
        <v>660</v>
      </c>
      <c r="H125" s="205"/>
    </row>
    <row r="126" spans="1:8" customFormat="1" ht="37.5" x14ac:dyDescent="0.25">
      <c r="A126" s="478"/>
      <c r="B126" s="479"/>
      <c r="C126" s="239" t="s">
        <v>490</v>
      </c>
      <c r="D126" s="233">
        <v>1</v>
      </c>
      <c r="E126" s="233">
        <v>25</v>
      </c>
      <c r="F126" s="232" t="s">
        <v>661</v>
      </c>
      <c r="H126" s="205"/>
    </row>
    <row r="127" spans="1:8" customFormat="1" x14ac:dyDescent="0.25">
      <c r="A127" s="478"/>
      <c r="B127" s="479"/>
      <c r="C127" s="239" t="s">
        <v>491</v>
      </c>
      <c r="D127" s="233"/>
      <c r="E127" s="233"/>
      <c r="F127" s="232"/>
      <c r="H127" s="205"/>
    </row>
    <row r="128" spans="1:8" customFormat="1" x14ac:dyDescent="0.25">
      <c r="A128" s="478">
        <v>4</v>
      </c>
      <c r="B128" s="479" t="s">
        <v>165</v>
      </c>
      <c r="C128" s="239" t="s">
        <v>489</v>
      </c>
      <c r="D128" s="233"/>
      <c r="E128" s="233"/>
      <c r="F128" s="232"/>
      <c r="H128" s="205"/>
    </row>
    <row r="129" spans="1:8" customFormat="1" ht="37.5" x14ac:dyDescent="0.25">
      <c r="A129" s="478"/>
      <c r="B129" s="479"/>
      <c r="C129" s="239" t="s">
        <v>490</v>
      </c>
      <c r="D129" s="233">
        <v>1</v>
      </c>
      <c r="E129" s="233">
        <v>410</v>
      </c>
      <c r="F129" s="232" t="s">
        <v>655</v>
      </c>
      <c r="H129" s="205"/>
    </row>
    <row r="130" spans="1:8" customFormat="1" x14ac:dyDescent="0.25">
      <c r="A130" s="478"/>
      <c r="B130" s="479"/>
      <c r="C130" s="239" t="s">
        <v>491</v>
      </c>
      <c r="D130" s="233"/>
      <c r="E130" s="233"/>
      <c r="F130" s="232"/>
      <c r="H130" s="205"/>
    </row>
    <row r="131" spans="1:8" customFormat="1" ht="37.5" x14ac:dyDescent="0.25">
      <c r="A131" s="478">
        <v>5</v>
      </c>
      <c r="B131" s="479" t="s">
        <v>25</v>
      </c>
      <c r="C131" s="239" t="s">
        <v>489</v>
      </c>
      <c r="D131" s="233">
        <v>2</v>
      </c>
      <c r="E131" s="233">
        <v>405</v>
      </c>
      <c r="F131" s="232" t="s">
        <v>662</v>
      </c>
      <c r="H131" s="205"/>
    </row>
    <row r="132" spans="1:8" customFormat="1" ht="37.5" x14ac:dyDescent="0.25">
      <c r="A132" s="478"/>
      <c r="B132" s="479"/>
      <c r="C132" s="239" t="s">
        <v>490</v>
      </c>
      <c r="D132" s="233">
        <v>2</v>
      </c>
      <c r="E132" s="233">
        <v>190</v>
      </c>
      <c r="F132" s="232" t="s">
        <v>663</v>
      </c>
      <c r="H132" s="205"/>
    </row>
    <row r="133" spans="1:8" customFormat="1" ht="150" x14ac:dyDescent="0.25">
      <c r="A133" s="478"/>
      <c r="B133" s="479"/>
      <c r="C133" s="239" t="s">
        <v>491</v>
      </c>
      <c r="D133" s="233">
        <v>7</v>
      </c>
      <c r="E133" s="233">
        <v>75</v>
      </c>
      <c r="F133" s="232" t="s">
        <v>664</v>
      </c>
      <c r="H133" s="205"/>
    </row>
    <row r="134" spans="1:8" customFormat="1" ht="243.75" x14ac:dyDescent="0.25">
      <c r="A134" s="478">
        <v>6</v>
      </c>
      <c r="B134" s="479" t="s">
        <v>28</v>
      </c>
      <c r="C134" s="239" t="s">
        <v>489</v>
      </c>
      <c r="D134" s="233">
        <v>13</v>
      </c>
      <c r="E134" s="233">
        <v>996</v>
      </c>
      <c r="F134" s="232" t="s">
        <v>657</v>
      </c>
      <c r="H134" s="205"/>
    </row>
    <row r="135" spans="1:8" customFormat="1" ht="37.5" x14ac:dyDescent="0.25">
      <c r="A135" s="478"/>
      <c r="B135" s="479"/>
      <c r="C135" s="239" t="s">
        <v>490</v>
      </c>
      <c r="D135" s="233">
        <v>2</v>
      </c>
      <c r="E135" s="233">
        <v>300</v>
      </c>
      <c r="F135" s="232" t="s">
        <v>658</v>
      </c>
      <c r="H135" s="205"/>
    </row>
    <row r="136" spans="1:8" customFormat="1" x14ac:dyDescent="0.25">
      <c r="A136" s="478"/>
      <c r="B136" s="479"/>
      <c r="C136" s="239" t="s">
        <v>491</v>
      </c>
      <c r="D136" s="233">
        <v>1</v>
      </c>
      <c r="E136" s="233">
        <v>55</v>
      </c>
      <c r="F136" s="232" t="s">
        <v>659</v>
      </c>
      <c r="H136" s="205"/>
    </row>
    <row r="137" spans="1:8" customFormat="1" ht="150" x14ac:dyDescent="0.25">
      <c r="A137" s="478">
        <v>7</v>
      </c>
      <c r="B137" s="479" t="s">
        <v>33</v>
      </c>
      <c r="C137" s="239" t="s">
        <v>489</v>
      </c>
      <c r="D137" s="233">
        <v>8</v>
      </c>
      <c r="E137" s="233">
        <v>2405</v>
      </c>
      <c r="F137" s="232" t="s">
        <v>672</v>
      </c>
      <c r="H137" s="205"/>
    </row>
    <row r="138" spans="1:8" customFormat="1" ht="262.5" x14ac:dyDescent="0.25">
      <c r="A138" s="478"/>
      <c r="B138" s="479"/>
      <c r="C138" s="239" t="s">
        <v>490</v>
      </c>
      <c r="D138" s="233">
        <v>14</v>
      </c>
      <c r="E138" s="233">
        <v>625</v>
      </c>
      <c r="F138" s="232" t="s">
        <v>673</v>
      </c>
      <c r="G138" s="208"/>
      <c r="H138" s="205"/>
    </row>
    <row r="139" spans="1:8" customFormat="1" ht="243.75" x14ac:dyDescent="0.25">
      <c r="A139" s="478"/>
      <c r="B139" s="479"/>
      <c r="C139" s="239" t="s">
        <v>491</v>
      </c>
      <c r="D139" s="233">
        <v>13</v>
      </c>
      <c r="E139" s="233">
        <v>284</v>
      </c>
      <c r="F139" s="232" t="s">
        <v>674</v>
      </c>
      <c r="G139" s="208"/>
      <c r="H139" s="205"/>
    </row>
    <row r="140" spans="1:8" customFormat="1" ht="37.5" x14ac:dyDescent="0.25">
      <c r="A140" s="478">
        <v>8</v>
      </c>
      <c r="B140" s="479" t="s">
        <v>38</v>
      </c>
      <c r="C140" s="239" t="s">
        <v>489</v>
      </c>
      <c r="D140" s="233">
        <v>2</v>
      </c>
      <c r="E140" s="233">
        <v>165</v>
      </c>
      <c r="F140" s="232" t="s">
        <v>668</v>
      </c>
      <c r="G140" s="208"/>
      <c r="H140" s="205"/>
    </row>
    <row r="141" spans="1:8" customFormat="1" ht="37.5" x14ac:dyDescent="0.25">
      <c r="A141" s="478"/>
      <c r="B141" s="479"/>
      <c r="C141" s="239" t="s">
        <v>490</v>
      </c>
      <c r="D141" s="233">
        <v>2</v>
      </c>
      <c r="E141" s="233">
        <v>35</v>
      </c>
      <c r="F141" s="232" t="s">
        <v>667</v>
      </c>
      <c r="H141" s="205"/>
    </row>
    <row r="142" spans="1:8" customFormat="1" x14ac:dyDescent="0.25">
      <c r="A142" s="478"/>
      <c r="B142" s="479"/>
      <c r="C142" s="239" t="s">
        <v>491</v>
      </c>
      <c r="D142" s="233"/>
      <c r="E142" s="233"/>
      <c r="F142" s="232"/>
      <c r="H142" s="205"/>
    </row>
    <row r="143" spans="1:8" customFormat="1" ht="56.25" x14ac:dyDescent="0.25">
      <c r="A143" s="478">
        <v>9</v>
      </c>
      <c r="B143" s="479" t="s">
        <v>88</v>
      </c>
      <c r="C143" s="239" t="s">
        <v>489</v>
      </c>
      <c r="D143" s="233">
        <v>3</v>
      </c>
      <c r="E143" s="233">
        <v>603</v>
      </c>
      <c r="F143" s="232" t="s">
        <v>679</v>
      </c>
      <c r="H143" s="205"/>
    </row>
    <row r="144" spans="1:8" customFormat="1" ht="37.5" x14ac:dyDescent="0.25">
      <c r="A144" s="478"/>
      <c r="B144" s="479"/>
      <c r="C144" s="239" t="s">
        <v>490</v>
      </c>
      <c r="D144" s="233"/>
      <c r="E144" s="233"/>
      <c r="F144" s="232"/>
      <c r="H144" s="205"/>
    </row>
    <row r="145" spans="1:8" customFormat="1" x14ac:dyDescent="0.25">
      <c r="A145" s="478"/>
      <c r="B145" s="479"/>
      <c r="C145" s="239" t="s">
        <v>491</v>
      </c>
      <c r="D145" s="233"/>
      <c r="E145" s="233"/>
      <c r="F145" s="232"/>
      <c r="H145" s="205"/>
    </row>
    <row r="146" spans="1:8" customFormat="1" ht="56.25" x14ac:dyDescent="0.25">
      <c r="A146" s="478">
        <v>10</v>
      </c>
      <c r="B146" s="479" t="s">
        <v>43</v>
      </c>
      <c r="C146" s="239" t="s">
        <v>489</v>
      </c>
      <c r="D146" s="233">
        <v>2</v>
      </c>
      <c r="E146" s="233">
        <v>120</v>
      </c>
      <c r="F146" s="232" t="s">
        <v>665</v>
      </c>
      <c r="H146" s="205"/>
    </row>
    <row r="147" spans="1:8" customFormat="1" ht="93.75" x14ac:dyDescent="0.25">
      <c r="A147" s="478"/>
      <c r="B147" s="479"/>
      <c r="C147" s="239" t="s">
        <v>490</v>
      </c>
      <c r="D147" s="233">
        <v>4</v>
      </c>
      <c r="E147" s="233">
        <v>91</v>
      </c>
      <c r="F147" s="232" t="s">
        <v>666</v>
      </c>
      <c r="H147" s="205"/>
    </row>
    <row r="148" spans="1:8" customFormat="1" x14ac:dyDescent="0.25">
      <c r="A148" s="478"/>
      <c r="B148" s="479"/>
      <c r="C148" s="239" t="s">
        <v>491</v>
      </c>
      <c r="D148" s="233"/>
      <c r="E148" s="233"/>
      <c r="F148" s="232"/>
      <c r="H148" s="205"/>
    </row>
    <row r="149" spans="1:8" customFormat="1" x14ac:dyDescent="0.25">
      <c r="A149" s="478">
        <v>11</v>
      </c>
      <c r="B149" s="479" t="s">
        <v>46</v>
      </c>
      <c r="C149" s="239" t="s">
        <v>489</v>
      </c>
      <c r="D149" s="233">
        <v>1</v>
      </c>
      <c r="E149" s="233">
        <v>350</v>
      </c>
      <c r="F149" s="232" t="s">
        <v>678</v>
      </c>
      <c r="H149" s="205"/>
    </row>
    <row r="150" spans="1:8" customFormat="1" ht="37.5" x14ac:dyDescent="0.25">
      <c r="A150" s="478"/>
      <c r="B150" s="479"/>
      <c r="C150" s="239" t="s">
        <v>490</v>
      </c>
      <c r="D150" s="233">
        <v>1</v>
      </c>
      <c r="E150" s="233">
        <v>60</v>
      </c>
      <c r="F150" s="232" t="s">
        <v>677</v>
      </c>
      <c r="H150" s="205"/>
    </row>
    <row r="151" spans="1:8" customFormat="1" x14ac:dyDescent="0.25">
      <c r="A151" s="478"/>
      <c r="B151" s="479"/>
      <c r="C151" s="239" t="s">
        <v>491</v>
      </c>
      <c r="D151" s="233"/>
      <c r="E151" s="233"/>
      <c r="F151" s="232"/>
      <c r="H151" s="205"/>
    </row>
    <row r="152" spans="1:8" customFormat="1" ht="75" x14ac:dyDescent="0.25">
      <c r="A152" s="478">
        <v>12</v>
      </c>
      <c r="B152" s="479" t="s">
        <v>49</v>
      </c>
      <c r="C152" s="239" t="s">
        <v>489</v>
      </c>
      <c r="D152" s="233">
        <v>5</v>
      </c>
      <c r="E152" s="233">
        <v>497</v>
      </c>
      <c r="F152" s="232" t="s">
        <v>675</v>
      </c>
      <c r="H152" s="205"/>
    </row>
    <row r="153" spans="1:8" customFormat="1" ht="225" x14ac:dyDescent="0.25">
      <c r="A153" s="478"/>
      <c r="B153" s="479"/>
      <c r="C153" s="239" t="s">
        <v>490</v>
      </c>
      <c r="D153" s="233">
        <v>12</v>
      </c>
      <c r="E153" s="233">
        <v>1923</v>
      </c>
      <c r="F153" s="232" t="s">
        <v>676</v>
      </c>
      <c r="H153" s="205"/>
    </row>
    <row r="154" spans="1:8" customFormat="1" x14ac:dyDescent="0.25">
      <c r="A154" s="478"/>
      <c r="B154" s="479"/>
      <c r="C154" s="239" t="s">
        <v>491</v>
      </c>
      <c r="D154" s="233"/>
      <c r="E154" s="233"/>
      <c r="F154" s="232"/>
      <c r="H154" s="205"/>
    </row>
    <row r="155" spans="1:8" customFormat="1" ht="56.25" x14ac:dyDescent="0.25">
      <c r="A155" s="478">
        <v>13</v>
      </c>
      <c r="B155" s="479" t="s">
        <v>52</v>
      </c>
      <c r="C155" s="239" t="s">
        <v>489</v>
      </c>
      <c r="D155" s="212">
        <v>3</v>
      </c>
      <c r="E155" s="212">
        <v>490</v>
      </c>
      <c r="F155" s="232" t="s">
        <v>669</v>
      </c>
      <c r="H155" s="205"/>
    </row>
    <row r="156" spans="1:8" customFormat="1" ht="75" x14ac:dyDescent="0.25">
      <c r="A156" s="478"/>
      <c r="B156" s="479"/>
      <c r="C156" s="239" t="s">
        <v>490</v>
      </c>
      <c r="D156" s="233">
        <v>3</v>
      </c>
      <c r="E156" s="233">
        <v>1020</v>
      </c>
      <c r="F156" s="232" t="s">
        <v>671</v>
      </c>
      <c r="H156" s="205"/>
    </row>
    <row r="157" spans="1:8" customFormat="1" ht="93.75" x14ac:dyDescent="0.25">
      <c r="A157" s="478"/>
      <c r="B157" s="479"/>
      <c r="C157" s="239" t="s">
        <v>491</v>
      </c>
      <c r="D157" s="233">
        <v>5</v>
      </c>
      <c r="E157" s="233">
        <v>50</v>
      </c>
      <c r="F157" s="232" t="s">
        <v>670</v>
      </c>
      <c r="H157" s="205"/>
    </row>
    <row r="158" spans="1:8" ht="40.5" x14ac:dyDescent="0.25">
      <c r="A158" s="646">
        <v>1</v>
      </c>
      <c r="B158" s="649" t="s">
        <v>83</v>
      </c>
      <c r="C158" s="191" t="s">
        <v>489</v>
      </c>
      <c r="D158" s="35"/>
      <c r="E158" s="35"/>
      <c r="F158" s="40"/>
      <c r="H158" s="204"/>
    </row>
    <row r="159" spans="1:8" ht="40.5" x14ac:dyDescent="0.25">
      <c r="A159" s="647"/>
      <c r="B159" s="650"/>
      <c r="C159" s="191" t="s">
        <v>490</v>
      </c>
      <c r="D159" s="35"/>
      <c r="E159" s="35"/>
      <c r="F159" s="40"/>
      <c r="H159" s="204"/>
    </row>
    <row r="160" spans="1:8" ht="20.25" x14ac:dyDescent="0.25">
      <c r="A160" s="648"/>
      <c r="B160" s="651"/>
      <c r="C160" s="191" t="s">
        <v>491</v>
      </c>
      <c r="D160" s="35">
        <v>1</v>
      </c>
      <c r="E160" s="35">
        <v>25</v>
      </c>
      <c r="F160" s="40" t="s">
        <v>632</v>
      </c>
      <c r="H160" s="204"/>
    </row>
    <row r="161" spans="1:8" ht="40.5" x14ac:dyDescent="0.25">
      <c r="A161" s="646">
        <v>2</v>
      </c>
      <c r="B161" s="649" t="s">
        <v>20</v>
      </c>
      <c r="C161" s="191" t="s">
        <v>489</v>
      </c>
      <c r="D161" s="147"/>
      <c r="E161" s="147"/>
      <c r="F161" s="200"/>
      <c r="H161" s="204"/>
    </row>
    <row r="162" spans="1:8" ht="40.5" x14ac:dyDescent="0.25">
      <c r="A162" s="647"/>
      <c r="B162" s="650"/>
      <c r="C162" s="191" t="s">
        <v>490</v>
      </c>
      <c r="D162" s="35"/>
      <c r="E162" s="35"/>
      <c r="F162" s="40"/>
      <c r="H162" s="204"/>
    </row>
    <row r="163" spans="1:8" ht="20.25" x14ac:dyDescent="0.25">
      <c r="A163" s="648"/>
      <c r="B163" s="651"/>
      <c r="C163" s="191" t="s">
        <v>491</v>
      </c>
      <c r="D163" s="35"/>
      <c r="E163" s="35"/>
      <c r="F163" s="40"/>
    </row>
    <row r="164" spans="1:8" ht="40.5" x14ac:dyDescent="0.25">
      <c r="A164" s="646">
        <v>3</v>
      </c>
      <c r="B164" s="649" t="s">
        <v>23</v>
      </c>
      <c r="C164" s="191" t="s">
        <v>489</v>
      </c>
      <c r="D164" s="35">
        <v>4</v>
      </c>
      <c r="E164" s="35">
        <v>1050</v>
      </c>
      <c r="F164" s="40"/>
    </row>
    <row r="165" spans="1:8" ht="40.5" x14ac:dyDescent="0.25">
      <c r="A165" s="647"/>
      <c r="B165" s="650"/>
      <c r="C165" s="191" t="s">
        <v>490</v>
      </c>
      <c r="D165" s="35"/>
      <c r="E165" s="35"/>
      <c r="F165" s="40"/>
    </row>
    <row r="166" spans="1:8" ht="20.25" x14ac:dyDescent="0.25">
      <c r="A166" s="648"/>
      <c r="B166" s="651"/>
      <c r="C166" s="191" t="s">
        <v>491</v>
      </c>
      <c r="D166" s="35"/>
      <c r="E166" s="35"/>
      <c r="F166" s="40"/>
    </row>
    <row r="167" spans="1:8" ht="40.5" x14ac:dyDescent="0.25">
      <c r="A167" s="646">
        <v>4</v>
      </c>
      <c r="B167" s="649" t="s">
        <v>165</v>
      </c>
      <c r="C167" s="191" t="s">
        <v>489</v>
      </c>
      <c r="D167" s="35">
        <v>1</v>
      </c>
      <c r="E167" s="35">
        <v>300</v>
      </c>
      <c r="F167" s="40" t="s">
        <v>646</v>
      </c>
    </row>
    <row r="168" spans="1:8" ht="40.5" x14ac:dyDescent="0.25">
      <c r="A168" s="647"/>
      <c r="B168" s="650"/>
      <c r="C168" s="191" t="s">
        <v>490</v>
      </c>
      <c r="D168" s="35">
        <v>1</v>
      </c>
      <c r="E168" s="35">
        <v>300</v>
      </c>
      <c r="F168" s="40" t="s">
        <v>646</v>
      </c>
    </row>
    <row r="169" spans="1:8" ht="81" x14ac:dyDescent="0.25">
      <c r="A169" s="648"/>
      <c r="B169" s="651"/>
      <c r="C169" s="191" t="s">
        <v>491</v>
      </c>
      <c r="D169" s="35">
        <v>4</v>
      </c>
      <c r="E169" s="35">
        <v>630</v>
      </c>
      <c r="F169" s="40" t="s">
        <v>647</v>
      </c>
    </row>
    <row r="170" spans="1:8" ht="40.5" x14ac:dyDescent="0.25">
      <c r="A170" s="646">
        <v>5</v>
      </c>
      <c r="B170" s="649" t="s">
        <v>25</v>
      </c>
      <c r="C170" s="191" t="s">
        <v>489</v>
      </c>
      <c r="D170" s="35">
        <v>1</v>
      </c>
      <c r="E170" s="35">
        <v>35</v>
      </c>
      <c r="F170" s="40" t="s">
        <v>638</v>
      </c>
    </row>
    <row r="171" spans="1:8" ht="60.75" x14ac:dyDescent="0.25">
      <c r="A171" s="647"/>
      <c r="B171" s="650"/>
      <c r="C171" s="191" t="s">
        <v>490</v>
      </c>
      <c r="D171" s="35">
        <v>3</v>
      </c>
      <c r="E171" s="35">
        <v>400</v>
      </c>
      <c r="F171" s="40" t="s">
        <v>637</v>
      </c>
    </row>
    <row r="172" spans="1:8" ht="263.25" x14ac:dyDescent="0.25">
      <c r="A172" s="648"/>
      <c r="B172" s="651"/>
      <c r="C172" s="191" t="s">
        <v>491</v>
      </c>
      <c r="D172" s="35">
        <v>13</v>
      </c>
      <c r="E172" s="35">
        <v>163</v>
      </c>
      <c r="F172" s="40" t="s">
        <v>639</v>
      </c>
    </row>
    <row r="173" spans="1:8" ht="252" x14ac:dyDescent="0.25">
      <c r="A173" s="646">
        <v>6</v>
      </c>
      <c r="B173" s="649" t="s">
        <v>28</v>
      </c>
      <c r="C173" s="191" t="s">
        <v>489</v>
      </c>
      <c r="D173" s="35">
        <v>21</v>
      </c>
      <c r="E173" s="35">
        <v>3465</v>
      </c>
      <c r="F173" s="201" t="s">
        <v>642</v>
      </c>
    </row>
    <row r="174" spans="1:8" ht="40.5" x14ac:dyDescent="0.25">
      <c r="A174" s="647"/>
      <c r="B174" s="650"/>
      <c r="C174" s="191" t="s">
        <v>490</v>
      </c>
      <c r="D174" s="35"/>
      <c r="E174" s="35"/>
      <c r="F174" s="40"/>
    </row>
    <row r="175" spans="1:8" ht="20.25" x14ac:dyDescent="0.25">
      <c r="A175" s="648"/>
      <c r="B175" s="651"/>
      <c r="C175" s="191" t="s">
        <v>491</v>
      </c>
      <c r="D175" s="35">
        <v>1</v>
      </c>
      <c r="E175" s="35">
        <v>15</v>
      </c>
      <c r="F175" s="40" t="s">
        <v>641</v>
      </c>
    </row>
    <row r="176" spans="1:8" ht="81" x14ac:dyDescent="0.25">
      <c r="A176" s="646">
        <v>7</v>
      </c>
      <c r="B176" s="649" t="s">
        <v>33</v>
      </c>
      <c r="C176" s="191" t="s">
        <v>489</v>
      </c>
      <c r="D176" s="35">
        <v>4</v>
      </c>
      <c r="E176" s="35">
        <v>651</v>
      </c>
      <c r="F176" s="40" t="s">
        <v>634</v>
      </c>
    </row>
    <row r="177" spans="1:7" ht="40.5" x14ac:dyDescent="0.25">
      <c r="A177" s="647"/>
      <c r="B177" s="650"/>
      <c r="C177" s="191" t="s">
        <v>490</v>
      </c>
      <c r="D177" s="35">
        <v>2</v>
      </c>
      <c r="E177" s="35">
        <v>55</v>
      </c>
      <c r="F177" s="40" t="s">
        <v>633</v>
      </c>
      <c r="G177" s="43"/>
    </row>
    <row r="178" spans="1:7" ht="409.5" x14ac:dyDescent="0.25">
      <c r="A178" s="648"/>
      <c r="B178" s="651"/>
      <c r="C178" s="191" t="s">
        <v>491</v>
      </c>
      <c r="D178" s="35">
        <v>25</v>
      </c>
      <c r="E178" s="35">
        <v>78</v>
      </c>
      <c r="F178" s="189" t="s">
        <v>636</v>
      </c>
      <c r="G178" s="43"/>
    </row>
    <row r="179" spans="1:7" ht="121.5" x14ac:dyDescent="0.25">
      <c r="A179" s="646">
        <v>8</v>
      </c>
      <c r="B179" s="649" t="s">
        <v>38</v>
      </c>
      <c r="C179" s="191" t="s">
        <v>489</v>
      </c>
      <c r="D179" s="35">
        <v>5</v>
      </c>
      <c r="E179" s="35">
        <v>95</v>
      </c>
      <c r="F179" s="40" t="s">
        <v>635</v>
      </c>
      <c r="G179" s="43"/>
    </row>
    <row r="180" spans="1:7" ht="40.5" x14ac:dyDescent="0.25">
      <c r="A180" s="647"/>
      <c r="B180" s="650"/>
      <c r="C180" s="191" t="s">
        <v>490</v>
      </c>
      <c r="D180" s="35"/>
      <c r="E180" s="35"/>
      <c r="F180" s="40"/>
    </row>
    <row r="181" spans="1:7" ht="20.25" x14ac:dyDescent="0.25">
      <c r="A181" s="648"/>
      <c r="B181" s="651"/>
      <c r="C181" s="191" t="s">
        <v>491</v>
      </c>
      <c r="D181" s="35"/>
      <c r="E181" s="35"/>
      <c r="F181" s="40"/>
    </row>
    <row r="182" spans="1:7" ht="40.5" x14ac:dyDescent="0.25">
      <c r="A182" s="646">
        <v>9</v>
      </c>
      <c r="B182" s="649" t="s">
        <v>88</v>
      </c>
      <c r="C182" s="191" t="s">
        <v>489</v>
      </c>
      <c r="D182" s="35">
        <v>2</v>
      </c>
      <c r="E182" s="35">
        <v>568</v>
      </c>
      <c r="F182" s="40" t="s">
        <v>643</v>
      </c>
    </row>
    <row r="183" spans="1:7" ht="40.5" x14ac:dyDescent="0.25">
      <c r="A183" s="647"/>
      <c r="B183" s="650"/>
      <c r="C183" s="191" t="s">
        <v>490</v>
      </c>
      <c r="D183" s="35">
        <v>1</v>
      </c>
      <c r="E183" s="35">
        <v>10</v>
      </c>
      <c r="F183" s="40" t="s">
        <v>644</v>
      </c>
    </row>
    <row r="184" spans="1:7" ht="20.25" x14ac:dyDescent="0.25">
      <c r="A184" s="648"/>
      <c r="B184" s="651"/>
      <c r="C184" s="191" t="s">
        <v>491</v>
      </c>
      <c r="D184" s="35"/>
      <c r="E184" s="35"/>
      <c r="F184" s="40"/>
    </row>
    <row r="185" spans="1:7" ht="40.5" x14ac:dyDescent="0.25">
      <c r="A185" s="646">
        <v>10</v>
      </c>
      <c r="B185" s="649" t="s">
        <v>43</v>
      </c>
      <c r="C185" s="191" t="s">
        <v>489</v>
      </c>
      <c r="D185" s="35">
        <v>2</v>
      </c>
      <c r="E185" s="35">
        <v>274</v>
      </c>
      <c r="F185" s="40" t="s">
        <v>645</v>
      </c>
    </row>
    <row r="186" spans="1:7" ht="40.5" x14ac:dyDescent="0.25">
      <c r="A186" s="647"/>
      <c r="B186" s="650"/>
      <c r="C186" s="191" t="s">
        <v>490</v>
      </c>
      <c r="D186" s="35"/>
      <c r="E186" s="35"/>
      <c r="F186" s="40"/>
    </row>
    <row r="187" spans="1:7" ht="20.25" x14ac:dyDescent="0.25">
      <c r="A187" s="648"/>
      <c r="B187" s="651"/>
      <c r="C187" s="191" t="s">
        <v>491</v>
      </c>
      <c r="D187" s="35"/>
      <c r="E187" s="35"/>
      <c r="F187" s="40"/>
    </row>
    <row r="188" spans="1:7" ht="40.5" x14ac:dyDescent="0.25">
      <c r="A188" s="646">
        <v>11</v>
      </c>
      <c r="B188" s="649" t="s">
        <v>46</v>
      </c>
      <c r="C188" s="191" t="s">
        <v>489</v>
      </c>
      <c r="D188" s="35">
        <v>1</v>
      </c>
      <c r="E188" s="35">
        <v>80</v>
      </c>
      <c r="F188" s="40" t="s">
        <v>640</v>
      </c>
    </row>
    <row r="189" spans="1:7" ht="40.5" x14ac:dyDescent="0.25">
      <c r="A189" s="647"/>
      <c r="B189" s="650"/>
      <c r="C189" s="191" t="s">
        <v>490</v>
      </c>
      <c r="D189" s="35"/>
      <c r="E189" s="35"/>
      <c r="F189" s="40"/>
    </row>
    <row r="190" spans="1:7" ht="20.25" x14ac:dyDescent="0.25">
      <c r="A190" s="648"/>
      <c r="B190" s="651"/>
      <c r="C190" s="191" t="s">
        <v>491</v>
      </c>
      <c r="D190" s="35"/>
      <c r="E190" s="35"/>
      <c r="F190" s="40"/>
    </row>
    <row r="191" spans="1:7" ht="324" x14ac:dyDescent="0.25">
      <c r="A191" s="646">
        <v>12</v>
      </c>
      <c r="B191" s="649" t="s">
        <v>49</v>
      </c>
      <c r="C191" s="191" t="s">
        <v>489</v>
      </c>
      <c r="D191" s="35">
        <v>16</v>
      </c>
      <c r="E191" s="35">
        <v>1364</v>
      </c>
      <c r="F191" s="40" t="s">
        <v>650</v>
      </c>
    </row>
    <row r="192" spans="1:7" ht="40.5" x14ac:dyDescent="0.25">
      <c r="A192" s="647"/>
      <c r="B192" s="650"/>
      <c r="C192" s="191" t="s">
        <v>490</v>
      </c>
      <c r="D192" s="35"/>
      <c r="E192" s="35"/>
      <c r="F192" s="40"/>
    </row>
    <row r="193" spans="1:6" ht="20.25" x14ac:dyDescent="0.25">
      <c r="A193" s="648"/>
      <c r="B193" s="651"/>
      <c r="C193" s="191" t="s">
        <v>491</v>
      </c>
      <c r="D193" s="35"/>
      <c r="E193" s="35"/>
      <c r="F193" s="40"/>
    </row>
    <row r="194" spans="1:6" ht="141.75" x14ac:dyDescent="0.25">
      <c r="A194" s="646">
        <v>13</v>
      </c>
      <c r="B194" s="649" t="s">
        <v>52</v>
      </c>
      <c r="C194" s="191" t="s">
        <v>489</v>
      </c>
      <c r="D194" s="194">
        <v>5</v>
      </c>
      <c r="E194" s="194">
        <v>399</v>
      </c>
      <c r="F194" s="40" t="s">
        <v>648</v>
      </c>
    </row>
    <row r="195" spans="1:6" ht="40.5" x14ac:dyDescent="0.25">
      <c r="A195" s="647"/>
      <c r="B195" s="650"/>
      <c r="C195" s="191" t="s">
        <v>490</v>
      </c>
      <c r="D195" s="35"/>
      <c r="E195" s="35"/>
      <c r="F195" s="40"/>
    </row>
    <row r="196" spans="1:6" ht="101.25" x14ac:dyDescent="0.25">
      <c r="A196" s="648"/>
      <c r="B196" s="651"/>
      <c r="C196" s="191" t="s">
        <v>491</v>
      </c>
      <c r="D196" s="35">
        <v>5</v>
      </c>
      <c r="E196" s="35">
        <v>98</v>
      </c>
      <c r="F196" s="40" t="s">
        <v>649</v>
      </c>
    </row>
    <row r="197" spans="1:6" ht="40.5" x14ac:dyDescent="0.25">
      <c r="A197" s="646">
        <v>1</v>
      </c>
      <c r="B197" s="649" t="s">
        <v>83</v>
      </c>
      <c r="C197" s="191" t="s">
        <v>489</v>
      </c>
      <c r="D197" s="35"/>
      <c r="E197" s="35"/>
      <c r="F197" s="40"/>
    </row>
    <row r="198" spans="1:6" ht="40.5" x14ac:dyDescent="0.25">
      <c r="A198" s="647"/>
      <c r="B198" s="650"/>
      <c r="C198" s="191" t="s">
        <v>490</v>
      </c>
      <c r="D198" s="35"/>
      <c r="E198" s="35"/>
      <c r="F198" s="40"/>
    </row>
    <row r="199" spans="1:6" ht="364.5" x14ac:dyDescent="0.25">
      <c r="A199" s="648"/>
      <c r="B199" s="651"/>
      <c r="C199" s="191" t="s">
        <v>491</v>
      </c>
      <c r="D199" s="35">
        <v>20</v>
      </c>
      <c r="E199" s="35">
        <v>338</v>
      </c>
      <c r="F199" s="40" t="s">
        <v>629</v>
      </c>
    </row>
    <row r="200" spans="1:6" ht="40.5" x14ac:dyDescent="0.25">
      <c r="A200" s="646">
        <v>2</v>
      </c>
      <c r="B200" s="649" t="s">
        <v>20</v>
      </c>
      <c r="C200" s="191" t="s">
        <v>489</v>
      </c>
      <c r="D200" s="35">
        <v>1</v>
      </c>
      <c r="E200" s="35">
        <v>80</v>
      </c>
      <c r="F200" s="40" t="s">
        <v>625</v>
      </c>
    </row>
    <row r="201" spans="1:6" ht="40.5" x14ac:dyDescent="0.25">
      <c r="A201" s="647"/>
      <c r="B201" s="650"/>
      <c r="C201" s="191" t="s">
        <v>490</v>
      </c>
      <c r="D201" s="35">
        <v>1</v>
      </c>
      <c r="E201" s="35">
        <v>30</v>
      </c>
      <c r="F201" s="40" t="s">
        <v>624</v>
      </c>
    </row>
    <row r="202" spans="1:6" ht="20.25" x14ac:dyDescent="0.25">
      <c r="A202" s="648"/>
      <c r="B202" s="651"/>
      <c r="C202" s="191" t="s">
        <v>491</v>
      </c>
      <c r="D202" s="35"/>
      <c r="E202" s="35"/>
      <c r="F202" s="40"/>
    </row>
    <row r="203" spans="1:6" ht="121.5" x14ac:dyDescent="0.25">
      <c r="A203" s="646">
        <v>3</v>
      </c>
      <c r="B203" s="649" t="s">
        <v>23</v>
      </c>
      <c r="C203" s="191" t="s">
        <v>489</v>
      </c>
      <c r="D203" s="35">
        <v>6</v>
      </c>
      <c r="E203" s="35">
        <v>290</v>
      </c>
      <c r="F203" s="40" t="s">
        <v>616</v>
      </c>
    </row>
    <row r="204" spans="1:6" ht="40.5" x14ac:dyDescent="0.25">
      <c r="A204" s="647"/>
      <c r="B204" s="650"/>
      <c r="C204" s="191" t="s">
        <v>490</v>
      </c>
      <c r="D204" s="35"/>
      <c r="E204" s="35"/>
      <c r="F204" s="40"/>
    </row>
    <row r="205" spans="1:6" ht="20.25" x14ac:dyDescent="0.25">
      <c r="A205" s="648"/>
      <c r="B205" s="651"/>
      <c r="C205" s="191" t="s">
        <v>491</v>
      </c>
      <c r="D205" s="35"/>
      <c r="E205" s="35"/>
      <c r="F205" s="40"/>
    </row>
    <row r="206" spans="1:6" ht="60.75" x14ac:dyDescent="0.25">
      <c r="A206" s="646">
        <v>4</v>
      </c>
      <c r="B206" s="649" t="s">
        <v>165</v>
      </c>
      <c r="C206" s="191" t="s">
        <v>489</v>
      </c>
      <c r="D206" s="35">
        <v>3</v>
      </c>
      <c r="E206" s="35">
        <v>111</v>
      </c>
      <c r="F206" s="40" t="s">
        <v>618</v>
      </c>
    </row>
    <row r="207" spans="1:6" ht="40.5" x14ac:dyDescent="0.25">
      <c r="A207" s="647"/>
      <c r="B207" s="650"/>
      <c r="C207" s="191" t="s">
        <v>490</v>
      </c>
      <c r="D207" s="35"/>
      <c r="E207" s="35"/>
      <c r="F207" s="40"/>
    </row>
    <row r="208" spans="1:6" ht="101.25" x14ac:dyDescent="0.25">
      <c r="A208" s="648"/>
      <c r="B208" s="651"/>
      <c r="C208" s="191" t="s">
        <v>491</v>
      </c>
      <c r="D208" s="35">
        <v>5</v>
      </c>
      <c r="E208" s="35">
        <v>122</v>
      </c>
      <c r="F208" s="40" t="s">
        <v>617</v>
      </c>
    </row>
    <row r="209" spans="1:7" ht="40.5" x14ac:dyDescent="0.25">
      <c r="A209" s="646">
        <v>5</v>
      </c>
      <c r="B209" s="649" t="s">
        <v>25</v>
      </c>
      <c r="C209" s="191" t="s">
        <v>489</v>
      </c>
      <c r="D209" s="35">
        <v>2</v>
      </c>
      <c r="E209" s="35">
        <v>94</v>
      </c>
      <c r="F209" s="40" t="s">
        <v>608</v>
      </c>
    </row>
    <row r="210" spans="1:7" ht="40.5" x14ac:dyDescent="0.25">
      <c r="A210" s="647"/>
      <c r="B210" s="650"/>
      <c r="C210" s="191" t="s">
        <v>490</v>
      </c>
      <c r="D210" s="35">
        <v>1</v>
      </c>
      <c r="E210" s="35">
        <v>150</v>
      </c>
      <c r="F210" s="40" t="s">
        <v>609</v>
      </c>
    </row>
    <row r="211" spans="1:7" ht="20.25" x14ac:dyDescent="0.25">
      <c r="A211" s="648"/>
      <c r="B211" s="651"/>
      <c r="C211" s="191" t="s">
        <v>491</v>
      </c>
      <c r="D211" s="35">
        <v>1</v>
      </c>
      <c r="E211" s="35">
        <v>10</v>
      </c>
      <c r="F211" s="40" t="s">
        <v>610</v>
      </c>
    </row>
    <row r="212" spans="1:7" ht="306" x14ac:dyDescent="0.25">
      <c r="A212" s="646">
        <v>6</v>
      </c>
      <c r="B212" s="649" t="s">
        <v>28</v>
      </c>
      <c r="C212" s="191" t="s">
        <v>489</v>
      </c>
      <c r="D212" s="35">
        <v>20</v>
      </c>
      <c r="E212" s="35">
        <v>1504</v>
      </c>
      <c r="F212" s="193" t="s">
        <v>619</v>
      </c>
    </row>
    <row r="213" spans="1:7" ht="40.5" x14ac:dyDescent="0.25">
      <c r="A213" s="647"/>
      <c r="B213" s="650"/>
      <c r="C213" s="191" t="s">
        <v>490</v>
      </c>
      <c r="D213" s="35"/>
      <c r="E213" s="35"/>
      <c r="F213" s="40"/>
    </row>
    <row r="214" spans="1:7" ht="20.25" x14ac:dyDescent="0.25">
      <c r="A214" s="648"/>
      <c r="B214" s="651"/>
      <c r="C214" s="191" t="s">
        <v>491</v>
      </c>
      <c r="D214" s="35">
        <v>1</v>
      </c>
      <c r="E214" s="35">
        <v>600</v>
      </c>
      <c r="F214" s="40" t="s">
        <v>620</v>
      </c>
    </row>
    <row r="215" spans="1:7" ht="81" x14ac:dyDescent="0.25">
      <c r="A215" s="646">
        <v>7</v>
      </c>
      <c r="B215" s="649" t="s">
        <v>33</v>
      </c>
      <c r="C215" s="191" t="s">
        <v>489</v>
      </c>
      <c r="D215" s="35">
        <v>4</v>
      </c>
      <c r="E215" s="35">
        <v>1225</v>
      </c>
      <c r="F215" s="40" t="s">
        <v>605</v>
      </c>
    </row>
    <row r="216" spans="1:7" ht="263.25" x14ac:dyDescent="0.25">
      <c r="A216" s="647"/>
      <c r="B216" s="650"/>
      <c r="C216" s="191" t="s">
        <v>490</v>
      </c>
      <c r="D216" s="35">
        <v>14</v>
      </c>
      <c r="E216" s="35">
        <v>269</v>
      </c>
      <c r="F216" s="40" t="s">
        <v>606</v>
      </c>
      <c r="G216" s="43"/>
    </row>
    <row r="217" spans="1:7" ht="409.5" x14ac:dyDescent="0.25">
      <c r="A217" s="648"/>
      <c r="B217" s="651"/>
      <c r="C217" s="191" t="s">
        <v>491</v>
      </c>
      <c r="D217" s="35">
        <v>25</v>
      </c>
      <c r="E217" s="35">
        <v>374</v>
      </c>
      <c r="F217" s="189" t="s">
        <v>607</v>
      </c>
      <c r="G217" s="43"/>
    </row>
    <row r="218" spans="1:7" ht="40.5" x14ac:dyDescent="0.25">
      <c r="A218" s="646">
        <v>8</v>
      </c>
      <c r="B218" s="649" t="s">
        <v>38</v>
      </c>
      <c r="C218" s="191" t="s">
        <v>489</v>
      </c>
      <c r="D218" s="35">
        <v>2</v>
      </c>
      <c r="E218" s="35">
        <v>170</v>
      </c>
      <c r="F218" s="1" t="s">
        <v>615</v>
      </c>
      <c r="G218" s="43"/>
    </row>
    <row r="219" spans="1:7" ht="60.75" x14ac:dyDescent="0.25">
      <c r="A219" s="647"/>
      <c r="B219" s="650"/>
      <c r="C219" s="191" t="s">
        <v>490</v>
      </c>
      <c r="D219" s="35">
        <v>3</v>
      </c>
      <c r="E219" s="35">
        <v>70</v>
      </c>
      <c r="F219" s="40" t="s">
        <v>614</v>
      </c>
    </row>
    <row r="220" spans="1:7" ht="20.25" x14ac:dyDescent="0.25">
      <c r="A220" s="648"/>
      <c r="B220" s="651"/>
      <c r="C220" s="191" t="s">
        <v>491</v>
      </c>
      <c r="D220" s="35"/>
      <c r="E220" s="35"/>
      <c r="F220" s="40"/>
    </row>
    <row r="221" spans="1:7" ht="40.5" x14ac:dyDescent="0.25">
      <c r="A221" s="646">
        <v>9</v>
      </c>
      <c r="B221" s="649" t="s">
        <v>88</v>
      </c>
      <c r="C221" s="191" t="s">
        <v>489</v>
      </c>
      <c r="D221" s="35"/>
      <c r="E221" s="35"/>
      <c r="F221" s="40"/>
    </row>
    <row r="222" spans="1:7" ht="40.5" x14ac:dyDescent="0.25">
      <c r="A222" s="647"/>
      <c r="B222" s="650"/>
      <c r="C222" s="191" t="s">
        <v>490</v>
      </c>
      <c r="D222" s="35"/>
      <c r="E222" s="35"/>
      <c r="F222" s="40"/>
    </row>
    <row r="223" spans="1:7" ht="20.25" x14ac:dyDescent="0.25">
      <c r="A223" s="648"/>
      <c r="B223" s="651"/>
      <c r="C223" s="191" t="s">
        <v>491</v>
      </c>
      <c r="D223" s="35">
        <v>1</v>
      </c>
      <c r="E223" s="35">
        <v>10</v>
      </c>
      <c r="F223" s="40" t="s">
        <v>630</v>
      </c>
    </row>
    <row r="224" spans="1:7" ht="40.5" x14ac:dyDescent="0.25">
      <c r="A224" s="646">
        <v>10</v>
      </c>
      <c r="B224" s="649" t="s">
        <v>43</v>
      </c>
      <c r="C224" s="191" t="s">
        <v>489</v>
      </c>
      <c r="D224" s="35">
        <v>1</v>
      </c>
      <c r="E224" s="35">
        <v>150</v>
      </c>
      <c r="F224" s="40" t="s">
        <v>621</v>
      </c>
    </row>
    <row r="225" spans="1:6" ht="40.5" x14ac:dyDescent="0.25">
      <c r="A225" s="647"/>
      <c r="B225" s="650"/>
      <c r="C225" s="191" t="s">
        <v>490</v>
      </c>
      <c r="D225" s="35"/>
      <c r="E225" s="35"/>
      <c r="F225" s="40"/>
    </row>
    <row r="226" spans="1:6" ht="20.25" x14ac:dyDescent="0.25">
      <c r="A226" s="648"/>
      <c r="B226" s="651"/>
      <c r="C226" s="191" t="s">
        <v>491</v>
      </c>
      <c r="D226" s="35"/>
      <c r="E226" s="35"/>
      <c r="F226" s="40"/>
    </row>
    <row r="227" spans="1:6" ht="40.5" x14ac:dyDescent="0.25">
      <c r="A227" s="646">
        <v>11</v>
      </c>
      <c r="B227" s="649" t="s">
        <v>46</v>
      </c>
      <c r="C227" s="191" t="s">
        <v>489</v>
      </c>
      <c r="D227" s="190"/>
      <c r="E227" s="190"/>
      <c r="F227" s="40"/>
    </row>
    <row r="228" spans="1:6" ht="40.5" x14ac:dyDescent="0.25">
      <c r="A228" s="647"/>
      <c r="B228" s="650"/>
      <c r="C228" s="191" t="s">
        <v>490</v>
      </c>
      <c r="D228" s="35"/>
      <c r="E228" s="35"/>
      <c r="F228" s="40"/>
    </row>
    <row r="229" spans="1:6" ht="20.25" x14ac:dyDescent="0.25">
      <c r="A229" s="648"/>
      <c r="B229" s="651"/>
      <c r="C229" s="191" t="s">
        <v>491</v>
      </c>
      <c r="D229" s="35"/>
      <c r="E229" s="35"/>
      <c r="F229" s="40"/>
    </row>
    <row r="230" spans="1:6" ht="121.5" x14ac:dyDescent="0.25">
      <c r="A230" s="646">
        <v>12</v>
      </c>
      <c r="B230" s="649" t="s">
        <v>49</v>
      </c>
      <c r="C230" s="191" t="s">
        <v>489</v>
      </c>
      <c r="D230" s="35">
        <v>6</v>
      </c>
      <c r="E230" s="35">
        <v>205</v>
      </c>
      <c r="F230" s="40" t="s">
        <v>622</v>
      </c>
    </row>
    <row r="231" spans="1:6" ht="141.75" x14ac:dyDescent="0.25">
      <c r="A231" s="647"/>
      <c r="B231" s="650"/>
      <c r="C231" s="191" t="s">
        <v>490</v>
      </c>
      <c r="D231" s="35">
        <v>7</v>
      </c>
      <c r="E231" s="35">
        <v>143</v>
      </c>
      <c r="F231" s="40" t="s">
        <v>623</v>
      </c>
    </row>
    <row r="232" spans="1:6" ht="20.25" x14ac:dyDescent="0.25">
      <c r="A232" s="648"/>
      <c r="B232" s="651"/>
      <c r="C232" s="191" t="s">
        <v>491</v>
      </c>
      <c r="D232" s="35"/>
      <c r="E232" s="35"/>
      <c r="F232" s="40"/>
    </row>
    <row r="233" spans="1:6" ht="81" x14ac:dyDescent="0.25">
      <c r="A233" s="646">
        <v>13</v>
      </c>
      <c r="B233" s="649" t="s">
        <v>52</v>
      </c>
      <c r="C233" s="191" t="s">
        <v>489</v>
      </c>
      <c r="D233" s="194">
        <v>4</v>
      </c>
      <c r="E233" s="194">
        <v>368</v>
      </c>
      <c r="F233" s="40" t="s">
        <v>626</v>
      </c>
    </row>
    <row r="234" spans="1:6" ht="81" x14ac:dyDescent="0.25">
      <c r="A234" s="647"/>
      <c r="B234" s="650"/>
      <c r="C234" s="191" t="s">
        <v>490</v>
      </c>
      <c r="D234" s="35">
        <v>4</v>
      </c>
      <c r="E234" s="35">
        <v>109</v>
      </c>
      <c r="F234" s="40" t="s">
        <v>627</v>
      </c>
    </row>
    <row r="235" spans="1:6" ht="81" x14ac:dyDescent="0.25">
      <c r="A235" s="648"/>
      <c r="B235" s="651"/>
      <c r="C235" s="191" t="s">
        <v>491</v>
      </c>
      <c r="D235" s="35">
        <v>3</v>
      </c>
      <c r="E235" s="35">
        <v>18</v>
      </c>
      <c r="F235" s="40" t="s">
        <v>628</v>
      </c>
    </row>
    <row r="236" spans="1:6" ht="101.25" x14ac:dyDescent="0.25">
      <c r="A236" s="646">
        <v>1</v>
      </c>
      <c r="B236" s="649" t="s">
        <v>83</v>
      </c>
      <c r="C236" s="191" t="s">
        <v>489</v>
      </c>
      <c r="D236" s="35">
        <v>3</v>
      </c>
      <c r="E236" s="35">
        <v>281</v>
      </c>
      <c r="F236" s="40" t="s">
        <v>602</v>
      </c>
    </row>
    <row r="237" spans="1:6" ht="40.5" x14ac:dyDescent="0.25">
      <c r="A237" s="647"/>
      <c r="B237" s="650"/>
      <c r="C237" s="191" t="s">
        <v>490</v>
      </c>
      <c r="D237" s="35">
        <v>2</v>
      </c>
      <c r="E237" s="35">
        <v>390</v>
      </c>
      <c r="F237" s="40" t="s">
        <v>583</v>
      </c>
    </row>
    <row r="238" spans="1:6" ht="20.25" x14ac:dyDescent="0.25">
      <c r="A238" s="648"/>
      <c r="B238" s="651"/>
      <c r="C238" s="191" t="s">
        <v>491</v>
      </c>
      <c r="D238" s="35"/>
      <c r="E238" s="35"/>
      <c r="F238" s="40"/>
    </row>
    <row r="239" spans="1:6" ht="40.5" x14ac:dyDescent="0.25">
      <c r="A239" s="646">
        <v>2</v>
      </c>
      <c r="B239" s="649" t="s">
        <v>20</v>
      </c>
      <c r="C239" s="191" t="s">
        <v>489</v>
      </c>
      <c r="D239" s="35"/>
      <c r="E239" s="35"/>
      <c r="F239" s="40"/>
    </row>
    <row r="240" spans="1:6" ht="40.5" x14ac:dyDescent="0.25">
      <c r="A240" s="647"/>
      <c r="B240" s="650"/>
      <c r="C240" s="191" t="s">
        <v>490</v>
      </c>
      <c r="D240" s="35"/>
      <c r="E240" s="35"/>
      <c r="F240" s="40"/>
    </row>
    <row r="241" spans="1:7" ht="20.25" x14ac:dyDescent="0.25">
      <c r="A241" s="648"/>
      <c r="B241" s="651"/>
      <c r="C241" s="191" t="s">
        <v>491</v>
      </c>
      <c r="D241" s="35"/>
      <c r="E241" s="35"/>
      <c r="F241" s="40"/>
    </row>
    <row r="242" spans="1:7" ht="40.5" x14ac:dyDescent="0.25">
      <c r="A242" s="646">
        <v>3</v>
      </c>
      <c r="B242" s="649" t="s">
        <v>23</v>
      </c>
      <c r="C242" s="191" t="s">
        <v>489</v>
      </c>
      <c r="D242" s="35"/>
      <c r="E242" s="35"/>
      <c r="F242" s="40"/>
    </row>
    <row r="243" spans="1:7" ht="60.75" x14ac:dyDescent="0.25">
      <c r="A243" s="647"/>
      <c r="B243" s="650"/>
      <c r="C243" s="191" t="s">
        <v>490</v>
      </c>
      <c r="D243" s="35">
        <v>3</v>
      </c>
      <c r="E243" s="35">
        <v>107</v>
      </c>
      <c r="F243" s="40" t="s">
        <v>584</v>
      </c>
    </row>
    <row r="244" spans="1:7" ht="20.25" x14ac:dyDescent="0.25">
      <c r="A244" s="648"/>
      <c r="B244" s="651"/>
      <c r="C244" s="191" t="s">
        <v>491</v>
      </c>
      <c r="D244" s="35"/>
      <c r="E244" s="35"/>
      <c r="F244" s="40"/>
    </row>
    <row r="245" spans="1:7" ht="40.5" x14ac:dyDescent="0.25">
      <c r="A245" s="646">
        <v>4</v>
      </c>
      <c r="B245" s="649" t="s">
        <v>165</v>
      </c>
      <c r="C245" s="191" t="s">
        <v>489</v>
      </c>
      <c r="D245" s="35">
        <v>1</v>
      </c>
      <c r="E245" s="35">
        <v>80</v>
      </c>
      <c r="F245" s="40" t="s">
        <v>592</v>
      </c>
    </row>
    <row r="246" spans="1:7" ht="40.5" x14ac:dyDescent="0.25">
      <c r="A246" s="647"/>
      <c r="B246" s="650"/>
      <c r="C246" s="191" t="s">
        <v>490</v>
      </c>
      <c r="D246" s="35"/>
      <c r="E246" s="35"/>
      <c r="F246" s="40"/>
    </row>
    <row r="247" spans="1:7" ht="20.25" x14ac:dyDescent="0.25">
      <c r="A247" s="648"/>
      <c r="B247" s="651"/>
      <c r="C247" s="191" t="s">
        <v>491</v>
      </c>
      <c r="D247" s="35"/>
      <c r="E247" s="35"/>
      <c r="F247" s="40"/>
    </row>
    <row r="248" spans="1:7" ht="40.5" x14ac:dyDescent="0.25">
      <c r="A248" s="646">
        <v>5</v>
      </c>
      <c r="B248" s="649" t="s">
        <v>25</v>
      </c>
      <c r="C248" s="191" t="s">
        <v>489</v>
      </c>
      <c r="D248" s="35">
        <v>2</v>
      </c>
      <c r="E248" s="35">
        <v>22</v>
      </c>
      <c r="F248" s="40" t="s">
        <v>585</v>
      </c>
    </row>
    <row r="249" spans="1:7" ht="40.5" x14ac:dyDescent="0.25">
      <c r="A249" s="647"/>
      <c r="B249" s="650"/>
      <c r="C249" s="191" t="s">
        <v>490</v>
      </c>
      <c r="D249" s="35">
        <v>2</v>
      </c>
      <c r="E249" s="35">
        <v>260</v>
      </c>
      <c r="F249" s="40" t="s">
        <v>586</v>
      </c>
    </row>
    <row r="250" spans="1:7" ht="60.75" x14ac:dyDescent="0.25">
      <c r="A250" s="648"/>
      <c r="B250" s="651"/>
      <c r="C250" s="191" t="s">
        <v>491</v>
      </c>
      <c r="D250" s="35">
        <v>3</v>
      </c>
      <c r="E250" s="35">
        <v>41</v>
      </c>
      <c r="F250" s="40" t="s">
        <v>587</v>
      </c>
    </row>
    <row r="251" spans="1:7" ht="222.75" x14ac:dyDescent="0.25">
      <c r="A251" s="646">
        <v>6</v>
      </c>
      <c r="B251" s="649" t="s">
        <v>28</v>
      </c>
      <c r="C251" s="191" t="s">
        <v>489</v>
      </c>
      <c r="D251" s="35">
        <v>11</v>
      </c>
      <c r="E251" s="35">
        <v>1055</v>
      </c>
      <c r="F251" s="40" t="s">
        <v>598</v>
      </c>
    </row>
    <row r="252" spans="1:7" ht="40.5" x14ac:dyDescent="0.25">
      <c r="A252" s="647"/>
      <c r="B252" s="650"/>
      <c r="C252" s="191" t="s">
        <v>490</v>
      </c>
      <c r="D252" s="35">
        <v>2</v>
      </c>
      <c r="E252" s="35">
        <v>400</v>
      </c>
      <c r="F252" s="40" t="s">
        <v>599</v>
      </c>
    </row>
    <row r="253" spans="1:7" ht="20.25" x14ac:dyDescent="0.25">
      <c r="A253" s="648"/>
      <c r="B253" s="651"/>
      <c r="C253" s="191" t="s">
        <v>491</v>
      </c>
      <c r="D253" s="35"/>
      <c r="E253" s="35"/>
      <c r="F253" s="40"/>
    </row>
    <row r="254" spans="1:7" ht="141.75" x14ac:dyDescent="0.25">
      <c r="A254" s="646">
        <v>7</v>
      </c>
      <c r="B254" s="649" t="s">
        <v>33</v>
      </c>
      <c r="C254" s="191" t="s">
        <v>489</v>
      </c>
      <c r="D254" s="35">
        <v>7</v>
      </c>
      <c r="E254" s="35">
        <v>1227</v>
      </c>
      <c r="F254" s="40" t="s">
        <v>595</v>
      </c>
    </row>
    <row r="255" spans="1:7" ht="40.5" x14ac:dyDescent="0.25">
      <c r="A255" s="647"/>
      <c r="B255" s="650"/>
      <c r="C255" s="191" t="s">
        <v>490</v>
      </c>
      <c r="D255" s="35">
        <v>2</v>
      </c>
      <c r="E255" s="35">
        <v>300</v>
      </c>
      <c r="F255" s="40" t="s">
        <v>593</v>
      </c>
      <c r="G255" s="43"/>
    </row>
    <row r="256" spans="1:7" ht="409.5" x14ac:dyDescent="0.25">
      <c r="A256" s="648"/>
      <c r="B256" s="651"/>
      <c r="C256" s="191" t="s">
        <v>491</v>
      </c>
      <c r="D256" s="35">
        <v>4</v>
      </c>
      <c r="E256" s="35">
        <v>32</v>
      </c>
      <c r="F256" s="189" t="s">
        <v>594</v>
      </c>
      <c r="G256" s="43"/>
    </row>
    <row r="257" spans="1:7" ht="81" x14ac:dyDescent="0.25">
      <c r="A257" s="646">
        <v>8</v>
      </c>
      <c r="B257" s="649" t="s">
        <v>38</v>
      </c>
      <c r="C257" s="191" t="s">
        <v>489</v>
      </c>
      <c r="D257" s="35">
        <v>4</v>
      </c>
      <c r="E257" s="35">
        <v>260</v>
      </c>
      <c r="F257" s="1" t="s">
        <v>588</v>
      </c>
      <c r="G257" s="43"/>
    </row>
    <row r="258" spans="1:7" ht="40.5" x14ac:dyDescent="0.25">
      <c r="A258" s="647"/>
      <c r="B258" s="650"/>
      <c r="C258" s="191" t="s">
        <v>490</v>
      </c>
      <c r="D258" s="35"/>
      <c r="E258" s="35"/>
      <c r="F258" s="40"/>
    </row>
    <row r="259" spans="1:7" ht="20.25" x14ac:dyDescent="0.25">
      <c r="A259" s="648"/>
      <c r="B259" s="651"/>
      <c r="C259" s="191" t="s">
        <v>491</v>
      </c>
      <c r="D259" s="35"/>
      <c r="E259" s="35"/>
      <c r="F259" s="40"/>
    </row>
    <row r="260" spans="1:7" ht="40.5" x14ac:dyDescent="0.25">
      <c r="A260" s="646">
        <v>9</v>
      </c>
      <c r="B260" s="649" t="s">
        <v>88</v>
      </c>
      <c r="C260" s="191" t="s">
        <v>489</v>
      </c>
      <c r="D260" s="35">
        <v>1</v>
      </c>
      <c r="E260" s="35">
        <v>425</v>
      </c>
      <c r="F260" s="40" t="s">
        <v>600</v>
      </c>
    </row>
    <row r="261" spans="1:7" ht="40.5" x14ac:dyDescent="0.25">
      <c r="A261" s="647"/>
      <c r="B261" s="650"/>
      <c r="C261" s="191" t="s">
        <v>490</v>
      </c>
      <c r="D261" s="35"/>
      <c r="E261" s="35"/>
      <c r="F261" s="40"/>
    </row>
    <row r="262" spans="1:7" ht="20.25" x14ac:dyDescent="0.25">
      <c r="A262" s="648"/>
      <c r="B262" s="651"/>
      <c r="C262" s="191" t="s">
        <v>491</v>
      </c>
      <c r="D262" s="35"/>
      <c r="E262" s="35"/>
      <c r="F262" s="40"/>
    </row>
    <row r="263" spans="1:7" ht="60.75" x14ac:dyDescent="0.25">
      <c r="A263" s="646">
        <v>10</v>
      </c>
      <c r="B263" s="649" t="s">
        <v>43</v>
      </c>
      <c r="C263" s="191" t="s">
        <v>489</v>
      </c>
      <c r="D263" s="35">
        <v>2</v>
      </c>
      <c r="E263" s="35">
        <v>317</v>
      </c>
      <c r="F263" s="40" t="s">
        <v>582</v>
      </c>
    </row>
    <row r="264" spans="1:7" ht="40.5" x14ac:dyDescent="0.25">
      <c r="A264" s="647"/>
      <c r="B264" s="650"/>
      <c r="C264" s="191" t="s">
        <v>490</v>
      </c>
      <c r="D264" s="35">
        <v>2</v>
      </c>
      <c r="E264" s="35">
        <v>180</v>
      </c>
      <c r="F264" s="40" t="s">
        <v>581</v>
      </c>
    </row>
    <row r="265" spans="1:7" ht="20.25" x14ac:dyDescent="0.25">
      <c r="A265" s="648"/>
      <c r="B265" s="651"/>
      <c r="C265" s="191" t="s">
        <v>491</v>
      </c>
      <c r="D265" s="35"/>
      <c r="E265" s="35"/>
      <c r="F265" s="40"/>
    </row>
    <row r="266" spans="1:7" ht="40.5" x14ac:dyDescent="0.25">
      <c r="A266" s="646">
        <v>11</v>
      </c>
      <c r="B266" s="649" t="s">
        <v>46</v>
      </c>
      <c r="C266" s="191" t="s">
        <v>489</v>
      </c>
      <c r="D266" s="190"/>
      <c r="E266" s="190"/>
      <c r="F266" s="40"/>
    </row>
    <row r="267" spans="1:7" ht="40.5" x14ac:dyDescent="0.25">
      <c r="A267" s="647"/>
      <c r="B267" s="650"/>
      <c r="C267" s="191" t="s">
        <v>490</v>
      </c>
      <c r="D267" s="35">
        <v>1</v>
      </c>
      <c r="E267" s="35">
        <v>300</v>
      </c>
      <c r="F267" s="40" t="s">
        <v>580</v>
      </c>
    </row>
    <row r="268" spans="1:7" ht="20.25" x14ac:dyDescent="0.25">
      <c r="A268" s="648"/>
      <c r="B268" s="651"/>
      <c r="C268" s="191" t="s">
        <v>491</v>
      </c>
      <c r="D268" s="35"/>
      <c r="E268" s="35"/>
      <c r="F268" s="40"/>
    </row>
    <row r="269" spans="1:7" ht="121.5" x14ac:dyDescent="0.25">
      <c r="A269" s="646">
        <v>12</v>
      </c>
      <c r="B269" s="649" t="s">
        <v>49</v>
      </c>
      <c r="C269" s="191" t="s">
        <v>489</v>
      </c>
      <c r="D269" s="35">
        <v>6</v>
      </c>
      <c r="E269" s="35">
        <v>382</v>
      </c>
      <c r="F269" s="40" t="s">
        <v>590</v>
      </c>
    </row>
    <row r="270" spans="1:7" ht="243" x14ac:dyDescent="0.25">
      <c r="A270" s="647"/>
      <c r="B270" s="650"/>
      <c r="C270" s="191" t="s">
        <v>490</v>
      </c>
      <c r="D270" s="35">
        <v>11</v>
      </c>
      <c r="E270" s="35">
        <v>882</v>
      </c>
      <c r="F270" s="40" t="s">
        <v>591</v>
      </c>
    </row>
    <row r="271" spans="1:7" ht="40.5" x14ac:dyDescent="0.25">
      <c r="A271" s="648"/>
      <c r="B271" s="651"/>
      <c r="C271" s="191" t="s">
        <v>491</v>
      </c>
      <c r="D271" s="35">
        <v>2</v>
      </c>
      <c r="E271" s="35">
        <v>30</v>
      </c>
      <c r="F271" s="40" t="s">
        <v>589</v>
      </c>
    </row>
    <row r="272" spans="1:7" ht="60.75" x14ac:dyDescent="0.25">
      <c r="A272" s="646">
        <v>13</v>
      </c>
      <c r="B272" s="649" t="s">
        <v>52</v>
      </c>
      <c r="C272" s="191" t="s">
        <v>489</v>
      </c>
      <c r="D272" s="35">
        <v>3</v>
      </c>
      <c r="E272" s="35">
        <v>207</v>
      </c>
      <c r="F272" s="40" t="s">
        <v>596</v>
      </c>
    </row>
    <row r="273" spans="1:6" ht="81" x14ac:dyDescent="0.25">
      <c r="A273" s="647"/>
      <c r="B273" s="650"/>
      <c r="C273" s="191" t="s">
        <v>490</v>
      </c>
      <c r="D273" s="35">
        <v>3</v>
      </c>
      <c r="E273" s="35">
        <v>129</v>
      </c>
      <c r="F273" s="40" t="s">
        <v>597</v>
      </c>
    </row>
    <row r="274" spans="1:6" ht="162" x14ac:dyDescent="0.25">
      <c r="A274" s="648"/>
      <c r="B274" s="651"/>
      <c r="C274" s="191" t="s">
        <v>491</v>
      </c>
      <c r="D274" s="35">
        <v>6</v>
      </c>
      <c r="E274" s="35">
        <v>38</v>
      </c>
      <c r="F274" s="40" t="s">
        <v>601</v>
      </c>
    </row>
    <row r="275" spans="1:6" ht="40.5" x14ac:dyDescent="0.25">
      <c r="A275" s="515">
        <v>1</v>
      </c>
      <c r="B275" s="639" t="s">
        <v>83</v>
      </c>
      <c r="C275" s="240" t="s">
        <v>489</v>
      </c>
      <c r="D275" s="34">
        <v>1</v>
      </c>
      <c r="E275" s="34">
        <v>30</v>
      </c>
      <c r="F275" s="177" t="s">
        <v>506</v>
      </c>
    </row>
    <row r="276" spans="1:6" ht="40.5" x14ac:dyDescent="0.25">
      <c r="A276" s="638"/>
      <c r="B276" s="640"/>
      <c r="C276" s="240" t="s">
        <v>490</v>
      </c>
      <c r="D276" s="34">
        <v>1</v>
      </c>
      <c r="E276" s="34">
        <v>150</v>
      </c>
      <c r="F276" s="177" t="s">
        <v>472</v>
      </c>
    </row>
    <row r="277" spans="1:6" ht="121.5" x14ac:dyDescent="0.25">
      <c r="A277" s="516"/>
      <c r="B277" s="641"/>
      <c r="C277" s="240" t="s">
        <v>491</v>
      </c>
      <c r="D277" s="34">
        <v>6</v>
      </c>
      <c r="E277" s="34">
        <v>353</v>
      </c>
      <c r="F277" s="177" t="s">
        <v>473</v>
      </c>
    </row>
    <row r="278" spans="1:6" ht="40.5" x14ac:dyDescent="0.25">
      <c r="A278" s="515">
        <v>2</v>
      </c>
      <c r="B278" s="639" t="s">
        <v>20</v>
      </c>
      <c r="C278" s="240" t="s">
        <v>489</v>
      </c>
      <c r="D278" s="34">
        <v>1</v>
      </c>
      <c r="E278" s="34">
        <v>500</v>
      </c>
      <c r="F278" s="177" t="s">
        <v>503</v>
      </c>
    </row>
    <row r="279" spans="1:6" ht="40.5" x14ac:dyDescent="0.25">
      <c r="A279" s="638"/>
      <c r="B279" s="640"/>
      <c r="C279" s="240" t="s">
        <v>490</v>
      </c>
      <c r="D279" s="34"/>
      <c r="E279" s="34"/>
      <c r="F279" s="177"/>
    </row>
    <row r="280" spans="1:6" ht="40.5" x14ac:dyDescent="0.25">
      <c r="A280" s="516"/>
      <c r="B280" s="641"/>
      <c r="C280" s="240" t="s">
        <v>491</v>
      </c>
      <c r="D280" s="34">
        <v>2</v>
      </c>
      <c r="E280" s="34">
        <v>350</v>
      </c>
      <c r="F280" s="177" t="s">
        <v>474</v>
      </c>
    </row>
    <row r="281" spans="1:6" ht="40.5" x14ac:dyDescent="0.25">
      <c r="A281" s="515">
        <v>3</v>
      </c>
      <c r="B281" s="639" t="s">
        <v>23</v>
      </c>
      <c r="C281" s="240" t="s">
        <v>489</v>
      </c>
      <c r="D281" s="34">
        <v>1</v>
      </c>
      <c r="E281" s="34">
        <v>55</v>
      </c>
      <c r="F281" s="177" t="s">
        <v>480</v>
      </c>
    </row>
    <row r="282" spans="1:6" ht="60.75" x14ac:dyDescent="0.25">
      <c r="A282" s="638"/>
      <c r="B282" s="640"/>
      <c r="C282" s="240" t="s">
        <v>490</v>
      </c>
      <c r="D282" s="34">
        <v>2</v>
      </c>
      <c r="E282" s="34">
        <v>550</v>
      </c>
      <c r="F282" s="177" t="s">
        <v>481</v>
      </c>
    </row>
    <row r="283" spans="1:6" ht="20.25" x14ac:dyDescent="0.25">
      <c r="A283" s="516"/>
      <c r="B283" s="641"/>
      <c r="C283" s="240" t="s">
        <v>491</v>
      </c>
      <c r="D283" s="34"/>
      <c r="E283" s="34"/>
      <c r="F283" s="177"/>
    </row>
    <row r="284" spans="1:6" ht="60.75" x14ac:dyDescent="0.25">
      <c r="A284" s="515">
        <v>4</v>
      </c>
      <c r="B284" s="639" t="s">
        <v>165</v>
      </c>
      <c r="C284" s="240" t="s">
        <v>489</v>
      </c>
      <c r="D284" s="34">
        <v>3</v>
      </c>
      <c r="E284" s="34">
        <v>460</v>
      </c>
      <c r="F284" s="177" t="s">
        <v>475</v>
      </c>
    </row>
    <row r="285" spans="1:6" ht="101.25" x14ac:dyDescent="0.25">
      <c r="A285" s="638"/>
      <c r="B285" s="640"/>
      <c r="C285" s="240" t="s">
        <v>490</v>
      </c>
      <c r="D285" s="34">
        <v>5</v>
      </c>
      <c r="E285" s="34">
        <v>118</v>
      </c>
      <c r="F285" s="177" t="s">
        <v>476</v>
      </c>
    </row>
    <row r="286" spans="1:6" ht="101.25" x14ac:dyDescent="0.25">
      <c r="A286" s="516"/>
      <c r="B286" s="641"/>
      <c r="C286" s="240" t="s">
        <v>491</v>
      </c>
      <c r="D286" s="34">
        <v>5</v>
      </c>
      <c r="E286" s="34">
        <v>238</v>
      </c>
      <c r="F286" s="177" t="s">
        <v>477</v>
      </c>
    </row>
    <row r="287" spans="1:6" ht="40.5" x14ac:dyDescent="0.25">
      <c r="A287" s="515">
        <v>5</v>
      </c>
      <c r="B287" s="639" t="s">
        <v>25</v>
      </c>
      <c r="C287" s="240" t="s">
        <v>489</v>
      </c>
      <c r="D287" s="34"/>
      <c r="E287" s="34"/>
      <c r="F287" s="177"/>
    </row>
    <row r="288" spans="1:6" ht="40.5" x14ac:dyDescent="0.25">
      <c r="A288" s="638"/>
      <c r="B288" s="640"/>
      <c r="C288" s="240" t="s">
        <v>490</v>
      </c>
      <c r="D288" s="34">
        <v>2</v>
      </c>
      <c r="E288" s="34">
        <v>150</v>
      </c>
      <c r="F288" s="177" t="s">
        <v>482</v>
      </c>
    </row>
    <row r="289" spans="1:7" ht="60.75" x14ac:dyDescent="0.25">
      <c r="A289" s="516"/>
      <c r="B289" s="641"/>
      <c r="C289" s="240" t="s">
        <v>491</v>
      </c>
      <c r="D289" s="34">
        <v>3</v>
      </c>
      <c r="E289" s="34">
        <v>204</v>
      </c>
      <c r="F289" s="177" t="s">
        <v>483</v>
      </c>
    </row>
    <row r="290" spans="1:7" ht="409.5" x14ac:dyDescent="0.25">
      <c r="A290" s="515">
        <v>6</v>
      </c>
      <c r="B290" s="639" t="s">
        <v>28</v>
      </c>
      <c r="C290" s="240" t="s">
        <v>489</v>
      </c>
      <c r="D290" s="34">
        <v>22</v>
      </c>
      <c r="E290" s="34">
        <v>1685</v>
      </c>
      <c r="F290" s="177" t="s">
        <v>499</v>
      </c>
    </row>
    <row r="291" spans="1:7" ht="121.5" x14ac:dyDescent="0.25">
      <c r="A291" s="638"/>
      <c r="B291" s="640"/>
      <c r="C291" s="240" t="s">
        <v>490</v>
      </c>
      <c r="D291" s="34">
        <v>2</v>
      </c>
      <c r="E291" s="34">
        <v>400</v>
      </c>
      <c r="F291" s="177" t="s">
        <v>497</v>
      </c>
    </row>
    <row r="292" spans="1:7" ht="81" x14ac:dyDescent="0.25">
      <c r="A292" s="516"/>
      <c r="B292" s="641"/>
      <c r="C292" s="240" t="s">
        <v>491</v>
      </c>
      <c r="D292" s="34">
        <v>2</v>
      </c>
      <c r="E292" s="34">
        <v>270</v>
      </c>
      <c r="F292" s="177" t="s">
        <v>498</v>
      </c>
    </row>
    <row r="293" spans="1:7" ht="162" x14ac:dyDescent="0.25">
      <c r="A293" s="515">
        <v>7</v>
      </c>
      <c r="B293" s="639" t="s">
        <v>33</v>
      </c>
      <c r="C293" s="240" t="s">
        <v>489</v>
      </c>
      <c r="D293" s="34">
        <v>7</v>
      </c>
      <c r="E293" s="34">
        <v>1662</v>
      </c>
      <c r="F293" s="177" t="s">
        <v>484</v>
      </c>
    </row>
    <row r="294" spans="1:7" ht="222.75" x14ac:dyDescent="0.25">
      <c r="A294" s="638"/>
      <c r="B294" s="640"/>
      <c r="C294" s="240" t="s">
        <v>490</v>
      </c>
      <c r="D294" s="34">
        <v>8</v>
      </c>
      <c r="E294" s="34">
        <v>3601</v>
      </c>
      <c r="F294" s="177" t="s">
        <v>485</v>
      </c>
      <c r="G294" s="43"/>
    </row>
    <row r="295" spans="1:7" ht="409.5" x14ac:dyDescent="0.25">
      <c r="A295" s="516"/>
      <c r="B295" s="641"/>
      <c r="C295" s="240" t="s">
        <v>491</v>
      </c>
      <c r="D295" s="34">
        <v>23</v>
      </c>
      <c r="E295" s="34">
        <v>553</v>
      </c>
      <c r="F295" s="178" t="s">
        <v>486</v>
      </c>
      <c r="G295" s="43"/>
    </row>
    <row r="296" spans="1:7" ht="40.5" x14ac:dyDescent="0.25">
      <c r="A296" s="515">
        <v>8</v>
      </c>
      <c r="B296" s="639" t="s">
        <v>38</v>
      </c>
      <c r="C296" s="240" t="s">
        <v>489</v>
      </c>
      <c r="D296" s="34">
        <v>2</v>
      </c>
      <c r="E296" s="34">
        <v>275</v>
      </c>
      <c r="F296" s="179" t="s">
        <v>479</v>
      </c>
      <c r="G296" s="43"/>
    </row>
    <row r="297" spans="1:7" ht="81" x14ac:dyDescent="0.25">
      <c r="A297" s="638"/>
      <c r="B297" s="640"/>
      <c r="C297" s="240" t="s">
        <v>490</v>
      </c>
      <c r="D297" s="34">
        <v>4</v>
      </c>
      <c r="E297" s="34">
        <v>115</v>
      </c>
      <c r="F297" s="177" t="s">
        <v>478</v>
      </c>
    </row>
    <row r="298" spans="1:7" ht="20.25" x14ac:dyDescent="0.25">
      <c r="A298" s="516"/>
      <c r="B298" s="641"/>
      <c r="C298" s="240" t="s">
        <v>491</v>
      </c>
      <c r="D298" s="34"/>
      <c r="E298" s="34"/>
      <c r="F298" s="177"/>
    </row>
    <row r="299" spans="1:7" ht="60.75" x14ac:dyDescent="0.25">
      <c r="A299" s="515">
        <v>9</v>
      </c>
      <c r="B299" s="639" t="s">
        <v>88</v>
      </c>
      <c r="C299" s="240" t="s">
        <v>489</v>
      </c>
      <c r="D299" s="34">
        <v>3</v>
      </c>
      <c r="E299" s="34">
        <v>540</v>
      </c>
      <c r="F299" s="177" t="s">
        <v>500</v>
      </c>
    </row>
    <row r="300" spans="1:7" ht="40.5" x14ac:dyDescent="0.25">
      <c r="A300" s="638"/>
      <c r="B300" s="640"/>
      <c r="C300" s="240" t="s">
        <v>490</v>
      </c>
      <c r="D300" s="34">
        <v>2</v>
      </c>
      <c r="E300" s="34">
        <v>33</v>
      </c>
      <c r="F300" s="177" t="s">
        <v>501</v>
      </c>
    </row>
    <row r="301" spans="1:7" ht="20.25" x14ac:dyDescent="0.25">
      <c r="A301" s="516"/>
      <c r="B301" s="641"/>
      <c r="C301" s="240" t="s">
        <v>491</v>
      </c>
      <c r="D301" s="34"/>
      <c r="E301" s="34"/>
      <c r="F301" s="177"/>
    </row>
    <row r="302" spans="1:7" ht="40.5" x14ac:dyDescent="0.25">
      <c r="A302" s="515">
        <v>10</v>
      </c>
      <c r="B302" s="639" t="s">
        <v>43</v>
      </c>
      <c r="C302" s="240" t="s">
        <v>489</v>
      </c>
      <c r="D302" s="34">
        <v>2</v>
      </c>
      <c r="E302" s="34">
        <v>245</v>
      </c>
      <c r="F302" s="177" t="s">
        <v>487</v>
      </c>
    </row>
    <row r="303" spans="1:7" ht="40.5" x14ac:dyDescent="0.25">
      <c r="A303" s="638"/>
      <c r="B303" s="640"/>
      <c r="C303" s="240" t="s">
        <v>490</v>
      </c>
      <c r="D303" s="34">
        <v>1</v>
      </c>
      <c r="E303" s="34">
        <v>126</v>
      </c>
      <c r="F303" s="177" t="s">
        <v>488</v>
      </c>
    </row>
    <row r="304" spans="1:7" ht="20.25" x14ac:dyDescent="0.25">
      <c r="A304" s="516"/>
      <c r="B304" s="641"/>
      <c r="C304" s="240" t="s">
        <v>491</v>
      </c>
      <c r="D304" s="34"/>
      <c r="E304" s="34"/>
      <c r="F304" s="177"/>
    </row>
    <row r="305" spans="1:6" ht="40.5" x14ac:dyDescent="0.25">
      <c r="A305" s="515">
        <v>11</v>
      </c>
      <c r="B305" s="639" t="s">
        <v>46</v>
      </c>
      <c r="C305" s="240" t="s">
        <v>489</v>
      </c>
      <c r="D305" s="34">
        <v>1</v>
      </c>
      <c r="E305" s="34">
        <v>35</v>
      </c>
      <c r="F305" s="177" t="s">
        <v>471</v>
      </c>
    </row>
    <row r="306" spans="1:6" ht="40.5" x14ac:dyDescent="0.25">
      <c r="A306" s="638"/>
      <c r="B306" s="640"/>
      <c r="C306" s="240" t="s">
        <v>490</v>
      </c>
      <c r="D306" s="34">
        <v>1</v>
      </c>
      <c r="E306" s="34">
        <v>150</v>
      </c>
      <c r="F306" s="177" t="s">
        <v>470</v>
      </c>
    </row>
    <row r="307" spans="1:6" ht="20.25" x14ac:dyDescent="0.25">
      <c r="A307" s="516"/>
      <c r="B307" s="641"/>
      <c r="C307" s="240" t="s">
        <v>491</v>
      </c>
      <c r="D307" s="34"/>
      <c r="E307" s="34"/>
      <c r="F307" s="177"/>
    </row>
    <row r="308" spans="1:6" ht="101.25" x14ac:dyDescent="0.25">
      <c r="A308" s="515">
        <v>12</v>
      </c>
      <c r="B308" s="639" t="s">
        <v>49</v>
      </c>
      <c r="C308" s="240" t="s">
        <v>489</v>
      </c>
      <c r="D308" s="34">
        <v>4</v>
      </c>
      <c r="E308" s="34">
        <v>430</v>
      </c>
      <c r="F308" s="177" t="s">
        <v>492</v>
      </c>
    </row>
    <row r="309" spans="1:6" ht="409.5" x14ac:dyDescent="0.25">
      <c r="A309" s="638"/>
      <c r="B309" s="640"/>
      <c r="C309" s="240" t="s">
        <v>490</v>
      </c>
      <c r="D309" s="34">
        <v>21</v>
      </c>
      <c r="E309" s="34">
        <v>1435</v>
      </c>
      <c r="F309" s="177" t="s">
        <v>493</v>
      </c>
    </row>
    <row r="310" spans="1:6" ht="20.25" x14ac:dyDescent="0.25">
      <c r="A310" s="516"/>
      <c r="B310" s="641"/>
      <c r="C310" s="240" t="s">
        <v>491</v>
      </c>
      <c r="D310" s="34"/>
      <c r="E310" s="34"/>
      <c r="F310" s="177"/>
    </row>
    <row r="311" spans="1:6" ht="162" x14ac:dyDescent="0.25">
      <c r="A311" s="515">
        <v>13</v>
      </c>
      <c r="B311" s="639" t="s">
        <v>52</v>
      </c>
      <c r="C311" s="240" t="s">
        <v>489</v>
      </c>
      <c r="D311" s="34">
        <v>8</v>
      </c>
      <c r="E311" s="34">
        <v>1010</v>
      </c>
      <c r="F311" s="177" t="s">
        <v>494</v>
      </c>
    </row>
    <row r="312" spans="1:6" ht="222.75" x14ac:dyDescent="0.25">
      <c r="A312" s="638"/>
      <c r="B312" s="640"/>
      <c r="C312" s="240" t="s">
        <v>490</v>
      </c>
      <c r="D312" s="34">
        <v>17</v>
      </c>
      <c r="E312" s="34">
        <v>984</v>
      </c>
      <c r="F312" s="177" t="s">
        <v>495</v>
      </c>
    </row>
    <row r="313" spans="1:6" ht="162" x14ac:dyDescent="0.25">
      <c r="A313" s="516"/>
      <c r="B313" s="641"/>
      <c r="C313" s="240" t="s">
        <v>491</v>
      </c>
      <c r="D313" s="34">
        <v>7</v>
      </c>
      <c r="E313" s="34">
        <v>278</v>
      </c>
      <c r="F313" s="177" t="s">
        <v>496</v>
      </c>
    </row>
    <row r="314" spans="1:6" x14ac:dyDescent="0.25">
      <c r="A314" s="487">
        <v>1</v>
      </c>
      <c r="B314" s="643" t="s">
        <v>83</v>
      </c>
      <c r="C314" s="175" t="s">
        <v>489</v>
      </c>
      <c r="D314" s="93"/>
      <c r="E314" s="93"/>
      <c r="F314" s="161"/>
    </row>
    <row r="315" spans="1:6" ht="37.5" x14ac:dyDescent="0.25">
      <c r="A315" s="488"/>
      <c r="B315" s="644"/>
      <c r="C315" s="175" t="s">
        <v>490</v>
      </c>
      <c r="D315" s="93"/>
      <c r="E315" s="93"/>
      <c r="F315" s="161"/>
    </row>
    <row r="316" spans="1:6" x14ac:dyDescent="0.25">
      <c r="A316" s="489"/>
      <c r="B316" s="645"/>
      <c r="C316" s="175" t="s">
        <v>491</v>
      </c>
      <c r="D316" s="93">
        <v>1</v>
      </c>
      <c r="E316" s="93">
        <v>20</v>
      </c>
      <c r="F316" s="161" t="s">
        <v>464</v>
      </c>
    </row>
    <row r="317" spans="1:6" x14ac:dyDescent="0.25">
      <c r="A317" s="487">
        <v>2</v>
      </c>
      <c r="B317" s="643" t="s">
        <v>20</v>
      </c>
      <c r="C317" s="175" t="s">
        <v>489</v>
      </c>
      <c r="D317" s="93">
        <v>1</v>
      </c>
      <c r="E317" s="93">
        <v>50</v>
      </c>
      <c r="F317" s="161" t="s">
        <v>461</v>
      </c>
    </row>
    <row r="318" spans="1:6" ht="37.5" x14ac:dyDescent="0.25">
      <c r="A318" s="488"/>
      <c r="B318" s="644"/>
      <c r="C318" s="175" t="s">
        <v>490</v>
      </c>
      <c r="D318" s="93"/>
      <c r="E318" s="93"/>
      <c r="F318" s="161"/>
    </row>
    <row r="319" spans="1:6" x14ac:dyDescent="0.25">
      <c r="A319" s="489"/>
      <c r="B319" s="645"/>
      <c r="C319" s="175" t="s">
        <v>491</v>
      </c>
      <c r="D319" s="93"/>
      <c r="E319" s="93"/>
      <c r="F319" s="161"/>
    </row>
    <row r="320" spans="1:6" x14ac:dyDescent="0.25">
      <c r="A320" s="487">
        <v>3</v>
      </c>
      <c r="B320" s="643" t="s">
        <v>23</v>
      </c>
      <c r="C320" s="175" t="s">
        <v>489</v>
      </c>
      <c r="D320" s="93">
        <v>1</v>
      </c>
      <c r="E320" s="93">
        <v>155</v>
      </c>
      <c r="F320" s="161" t="s">
        <v>459</v>
      </c>
    </row>
    <row r="321" spans="1:7" ht="37.5" x14ac:dyDescent="0.25">
      <c r="A321" s="488"/>
      <c r="B321" s="644"/>
      <c r="C321" s="175" t="s">
        <v>490</v>
      </c>
      <c r="D321" s="93">
        <v>1</v>
      </c>
      <c r="E321" s="93">
        <v>300</v>
      </c>
      <c r="F321" s="161" t="s">
        <v>460</v>
      </c>
    </row>
    <row r="322" spans="1:7" x14ac:dyDescent="0.25">
      <c r="A322" s="489"/>
      <c r="B322" s="645"/>
      <c r="C322" s="175" t="s">
        <v>491</v>
      </c>
      <c r="D322" s="93"/>
      <c r="E322" s="93"/>
      <c r="F322" s="161"/>
    </row>
    <row r="323" spans="1:7" ht="37.5" x14ac:dyDescent="0.25">
      <c r="A323" s="487">
        <v>4</v>
      </c>
      <c r="B323" s="643" t="s">
        <v>165</v>
      </c>
      <c r="C323" s="175" t="s">
        <v>489</v>
      </c>
      <c r="D323" s="93">
        <v>1</v>
      </c>
      <c r="E323" s="93">
        <v>80</v>
      </c>
      <c r="F323" s="161" t="s">
        <v>444</v>
      </c>
    </row>
    <row r="324" spans="1:7" ht="37.5" x14ac:dyDescent="0.25">
      <c r="A324" s="488"/>
      <c r="B324" s="644"/>
      <c r="C324" s="175" t="s">
        <v>490</v>
      </c>
      <c r="D324" s="93">
        <v>2</v>
      </c>
      <c r="E324" s="93">
        <v>145</v>
      </c>
      <c r="F324" s="161" t="s">
        <v>445</v>
      </c>
    </row>
    <row r="325" spans="1:7" x14ac:dyDescent="0.25">
      <c r="A325" s="489"/>
      <c r="B325" s="645"/>
      <c r="C325" s="175" t="s">
        <v>491</v>
      </c>
      <c r="D325" s="93"/>
      <c r="E325" s="93"/>
      <c r="F325" s="161"/>
    </row>
    <row r="326" spans="1:7" ht="37.5" x14ac:dyDescent="0.25">
      <c r="A326" s="487">
        <v>5</v>
      </c>
      <c r="B326" s="643" t="s">
        <v>25</v>
      </c>
      <c r="C326" s="175" t="s">
        <v>489</v>
      </c>
      <c r="D326" s="93">
        <v>2</v>
      </c>
      <c r="E326" s="93">
        <v>175</v>
      </c>
      <c r="F326" s="161" t="s">
        <v>446</v>
      </c>
    </row>
    <row r="327" spans="1:7" ht="37.5" x14ac:dyDescent="0.25">
      <c r="A327" s="488"/>
      <c r="B327" s="644"/>
      <c r="C327" s="175" t="s">
        <v>490</v>
      </c>
      <c r="D327" s="93">
        <v>2</v>
      </c>
      <c r="E327" s="93">
        <v>150</v>
      </c>
      <c r="F327" s="161" t="s">
        <v>447</v>
      </c>
    </row>
    <row r="328" spans="1:7" ht="75" x14ac:dyDescent="0.25">
      <c r="A328" s="489"/>
      <c r="B328" s="645"/>
      <c r="C328" s="175" t="s">
        <v>491</v>
      </c>
      <c r="D328" s="93">
        <v>4</v>
      </c>
      <c r="E328" s="93">
        <v>119</v>
      </c>
      <c r="F328" s="161" t="s">
        <v>448</v>
      </c>
    </row>
    <row r="329" spans="1:7" ht="206.25" x14ac:dyDescent="0.25">
      <c r="A329" s="487">
        <v>6</v>
      </c>
      <c r="B329" s="643" t="s">
        <v>28</v>
      </c>
      <c r="C329" s="175" t="s">
        <v>489</v>
      </c>
      <c r="D329" s="93">
        <v>11</v>
      </c>
      <c r="E329" s="93">
        <v>1676</v>
      </c>
      <c r="F329" s="161" t="s">
        <v>441</v>
      </c>
    </row>
    <row r="330" spans="1:7" ht="37.5" x14ac:dyDescent="0.25">
      <c r="A330" s="488"/>
      <c r="B330" s="644"/>
      <c r="C330" s="175" t="s">
        <v>490</v>
      </c>
      <c r="D330" s="93">
        <v>1</v>
      </c>
      <c r="E330" s="93">
        <v>105</v>
      </c>
      <c r="F330" s="161" t="s">
        <v>442</v>
      </c>
    </row>
    <row r="331" spans="1:7" x14ac:dyDescent="0.25">
      <c r="A331" s="489"/>
      <c r="B331" s="645"/>
      <c r="C331" s="175" t="s">
        <v>491</v>
      </c>
      <c r="D331" s="93">
        <v>1</v>
      </c>
      <c r="E331" s="93">
        <v>70</v>
      </c>
      <c r="F331" s="161" t="s">
        <v>443</v>
      </c>
    </row>
    <row r="332" spans="1:7" ht="75" x14ac:dyDescent="0.25">
      <c r="A332" s="487">
        <v>7</v>
      </c>
      <c r="B332" s="643" t="s">
        <v>33</v>
      </c>
      <c r="C332" s="175" t="s">
        <v>489</v>
      </c>
      <c r="D332" s="93">
        <v>4</v>
      </c>
      <c r="E332" s="93">
        <v>120</v>
      </c>
      <c r="F332" s="161" t="s">
        <v>451</v>
      </c>
    </row>
    <row r="333" spans="1:7" ht="112.5" x14ac:dyDescent="0.25">
      <c r="A333" s="488"/>
      <c r="B333" s="644"/>
      <c r="C333" s="175" t="s">
        <v>490</v>
      </c>
      <c r="D333" s="93">
        <v>6</v>
      </c>
      <c r="E333" s="93">
        <v>285</v>
      </c>
      <c r="F333" s="161" t="s">
        <v>450</v>
      </c>
      <c r="G333" s="43"/>
    </row>
    <row r="334" spans="1:7" ht="75" x14ac:dyDescent="0.25">
      <c r="A334" s="489"/>
      <c r="B334" s="645"/>
      <c r="C334" s="175" t="s">
        <v>491</v>
      </c>
      <c r="D334" s="93">
        <v>4</v>
      </c>
      <c r="E334" s="93">
        <v>81</v>
      </c>
      <c r="F334" s="171" t="s">
        <v>449</v>
      </c>
      <c r="G334" s="43"/>
    </row>
    <row r="335" spans="1:7" x14ac:dyDescent="0.25">
      <c r="A335" s="487">
        <v>8</v>
      </c>
      <c r="B335" s="643" t="s">
        <v>38</v>
      </c>
      <c r="C335" s="175" t="s">
        <v>489</v>
      </c>
      <c r="D335" s="93">
        <v>1</v>
      </c>
      <c r="E335" s="93">
        <v>30</v>
      </c>
      <c r="F335" s="166" t="s">
        <v>457</v>
      </c>
      <c r="G335" s="43"/>
    </row>
    <row r="336" spans="1:7" ht="56.25" x14ac:dyDescent="0.25">
      <c r="A336" s="488"/>
      <c r="B336" s="644"/>
      <c r="C336" s="175" t="s">
        <v>490</v>
      </c>
      <c r="D336" s="93">
        <v>3</v>
      </c>
      <c r="E336" s="93">
        <v>50</v>
      </c>
      <c r="F336" s="161" t="s">
        <v>458</v>
      </c>
    </row>
    <row r="337" spans="1:6" x14ac:dyDescent="0.25">
      <c r="A337" s="489"/>
      <c r="B337" s="645"/>
      <c r="C337" s="175" t="s">
        <v>491</v>
      </c>
      <c r="D337" s="93"/>
      <c r="E337" s="93"/>
      <c r="F337" s="161"/>
    </row>
    <row r="338" spans="1:6" x14ac:dyDescent="0.25">
      <c r="A338" s="487">
        <v>9</v>
      </c>
      <c r="B338" s="643" t="s">
        <v>88</v>
      </c>
      <c r="C338" s="175" t="s">
        <v>489</v>
      </c>
      <c r="D338" s="93"/>
      <c r="E338" s="93"/>
      <c r="F338" s="161"/>
    </row>
    <row r="339" spans="1:6" ht="56.25" x14ac:dyDescent="0.25">
      <c r="A339" s="488"/>
      <c r="B339" s="644"/>
      <c r="C339" s="175" t="s">
        <v>490</v>
      </c>
      <c r="D339" s="93">
        <v>4</v>
      </c>
      <c r="E339" s="93">
        <v>420</v>
      </c>
      <c r="F339" s="161" t="s">
        <v>466</v>
      </c>
    </row>
    <row r="340" spans="1:6" x14ac:dyDescent="0.25">
      <c r="A340" s="489"/>
      <c r="B340" s="645"/>
      <c r="C340" s="175" t="s">
        <v>491</v>
      </c>
      <c r="D340" s="93"/>
      <c r="E340" s="93"/>
      <c r="F340" s="161"/>
    </row>
    <row r="341" spans="1:6" ht="37.5" x14ac:dyDescent="0.25">
      <c r="A341" s="487">
        <v>10</v>
      </c>
      <c r="B341" s="643" t="s">
        <v>43</v>
      </c>
      <c r="C341" s="175" t="s">
        <v>489</v>
      </c>
      <c r="D341" s="93">
        <v>2</v>
      </c>
      <c r="E341" s="93">
        <v>335</v>
      </c>
      <c r="F341" s="161" t="s">
        <v>455</v>
      </c>
    </row>
    <row r="342" spans="1:6" ht="37.5" x14ac:dyDescent="0.25">
      <c r="A342" s="488"/>
      <c r="B342" s="644"/>
      <c r="C342" s="175" t="s">
        <v>490</v>
      </c>
      <c r="D342" s="93"/>
      <c r="E342" s="93"/>
      <c r="F342" s="161"/>
    </row>
    <row r="343" spans="1:6" x14ac:dyDescent="0.25">
      <c r="A343" s="489"/>
      <c r="B343" s="645"/>
      <c r="C343" s="175" t="s">
        <v>491</v>
      </c>
      <c r="D343" s="93"/>
      <c r="E343" s="93"/>
      <c r="F343" s="161"/>
    </row>
    <row r="344" spans="1:6" x14ac:dyDescent="0.25">
      <c r="A344" s="487">
        <v>11</v>
      </c>
      <c r="B344" s="643" t="s">
        <v>46</v>
      </c>
      <c r="C344" s="175" t="s">
        <v>489</v>
      </c>
      <c r="D344" s="93">
        <v>1</v>
      </c>
      <c r="E344" s="93">
        <v>60</v>
      </c>
      <c r="F344" s="161" t="s">
        <v>465</v>
      </c>
    </row>
    <row r="345" spans="1:6" ht="37.5" x14ac:dyDescent="0.25">
      <c r="A345" s="488"/>
      <c r="B345" s="644"/>
      <c r="C345" s="175" t="s">
        <v>490</v>
      </c>
      <c r="D345" s="93"/>
      <c r="E345" s="93"/>
      <c r="F345" s="161"/>
    </row>
    <row r="346" spans="1:6" x14ac:dyDescent="0.25">
      <c r="A346" s="489"/>
      <c r="B346" s="645"/>
      <c r="C346" s="175" t="s">
        <v>491</v>
      </c>
      <c r="D346" s="93"/>
      <c r="E346" s="93"/>
      <c r="F346" s="161"/>
    </row>
    <row r="347" spans="1:6" ht="75" x14ac:dyDescent="0.25">
      <c r="A347" s="487">
        <v>12</v>
      </c>
      <c r="B347" s="643" t="s">
        <v>49</v>
      </c>
      <c r="C347" s="175" t="s">
        <v>489</v>
      </c>
      <c r="D347" s="93">
        <v>4</v>
      </c>
      <c r="E347" s="93">
        <v>355</v>
      </c>
      <c r="F347" s="161" t="s">
        <v>462</v>
      </c>
    </row>
    <row r="348" spans="1:6" ht="112.5" x14ac:dyDescent="0.25">
      <c r="A348" s="488"/>
      <c r="B348" s="644"/>
      <c r="C348" s="175" t="s">
        <v>490</v>
      </c>
      <c r="D348" s="93">
        <v>6</v>
      </c>
      <c r="E348" s="93">
        <v>498</v>
      </c>
      <c r="F348" s="161" t="s">
        <v>463</v>
      </c>
    </row>
    <row r="349" spans="1:6" x14ac:dyDescent="0.25">
      <c r="A349" s="489"/>
      <c r="B349" s="645"/>
      <c r="C349" s="175" t="s">
        <v>491</v>
      </c>
      <c r="D349" s="93"/>
      <c r="E349" s="93"/>
      <c r="F349" s="161"/>
    </row>
    <row r="350" spans="1:6" ht="93.75" x14ac:dyDescent="0.25">
      <c r="A350" s="487">
        <v>13</v>
      </c>
      <c r="B350" s="643" t="s">
        <v>52</v>
      </c>
      <c r="C350" s="175" t="s">
        <v>489</v>
      </c>
      <c r="D350" s="93">
        <v>4</v>
      </c>
      <c r="E350" s="93">
        <v>650</v>
      </c>
      <c r="F350" s="161" t="s">
        <v>452</v>
      </c>
    </row>
    <row r="351" spans="1:6" ht="75" x14ac:dyDescent="0.25">
      <c r="A351" s="488"/>
      <c r="B351" s="644"/>
      <c r="C351" s="175" t="s">
        <v>490</v>
      </c>
      <c r="D351" s="93">
        <v>4</v>
      </c>
      <c r="E351" s="93">
        <v>204</v>
      </c>
      <c r="F351" s="161" t="s">
        <v>453</v>
      </c>
    </row>
    <row r="352" spans="1:6" ht="93.75" x14ac:dyDescent="0.25">
      <c r="A352" s="489"/>
      <c r="B352" s="645"/>
      <c r="C352" s="175" t="s">
        <v>491</v>
      </c>
      <c r="D352" s="93">
        <v>5</v>
      </c>
      <c r="E352" s="93">
        <v>218</v>
      </c>
      <c r="F352" s="161" t="s">
        <v>454</v>
      </c>
    </row>
    <row r="353" spans="1:6" x14ac:dyDescent="0.25">
      <c r="A353" s="487">
        <v>1</v>
      </c>
      <c r="B353" s="643" t="s">
        <v>83</v>
      </c>
      <c r="C353" s="175" t="s">
        <v>489</v>
      </c>
      <c r="D353" s="93"/>
      <c r="E353" s="93"/>
      <c r="F353" s="161"/>
    </row>
    <row r="354" spans="1:6" ht="37.5" x14ac:dyDescent="0.25">
      <c r="A354" s="488"/>
      <c r="B354" s="644"/>
      <c r="C354" s="175" t="s">
        <v>490</v>
      </c>
      <c r="D354" s="93"/>
      <c r="E354" s="93"/>
      <c r="F354" s="161"/>
    </row>
    <row r="355" spans="1:6" ht="37.5" x14ac:dyDescent="0.25">
      <c r="A355" s="489"/>
      <c r="B355" s="645"/>
      <c r="C355" s="175" t="s">
        <v>491</v>
      </c>
      <c r="D355" s="93">
        <v>1</v>
      </c>
      <c r="E355" s="93">
        <v>30</v>
      </c>
      <c r="F355" s="161" t="s">
        <v>436</v>
      </c>
    </row>
    <row r="356" spans="1:6" x14ac:dyDescent="0.25">
      <c r="A356" s="487">
        <v>2</v>
      </c>
      <c r="B356" s="643" t="s">
        <v>20</v>
      </c>
      <c r="C356" s="175" t="s">
        <v>489</v>
      </c>
      <c r="D356" s="93"/>
      <c r="E356" s="93"/>
      <c r="F356" s="161"/>
    </row>
    <row r="357" spans="1:6" ht="37.5" x14ac:dyDescent="0.25">
      <c r="A357" s="488"/>
      <c r="B357" s="644"/>
      <c r="C357" s="175" t="s">
        <v>490</v>
      </c>
      <c r="D357" s="93"/>
      <c r="E357" s="93"/>
      <c r="F357" s="161"/>
    </row>
    <row r="358" spans="1:6" x14ac:dyDescent="0.25">
      <c r="A358" s="489"/>
      <c r="B358" s="645"/>
      <c r="C358" s="175" t="s">
        <v>491</v>
      </c>
      <c r="D358" s="93"/>
      <c r="E358" s="93"/>
      <c r="F358" s="161"/>
    </row>
    <row r="359" spans="1:6" ht="37.5" x14ac:dyDescent="0.25">
      <c r="A359" s="487">
        <v>3</v>
      </c>
      <c r="B359" s="643" t="s">
        <v>23</v>
      </c>
      <c r="C359" s="175" t="s">
        <v>489</v>
      </c>
      <c r="D359" s="93">
        <v>2</v>
      </c>
      <c r="E359" s="93">
        <v>71</v>
      </c>
      <c r="F359" s="161" t="s">
        <v>418</v>
      </c>
    </row>
    <row r="360" spans="1:6" ht="112.5" x14ac:dyDescent="0.25">
      <c r="A360" s="488"/>
      <c r="B360" s="644"/>
      <c r="C360" s="175" t="s">
        <v>490</v>
      </c>
      <c r="D360" s="93">
        <v>4</v>
      </c>
      <c r="E360" s="93">
        <v>180</v>
      </c>
      <c r="F360" s="161" t="s">
        <v>419</v>
      </c>
    </row>
    <row r="361" spans="1:6" x14ac:dyDescent="0.25">
      <c r="A361" s="489"/>
      <c r="B361" s="645"/>
      <c r="C361" s="175" t="s">
        <v>491</v>
      </c>
      <c r="D361" s="93"/>
      <c r="E361" s="93"/>
      <c r="F361" s="161"/>
    </row>
    <row r="362" spans="1:6" x14ac:dyDescent="0.25">
      <c r="A362" s="487">
        <v>4</v>
      </c>
      <c r="B362" s="643" t="s">
        <v>165</v>
      </c>
      <c r="C362" s="175" t="s">
        <v>489</v>
      </c>
      <c r="D362" s="93">
        <v>1</v>
      </c>
      <c r="E362" s="93">
        <v>80</v>
      </c>
      <c r="F362" s="161" t="s">
        <v>420</v>
      </c>
    </row>
    <row r="363" spans="1:6" ht="37.5" x14ac:dyDescent="0.25">
      <c r="A363" s="488"/>
      <c r="B363" s="644"/>
      <c r="C363" s="175" t="s">
        <v>490</v>
      </c>
      <c r="D363" s="93"/>
      <c r="E363" s="93"/>
      <c r="F363" s="161"/>
    </row>
    <row r="364" spans="1:6" ht="37.5" x14ac:dyDescent="0.25">
      <c r="A364" s="489"/>
      <c r="B364" s="645"/>
      <c r="C364" s="175" t="s">
        <v>491</v>
      </c>
      <c r="D364" s="93">
        <v>2</v>
      </c>
      <c r="E364" s="93">
        <v>80</v>
      </c>
      <c r="F364" s="161" t="s">
        <v>421</v>
      </c>
    </row>
    <row r="365" spans="1:6" ht="37.5" x14ac:dyDescent="0.25">
      <c r="A365" s="487">
        <v>5</v>
      </c>
      <c r="B365" s="643" t="s">
        <v>25</v>
      </c>
      <c r="C365" s="175" t="s">
        <v>489</v>
      </c>
      <c r="D365" s="93">
        <v>2</v>
      </c>
      <c r="E365" s="93">
        <v>185</v>
      </c>
      <c r="F365" s="161" t="s">
        <v>416</v>
      </c>
    </row>
    <row r="366" spans="1:6" ht="37.5" x14ac:dyDescent="0.25">
      <c r="A366" s="488"/>
      <c r="B366" s="644"/>
      <c r="C366" s="175" t="s">
        <v>490</v>
      </c>
      <c r="D366" s="93">
        <v>7</v>
      </c>
      <c r="E366" s="93">
        <v>870</v>
      </c>
      <c r="F366" s="161"/>
    </row>
    <row r="367" spans="1:6" ht="75" x14ac:dyDescent="0.25">
      <c r="A367" s="489"/>
      <c r="B367" s="645"/>
      <c r="C367" s="175" t="s">
        <v>491</v>
      </c>
      <c r="D367" s="93">
        <v>4</v>
      </c>
      <c r="E367" s="93">
        <v>16</v>
      </c>
      <c r="F367" s="161" t="s">
        <v>417</v>
      </c>
    </row>
    <row r="368" spans="1:6" ht="75" x14ac:dyDescent="0.25">
      <c r="A368" s="487">
        <v>6</v>
      </c>
      <c r="B368" s="643" t="s">
        <v>28</v>
      </c>
      <c r="C368" s="175" t="s">
        <v>489</v>
      </c>
      <c r="D368" s="93">
        <v>4</v>
      </c>
      <c r="E368" s="93">
        <v>420</v>
      </c>
      <c r="F368" s="161" t="s">
        <v>424</v>
      </c>
    </row>
    <row r="369" spans="1:7" ht="206.25" x14ac:dyDescent="0.25">
      <c r="A369" s="488"/>
      <c r="B369" s="644"/>
      <c r="C369" s="175" t="s">
        <v>490</v>
      </c>
      <c r="D369" s="93">
        <v>14</v>
      </c>
      <c r="E369" s="93">
        <v>1770</v>
      </c>
      <c r="F369" s="161" t="s">
        <v>425</v>
      </c>
    </row>
    <row r="370" spans="1:7" x14ac:dyDescent="0.25">
      <c r="A370" s="489"/>
      <c r="B370" s="645"/>
      <c r="C370" s="175" t="s">
        <v>491</v>
      </c>
      <c r="D370" s="93"/>
      <c r="E370" s="93"/>
      <c r="F370" s="161"/>
    </row>
    <row r="371" spans="1:7" ht="75" x14ac:dyDescent="0.25">
      <c r="A371" s="487">
        <v>7</v>
      </c>
      <c r="B371" s="643" t="s">
        <v>33</v>
      </c>
      <c r="C371" s="175" t="s">
        <v>489</v>
      </c>
      <c r="D371" s="93">
        <v>4</v>
      </c>
      <c r="E371" s="93">
        <v>310</v>
      </c>
      <c r="F371" s="161" t="s">
        <v>426</v>
      </c>
    </row>
    <row r="372" spans="1:7" ht="93.75" x14ac:dyDescent="0.25">
      <c r="A372" s="488"/>
      <c r="B372" s="644"/>
      <c r="C372" s="175" t="s">
        <v>490</v>
      </c>
      <c r="D372" s="93">
        <v>5</v>
      </c>
      <c r="E372" s="93">
        <v>320</v>
      </c>
      <c r="F372" s="161" t="s">
        <v>428</v>
      </c>
      <c r="G372" s="43"/>
    </row>
    <row r="373" spans="1:7" ht="187.5" x14ac:dyDescent="0.25">
      <c r="A373" s="489"/>
      <c r="B373" s="645"/>
      <c r="C373" s="175" t="s">
        <v>491</v>
      </c>
      <c r="D373" s="93">
        <v>11</v>
      </c>
      <c r="E373" s="93">
        <v>231</v>
      </c>
      <c r="F373" s="161" t="s">
        <v>427</v>
      </c>
      <c r="G373" s="43"/>
    </row>
    <row r="374" spans="1:7" ht="37.5" x14ac:dyDescent="0.25">
      <c r="A374" s="487">
        <v>8</v>
      </c>
      <c r="B374" s="643" t="s">
        <v>38</v>
      </c>
      <c r="C374" s="175" t="s">
        <v>489</v>
      </c>
      <c r="D374" s="93">
        <v>2</v>
      </c>
      <c r="E374" s="93">
        <v>200</v>
      </c>
      <c r="F374" s="166" t="s">
        <v>429</v>
      </c>
      <c r="G374" s="43"/>
    </row>
    <row r="375" spans="1:7" ht="56.25" x14ac:dyDescent="0.25">
      <c r="A375" s="488"/>
      <c r="B375" s="644"/>
      <c r="C375" s="175" t="s">
        <v>490</v>
      </c>
      <c r="D375" s="93">
        <v>3</v>
      </c>
      <c r="E375" s="93">
        <v>60</v>
      </c>
      <c r="F375" s="161" t="s">
        <v>430</v>
      </c>
    </row>
    <row r="376" spans="1:7" x14ac:dyDescent="0.25">
      <c r="A376" s="489"/>
      <c r="B376" s="645"/>
      <c r="C376" s="175" t="s">
        <v>491</v>
      </c>
      <c r="D376" s="93"/>
      <c r="E376" s="93"/>
      <c r="F376" s="161"/>
    </row>
    <row r="377" spans="1:7" x14ac:dyDescent="0.25">
      <c r="A377" s="487">
        <v>9</v>
      </c>
      <c r="B377" s="643" t="s">
        <v>88</v>
      </c>
      <c r="C377" s="175" t="s">
        <v>489</v>
      </c>
      <c r="D377" s="93">
        <v>1</v>
      </c>
      <c r="E377" s="93">
        <v>85</v>
      </c>
      <c r="F377" s="161" t="s">
        <v>431</v>
      </c>
    </row>
    <row r="378" spans="1:7" ht="37.5" x14ac:dyDescent="0.25">
      <c r="A378" s="488"/>
      <c r="B378" s="644"/>
      <c r="C378" s="175" t="s">
        <v>490</v>
      </c>
      <c r="D378" s="93">
        <v>1</v>
      </c>
      <c r="E378" s="93">
        <v>8</v>
      </c>
      <c r="F378" s="161" t="s">
        <v>432</v>
      </c>
    </row>
    <row r="379" spans="1:7" x14ac:dyDescent="0.25">
      <c r="A379" s="489"/>
      <c r="B379" s="645"/>
      <c r="C379" s="175" t="s">
        <v>491</v>
      </c>
      <c r="D379" s="93"/>
      <c r="E379" s="93"/>
      <c r="F379" s="161"/>
    </row>
    <row r="380" spans="1:7" x14ac:dyDescent="0.25">
      <c r="A380" s="487">
        <v>10</v>
      </c>
      <c r="B380" s="643" t="s">
        <v>43</v>
      </c>
      <c r="C380" s="175" t="s">
        <v>489</v>
      </c>
      <c r="D380" s="93"/>
      <c r="E380" s="93"/>
      <c r="F380" s="161"/>
    </row>
    <row r="381" spans="1:7" ht="37.5" x14ac:dyDescent="0.25">
      <c r="A381" s="488"/>
      <c r="B381" s="644"/>
      <c r="C381" s="175" t="s">
        <v>490</v>
      </c>
      <c r="D381" s="93"/>
      <c r="E381" s="93"/>
      <c r="F381" s="161"/>
    </row>
    <row r="382" spans="1:7" x14ac:dyDescent="0.25">
      <c r="A382" s="489"/>
      <c r="B382" s="645"/>
      <c r="C382" s="175" t="s">
        <v>491</v>
      </c>
      <c r="D382" s="93"/>
      <c r="E382" s="93"/>
      <c r="F382" s="161"/>
    </row>
    <row r="383" spans="1:7" x14ac:dyDescent="0.25">
      <c r="A383" s="487">
        <v>11</v>
      </c>
      <c r="B383" s="643" t="s">
        <v>46</v>
      </c>
      <c r="C383" s="175" t="s">
        <v>489</v>
      </c>
      <c r="D383" s="93">
        <v>1</v>
      </c>
      <c r="E383" s="93">
        <v>60</v>
      </c>
      <c r="F383" s="161" t="s">
        <v>437</v>
      </c>
    </row>
    <row r="384" spans="1:7" ht="37.5" x14ac:dyDescent="0.25">
      <c r="A384" s="488"/>
      <c r="B384" s="644"/>
      <c r="C384" s="175" t="s">
        <v>490</v>
      </c>
      <c r="D384" s="93">
        <v>1</v>
      </c>
      <c r="E384" s="93">
        <v>15</v>
      </c>
      <c r="F384" s="161" t="s">
        <v>438</v>
      </c>
    </row>
    <row r="385" spans="1:6" ht="37.5" x14ac:dyDescent="0.25">
      <c r="A385" s="489"/>
      <c r="B385" s="645"/>
      <c r="C385" s="175" t="s">
        <v>491</v>
      </c>
      <c r="D385" s="93">
        <v>2</v>
      </c>
      <c r="E385" s="93">
        <v>25</v>
      </c>
      <c r="F385" s="161" t="s">
        <v>439</v>
      </c>
    </row>
    <row r="386" spans="1:6" ht="37.5" x14ac:dyDescent="0.25">
      <c r="A386" s="487">
        <v>12</v>
      </c>
      <c r="B386" s="643" t="s">
        <v>49</v>
      </c>
      <c r="C386" s="175" t="s">
        <v>489</v>
      </c>
      <c r="D386" s="93">
        <v>2</v>
      </c>
      <c r="E386" s="93">
        <v>405</v>
      </c>
      <c r="F386" s="161" t="s">
        <v>434</v>
      </c>
    </row>
    <row r="387" spans="1:6" ht="131.25" x14ac:dyDescent="0.25">
      <c r="A387" s="488"/>
      <c r="B387" s="644"/>
      <c r="C387" s="175" t="s">
        <v>490</v>
      </c>
      <c r="D387" s="93">
        <v>7</v>
      </c>
      <c r="E387" s="93">
        <v>603</v>
      </c>
      <c r="F387" s="161" t="s">
        <v>435</v>
      </c>
    </row>
    <row r="388" spans="1:6" x14ac:dyDescent="0.25">
      <c r="A388" s="489"/>
      <c r="B388" s="645"/>
      <c r="C388" s="175" t="s">
        <v>491</v>
      </c>
      <c r="D388" s="93"/>
      <c r="E388" s="93"/>
      <c r="F388" s="161"/>
    </row>
    <row r="389" spans="1:6" ht="112.5" x14ac:dyDescent="0.25">
      <c r="A389" s="487">
        <v>13</v>
      </c>
      <c r="B389" s="643" t="s">
        <v>52</v>
      </c>
      <c r="C389" s="175" t="s">
        <v>489</v>
      </c>
      <c r="D389" s="93">
        <v>6</v>
      </c>
      <c r="E389" s="93">
        <v>1105</v>
      </c>
      <c r="F389" s="161" t="s">
        <v>433</v>
      </c>
    </row>
    <row r="390" spans="1:6" ht="75" x14ac:dyDescent="0.25">
      <c r="A390" s="488"/>
      <c r="B390" s="644"/>
      <c r="C390" s="175" t="s">
        <v>490</v>
      </c>
      <c r="D390" s="93">
        <v>4</v>
      </c>
      <c r="E390" s="93">
        <v>159</v>
      </c>
      <c r="F390" s="161" t="s">
        <v>422</v>
      </c>
    </row>
    <row r="391" spans="1:6" ht="75" x14ac:dyDescent="0.25">
      <c r="A391" s="489"/>
      <c r="B391" s="645"/>
      <c r="C391" s="175" t="s">
        <v>491</v>
      </c>
      <c r="D391" s="93">
        <v>4</v>
      </c>
      <c r="E391" s="93">
        <v>176</v>
      </c>
      <c r="F391" s="161" t="s">
        <v>423</v>
      </c>
    </row>
    <row r="392" spans="1:6" x14ac:dyDescent="0.25">
      <c r="A392" s="487">
        <v>1</v>
      </c>
      <c r="B392" s="643" t="s">
        <v>83</v>
      </c>
      <c r="C392" s="175" t="s">
        <v>489</v>
      </c>
      <c r="D392" s="93"/>
      <c r="E392" s="93"/>
      <c r="F392" s="161"/>
    </row>
    <row r="393" spans="1:6" ht="37.5" x14ac:dyDescent="0.25">
      <c r="A393" s="488"/>
      <c r="B393" s="644"/>
      <c r="C393" s="175" t="s">
        <v>490</v>
      </c>
      <c r="D393" s="93"/>
      <c r="E393" s="93"/>
      <c r="F393" s="161"/>
    </row>
    <row r="394" spans="1:6" ht="75" x14ac:dyDescent="0.25">
      <c r="A394" s="489"/>
      <c r="B394" s="645"/>
      <c r="C394" s="175" t="s">
        <v>491</v>
      </c>
      <c r="D394" s="93">
        <v>4</v>
      </c>
      <c r="E394" s="93">
        <v>510</v>
      </c>
      <c r="F394" s="161" t="s">
        <v>393</v>
      </c>
    </row>
    <row r="395" spans="1:6" x14ac:dyDescent="0.25">
      <c r="A395" s="487">
        <v>2</v>
      </c>
      <c r="B395" s="643" t="s">
        <v>20</v>
      </c>
      <c r="C395" s="175" t="s">
        <v>489</v>
      </c>
      <c r="D395" s="93"/>
      <c r="E395" s="93"/>
      <c r="F395" s="161"/>
    </row>
    <row r="396" spans="1:6" ht="37.5" x14ac:dyDescent="0.25">
      <c r="A396" s="488"/>
      <c r="B396" s="644"/>
      <c r="C396" s="175" t="s">
        <v>490</v>
      </c>
      <c r="D396" s="93"/>
      <c r="E396" s="93"/>
      <c r="F396" s="161"/>
    </row>
    <row r="397" spans="1:6" x14ac:dyDescent="0.25">
      <c r="A397" s="489"/>
      <c r="B397" s="645"/>
      <c r="C397" s="175" t="s">
        <v>491</v>
      </c>
      <c r="D397" s="93"/>
      <c r="E397" s="93"/>
      <c r="F397" s="161"/>
    </row>
    <row r="398" spans="1:6" ht="37.5" x14ac:dyDescent="0.25">
      <c r="A398" s="487">
        <v>3</v>
      </c>
      <c r="B398" s="643" t="s">
        <v>23</v>
      </c>
      <c r="C398" s="175" t="s">
        <v>489</v>
      </c>
      <c r="D398" s="93">
        <v>2</v>
      </c>
      <c r="E398" s="93">
        <v>78</v>
      </c>
      <c r="F398" s="161" t="s">
        <v>387</v>
      </c>
    </row>
    <row r="399" spans="1:6" ht="37.5" x14ac:dyDescent="0.25">
      <c r="A399" s="488"/>
      <c r="B399" s="644"/>
      <c r="C399" s="175" t="s">
        <v>490</v>
      </c>
      <c r="D399" s="93">
        <v>2</v>
      </c>
      <c r="E399" s="93">
        <v>24</v>
      </c>
      <c r="F399" s="161" t="s">
        <v>388</v>
      </c>
    </row>
    <row r="400" spans="1:6" x14ac:dyDescent="0.25">
      <c r="A400" s="489"/>
      <c r="B400" s="645"/>
      <c r="C400" s="175" t="s">
        <v>491</v>
      </c>
      <c r="D400" s="93"/>
      <c r="E400" s="93"/>
      <c r="F400" s="161"/>
    </row>
    <row r="401" spans="1:7" x14ac:dyDescent="0.25">
      <c r="A401" s="487">
        <v>4</v>
      </c>
      <c r="B401" s="643" t="s">
        <v>165</v>
      </c>
      <c r="C401" s="175" t="s">
        <v>489</v>
      </c>
      <c r="D401" s="93">
        <v>1</v>
      </c>
      <c r="E401" s="93">
        <v>70</v>
      </c>
      <c r="F401" s="161" t="s">
        <v>389</v>
      </c>
    </row>
    <row r="402" spans="1:7" ht="37.5" x14ac:dyDescent="0.25">
      <c r="A402" s="488"/>
      <c r="B402" s="644"/>
      <c r="C402" s="175" t="s">
        <v>490</v>
      </c>
      <c r="D402" s="93"/>
      <c r="E402" s="93"/>
      <c r="F402" s="161"/>
    </row>
    <row r="403" spans="1:7" x14ac:dyDescent="0.25">
      <c r="A403" s="489"/>
      <c r="B403" s="645"/>
      <c r="C403" s="175" t="s">
        <v>491</v>
      </c>
      <c r="D403" s="93"/>
      <c r="E403" s="93"/>
      <c r="F403" s="161"/>
    </row>
    <row r="404" spans="1:7" ht="37.5" x14ac:dyDescent="0.25">
      <c r="A404" s="487">
        <v>5</v>
      </c>
      <c r="B404" s="643" t="s">
        <v>25</v>
      </c>
      <c r="C404" s="175" t="s">
        <v>489</v>
      </c>
      <c r="D404" s="93">
        <v>2</v>
      </c>
      <c r="E404" s="93">
        <v>205</v>
      </c>
      <c r="F404" s="161" t="s">
        <v>390</v>
      </c>
    </row>
    <row r="405" spans="1:7" ht="37.5" x14ac:dyDescent="0.25">
      <c r="A405" s="488"/>
      <c r="B405" s="644"/>
      <c r="C405" s="175" t="s">
        <v>490</v>
      </c>
      <c r="D405" s="93">
        <v>1</v>
      </c>
      <c r="E405" s="93">
        <v>150</v>
      </c>
      <c r="F405" s="161" t="s">
        <v>391</v>
      </c>
    </row>
    <row r="406" spans="1:7" ht="56.25" x14ac:dyDescent="0.25">
      <c r="A406" s="489"/>
      <c r="B406" s="645"/>
      <c r="C406" s="175" t="s">
        <v>491</v>
      </c>
      <c r="D406" s="93">
        <v>3</v>
      </c>
      <c r="E406" s="93">
        <v>15</v>
      </c>
      <c r="F406" s="161" t="s">
        <v>392</v>
      </c>
    </row>
    <row r="407" spans="1:7" ht="37.5" x14ac:dyDescent="0.25">
      <c r="A407" s="487">
        <v>6</v>
      </c>
      <c r="B407" s="643" t="s">
        <v>28</v>
      </c>
      <c r="C407" s="175" t="s">
        <v>489</v>
      </c>
      <c r="D407" s="93">
        <v>5</v>
      </c>
      <c r="E407" s="93">
        <v>335</v>
      </c>
      <c r="F407" s="161" t="s">
        <v>397</v>
      </c>
    </row>
    <row r="408" spans="1:7" ht="37.5" x14ac:dyDescent="0.25">
      <c r="A408" s="488"/>
      <c r="B408" s="644"/>
      <c r="C408" s="175" t="s">
        <v>490</v>
      </c>
      <c r="D408" s="93"/>
      <c r="E408" s="93"/>
      <c r="F408" s="161"/>
    </row>
    <row r="409" spans="1:7" x14ac:dyDescent="0.25">
      <c r="A409" s="489"/>
      <c r="B409" s="645"/>
      <c r="C409" s="175" t="s">
        <v>491</v>
      </c>
      <c r="D409" s="93"/>
      <c r="E409" s="93"/>
      <c r="F409" s="161"/>
    </row>
    <row r="410" spans="1:7" ht="93.75" x14ac:dyDescent="0.25">
      <c r="A410" s="487">
        <v>7</v>
      </c>
      <c r="B410" s="643" t="s">
        <v>33</v>
      </c>
      <c r="C410" s="175" t="s">
        <v>489</v>
      </c>
      <c r="D410" s="93">
        <v>5</v>
      </c>
      <c r="E410" s="93">
        <v>360</v>
      </c>
      <c r="F410" s="161" t="s">
        <v>396</v>
      </c>
    </row>
    <row r="411" spans="1:7" ht="206.25" x14ac:dyDescent="0.25">
      <c r="A411" s="488"/>
      <c r="B411" s="644"/>
      <c r="C411" s="175" t="s">
        <v>490</v>
      </c>
      <c r="D411" s="93">
        <v>11</v>
      </c>
      <c r="E411" s="93">
        <v>433</v>
      </c>
      <c r="F411" s="161" t="s">
        <v>394</v>
      </c>
      <c r="G411" s="43"/>
    </row>
    <row r="412" spans="1:7" ht="93.75" x14ac:dyDescent="0.25">
      <c r="A412" s="489"/>
      <c r="B412" s="645"/>
      <c r="C412" s="175" t="s">
        <v>491</v>
      </c>
      <c r="D412" s="93">
        <v>11</v>
      </c>
      <c r="E412" s="93">
        <v>360</v>
      </c>
      <c r="F412" s="161" t="s">
        <v>395</v>
      </c>
      <c r="G412" s="43"/>
    </row>
    <row r="413" spans="1:7" x14ac:dyDescent="0.25">
      <c r="A413" s="487">
        <v>8</v>
      </c>
      <c r="B413" s="643" t="s">
        <v>38</v>
      </c>
      <c r="C413" s="175" t="s">
        <v>489</v>
      </c>
      <c r="D413" s="93">
        <v>1</v>
      </c>
      <c r="E413" s="93">
        <v>190</v>
      </c>
      <c r="F413" s="164" t="s">
        <v>400</v>
      </c>
      <c r="G413" s="43"/>
    </row>
    <row r="414" spans="1:7" ht="37.5" x14ac:dyDescent="0.25">
      <c r="A414" s="488"/>
      <c r="B414" s="644"/>
      <c r="C414" s="175" t="s">
        <v>490</v>
      </c>
      <c r="D414" s="93">
        <v>2</v>
      </c>
      <c r="E414" s="93">
        <v>59</v>
      </c>
      <c r="F414" s="161" t="s">
        <v>399</v>
      </c>
    </row>
    <row r="415" spans="1:7" x14ac:dyDescent="0.25">
      <c r="A415" s="489"/>
      <c r="B415" s="645"/>
      <c r="C415" s="175" t="s">
        <v>491</v>
      </c>
      <c r="D415" s="93"/>
      <c r="E415" s="93"/>
      <c r="F415" s="161"/>
    </row>
    <row r="416" spans="1:7" x14ac:dyDescent="0.25">
      <c r="A416" s="487">
        <v>9</v>
      </c>
      <c r="B416" s="643" t="s">
        <v>88</v>
      </c>
      <c r="C416" s="175" t="s">
        <v>489</v>
      </c>
      <c r="D416" s="93"/>
      <c r="E416" s="93"/>
      <c r="F416" s="161"/>
    </row>
    <row r="417" spans="1:6" ht="37.5" x14ac:dyDescent="0.25">
      <c r="A417" s="488"/>
      <c r="B417" s="644"/>
      <c r="C417" s="175" t="s">
        <v>490</v>
      </c>
      <c r="D417" s="93">
        <v>3</v>
      </c>
      <c r="E417" s="93">
        <v>615</v>
      </c>
      <c r="F417" s="161" t="s">
        <v>398</v>
      </c>
    </row>
    <row r="418" spans="1:6" x14ac:dyDescent="0.25">
      <c r="A418" s="489"/>
      <c r="B418" s="645"/>
      <c r="C418" s="175" t="s">
        <v>491</v>
      </c>
      <c r="D418" s="93"/>
      <c r="E418" s="93"/>
      <c r="F418" s="161"/>
    </row>
    <row r="419" spans="1:6" x14ac:dyDescent="0.25">
      <c r="A419" s="487">
        <v>10</v>
      </c>
      <c r="B419" s="643" t="s">
        <v>43</v>
      </c>
      <c r="C419" s="175" t="s">
        <v>489</v>
      </c>
      <c r="D419" s="93">
        <v>1</v>
      </c>
      <c r="E419" s="93">
        <v>30</v>
      </c>
      <c r="F419" s="161" t="s">
        <v>401</v>
      </c>
    </row>
    <row r="420" spans="1:6" ht="37.5" x14ac:dyDescent="0.25">
      <c r="A420" s="488"/>
      <c r="B420" s="644"/>
      <c r="C420" s="175" t="s">
        <v>490</v>
      </c>
      <c r="D420" s="93"/>
      <c r="E420" s="93"/>
      <c r="F420" s="161"/>
    </row>
    <row r="421" spans="1:6" x14ac:dyDescent="0.25">
      <c r="A421" s="489"/>
      <c r="B421" s="645"/>
      <c r="C421" s="175" t="s">
        <v>491</v>
      </c>
      <c r="D421" s="93"/>
      <c r="E421" s="93"/>
      <c r="F421" s="161"/>
    </row>
    <row r="422" spans="1:6" x14ac:dyDescent="0.25">
      <c r="A422" s="487">
        <v>11</v>
      </c>
      <c r="B422" s="643" t="s">
        <v>46</v>
      </c>
      <c r="C422" s="175" t="s">
        <v>489</v>
      </c>
      <c r="D422" s="93">
        <v>1</v>
      </c>
      <c r="E422" s="93">
        <v>10</v>
      </c>
      <c r="F422" s="161" t="s">
        <v>412</v>
      </c>
    </row>
    <row r="423" spans="1:6" ht="37.5" x14ac:dyDescent="0.25">
      <c r="A423" s="488"/>
      <c r="B423" s="644"/>
      <c r="C423" s="175" t="s">
        <v>490</v>
      </c>
      <c r="D423" s="93">
        <v>1</v>
      </c>
      <c r="E423" s="93">
        <v>15</v>
      </c>
      <c r="F423" s="161" t="s">
        <v>413</v>
      </c>
    </row>
    <row r="424" spans="1:6" ht="37.5" x14ac:dyDescent="0.25">
      <c r="A424" s="489"/>
      <c r="B424" s="645"/>
      <c r="C424" s="175" t="s">
        <v>491</v>
      </c>
      <c r="D424" s="93">
        <v>2</v>
      </c>
      <c r="E424" s="93">
        <v>25</v>
      </c>
      <c r="F424" s="161" t="s">
        <v>414</v>
      </c>
    </row>
    <row r="425" spans="1:6" ht="56.25" x14ac:dyDescent="0.25">
      <c r="A425" s="487">
        <v>12</v>
      </c>
      <c r="B425" s="643" t="s">
        <v>49</v>
      </c>
      <c r="C425" s="175" t="s">
        <v>489</v>
      </c>
      <c r="D425" s="93">
        <v>3</v>
      </c>
      <c r="E425" s="93">
        <v>355</v>
      </c>
      <c r="F425" s="161" t="s">
        <v>406</v>
      </c>
    </row>
    <row r="426" spans="1:6" ht="131.25" x14ac:dyDescent="0.25">
      <c r="A426" s="488"/>
      <c r="B426" s="644"/>
      <c r="C426" s="175" t="s">
        <v>490</v>
      </c>
      <c r="D426" s="93">
        <v>9</v>
      </c>
      <c r="E426" s="93">
        <v>889</v>
      </c>
      <c r="F426" s="161" t="s">
        <v>407</v>
      </c>
    </row>
    <row r="427" spans="1:6" x14ac:dyDescent="0.25">
      <c r="A427" s="489"/>
      <c r="B427" s="645"/>
      <c r="C427" s="175" t="s">
        <v>491</v>
      </c>
      <c r="D427" s="93">
        <v>1</v>
      </c>
      <c r="E427" s="93">
        <v>250</v>
      </c>
      <c r="F427" s="161" t="s">
        <v>405</v>
      </c>
    </row>
    <row r="428" spans="1:6" x14ac:dyDescent="0.25">
      <c r="A428" s="487">
        <v>13</v>
      </c>
      <c r="B428" s="643" t="s">
        <v>52</v>
      </c>
      <c r="C428" s="175" t="s">
        <v>489</v>
      </c>
      <c r="D428" s="93">
        <v>3</v>
      </c>
      <c r="E428" s="93">
        <v>510</v>
      </c>
      <c r="F428" s="161" t="s">
        <v>402</v>
      </c>
    </row>
    <row r="429" spans="1:6" ht="37.5" x14ac:dyDescent="0.25">
      <c r="A429" s="488"/>
      <c r="B429" s="644"/>
      <c r="C429" s="175" t="s">
        <v>490</v>
      </c>
      <c r="D429" s="93">
        <v>2</v>
      </c>
      <c r="E429" s="93">
        <v>39</v>
      </c>
      <c r="F429" s="161" t="s">
        <v>404</v>
      </c>
    </row>
    <row r="430" spans="1:6" ht="150" x14ac:dyDescent="0.25">
      <c r="A430" s="489"/>
      <c r="B430" s="645"/>
      <c r="C430" s="175" t="s">
        <v>491</v>
      </c>
      <c r="D430" s="93">
        <v>10</v>
      </c>
      <c r="E430" s="93">
        <v>308</v>
      </c>
      <c r="F430" s="161" t="s">
        <v>403</v>
      </c>
    </row>
  </sheetData>
  <autoFilter ref="A1:H430" xr:uid="{00000000-0009-0000-0000-00001B000000}"/>
  <mergeCells count="286">
    <mergeCell ref="A425:A427"/>
    <mergeCell ref="B425:B427"/>
    <mergeCell ref="A428:A430"/>
    <mergeCell ref="B428:B430"/>
    <mergeCell ref="A416:A418"/>
    <mergeCell ref="B416:B418"/>
    <mergeCell ref="A419:A421"/>
    <mergeCell ref="B419:B421"/>
    <mergeCell ref="A422:A424"/>
    <mergeCell ref="B422:B424"/>
    <mergeCell ref="A407:A409"/>
    <mergeCell ref="B407:B409"/>
    <mergeCell ref="A410:A412"/>
    <mergeCell ref="B410:B412"/>
    <mergeCell ref="A413:A415"/>
    <mergeCell ref="B413:B415"/>
    <mergeCell ref="A398:A400"/>
    <mergeCell ref="B398:B400"/>
    <mergeCell ref="A401:A403"/>
    <mergeCell ref="B401:B403"/>
    <mergeCell ref="A404:A406"/>
    <mergeCell ref="B404:B406"/>
    <mergeCell ref="A389:A391"/>
    <mergeCell ref="B389:B391"/>
    <mergeCell ref="A392:A394"/>
    <mergeCell ref="B392:B394"/>
    <mergeCell ref="A395:A397"/>
    <mergeCell ref="B395:B397"/>
    <mergeCell ref="A380:A382"/>
    <mergeCell ref="B380:B382"/>
    <mergeCell ref="A383:A385"/>
    <mergeCell ref="B383:B385"/>
    <mergeCell ref="A386:A388"/>
    <mergeCell ref="B386:B388"/>
    <mergeCell ref="A371:A373"/>
    <mergeCell ref="B371:B373"/>
    <mergeCell ref="A374:A376"/>
    <mergeCell ref="B374:B376"/>
    <mergeCell ref="A377:A379"/>
    <mergeCell ref="B377:B379"/>
    <mergeCell ref="A362:A364"/>
    <mergeCell ref="B362:B364"/>
    <mergeCell ref="A365:A367"/>
    <mergeCell ref="B365:B367"/>
    <mergeCell ref="A368:A370"/>
    <mergeCell ref="B368:B370"/>
    <mergeCell ref="A353:A355"/>
    <mergeCell ref="B353:B355"/>
    <mergeCell ref="A356:A358"/>
    <mergeCell ref="B356:B358"/>
    <mergeCell ref="A359:A361"/>
    <mergeCell ref="B359:B361"/>
    <mergeCell ref="A344:A346"/>
    <mergeCell ref="B344:B346"/>
    <mergeCell ref="A347:A349"/>
    <mergeCell ref="B347:B349"/>
    <mergeCell ref="A350:A352"/>
    <mergeCell ref="B350:B352"/>
    <mergeCell ref="A335:A337"/>
    <mergeCell ref="B335:B337"/>
    <mergeCell ref="A338:A340"/>
    <mergeCell ref="B338:B340"/>
    <mergeCell ref="A341:A343"/>
    <mergeCell ref="B341:B343"/>
    <mergeCell ref="A326:A328"/>
    <mergeCell ref="B326:B328"/>
    <mergeCell ref="A329:A331"/>
    <mergeCell ref="B329:B331"/>
    <mergeCell ref="A332:A334"/>
    <mergeCell ref="B332:B334"/>
    <mergeCell ref="A317:A319"/>
    <mergeCell ref="B317:B319"/>
    <mergeCell ref="A320:A322"/>
    <mergeCell ref="B320:B322"/>
    <mergeCell ref="A323:A325"/>
    <mergeCell ref="B323:B325"/>
    <mergeCell ref="A308:A310"/>
    <mergeCell ref="B308:B310"/>
    <mergeCell ref="A311:A313"/>
    <mergeCell ref="B311:B313"/>
    <mergeCell ref="A314:A316"/>
    <mergeCell ref="B314:B316"/>
    <mergeCell ref="A299:A301"/>
    <mergeCell ref="B299:B301"/>
    <mergeCell ref="A302:A304"/>
    <mergeCell ref="B302:B304"/>
    <mergeCell ref="A305:A307"/>
    <mergeCell ref="B305:B307"/>
    <mergeCell ref="A290:A292"/>
    <mergeCell ref="B290:B292"/>
    <mergeCell ref="A293:A295"/>
    <mergeCell ref="B293:B295"/>
    <mergeCell ref="A296:A298"/>
    <mergeCell ref="B296:B298"/>
    <mergeCell ref="A281:A283"/>
    <mergeCell ref="B281:B283"/>
    <mergeCell ref="A284:A286"/>
    <mergeCell ref="B284:B286"/>
    <mergeCell ref="A287:A289"/>
    <mergeCell ref="B287:B289"/>
    <mergeCell ref="A272:A274"/>
    <mergeCell ref="B272:B274"/>
    <mergeCell ref="A275:A277"/>
    <mergeCell ref="B275:B277"/>
    <mergeCell ref="A278:A280"/>
    <mergeCell ref="B278:B280"/>
    <mergeCell ref="A263:A265"/>
    <mergeCell ref="B263:B265"/>
    <mergeCell ref="A266:A268"/>
    <mergeCell ref="B266:B268"/>
    <mergeCell ref="A269:A271"/>
    <mergeCell ref="B269:B271"/>
    <mergeCell ref="A254:A256"/>
    <mergeCell ref="B254:B256"/>
    <mergeCell ref="A257:A259"/>
    <mergeCell ref="B257:B259"/>
    <mergeCell ref="A260:A262"/>
    <mergeCell ref="B260:B262"/>
    <mergeCell ref="A245:A247"/>
    <mergeCell ref="B245:B247"/>
    <mergeCell ref="A248:A250"/>
    <mergeCell ref="B248:B250"/>
    <mergeCell ref="A251:A253"/>
    <mergeCell ref="B251:B253"/>
    <mergeCell ref="A236:A238"/>
    <mergeCell ref="B236:B238"/>
    <mergeCell ref="A239:A241"/>
    <mergeCell ref="B239:B241"/>
    <mergeCell ref="A242:A244"/>
    <mergeCell ref="B242:B244"/>
    <mergeCell ref="A227:A229"/>
    <mergeCell ref="B227:B229"/>
    <mergeCell ref="A230:A232"/>
    <mergeCell ref="B230:B232"/>
    <mergeCell ref="A233:A235"/>
    <mergeCell ref="B233:B235"/>
    <mergeCell ref="A218:A220"/>
    <mergeCell ref="B218:B220"/>
    <mergeCell ref="A221:A223"/>
    <mergeCell ref="B221:B223"/>
    <mergeCell ref="A224:A226"/>
    <mergeCell ref="B224:B226"/>
    <mergeCell ref="A209:A211"/>
    <mergeCell ref="B209:B211"/>
    <mergeCell ref="A212:A214"/>
    <mergeCell ref="B212:B214"/>
    <mergeCell ref="A215:A217"/>
    <mergeCell ref="B215:B217"/>
    <mergeCell ref="A200:A202"/>
    <mergeCell ref="B200:B202"/>
    <mergeCell ref="A203:A205"/>
    <mergeCell ref="B203:B205"/>
    <mergeCell ref="A206:A208"/>
    <mergeCell ref="B206:B208"/>
    <mergeCell ref="A191:A193"/>
    <mergeCell ref="B191:B193"/>
    <mergeCell ref="A194:A196"/>
    <mergeCell ref="B194:B196"/>
    <mergeCell ref="A197:A199"/>
    <mergeCell ref="B197:B199"/>
    <mergeCell ref="A182:A184"/>
    <mergeCell ref="B182:B184"/>
    <mergeCell ref="A185:A187"/>
    <mergeCell ref="B185:B187"/>
    <mergeCell ref="A188:A190"/>
    <mergeCell ref="B188:B190"/>
    <mergeCell ref="A173:A175"/>
    <mergeCell ref="B173:B175"/>
    <mergeCell ref="A176:A178"/>
    <mergeCell ref="B176:B178"/>
    <mergeCell ref="A179:A181"/>
    <mergeCell ref="B179:B181"/>
    <mergeCell ref="A164:A166"/>
    <mergeCell ref="B164:B166"/>
    <mergeCell ref="A167:A169"/>
    <mergeCell ref="B167:B169"/>
    <mergeCell ref="A170:A172"/>
    <mergeCell ref="B170:B172"/>
    <mergeCell ref="A155:A157"/>
    <mergeCell ref="B155:B157"/>
    <mergeCell ref="A158:A160"/>
    <mergeCell ref="B158:B160"/>
    <mergeCell ref="A161:A163"/>
    <mergeCell ref="B161:B163"/>
    <mergeCell ref="A146:A148"/>
    <mergeCell ref="B146:B148"/>
    <mergeCell ref="A149:A151"/>
    <mergeCell ref="B149:B151"/>
    <mergeCell ref="A152:A154"/>
    <mergeCell ref="B152:B154"/>
    <mergeCell ref="A137:A139"/>
    <mergeCell ref="B137:B139"/>
    <mergeCell ref="A140:A142"/>
    <mergeCell ref="B140:B142"/>
    <mergeCell ref="A143:A145"/>
    <mergeCell ref="B143:B145"/>
    <mergeCell ref="A128:A130"/>
    <mergeCell ref="B128:B130"/>
    <mergeCell ref="A131:A133"/>
    <mergeCell ref="B131:B133"/>
    <mergeCell ref="A134:A136"/>
    <mergeCell ref="B134:B136"/>
    <mergeCell ref="A119:A121"/>
    <mergeCell ref="B119:B121"/>
    <mergeCell ref="A122:A124"/>
    <mergeCell ref="B122:B124"/>
    <mergeCell ref="A125:A127"/>
    <mergeCell ref="B125:B127"/>
    <mergeCell ref="A110:A112"/>
    <mergeCell ref="B110:B112"/>
    <mergeCell ref="A113:A115"/>
    <mergeCell ref="B113:B115"/>
    <mergeCell ref="A116:A118"/>
    <mergeCell ref="B116:B118"/>
    <mergeCell ref="A101:A103"/>
    <mergeCell ref="B101:B103"/>
    <mergeCell ref="A104:A106"/>
    <mergeCell ref="B104:B106"/>
    <mergeCell ref="A107:A109"/>
    <mergeCell ref="B107:B109"/>
    <mergeCell ref="A92:A94"/>
    <mergeCell ref="B92:B94"/>
    <mergeCell ref="A95:A97"/>
    <mergeCell ref="B95:B97"/>
    <mergeCell ref="A98:A100"/>
    <mergeCell ref="B98:B100"/>
    <mergeCell ref="A83:A85"/>
    <mergeCell ref="B83:B85"/>
    <mergeCell ref="A86:A88"/>
    <mergeCell ref="B86:B88"/>
    <mergeCell ref="A89:A91"/>
    <mergeCell ref="B89:B91"/>
    <mergeCell ref="A74:A76"/>
    <mergeCell ref="B74:B76"/>
    <mergeCell ref="A77:A79"/>
    <mergeCell ref="B77:B79"/>
    <mergeCell ref="A80:A82"/>
    <mergeCell ref="B80:B82"/>
    <mergeCell ref="A65:A67"/>
    <mergeCell ref="B65:B67"/>
    <mergeCell ref="A68:A70"/>
    <mergeCell ref="B68:B70"/>
    <mergeCell ref="A71:A73"/>
    <mergeCell ref="B71:B73"/>
    <mergeCell ref="A56:A58"/>
    <mergeCell ref="B56:B58"/>
    <mergeCell ref="A59:A61"/>
    <mergeCell ref="B59:B61"/>
    <mergeCell ref="A62:A64"/>
    <mergeCell ref="B62:B64"/>
    <mergeCell ref="A47:A49"/>
    <mergeCell ref="B47:B49"/>
    <mergeCell ref="A50:A52"/>
    <mergeCell ref="B50:B52"/>
    <mergeCell ref="A53:A55"/>
    <mergeCell ref="B53:B55"/>
    <mergeCell ref="A38:A40"/>
    <mergeCell ref="B38:B40"/>
    <mergeCell ref="A41:A43"/>
    <mergeCell ref="B41:B43"/>
    <mergeCell ref="A44:A46"/>
    <mergeCell ref="B44:B46"/>
    <mergeCell ref="A29:A31"/>
    <mergeCell ref="B29:B31"/>
    <mergeCell ref="A32:A34"/>
    <mergeCell ref="B32:B34"/>
    <mergeCell ref="A35:A37"/>
    <mergeCell ref="B35:B37"/>
    <mergeCell ref="A20:A22"/>
    <mergeCell ref="B20:B22"/>
    <mergeCell ref="A23:A25"/>
    <mergeCell ref="B23:B25"/>
    <mergeCell ref="A26:A28"/>
    <mergeCell ref="B26:B28"/>
    <mergeCell ref="A11:A13"/>
    <mergeCell ref="B11:B13"/>
    <mergeCell ref="A14:A16"/>
    <mergeCell ref="B14:B16"/>
    <mergeCell ref="A17:A19"/>
    <mergeCell ref="B17:B19"/>
    <mergeCell ref="A2:A4"/>
    <mergeCell ref="B2:B4"/>
    <mergeCell ref="A5:A7"/>
    <mergeCell ref="B5:B7"/>
    <mergeCell ref="A8:A10"/>
    <mergeCell ref="B8:B10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F34"/>
  <sheetViews>
    <sheetView topLeftCell="A16" zoomScale="175" zoomScaleNormal="175" workbookViewId="0">
      <selection activeCell="C24" sqref="C24:C33"/>
    </sheetView>
  </sheetViews>
  <sheetFormatPr defaultRowHeight="15" x14ac:dyDescent="0.25"/>
  <cols>
    <col min="2" max="2" width="10.85546875" customWidth="1"/>
    <col min="3" max="3" width="12.28515625" customWidth="1"/>
  </cols>
  <sheetData>
    <row r="1" spans="2:6" ht="15.75" thickBot="1" x14ac:dyDescent="0.3">
      <c r="B1" s="296">
        <v>650000</v>
      </c>
      <c r="C1" s="297">
        <v>150000</v>
      </c>
      <c r="D1" s="298" t="s">
        <v>317</v>
      </c>
      <c r="E1" s="298" t="s">
        <v>317</v>
      </c>
      <c r="F1" s="298" t="s">
        <v>317</v>
      </c>
    </row>
    <row r="2" spans="2:6" ht="15.75" thickBot="1" x14ac:dyDescent="0.3">
      <c r="B2" s="299">
        <v>150000</v>
      </c>
      <c r="C2" s="300">
        <v>200000</v>
      </c>
      <c r="D2" s="301" t="s">
        <v>317</v>
      </c>
      <c r="E2" s="301" t="s">
        <v>317</v>
      </c>
      <c r="F2" s="301" t="s">
        <v>317</v>
      </c>
    </row>
    <row r="3" spans="2:6" ht="15.75" thickBot="1" x14ac:dyDescent="0.3">
      <c r="B3" s="299" t="s">
        <v>317</v>
      </c>
      <c r="C3" s="302" t="s">
        <v>317</v>
      </c>
      <c r="D3" s="301" t="s">
        <v>317</v>
      </c>
      <c r="E3" s="301" t="s">
        <v>317</v>
      </c>
      <c r="F3" s="301" t="s">
        <v>317</v>
      </c>
    </row>
    <row r="4" spans="2:6" ht="21" thickBot="1" x14ac:dyDescent="0.3">
      <c r="B4" s="299">
        <v>10000</v>
      </c>
      <c r="C4" s="300">
        <v>300000</v>
      </c>
      <c r="D4" s="303"/>
      <c r="E4" s="301" t="s">
        <v>317</v>
      </c>
      <c r="F4" s="301" t="s">
        <v>317</v>
      </c>
    </row>
    <row r="5" spans="2:6" ht="15.75" thickBot="1" x14ac:dyDescent="0.3">
      <c r="B5" s="299">
        <v>20000</v>
      </c>
      <c r="C5" s="300">
        <v>5000</v>
      </c>
      <c r="D5" s="300" t="s">
        <v>317</v>
      </c>
      <c r="E5" s="300" t="s">
        <v>317</v>
      </c>
      <c r="F5" s="300" t="s">
        <v>317</v>
      </c>
    </row>
    <row r="6" spans="2:6" ht="15.75" thickBot="1" x14ac:dyDescent="0.3">
      <c r="B6" s="299" t="s">
        <v>317</v>
      </c>
      <c r="C6" s="300" t="s">
        <v>317</v>
      </c>
      <c r="D6" s="300" t="s">
        <v>317</v>
      </c>
      <c r="E6" s="300" t="s">
        <v>317</v>
      </c>
      <c r="F6" s="300" t="s">
        <v>317</v>
      </c>
    </row>
    <row r="7" spans="2:6" ht="15.75" thickBot="1" x14ac:dyDescent="0.3">
      <c r="B7" s="299">
        <v>650000</v>
      </c>
      <c r="C7" s="300">
        <v>2000000</v>
      </c>
      <c r="D7" s="300" t="s">
        <v>317</v>
      </c>
      <c r="E7" s="300" t="s">
        <v>317</v>
      </c>
      <c r="F7" s="300" t="s">
        <v>317</v>
      </c>
    </row>
    <row r="8" spans="2:6" ht="15.75" thickBot="1" x14ac:dyDescent="0.3">
      <c r="B8" s="299" t="s">
        <v>317</v>
      </c>
      <c r="C8" s="300" t="s">
        <v>317</v>
      </c>
      <c r="D8" s="300" t="s">
        <v>317</v>
      </c>
      <c r="E8" s="300" t="s">
        <v>317</v>
      </c>
      <c r="F8" s="300" t="s">
        <v>317</v>
      </c>
    </row>
    <row r="9" spans="2:6" ht="15.75" thickBot="1" x14ac:dyDescent="0.3">
      <c r="B9" s="299">
        <v>150000</v>
      </c>
      <c r="C9" s="300">
        <v>50000</v>
      </c>
      <c r="D9" s="300" t="s">
        <v>317</v>
      </c>
      <c r="E9" s="300" t="s">
        <v>317</v>
      </c>
      <c r="F9" s="300" t="s">
        <v>317</v>
      </c>
    </row>
    <row r="10" spans="2:6" ht="15.75" thickBot="1" x14ac:dyDescent="0.3">
      <c r="B10" s="299" t="s">
        <v>317</v>
      </c>
      <c r="C10" s="300" t="s">
        <v>317</v>
      </c>
      <c r="D10" s="300" t="s">
        <v>317</v>
      </c>
      <c r="E10" s="300" t="s">
        <v>317</v>
      </c>
      <c r="F10" s="300" t="s">
        <v>317</v>
      </c>
    </row>
    <row r="11" spans="2:6" ht="15.75" thickBot="1" x14ac:dyDescent="0.3">
      <c r="B11" s="299">
        <v>35000</v>
      </c>
      <c r="C11" s="300">
        <v>5000</v>
      </c>
      <c r="D11" s="300" t="s">
        <v>317</v>
      </c>
      <c r="E11" s="300" t="s">
        <v>317</v>
      </c>
      <c r="F11" s="300" t="s">
        <v>317</v>
      </c>
    </row>
    <row r="12" spans="2:6" ht="15.75" thickBot="1" x14ac:dyDescent="0.3">
      <c r="B12" s="299">
        <v>20000</v>
      </c>
      <c r="C12" s="300">
        <v>1500000</v>
      </c>
      <c r="D12" s="300" t="s">
        <v>317</v>
      </c>
      <c r="E12" s="300" t="s">
        <v>317</v>
      </c>
      <c r="F12" s="300" t="s">
        <v>317</v>
      </c>
    </row>
    <row r="13" spans="2:6" ht="15.75" thickBot="1" x14ac:dyDescent="0.3">
      <c r="B13" s="304" t="s">
        <v>317</v>
      </c>
      <c r="C13" s="305" t="s">
        <v>317</v>
      </c>
      <c r="D13" s="305" t="s">
        <v>317</v>
      </c>
      <c r="E13" s="305" t="s">
        <v>317</v>
      </c>
      <c r="F13" s="305" t="s">
        <v>317</v>
      </c>
    </row>
    <row r="14" spans="2:6" ht="15.75" thickBot="1" x14ac:dyDescent="0.3">
      <c r="B14" s="299">
        <v>50000</v>
      </c>
      <c r="C14" s="300">
        <v>800000</v>
      </c>
      <c r="D14" s="300" t="s">
        <v>317</v>
      </c>
      <c r="E14" s="300" t="s">
        <v>317</v>
      </c>
      <c r="F14" s="300" t="s">
        <v>317</v>
      </c>
    </row>
    <row r="15" spans="2:6" ht="15.75" thickBot="1" x14ac:dyDescent="0.3">
      <c r="B15" s="304">
        <v>2000</v>
      </c>
      <c r="C15" s="305">
        <v>250000</v>
      </c>
      <c r="D15" s="305" t="s">
        <v>317</v>
      </c>
      <c r="E15" s="305" t="s">
        <v>317</v>
      </c>
      <c r="F15" s="305" t="s">
        <v>317</v>
      </c>
    </row>
    <row r="16" spans="2:6" ht="15.75" thickBot="1" x14ac:dyDescent="0.3">
      <c r="B16" s="299" t="s">
        <v>317</v>
      </c>
      <c r="C16" s="300" t="s">
        <v>317</v>
      </c>
      <c r="D16" s="300" t="s">
        <v>317</v>
      </c>
      <c r="E16" s="300" t="s">
        <v>317</v>
      </c>
      <c r="F16" s="300" t="s">
        <v>317</v>
      </c>
    </row>
    <row r="17" spans="2:6" ht="15.75" thickBot="1" x14ac:dyDescent="0.3">
      <c r="B17" s="304" t="s">
        <v>317</v>
      </c>
      <c r="C17" s="305" t="s">
        <v>317</v>
      </c>
      <c r="D17" s="305" t="s">
        <v>317</v>
      </c>
      <c r="E17" s="305" t="s">
        <v>317</v>
      </c>
      <c r="F17" s="305" t="s">
        <v>317</v>
      </c>
    </row>
    <row r="18" spans="2:6" ht="15.75" thickBot="1" x14ac:dyDescent="0.3">
      <c r="B18" s="299" t="s">
        <v>317</v>
      </c>
      <c r="C18" s="300" t="s">
        <v>317</v>
      </c>
      <c r="D18" s="300" t="s">
        <v>317</v>
      </c>
      <c r="E18" s="300" t="s">
        <v>317</v>
      </c>
      <c r="F18" s="300" t="s">
        <v>317</v>
      </c>
    </row>
    <row r="19" spans="2:6" ht="15.75" thickBot="1" x14ac:dyDescent="0.3">
      <c r="B19" s="304">
        <v>80000</v>
      </c>
      <c r="C19" s="305">
        <v>1500000</v>
      </c>
      <c r="D19" s="305" t="s">
        <v>317</v>
      </c>
      <c r="E19" s="305" t="s">
        <v>317</v>
      </c>
      <c r="F19" s="305" t="s">
        <v>317</v>
      </c>
    </row>
    <row r="20" spans="2:6" ht="15.75" thickBot="1" x14ac:dyDescent="0.3">
      <c r="B20" s="299" t="s">
        <v>317</v>
      </c>
      <c r="C20" s="300" t="s">
        <v>317</v>
      </c>
      <c r="D20" s="300" t="s">
        <v>317</v>
      </c>
      <c r="E20" s="300" t="s">
        <v>317</v>
      </c>
      <c r="F20" s="300" t="s">
        <v>317</v>
      </c>
    </row>
    <row r="21" spans="2:6" ht="15.75" thickBot="1" x14ac:dyDescent="0.3">
      <c r="B21" s="304" t="s">
        <v>317</v>
      </c>
      <c r="C21" s="305" t="s">
        <v>317</v>
      </c>
      <c r="D21" s="305" t="s">
        <v>317</v>
      </c>
      <c r="E21" s="305" t="s">
        <v>317</v>
      </c>
      <c r="F21" s="305" t="s">
        <v>317</v>
      </c>
    </row>
    <row r="22" spans="2:6" ht="15.75" thickBot="1" x14ac:dyDescent="0.3">
      <c r="B22" s="310">
        <v>2000</v>
      </c>
      <c r="C22" s="311">
        <v>50000</v>
      </c>
      <c r="D22" s="300" t="s">
        <v>317</v>
      </c>
      <c r="E22" s="300" t="s">
        <v>317</v>
      </c>
      <c r="F22" s="300" t="s">
        <v>317</v>
      </c>
    </row>
    <row r="23" spans="2:6" ht="15.75" thickBot="1" x14ac:dyDescent="0.3">
      <c r="B23" s="299">
        <v>50000</v>
      </c>
      <c r="C23" s="300">
        <v>250000</v>
      </c>
      <c r="D23" s="300" t="s">
        <v>317</v>
      </c>
      <c r="E23" s="300" t="s">
        <v>317</v>
      </c>
      <c r="F23" s="300" t="s">
        <v>317</v>
      </c>
    </row>
    <row r="24" spans="2:6" ht="15.75" thickBot="1" x14ac:dyDescent="0.3">
      <c r="B24" s="299">
        <v>200000</v>
      </c>
      <c r="C24" s="299">
        <v>800000</v>
      </c>
      <c r="D24" s="307">
        <v>0</v>
      </c>
      <c r="E24" s="307">
        <v>0</v>
      </c>
      <c r="F24" s="307">
        <v>0</v>
      </c>
    </row>
    <row r="25" spans="2:6" ht="15.75" thickBot="1" x14ac:dyDescent="0.3">
      <c r="B25" s="299">
        <v>80000</v>
      </c>
      <c r="C25" s="299">
        <v>920000</v>
      </c>
      <c r="D25" s="306">
        <v>0</v>
      </c>
      <c r="E25" s="306">
        <v>0</v>
      </c>
      <c r="F25" s="306">
        <v>0</v>
      </c>
    </row>
    <row r="26" spans="2:6" ht="15.75" thickBot="1" x14ac:dyDescent="0.3">
      <c r="B26" s="299">
        <v>19000</v>
      </c>
      <c r="C26" s="299">
        <v>1000</v>
      </c>
      <c r="D26" s="308">
        <v>0</v>
      </c>
      <c r="E26" s="308">
        <v>0</v>
      </c>
      <c r="F26" s="308">
        <v>0</v>
      </c>
    </row>
    <row r="27" spans="2:6" ht="15.75" thickBot="1" x14ac:dyDescent="0.3">
      <c r="B27" s="299">
        <v>0</v>
      </c>
      <c r="C27" s="299">
        <v>0</v>
      </c>
      <c r="D27" s="308">
        <v>0</v>
      </c>
      <c r="E27" s="308">
        <v>0</v>
      </c>
      <c r="F27" s="308">
        <v>0</v>
      </c>
    </row>
    <row r="28" spans="2:6" ht="15.75" thickBot="1" x14ac:dyDescent="0.3">
      <c r="B28" s="299">
        <v>10000</v>
      </c>
      <c r="C28" s="299">
        <v>190000</v>
      </c>
      <c r="D28" s="308">
        <v>0</v>
      </c>
      <c r="E28" s="308">
        <v>0</v>
      </c>
      <c r="F28" s="308">
        <v>0</v>
      </c>
    </row>
    <row r="29" spans="2:6" ht="15.75" thickBot="1" x14ac:dyDescent="0.3">
      <c r="B29" s="299">
        <v>0</v>
      </c>
      <c r="C29" s="299">
        <v>0</v>
      </c>
      <c r="D29" s="306">
        <v>0</v>
      </c>
      <c r="E29" s="306">
        <v>0</v>
      </c>
      <c r="F29" s="306">
        <v>0</v>
      </c>
    </row>
    <row r="30" spans="2:6" ht="15.75" thickBot="1" x14ac:dyDescent="0.3">
      <c r="B30" s="299">
        <v>0</v>
      </c>
      <c r="C30" s="299">
        <v>0</v>
      </c>
      <c r="D30" s="301">
        <v>0</v>
      </c>
      <c r="E30" s="301">
        <v>0</v>
      </c>
      <c r="F30" s="301">
        <v>0</v>
      </c>
    </row>
    <row r="31" spans="2:6" ht="15.75" thickBot="1" x14ac:dyDescent="0.3">
      <c r="B31" s="299">
        <v>30000</v>
      </c>
      <c r="C31" s="299">
        <v>47000000</v>
      </c>
      <c r="D31" s="301">
        <v>0</v>
      </c>
      <c r="E31" s="301">
        <v>0</v>
      </c>
      <c r="F31" s="301">
        <v>0</v>
      </c>
    </row>
    <row r="32" spans="2:6" ht="15.75" thickBot="1" x14ac:dyDescent="0.3">
      <c r="B32" s="299">
        <v>5000</v>
      </c>
      <c r="C32" s="299">
        <v>25000</v>
      </c>
      <c r="D32" s="301">
        <v>0</v>
      </c>
      <c r="E32" s="301">
        <v>0</v>
      </c>
      <c r="F32" s="301">
        <v>0</v>
      </c>
    </row>
    <row r="33" spans="2:6" ht="15.75" thickBot="1" x14ac:dyDescent="0.3">
      <c r="B33" s="299">
        <v>200000</v>
      </c>
      <c r="C33" s="299">
        <v>1800000</v>
      </c>
      <c r="D33" s="309">
        <v>0</v>
      </c>
      <c r="E33" s="309">
        <v>0</v>
      </c>
      <c r="F33" s="309">
        <v>1</v>
      </c>
    </row>
    <row r="34" spans="2:6" ht="21" thickBot="1" x14ac:dyDescent="0.3">
      <c r="B34" s="299">
        <v>0</v>
      </c>
      <c r="C34" s="299">
        <v>0</v>
      </c>
      <c r="D34" s="303"/>
      <c r="E34" s="303"/>
      <c r="F34" s="303"/>
    </row>
  </sheetData>
  <hyperlinks>
    <hyperlink ref="C25" r:id="rId1" display="920000@&amp;" xr:uid="{00000000-0004-0000-1C00-000000000000}"/>
    <hyperlink ref="B25" r:id="rId2" display="80000@&amp;" xr:uid="{00000000-0004-0000-1C00-000001000000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470"/>
  <sheetViews>
    <sheetView topLeftCell="A403" workbookViewId="0">
      <selection activeCell="D4" sqref="D4"/>
    </sheetView>
  </sheetViews>
  <sheetFormatPr defaultRowHeight="18.75" x14ac:dyDescent="0.25"/>
  <cols>
    <col min="1" max="1" width="10.85546875" style="339" bestFit="1" customWidth="1"/>
    <col min="2" max="2" width="14.85546875" style="174" bestFit="1" customWidth="1"/>
    <col min="3" max="3" width="23.85546875" style="174" customWidth="1"/>
    <col min="4" max="4" width="18.140625" style="6" customWidth="1"/>
    <col min="5" max="5" width="13.42578125" style="6" customWidth="1"/>
    <col min="6" max="6" width="81" style="163" customWidth="1"/>
  </cols>
  <sheetData>
    <row r="1" spans="1:6" ht="56.25" x14ac:dyDescent="0.25">
      <c r="A1" s="329" t="s">
        <v>1421</v>
      </c>
      <c r="B1" s="329" t="s">
        <v>1422</v>
      </c>
      <c r="C1" s="329" t="s">
        <v>1423</v>
      </c>
      <c r="D1" s="329" t="s">
        <v>1417</v>
      </c>
      <c r="E1" s="329" t="s">
        <v>1424</v>
      </c>
      <c r="F1" s="329" t="s">
        <v>1419</v>
      </c>
    </row>
    <row r="2" spans="1:6" ht="20.25" x14ac:dyDescent="0.25">
      <c r="A2" s="344">
        <v>45383</v>
      </c>
      <c r="B2" s="336" t="s">
        <v>1401</v>
      </c>
      <c r="C2" s="240" t="s">
        <v>489</v>
      </c>
      <c r="D2" s="34">
        <v>1</v>
      </c>
      <c r="E2" s="34">
        <v>30</v>
      </c>
      <c r="F2" s="177" t="s">
        <v>506</v>
      </c>
    </row>
    <row r="3" spans="1:6" ht="20.25" x14ac:dyDescent="0.25">
      <c r="A3" s="344">
        <v>45383</v>
      </c>
      <c r="B3" s="336" t="s">
        <v>1401</v>
      </c>
      <c r="C3" s="240" t="s">
        <v>490</v>
      </c>
      <c r="D3" s="34">
        <v>1</v>
      </c>
      <c r="E3" s="34">
        <v>150</v>
      </c>
      <c r="F3" s="177" t="s">
        <v>472</v>
      </c>
    </row>
    <row r="4" spans="1:6" ht="121.5" x14ac:dyDescent="0.25">
      <c r="A4" s="344">
        <v>45383</v>
      </c>
      <c r="B4" s="336" t="s">
        <v>1401</v>
      </c>
      <c r="C4" s="240" t="s">
        <v>491</v>
      </c>
      <c r="D4" s="34">
        <v>6</v>
      </c>
      <c r="E4" s="34">
        <v>353</v>
      </c>
      <c r="F4" s="177" t="s">
        <v>473</v>
      </c>
    </row>
    <row r="5" spans="1:6" ht="20.25" x14ac:dyDescent="0.25">
      <c r="A5" s="344">
        <v>45383</v>
      </c>
      <c r="B5" s="336" t="s">
        <v>1402</v>
      </c>
      <c r="C5" s="240" t="s">
        <v>489</v>
      </c>
      <c r="D5" s="34">
        <v>1</v>
      </c>
      <c r="E5" s="34">
        <v>500</v>
      </c>
      <c r="F5" s="177" t="s">
        <v>503</v>
      </c>
    </row>
    <row r="6" spans="1:6" ht="20.25" x14ac:dyDescent="0.25">
      <c r="A6" s="344">
        <v>45383</v>
      </c>
      <c r="B6" s="336" t="s">
        <v>1402</v>
      </c>
      <c r="C6" s="240" t="s">
        <v>490</v>
      </c>
      <c r="D6" s="34"/>
      <c r="E6" s="34"/>
      <c r="F6" s="177"/>
    </row>
    <row r="7" spans="1:6" ht="40.5" x14ac:dyDescent="0.25">
      <c r="A7" s="344">
        <v>45383</v>
      </c>
      <c r="B7" s="336" t="s">
        <v>1402</v>
      </c>
      <c r="C7" s="240" t="s">
        <v>491</v>
      </c>
      <c r="D7" s="34">
        <v>2</v>
      </c>
      <c r="E7" s="34">
        <v>350</v>
      </c>
      <c r="F7" s="177" t="s">
        <v>474</v>
      </c>
    </row>
    <row r="8" spans="1:6" ht="20.25" x14ac:dyDescent="0.25">
      <c r="A8" s="344">
        <v>45383</v>
      </c>
      <c r="B8" s="336" t="s">
        <v>1403</v>
      </c>
      <c r="C8" s="240" t="s">
        <v>489</v>
      </c>
      <c r="D8" s="34">
        <v>1</v>
      </c>
      <c r="E8" s="34">
        <v>55</v>
      </c>
      <c r="F8" s="177" t="s">
        <v>480</v>
      </c>
    </row>
    <row r="9" spans="1:6" ht="60.75" x14ac:dyDescent="0.25">
      <c r="A9" s="344">
        <v>45383</v>
      </c>
      <c r="B9" s="336" t="s">
        <v>1403</v>
      </c>
      <c r="C9" s="240" t="s">
        <v>490</v>
      </c>
      <c r="D9" s="34">
        <v>2</v>
      </c>
      <c r="E9" s="34">
        <v>550</v>
      </c>
      <c r="F9" s="177" t="s">
        <v>481</v>
      </c>
    </row>
    <row r="10" spans="1:6" ht="20.25" x14ac:dyDescent="0.25">
      <c r="A10" s="344">
        <v>45383</v>
      </c>
      <c r="B10" s="336" t="s">
        <v>1403</v>
      </c>
      <c r="C10" s="240" t="s">
        <v>491</v>
      </c>
      <c r="D10" s="34"/>
      <c r="E10" s="34"/>
      <c r="F10" s="177"/>
    </row>
    <row r="11" spans="1:6" ht="60.75" x14ac:dyDescent="0.25">
      <c r="A11" s="344">
        <v>45383</v>
      </c>
      <c r="B11" s="336" t="s">
        <v>1404</v>
      </c>
      <c r="C11" s="240" t="s">
        <v>489</v>
      </c>
      <c r="D11" s="34">
        <v>3</v>
      </c>
      <c r="E11" s="34">
        <v>460</v>
      </c>
      <c r="F11" s="177" t="s">
        <v>475</v>
      </c>
    </row>
    <row r="12" spans="1:6" ht="101.25" x14ac:dyDescent="0.25">
      <c r="A12" s="344">
        <v>45383</v>
      </c>
      <c r="B12" s="336" t="s">
        <v>1404</v>
      </c>
      <c r="C12" s="240" t="s">
        <v>490</v>
      </c>
      <c r="D12" s="34">
        <v>5</v>
      </c>
      <c r="E12" s="34">
        <v>118</v>
      </c>
      <c r="F12" s="177" t="s">
        <v>476</v>
      </c>
    </row>
    <row r="13" spans="1:6" ht="101.25" x14ac:dyDescent="0.25">
      <c r="A13" s="344">
        <v>45383</v>
      </c>
      <c r="B13" s="336" t="s">
        <v>1404</v>
      </c>
      <c r="C13" s="240" t="s">
        <v>491</v>
      </c>
      <c r="D13" s="34">
        <v>5</v>
      </c>
      <c r="E13" s="34">
        <v>238</v>
      </c>
      <c r="F13" s="177" t="s">
        <v>477</v>
      </c>
    </row>
    <row r="14" spans="1:6" ht="20.25" x14ac:dyDescent="0.25">
      <c r="A14" s="344">
        <v>45383</v>
      </c>
      <c r="B14" s="336" t="s">
        <v>1405</v>
      </c>
      <c r="C14" s="240" t="s">
        <v>489</v>
      </c>
      <c r="D14" s="34"/>
      <c r="E14" s="34"/>
      <c r="F14" s="177"/>
    </row>
    <row r="15" spans="1:6" ht="40.5" x14ac:dyDescent="0.25">
      <c r="A15" s="344">
        <v>45383</v>
      </c>
      <c r="B15" s="336" t="s">
        <v>1405</v>
      </c>
      <c r="C15" s="240" t="s">
        <v>490</v>
      </c>
      <c r="D15" s="34">
        <v>2</v>
      </c>
      <c r="E15" s="34">
        <v>150</v>
      </c>
      <c r="F15" s="177" t="s">
        <v>482</v>
      </c>
    </row>
    <row r="16" spans="1:6" ht="60.75" x14ac:dyDescent="0.25">
      <c r="A16" s="344">
        <v>45383</v>
      </c>
      <c r="B16" s="336" t="s">
        <v>1405</v>
      </c>
      <c r="C16" s="240" t="s">
        <v>491</v>
      </c>
      <c r="D16" s="34">
        <v>3</v>
      </c>
      <c r="E16" s="34">
        <v>204</v>
      </c>
      <c r="F16" s="177" t="s">
        <v>483</v>
      </c>
    </row>
    <row r="17" spans="1:6" ht="409.5" x14ac:dyDescent="0.25">
      <c r="A17" s="344">
        <v>45383</v>
      </c>
      <c r="B17" s="336" t="s">
        <v>1406</v>
      </c>
      <c r="C17" s="240" t="s">
        <v>489</v>
      </c>
      <c r="D17" s="34">
        <v>22</v>
      </c>
      <c r="E17" s="34">
        <v>1685</v>
      </c>
      <c r="F17" s="177" t="s">
        <v>499</v>
      </c>
    </row>
    <row r="18" spans="1:6" ht="121.5" x14ac:dyDescent="0.25">
      <c r="A18" s="344">
        <v>45383</v>
      </c>
      <c r="B18" s="336" t="s">
        <v>1406</v>
      </c>
      <c r="C18" s="240" t="s">
        <v>490</v>
      </c>
      <c r="D18" s="34">
        <v>2</v>
      </c>
      <c r="E18" s="34">
        <v>400</v>
      </c>
      <c r="F18" s="177" t="s">
        <v>497</v>
      </c>
    </row>
    <row r="19" spans="1:6" ht="81" x14ac:dyDescent="0.25">
      <c r="A19" s="344">
        <v>45383</v>
      </c>
      <c r="B19" s="336" t="s">
        <v>1406</v>
      </c>
      <c r="C19" s="240" t="s">
        <v>491</v>
      </c>
      <c r="D19" s="34">
        <v>2</v>
      </c>
      <c r="E19" s="34">
        <v>270</v>
      </c>
      <c r="F19" s="177" t="s">
        <v>498</v>
      </c>
    </row>
    <row r="20" spans="1:6" ht="162" x14ac:dyDescent="0.25">
      <c r="A20" s="344">
        <v>45383</v>
      </c>
      <c r="B20" s="336" t="s">
        <v>1438</v>
      </c>
      <c r="C20" s="240" t="s">
        <v>489</v>
      </c>
      <c r="D20" s="34">
        <v>7</v>
      </c>
      <c r="E20" s="34">
        <v>1662</v>
      </c>
      <c r="F20" s="177" t="s">
        <v>484</v>
      </c>
    </row>
    <row r="21" spans="1:6" ht="222.75" x14ac:dyDescent="0.25">
      <c r="A21" s="344">
        <v>45383</v>
      </c>
      <c r="B21" s="336" t="s">
        <v>1438</v>
      </c>
      <c r="C21" s="240" t="s">
        <v>490</v>
      </c>
      <c r="D21" s="34">
        <v>8</v>
      </c>
      <c r="E21" s="34">
        <v>3601</v>
      </c>
      <c r="F21" s="177" t="s">
        <v>485</v>
      </c>
    </row>
    <row r="22" spans="1:6" ht="409.5" x14ac:dyDescent="0.25">
      <c r="A22" s="344">
        <v>45383</v>
      </c>
      <c r="B22" s="336" t="s">
        <v>1438</v>
      </c>
      <c r="C22" s="240" t="s">
        <v>491</v>
      </c>
      <c r="D22" s="34">
        <v>23</v>
      </c>
      <c r="E22" s="34">
        <v>553</v>
      </c>
      <c r="F22" s="178" t="s">
        <v>486</v>
      </c>
    </row>
    <row r="23" spans="1:6" ht="40.5" x14ac:dyDescent="0.25">
      <c r="A23" s="344">
        <v>45383</v>
      </c>
      <c r="B23" s="336" t="s">
        <v>1408</v>
      </c>
      <c r="C23" s="240" t="s">
        <v>489</v>
      </c>
      <c r="D23" s="34">
        <v>2</v>
      </c>
      <c r="E23" s="34">
        <v>275</v>
      </c>
      <c r="F23" s="179" t="s">
        <v>479</v>
      </c>
    </row>
    <row r="24" spans="1:6" ht="81" x14ac:dyDescent="0.25">
      <c r="A24" s="344">
        <v>45383</v>
      </c>
      <c r="B24" s="336" t="s">
        <v>1408</v>
      </c>
      <c r="C24" s="240" t="s">
        <v>490</v>
      </c>
      <c r="D24" s="34">
        <v>4</v>
      </c>
      <c r="E24" s="34">
        <v>115</v>
      </c>
      <c r="F24" s="177" t="s">
        <v>478</v>
      </c>
    </row>
    <row r="25" spans="1:6" ht="20.25" x14ac:dyDescent="0.25">
      <c r="A25" s="344">
        <v>45383</v>
      </c>
      <c r="B25" s="336" t="s">
        <v>1408</v>
      </c>
      <c r="C25" s="240" t="s">
        <v>491</v>
      </c>
      <c r="D25" s="34"/>
      <c r="E25" s="34"/>
      <c r="F25" s="177"/>
    </row>
    <row r="26" spans="1:6" ht="60.75" x14ac:dyDescent="0.25">
      <c r="A26" s="344">
        <v>45383</v>
      </c>
      <c r="B26" s="336" t="s">
        <v>1409</v>
      </c>
      <c r="C26" s="240" t="s">
        <v>489</v>
      </c>
      <c r="D26" s="34">
        <v>3</v>
      </c>
      <c r="E26" s="34">
        <v>540</v>
      </c>
      <c r="F26" s="177" t="s">
        <v>500</v>
      </c>
    </row>
    <row r="27" spans="1:6" ht="40.5" x14ac:dyDescent="0.25">
      <c r="A27" s="344">
        <v>45383</v>
      </c>
      <c r="B27" s="336" t="s">
        <v>1409</v>
      </c>
      <c r="C27" s="240" t="s">
        <v>490</v>
      </c>
      <c r="D27" s="34">
        <v>2</v>
      </c>
      <c r="E27" s="34">
        <v>33</v>
      </c>
      <c r="F27" s="177" t="s">
        <v>501</v>
      </c>
    </row>
    <row r="28" spans="1:6" ht="20.25" x14ac:dyDescent="0.25">
      <c r="A28" s="344">
        <v>45383</v>
      </c>
      <c r="B28" s="336" t="s">
        <v>1409</v>
      </c>
      <c r="C28" s="240" t="s">
        <v>491</v>
      </c>
      <c r="D28" s="34"/>
      <c r="E28" s="34"/>
      <c r="F28" s="177"/>
    </row>
    <row r="29" spans="1:6" ht="40.5" x14ac:dyDescent="0.25">
      <c r="A29" s="344">
        <v>45383</v>
      </c>
      <c r="B29" s="336" t="s">
        <v>1410</v>
      </c>
      <c r="C29" s="240" t="s">
        <v>489</v>
      </c>
      <c r="D29" s="34">
        <v>2</v>
      </c>
      <c r="E29" s="34">
        <v>245</v>
      </c>
      <c r="F29" s="177" t="s">
        <v>487</v>
      </c>
    </row>
    <row r="30" spans="1:6" ht="20.25" x14ac:dyDescent="0.25">
      <c r="A30" s="344">
        <v>45383</v>
      </c>
      <c r="B30" s="336" t="s">
        <v>1410</v>
      </c>
      <c r="C30" s="240" t="s">
        <v>490</v>
      </c>
      <c r="D30" s="34">
        <v>1</v>
      </c>
      <c r="E30" s="34">
        <v>126</v>
      </c>
      <c r="F30" s="177" t="s">
        <v>488</v>
      </c>
    </row>
    <row r="31" spans="1:6" ht="20.25" x14ac:dyDescent="0.25">
      <c r="A31" s="344">
        <v>45383</v>
      </c>
      <c r="B31" s="336" t="s">
        <v>1410</v>
      </c>
      <c r="C31" s="240" t="s">
        <v>491</v>
      </c>
      <c r="D31" s="34"/>
      <c r="E31" s="34"/>
      <c r="F31" s="177"/>
    </row>
    <row r="32" spans="1:6" ht="20.25" x14ac:dyDescent="0.25">
      <c r="A32" s="344">
        <v>45383</v>
      </c>
      <c r="B32" s="336" t="s">
        <v>1411</v>
      </c>
      <c r="C32" s="240" t="s">
        <v>489</v>
      </c>
      <c r="D32" s="34">
        <v>1</v>
      </c>
      <c r="E32" s="34">
        <v>35</v>
      </c>
      <c r="F32" s="177" t="s">
        <v>471</v>
      </c>
    </row>
    <row r="33" spans="1:6" ht="20.25" x14ac:dyDescent="0.25">
      <c r="A33" s="344">
        <v>45383</v>
      </c>
      <c r="B33" s="336" t="s">
        <v>1411</v>
      </c>
      <c r="C33" s="240" t="s">
        <v>490</v>
      </c>
      <c r="D33" s="34">
        <v>1</v>
      </c>
      <c r="E33" s="34">
        <v>150</v>
      </c>
      <c r="F33" s="177" t="s">
        <v>470</v>
      </c>
    </row>
    <row r="34" spans="1:6" ht="20.25" x14ac:dyDescent="0.25">
      <c r="A34" s="344">
        <v>45383</v>
      </c>
      <c r="B34" s="336" t="s">
        <v>1411</v>
      </c>
      <c r="C34" s="240" t="s">
        <v>491</v>
      </c>
      <c r="D34" s="34"/>
      <c r="E34" s="34"/>
      <c r="F34" s="177"/>
    </row>
    <row r="35" spans="1:6" ht="101.25" x14ac:dyDescent="0.25">
      <c r="A35" s="344">
        <v>45383</v>
      </c>
      <c r="B35" s="336" t="s">
        <v>1452</v>
      </c>
      <c r="C35" s="240" t="s">
        <v>489</v>
      </c>
      <c r="D35" s="34">
        <v>4</v>
      </c>
      <c r="E35" s="34">
        <v>430</v>
      </c>
      <c r="F35" s="177" t="s">
        <v>492</v>
      </c>
    </row>
    <row r="36" spans="1:6" ht="409.5" x14ac:dyDescent="0.25">
      <c r="A36" s="344">
        <v>45383</v>
      </c>
      <c r="B36" s="336" t="s">
        <v>1452</v>
      </c>
      <c r="C36" s="240" t="s">
        <v>490</v>
      </c>
      <c r="D36" s="34">
        <v>21</v>
      </c>
      <c r="E36" s="34">
        <v>1435</v>
      </c>
      <c r="F36" s="177" t="s">
        <v>493</v>
      </c>
    </row>
    <row r="37" spans="1:6" ht="20.25" x14ac:dyDescent="0.25">
      <c r="A37" s="344">
        <v>45383</v>
      </c>
      <c r="B37" s="336" t="s">
        <v>1452</v>
      </c>
      <c r="C37" s="240" t="s">
        <v>491</v>
      </c>
      <c r="D37" s="34"/>
      <c r="E37" s="34"/>
      <c r="F37" s="177"/>
    </row>
    <row r="38" spans="1:6" ht="162" x14ac:dyDescent="0.25">
      <c r="A38" s="344">
        <v>45383</v>
      </c>
      <c r="B38" s="336" t="s">
        <v>1413</v>
      </c>
      <c r="C38" s="240" t="s">
        <v>489</v>
      </c>
      <c r="D38" s="34">
        <v>8</v>
      </c>
      <c r="E38" s="34">
        <v>1010</v>
      </c>
      <c r="F38" s="177" t="s">
        <v>494</v>
      </c>
    </row>
    <row r="39" spans="1:6" ht="222.75" x14ac:dyDescent="0.25">
      <c r="A39" s="344">
        <v>45383</v>
      </c>
      <c r="B39" s="336" t="s">
        <v>1413</v>
      </c>
      <c r="C39" s="240" t="s">
        <v>490</v>
      </c>
      <c r="D39" s="34">
        <v>17</v>
      </c>
      <c r="E39" s="34">
        <v>984</v>
      </c>
      <c r="F39" s="177" t="s">
        <v>495</v>
      </c>
    </row>
    <row r="40" spans="1:6" ht="162" x14ac:dyDescent="0.25">
      <c r="A40" s="344">
        <v>45383</v>
      </c>
      <c r="B40" s="336" t="s">
        <v>1413</v>
      </c>
      <c r="C40" s="240" t="s">
        <v>491</v>
      </c>
      <c r="D40" s="34">
        <v>7</v>
      </c>
      <c r="E40" s="34">
        <v>278</v>
      </c>
      <c r="F40" s="177" t="s">
        <v>496</v>
      </c>
    </row>
    <row r="41" spans="1:6" ht="101.25" x14ac:dyDescent="0.25">
      <c r="A41" s="345">
        <v>45413</v>
      </c>
      <c r="B41" s="335" t="s">
        <v>1401</v>
      </c>
      <c r="C41" s="191" t="s">
        <v>489</v>
      </c>
      <c r="D41" s="35">
        <v>3</v>
      </c>
      <c r="E41" s="35">
        <v>281</v>
      </c>
      <c r="F41" s="40" t="s">
        <v>602</v>
      </c>
    </row>
    <row r="42" spans="1:6" ht="40.5" x14ac:dyDescent="0.25">
      <c r="A42" s="345">
        <v>45413</v>
      </c>
      <c r="B42" s="335" t="s">
        <v>1401</v>
      </c>
      <c r="C42" s="191" t="s">
        <v>490</v>
      </c>
      <c r="D42" s="35">
        <v>2</v>
      </c>
      <c r="E42" s="35">
        <v>390</v>
      </c>
      <c r="F42" s="40" t="s">
        <v>583</v>
      </c>
    </row>
    <row r="43" spans="1:6" ht="20.25" x14ac:dyDescent="0.25">
      <c r="A43" s="345">
        <v>45413</v>
      </c>
      <c r="B43" s="335" t="s">
        <v>1401</v>
      </c>
      <c r="C43" s="191" t="s">
        <v>491</v>
      </c>
      <c r="D43" s="35"/>
      <c r="E43" s="35"/>
      <c r="F43" s="40"/>
    </row>
    <row r="44" spans="1:6" ht="20.25" x14ac:dyDescent="0.25">
      <c r="A44" s="345">
        <v>45413</v>
      </c>
      <c r="B44" s="335" t="s">
        <v>1402</v>
      </c>
      <c r="C44" s="191" t="s">
        <v>489</v>
      </c>
      <c r="D44" s="35"/>
      <c r="E44" s="35"/>
      <c r="F44" s="40"/>
    </row>
    <row r="45" spans="1:6" ht="20.25" x14ac:dyDescent="0.25">
      <c r="A45" s="345">
        <v>45413</v>
      </c>
      <c r="B45" s="335" t="s">
        <v>1402</v>
      </c>
      <c r="C45" s="191" t="s">
        <v>490</v>
      </c>
      <c r="D45" s="35"/>
      <c r="E45" s="35"/>
      <c r="F45" s="40"/>
    </row>
    <row r="46" spans="1:6" ht="20.25" x14ac:dyDescent="0.25">
      <c r="A46" s="345">
        <v>45413</v>
      </c>
      <c r="B46" s="335" t="s">
        <v>1402</v>
      </c>
      <c r="C46" s="191" t="s">
        <v>491</v>
      </c>
      <c r="D46" s="35"/>
      <c r="E46" s="35"/>
      <c r="F46" s="40"/>
    </row>
    <row r="47" spans="1:6" ht="20.25" x14ac:dyDescent="0.25">
      <c r="A47" s="345">
        <v>45413</v>
      </c>
      <c r="B47" s="335" t="s">
        <v>1403</v>
      </c>
      <c r="C47" s="191" t="s">
        <v>489</v>
      </c>
      <c r="D47" s="35"/>
      <c r="E47" s="35"/>
      <c r="F47" s="40"/>
    </row>
    <row r="48" spans="1:6" ht="60.75" x14ac:dyDescent="0.25">
      <c r="A48" s="345">
        <v>45413</v>
      </c>
      <c r="B48" s="335" t="s">
        <v>1403</v>
      </c>
      <c r="C48" s="191" t="s">
        <v>490</v>
      </c>
      <c r="D48" s="35">
        <v>3</v>
      </c>
      <c r="E48" s="35">
        <v>107</v>
      </c>
      <c r="F48" s="40" t="s">
        <v>584</v>
      </c>
    </row>
    <row r="49" spans="1:6" ht="20.25" x14ac:dyDescent="0.25">
      <c r="A49" s="345">
        <v>45413</v>
      </c>
      <c r="B49" s="335" t="s">
        <v>1403</v>
      </c>
      <c r="C49" s="191" t="s">
        <v>491</v>
      </c>
      <c r="D49" s="35"/>
      <c r="E49" s="35"/>
      <c r="F49" s="40"/>
    </row>
    <row r="50" spans="1:6" ht="20.25" x14ac:dyDescent="0.25">
      <c r="A50" s="345">
        <v>45413</v>
      </c>
      <c r="B50" s="335" t="s">
        <v>1404</v>
      </c>
      <c r="C50" s="191" t="s">
        <v>489</v>
      </c>
      <c r="D50" s="35">
        <v>1</v>
      </c>
      <c r="E50" s="35">
        <v>80</v>
      </c>
      <c r="F50" s="40" t="s">
        <v>592</v>
      </c>
    </row>
    <row r="51" spans="1:6" ht="20.25" x14ac:dyDescent="0.25">
      <c r="A51" s="345">
        <v>45413</v>
      </c>
      <c r="B51" s="335" t="s">
        <v>1404</v>
      </c>
      <c r="C51" s="191" t="s">
        <v>490</v>
      </c>
      <c r="D51" s="35"/>
      <c r="E51" s="35"/>
      <c r="F51" s="40"/>
    </row>
    <row r="52" spans="1:6" ht="20.25" x14ac:dyDescent="0.25">
      <c r="A52" s="345">
        <v>45413</v>
      </c>
      <c r="B52" s="335" t="s">
        <v>1404</v>
      </c>
      <c r="C52" s="191" t="s">
        <v>491</v>
      </c>
      <c r="D52" s="35"/>
      <c r="E52" s="35"/>
      <c r="F52" s="40"/>
    </row>
    <row r="53" spans="1:6" ht="20.25" x14ac:dyDescent="0.25">
      <c r="A53" s="345">
        <v>45413</v>
      </c>
      <c r="B53" s="335" t="s">
        <v>1405</v>
      </c>
      <c r="C53" s="191" t="s">
        <v>489</v>
      </c>
      <c r="D53" s="35">
        <v>2</v>
      </c>
      <c r="E53" s="35">
        <v>22</v>
      </c>
      <c r="F53" s="40" t="s">
        <v>585</v>
      </c>
    </row>
    <row r="54" spans="1:6" ht="40.5" x14ac:dyDescent="0.25">
      <c r="A54" s="345">
        <v>45413</v>
      </c>
      <c r="B54" s="335" t="s">
        <v>1405</v>
      </c>
      <c r="C54" s="191" t="s">
        <v>490</v>
      </c>
      <c r="D54" s="35">
        <v>2</v>
      </c>
      <c r="E54" s="35">
        <v>260</v>
      </c>
      <c r="F54" s="40" t="s">
        <v>586</v>
      </c>
    </row>
    <row r="55" spans="1:6" ht="60.75" x14ac:dyDescent="0.25">
      <c r="A55" s="345">
        <v>45413</v>
      </c>
      <c r="B55" s="335" t="s">
        <v>1405</v>
      </c>
      <c r="C55" s="191" t="s">
        <v>491</v>
      </c>
      <c r="D55" s="35">
        <v>3</v>
      </c>
      <c r="E55" s="35">
        <v>41</v>
      </c>
      <c r="F55" s="40" t="s">
        <v>587</v>
      </c>
    </row>
    <row r="56" spans="1:6" ht="222.75" x14ac:dyDescent="0.25">
      <c r="A56" s="345">
        <v>45413</v>
      </c>
      <c r="B56" s="335" t="s">
        <v>1406</v>
      </c>
      <c r="C56" s="191" t="s">
        <v>489</v>
      </c>
      <c r="D56" s="35">
        <v>11</v>
      </c>
      <c r="E56" s="35">
        <v>1055</v>
      </c>
      <c r="F56" s="40" t="s">
        <v>598</v>
      </c>
    </row>
    <row r="57" spans="1:6" ht="40.5" x14ac:dyDescent="0.25">
      <c r="A57" s="345">
        <v>45413</v>
      </c>
      <c r="B57" s="335" t="s">
        <v>1406</v>
      </c>
      <c r="C57" s="191" t="s">
        <v>490</v>
      </c>
      <c r="D57" s="35">
        <v>2</v>
      </c>
      <c r="E57" s="35">
        <v>400</v>
      </c>
      <c r="F57" s="40" t="s">
        <v>599</v>
      </c>
    </row>
    <row r="58" spans="1:6" ht="20.25" x14ac:dyDescent="0.25">
      <c r="A58" s="345">
        <v>45413</v>
      </c>
      <c r="B58" s="335" t="s">
        <v>1406</v>
      </c>
      <c r="C58" s="191" t="s">
        <v>491</v>
      </c>
      <c r="D58" s="35"/>
      <c r="E58" s="35"/>
      <c r="F58" s="40"/>
    </row>
    <row r="59" spans="1:6" ht="141.75" x14ac:dyDescent="0.25">
      <c r="A59" s="345">
        <v>45413</v>
      </c>
      <c r="B59" s="335" t="s">
        <v>1438</v>
      </c>
      <c r="C59" s="191" t="s">
        <v>489</v>
      </c>
      <c r="D59" s="35">
        <v>7</v>
      </c>
      <c r="E59" s="35">
        <v>1227</v>
      </c>
      <c r="F59" s="40" t="s">
        <v>595</v>
      </c>
    </row>
    <row r="60" spans="1:6" ht="40.5" x14ac:dyDescent="0.25">
      <c r="A60" s="345">
        <v>45413</v>
      </c>
      <c r="B60" s="335" t="s">
        <v>1438</v>
      </c>
      <c r="C60" s="191" t="s">
        <v>490</v>
      </c>
      <c r="D60" s="35">
        <v>2</v>
      </c>
      <c r="E60" s="35">
        <v>300</v>
      </c>
      <c r="F60" s="40" t="s">
        <v>593</v>
      </c>
    </row>
    <row r="61" spans="1:6" ht="409.5" x14ac:dyDescent="0.25">
      <c r="A61" s="345">
        <v>45413</v>
      </c>
      <c r="B61" s="335" t="s">
        <v>1438</v>
      </c>
      <c r="C61" s="191" t="s">
        <v>491</v>
      </c>
      <c r="D61" s="35">
        <v>4</v>
      </c>
      <c r="E61" s="35">
        <v>32</v>
      </c>
      <c r="F61" s="189" t="s">
        <v>594</v>
      </c>
    </row>
    <row r="62" spans="1:6" ht="81" x14ac:dyDescent="0.25">
      <c r="A62" s="345">
        <v>45413</v>
      </c>
      <c r="B62" s="335" t="s">
        <v>1408</v>
      </c>
      <c r="C62" s="191" t="s">
        <v>489</v>
      </c>
      <c r="D62" s="35">
        <v>4</v>
      </c>
      <c r="E62" s="35">
        <v>260</v>
      </c>
      <c r="F62" s="1" t="s">
        <v>588</v>
      </c>
    </row>
    <row r="63" spans="1:6" ht="20.25" x14ac:dyDescent="0.25">
      <c r="A63" s="345">
        <v>45413</v>
      </c>
      <c r="B63" s="335" t="s">
        <v>1408</v>
      </c>
      <c r="C63" s="191" t="s">
        <v>490</v>
      </c>
      <c r="D63" s="35"/>
      <c r="E63" s="35"/>
      <c r="F63" s="40"/>
    </row>
    <row r="64" spans="1:6" ht="20.25" x14ac:dyDescent="0.25">
      <c r="A64" s="345">
        <v>45413</v>
      </c>
      <c r="B64" s="335" t="s">
        <v>1408</v>
      </c>
      <c r="C64" s="191" t="s">
        <v>491</v>
      </c>
      <c r="D64" s="35"/>
      <c r="E64" s="35"/>
      <c r="F64" s="40"/>
    </row>
    <row r="65" spans="1:6" ht="20.25" x14ac:dyDescent="0.25">
      <c r="A65" s="345">
        <v>45413</v>
      </c>
      <c r="B65" s="335" t="s">
        <v>1409</v>
      </c>
      <c r="C65" s="191" t="s">
        <v>489</v>
      </c>
      <c r="D65" s="35">
        <v>1</v>
      </c>
      <c r="E65" s="35">
        <v>425</v>
      </c>
      <c r="F65" s="40" t="s">
        <v>600</v>
      </c>
    </row>
    <row r="66" spans="1:6" ht="20.25" x14ac:dyDescent="0.25">
      <c r="A66" s="345">
        <v>45413</v>
      </c>
      <c r="B66" s="335" t="s">
        <v>1409</v>
      </c>
      <c r="C66" s="191" t="s">
        <v>490</v>
      </c>
      <c r="D66" s="35"/>
      <c r="E66" s="35"/>
      <c r="F66" s="40"/>
    </row>
    <row r="67" spans="1:6" ht="20.25" x14ac:dyDescent="0.25">
      <c r="A67" s="345">
        <v>45413</v>
      </c>
      <c r="B67" s="335" t="s">
        <v>1409</v>
      </c>
      <c r="C67" s="191" t="s">
        <v>491</v>
      </c>
      <c r="D67" s="35"/>
      <c r="E67" s="35"/>
      <c r="F67" s="40"/>
    </row>
    <row r="68" spans="1:6" ht="60.75" x14ac:dyDescent="0.25">
      <c r="A68" s="345">
        <v>45413</v>
      </c>
      <c r="B68" s="335" t="s">
        <v>1410</v>
      </c>
      <c r="C68" s="191" t="s">
        <v>489</v>
      </c>
      <c r="D68" s="35">
        <v>2</v>
      </c>
      <c r="E68" s="35">
        <v>317</v>
      </c>
      <c r="F68" s="40" t="s">
        <v>582</v>
      </c>
    </row>
    <row r="69" spans="1:6" ht="40.5" x14ac:dyDescent="0.25">
      <c r="A69" s="345">
        <v>45413</v>
      </c>
      <c r="B69" s="335" t="s">
        <v>1410</v>
      </c>
      <c r="C69" s="191" t="s">
        <v>490</v>
      </c>
      <c r="D69" s="35">
        <v>2</v>
      </c>
      <c r="E69" s="35">
        <v>180</v>
      </c>
      <c r="F69" s="40" t="s">
        <v>581</v>
      </c>
    </row>
    <row r="70" spans="1:6" ht="20.25" x14ac:dyDescent="0.25">
      <c r="A70" s="345">
        <v>45413</v>
      </c>
      <c r="B70" s="335" t="s">
        <v>1410</v>
      </c>
      <c r="C70" s="191" t="s">
        <v>491</v>
      </c>
      <c r="D70" s="35"/>
      <c r="E70" s="35"/>
      <c r="F70" s="40"/>
    </row>
    <row r="71" spans="1:6" ht="20.25" x14ac:dyDescent="0.25">
      <c r="A71" s="345">
        <v>45413</v>
      </c>
      <c r="B71" s="335" t="s">
        <v>1411</v>
      </c>
      <c r="C71" s="191" t="s">
        <v>489</v>
      </c>
      <c r="D71" s="190"/>
      <c r="E71" s="190"/>
      <c r="F71" s="40"/>
    </row>
    <row r="72" spans="1:6" ht="20.25" x14ac:dyDescent="0.25">
      <c r="A72" s="345">
        <v>45413</v>
      </c>
      <c r="B72" s="335" t="s">
        <v>1411</v>
      </c>
      <c r="C72" s="191" t="s">
        <v>490</v>
      </c>
      <c r="D72" s="35">
        <v>1</v>
      </c>
      <c r="E72" s="35">
        <v>300</v>
      </c>
      <c r="F72" s="40" t="s">
        <v>580</v>
      </c>
    </row>
    <row r="73" spans="1:6" ht="20.25" x14ac:dyDescent="0.25">
      <c r="A73" s="345">
        <v>45413</v>
      </c>
      <c r="B73" s="335" t="s">
        <v>1411</v>
      </c>
      <c r="C73" s="191" t="s">
        <v>491</v>
      </c>
      <c r="D73" s="35"/>
      <c r="E73" s="35"/>
      <c r="F73" s="40"/>
    </row>
    <row r="74" spans="1:6" ht="121.5" x14ac:dyDescent="0.25">
      <c r="A74" s="345">
        <v>45413</v>
      </c>
      <c r="B74" s="335" t="s">
        <v>1452</v>
      </c>
      <c r="C74" s="191" t="s">
        <v>489</v>
      </c>
      <c r="D74" s="35">
        <v>6</v>
      </c>
      <c r="E74" s="35">
        <v>382</v>
      </c>
      <c r="F74" s="40" t="s">
        <v>590</v>
      </c>
    </row>
    <row r="75" spans="1:6" ht="243" x14ac:dyDescent="0.25">
      <c r="A75" s="345">
        <v>45413</v>
      </c>
      <c r="B75" s="335" t="s">
        <v>1452</v>
      </c>
      <c r="C75" s="191" t="s">
        <v>490</v>
      </c>
      <c r="D75" s="35">
        <v>11</v>
      </c>
      <c r="E75" s="35">
        <v>882</v>
      </c>
      <c r="F75" s="40" t="s">
        <v>591</v>
      </c>
    </row>
    <row r="76" spans="1:6" ht="40.5" x14ac:dyDescent="0.25">
      <c r="A76" s="345">
        <v>45413</v>
      </c>
      <c r="B76" s="335" t="s">
        <v>1452</v>
      </c>
      <c r="C76" s="191" t="s">
        <v>491</v>
      </c>
      <c r="D76" s="35">
        <v>2</v>
      </c>
      <c r="E76" s="35">
        <v>30</v>
      </c>
      <c r="F76" s="40" t="s">
        <v>589</v>
      </c>
    </row>
    <row r="77" spans="1:6" ht="60.75" x14ac:dyDescent="0.25">
      <c r="A77" s="345">
        <v>45413</v>
      </c>
      <c r="B77" s="335" t="s">
        <v>1413</v>
      </c>
      <c r="C77" s="191" t="s">
        <v>489</v>
      </c>
      <c r="D77" s="35">
        <v>3</v>
      </c>
      <c r="E77" s="35">
        <v>207</v>
      </c>
      <c r="F77" s="40" t="s">
        <v>596</v>
      </c>
    </row>
    <row r="78" spans="1:6" ht="81" x14ac:dyDescent="0.25">
      <c r="A78" s="345">
        <v>45413</v>
      </c>
      <c r="B78" s="335" t="s">
        <v>1413</v>
      </c>
      <c r="C78" s="191" t="s">
        <v>490</v>
      </c>
      <c r="D78" s="35">
        <v>3</v>
      </c>
      <c r="E78" s="35">
        <v>129</v>
      </c>
      <c r="F78" s="40" t="s">
        <v>597</v>
      </c>
    </row>
    <row r="79" spans="1:6" ht="162" x14ac:dyDescent="0.25">
      <c r="A79" s="345">
        <v>45413</v>
      </c>
      <c r="B79" s="335" t="s">
        <v>1413</v>
      </c>
      <c r="C79" s="191" t="s">
        <v>491</v>
      </c>
      <c r="D79" s="35">
        <v>6</v>
      </c>
      <c r="E79" s="35">
        <v>38</v>
      </c>
      <c r="F79" s="40" t="s">
        <v>601</v>
      </c>
    </row>
    <row r="80" spans="1:6" ht="20.25" x14ac:dyDescent="0.25">
      <c r="A80" s="345">
        <v>45444</v>
      </c>
      <c r="B80" s="335" t="s">
        <v>1401</v>
      </c>
      <c r="C80" s="191" t="s">
        <v>489</v>
      </c>
      <c r="D80" s="35"/>
      <c r="E80" s="35"/>
      <c r="F80" s="40"/>
    </row>
    <row r="81" spans="1:6" ht="20.25" x14ac:dyDescent="0.25">
      <c r="A81" s="334">
        <v>45444</v>
      </c>
      <c r="B81" s="335" t="s">
        <v>1401</v>
      </c>
      <c r="C81" s="191" t="s">
        <v>490</v>
      </c>
      <c r="D81" s="35"/>
      <c r="E81" s="35"/>
      <c r="F81" s="40"/>
    </row>
    <row r="82" spans="1:6" ht="364.5" x14ac:dyDescent="0.25">
      <c r="A82" s="334">
        <v>45444</v>
      </c>
      <c r="B82" s="335" t="s">
        <v>1401</v>
      </c>
      <c r="C82" s="191" t="s">
        <v>491</v>
      </c>
      <c r="D82" s="35">
        <v>20</v>
      </c>
      <c r="E82" s="35">
        <v>338</v>
      </c>
      <c r="F82" s="40" t="s">
        <v>629</v>
      </c>
    </row>
    <row r="83" spans="1:6" ht="20.25" x14ac:dyDescent="0.25">
      <c r="A83" s="334">
        <v>45444</v>
      </c>
      <c r="B83" s="335" t="s">
        <v>1402</v>
      </c>
      <c r="C83" s="191" t="s">
        <v>489</v>
      </c>
      <c r="D83" s="35">
        <v>1</v>
      </c>
      <c r="E83" s="35">
        <v>80</v>
      </c>
      <c r="F83" s="40" t="s">
        <v>625</v>
      </c>
    </row>
    <row r="84" spans="1:6" ht="20.25" x14ac:dyDescent="0.25">
      <c r="A84" s="334">
        <v>45444</v>
      </c>
      <c r="B84" s="335" t="s">
        <v>1402</v>
      </c>
      <c r="C84" s="191" t="s">
        <v>490</v>
      </c>
      <c r="D84" s="35">
        <v>1</v>
      </c>
      <c r="E84" s="35">
        <v>30</v>
      </c>
      <c r="F84" s="40" t="s">
        <v>624</v>
      </c>
    </row>
    <row r="85" spans="1:6" ht="20.25" x14ac:dyDescent="0.25">
      <c r="A85" s="334">
        <v>45444</v>
      </c>
      <c r="B85" s="335" t="s">
        <v>1402</v>
      </c>
      <c r="C85" s="191" t="s">
        <v>491</v>
      </c>
      <c r="D85" s="35"/>
      <c r="E85" s="35"/>
      <c r="F85" s="40"/>
    </row>
    <row r="86" spans="1:6" ht="121.5" x14ac:dyDescent="0.25">
      <c r="A86" s="334">
        <v>45444</v>
      </c>
      <c r="B86" s="335" t="s">
        <v>1403</v>
      </c>
      <c r="C86" s="191" t="s">
        <v>489</v>
      </c>
      <c r="D86" s="35">
        <v>6</v>
      </c>
      <c r="E86" s="35">
        <v>290</v>
      </c>
      <c r="F86" s="40" t="s">
        <v>616</v>
      </c>
    </row>
    <row r="87" spans="1:6" ht="20.25" x14ac:dyDescent="0.25">
      <c r="A87" s="334">
        <v>45444</v>
      </c>
      <c r="B87" s="335" t="s">
        <v>1403</v>
      </c>
      <c r="C87" s="191" t="s">
        <v>490</v>
      </c>
      <c r="D87" s="35"/>
      <c r="E87" s="35"/>
      <c r="F87" s="40"/>
    </row>
    <row r="88" spans="1:6" ht="20.25" x14ac:dyDescent="0.25">
      <c r="A88" s="334">
        <v>45444</v>
      </c>
      <c r="B88" s="335" t="s">
        <v>1403</v>
      </c>
      <c r="C88" s="191" t="s">
        <v>491</v>
      </c>
      <c r="D88" s="35"/>
      <c r="E88" s="35"/>
      <c r="F88" s="40"/>
    </row>
    <row r="89" spans="1:6" ht="60.75" x14ac:dyDescent="0.25">
      <c r="A89" s="334">
        <v>45444</v>
      </c>
      <c r="B89" s="335" t="s">
        <v>1404</v>
      </c>
      <c r="C89" s="191" t="s">
        <v>489</v>
      </c>
      <c r="D89" s="35">
        <v>3</v>
      </c>
      <c r="E89" s="35">
        <v>111</v>
      </c>
      <c r="F89" s="40" t="s">
        <v>618</v>
      </c>
    </row>
    <row r="90" spans="1:6" ht="20.25" x14ac:dyDescent="0.25">
      <c r="A90" s="334">
        <v>45444</v>
      </c>
      <c r="B90" s="335" t="s">
        <v>1404</v>
      </c>
      <c r="C90" s="191" t="s">
        <v>490</v>
      </c>
      <c r="D90" s="35"/>
      <c r="E90" s="35"/>
      <c r="F90" s="40"/>
    </row>
    <row r="91" spans="1:6" ht="101.25" x14ac:dyDescent="0.25">
      <c r="A91" s="334">
        <v>45444</v>
      </c>
      <c r="B91" s="335" t="s">
        <v>1404</v>
      </c>
      <c r="C91" s="191" t="s">
        <v>491</v>
      </c>
      <c r="D91" s="35">
        <v>5</v>
      </c>
      <c r="E91" s="35">
        <v>122</v>
      </c>
      <c r="F91" s="40" t="s">
        <v>617</v>
      </c>
    </row>
    <row r="92" spans="1:6" ht="40.5" x14ac:dyDescent="0.25">
      <c r="A92" s="334">
        <v>45444</v>
      </c>
      <c r="B92" s="335" t="s">
        <v>1405</v>
      </c>
      <c r="C92" s="191" t="s">
        <v>489</v>
      </c>
      <c r="D92" s="35">
        <v>2</v>
      </c>
      <c r="E92" s="35">
        <v>94</v>
      </c>
      <c r="F92" s="40" t="s">
        <v>608</v>
      </c>
    </row>
    <row r="93" spans="1:6" ht="20.25" x14ac:dyDescent="0.25">
      <c r="A93" s="334">
        <v>45444</v>
      </c>
      <c r="B93" s="335" t="s">
        <v>1405</v>
      </c>
      <c r="C93" s="191" t="s">
        <v>490</v>
      </c>
      <c r="D93" s="35">
        <v>1</v>
      </c>
      <c r="E93" s="35">
        <v>150</v>
      </c>
      <c r="F93" s="40" t="s">
        <v>609</v>
      </c>
    </row>
    <row r="94" spans="1:6" ht="20.25" x14ac:dyDescent="0.25">
      <c r="A94" s="334">
        <v>45444</v>
      </c>
      <c r="B94" s="335" t="s">
        <v>1405</v>
      </c>
      <c r="C94" s="191" t="s">
        <v>491</v>
      </c>
      <c r="D94" s="35">
        <v>1</v>
      </c>
      <c r="E94" s="35">
        <v>10</v>
      </c>
      <c r="F94" s="40" t="s">
        <v>610</v>
      </c>
    </row>
    <row r="95" spans="1:6" ht="306" x14ac:dyDescent="0.25">
      <c r="A95" s="334">
        <v>45444</v>
      </c>
      <c r="B95" s="335" t="s">
        <v>1406</v>
      </c>
      <c r="C95" s="191" t="s">
        <v>489</v>
      </c>
      <c r="D95" s="35">
        <v>20</v>
      </c>
      <c r="E95" s="35">
        <v>1504</v>
      </c>
      <c r="F95" s="193" t="s">
        <v>619</v>
      </c>
    </row>
    <row r="96" spans="1:6" ht="20.25" x14ac:dyDescent="0.25">
      <c r="A96" s="334">
        <v>45444</v>
      </c>
      <c r="B96" s="335" t="s">
        <v>1406</v>
      </c>
      <c r="C96" s="191" t="s">
        <v>490</v>
      </c>
      <c r="D96" s="35"/>
      <c r="E96" s="35"/>
      <c r="F96" s="40"/>
    </row>
    <row r="97" spans="1:6" ht="20.25" x14ac:dyDescent="0.25">
      <c r="A97" s="334">
        <v>45444</v>
      </c>
      <c r="B97" s="335" t="s">
        <v>1406</v>
      </c>
      <c r="C97" s="191" t="s">
        <v>491</v>
      </c>
      <c r="D97" s="35">
        <v>1</v>
      </c>
      <c r="E97" s="35">
        <v>600</v>
      </c>
      <c r="F97" s="40" t="s">
        <v>620</v>
      </c>
    </row>
    <row r="98" spans="1:6" ht="81" x14ac:dyDescent="0.25">
      <c r="A98" s="334">
        <v>45444</v>
      </c>
      <c r="B98" s="335" t="s">
        <v>1438</v>
      </c>
      <c r="C98" s="191" t="s">
        <v>489</v>
      </c>
      <c r="D98" s="35">
        <v>4</v>
      </c>
      <c r="E98" s="35">
        <v>1225</v>
      </c>
      <c r="F98" s="40" t="s">
        <v>605</v>
      </c>
    </row>
    <row r="99" spans="1:6" ht="263.25" x14ac:dyDescent="0.25">
      <c r="A99" s="334">
        <v>45444</v>
      </c>
      <c r="B99" s="335" t="s">
        <v>1438</v>
      </c>
      <c r="C99" s="191" t="s">
        <v>490</v>
      </c>
      <c r="D99" s="35">
        <v>14</v>
      </c>
      <c r="E99" s="35">
        <v>269</v>
      </c>
      <c r="F99" s="40" t="s">
        <v>606</v>
      </c>
    </row>
    <row r="100" spans="1:6" ht="409.5" x14ac:dyDescent="0.25">
      <c r="A100" s="334">
        <v>45444</v>
      </c>
      <c r="B100" s="335" t="s">
        <v>1438</v>
      </c>
      <c r="C100" s="191" t="s">
        <v>491</v>
      </c>
      <c r="D100" s="35">
        <v>25</v>
      </c>
      <c r="E100" s="35">
        <v>374</v>
      </c>
      <c r="F100" s="189" t="s">
        <v>607</v>
      </c>
    </row>
    <row r="101" spans="1:6" ht="40.5" x14ac:dyDescent="0.25">
      <c r="A101" s="334">
        <v>45444</v>
      </c>
      <c r="B101" s="335" t="s">
        <v>1408</v>
      </c>
      <c r="C101" s="191" t="s">
        <v>489</v>
      </c>
      <c r="D101" s="35">
        <v>2</v>
      </c>
      <c r="E101" s="35">
        <v>170</v>
      </c>
      <c r="F101" s="1" t="s">
        <v>615</v>
      </c>
    </row>
    <row r="102" spans="1:6" ht="60.75" x14ac:dyDescent="0.25">
      <c r="A102" s="334">
        <v>45444</v>
      </c>
      <c r="B102" s="335" t="s">
        <v>1408</v>
      </c>
      <c r="C102" s="191" t="s">
        <v>490</v>
      </c>
      <c r="D102" s="35">
        <v>3</v>
      </c>
      <c r="E102" s="35">
        <v>70</v>
      </c>
      <c r="F102" s="40" t="s">
        <v>614</v>
      </c>
    </row>
    <row r="103" spans="1:6" ht="20.25" x14ac:dyDescent="0.25">
      <c r="A103" s="334">
        <v>45444</v>
      </c>
      <c r="B103" s="335" t="s">
        <v>1408</v>
      </c>
      <c r="C103" s="191" t="s">
        <v>491</v>
      </c>
      <c r="D103" s="35"/>
      <c r="E103" s="35"/>
      <c r="F103" s="40"/>
    </row>
    <row r="104" spans="1:6" ht="20.25" x14ac:dyDescent="0.25">
      <c r="A104" s="334">
        <v>45444</v>
      </c>
      <c r="B104" s="335" t="s">
        <v>1409</v>
      </c>
      <c r="C104" s="191" t="s">
        <v>489</v>
      </c>
      <c r="D104" s="35"/>
      <c r="E104" s="35"/>
      <c r="F104" s="40"/>
    </row>
    <row r="105" spans="1:6" ht="20.25" x14ac:dyDescent="0.25">
      <c r="A105" s="334">
        <v>45444</v>
      </c>
      <c r="B105" s="335" t="s">
        <v>1409</v>
      </c>
      <c r="C105" s="191" t="s">
        <v>490</v>
      </c>
      <c r="D105" s="35"/>
      <c r="E105" s="35"/>
      <c r="F105" s="40"/>
    </row>
    <row r="106" spans="1:6" ht="20.25" x14ac:dyDescent="0.25">
      <c r="A106" s="334">
        <v>45444</v>
      </c>
      <c r="B106" s="335" t="s">
        <v>1409</v>
      </c>
      <c r="C106" s="191" t="s">
        <v>491</v>
      </c>
      <c r="D106" s="35">
        <v>1</v>
      </c>
      <c r="E106" s="35">
        <v>10</v>
      </c>
      <c r="F106" s="40" t="s">
        <v>630</v>
      </c>
    </row>
    <row r="107" spans="1:6" ht="20.25" x14ac:dyDescent="0.25">
      <c r="A107" s="334">
        <v>45444</v>
      </c>
      <c r="B107" s="335" t="s">
        <v>1410</v>
      </c>
      <c r="C107" s="191" t="s">
        <v>489</v>
      </c>
      <c r="D107" s="35">
        <v>1</v>
      </c>
      <c r="E107" s="35">
        <v>150</v>
      </c>
      <c r="F107" s="40" t="s">
        <v>621</v>
      </c>
    </row>
    <row r="108" spans="1:6" ht="20.25" x14ac:dyDescent="0.25">
      <c r="A108" s="334">
        <v>45444</v>
      </c>
      <c r="B108" s="335" t="s">
        <v>1410</v>
      </c>
      <c r="C108" s="191" t="s">
        <v>490</v>
      </c>
      <c r="D108" s="35"/>
      <c r="E108" s="35"/>
      <c r="F108" s="40"/>
    </row>
    <row r="109" spans="1:6" ht="20.25" x14ac:dyDescent="0.25">
      <c r="A109" s="334">
        <v>45444</v>
      </c>
      <c r="B109" s="335" t="s">
        <v>1410</v>
      </c>
      <c r="C109" s="191" t="s">
        <v>491</v>
      </c>
      <c r="D109" s="35"/>
      <c r="E109" s="35"/>
      <c r="F109" s="40"/>
    </row>
    <row r="110" spans="1:6" ht="20.25" x14ac:dyDescent="0.25">
      <c r="A110" s="334">
        <v>45444</v>
      </c>
      <c r="B110" s="335" t="s">
        <v>1411</v>
      </c>
      <c r="C110" s="191" t="s">
        <v>489</v>
      </c>
      <c r="D110" s="190"/>
      <c r="E110" s="190"/>
      <c r="F110" s="40"/>
    </row>
    <row r="111" spans="1:6" ht="20.25" x14ac:dyDescent="0.25">
      <c r="A111" s="334">
        <v>45444</v>
      </c>
      <c r="B111" s="335" t="s">
        <v>1411</v>
      </c>
      <c r="C111" s="191" t="s">
        <v>490</v>
      </c>
      <c r="D111" s="35"/>
      <c r="E111" s="35"/>
      <c r="F111" s="40"/>
    </row>
    <row r="112" spans="1:6" ht="20.25" x14ac:dyDescent="0.25">
      <c r="A112" s="334">
        <v>45444</v>
      </c>
      <c r="B112" s="335" t="s">
        <v>1411</v>
      </c>
      <c r="C112" s="191" t="s">
        <v>491</v>
      </c>
      <c r="D112" s="35"/>
      <c r="E112" s="35"/>
      <c r="F112" s="40"/>
    </row>
    <row r="113" spans="1:6" ht="121.5" x14ac:dyDescent="0.25">
      <c r="A113" s="334">
        <v>45444</v>
      </c>
      <c r="B113" s="335" t="s">
        <v>1452</v>
      </c>
      <c r="C113" s="191" t="s">
        <v>489</v>
      </c>
      <c r="D113" s="35">
        <v>6</v>
      </c>
      <c r="E113" s="35">
        <v>205</v>
      </c>
      <c r="F113" s="40" t="s">
        <v>622</v>
      </c>
    </row>
    <row r="114" spans="1:6" ht="141.75" x14ac:dyDescent="0.25">
      <c r="A114" s="334">
        <v>45444</v>
      </c>
      <c r="B114" s="335" t="s">
        <v>1452</v>
      </c>
      <c r="C114" s="191" t="s">
        <v>490</v>
      </c>
      <c r="D114" s="35">
        <v>7</v>
      </c>
      <c r="E114" s="35">
        <v>143</v>
      </c>
      <c r="F114" s="40" t="s">
        <v>623</v>
      </c>
    </row>
    <row r="115" spans="1:6" ht="20.25" x14ac:dyDescent="0.25">
      <c r="A115" s="334">
        <v>45444</v>
      </c>
      <c r="B115" s="335" t="s">
        <v>1452</v>
      </c>
      <c r="C115" s="191" t="s">
        <v>491</v>
      </c>
      <c r="D115" s="35"/>
      <c r="E115" s="35"/>
      <c r="F115" s="40"/>
    </row>
    <row r="116" spans="1:6" ht="81" x14ac:dyDescent="0.25">
      <c r="A116" s="334">
        <v>45444</v>
      </c>
      <c r="B116" s="335" t="s">
        <v>1413</v>
      </c>
      <c r="C116" s="191" t="s">
        <v>489</v>
      </c>
      <c r="D116" s="194">
        <v>4</v>
      </c>
      <c r="E116" s="194">
        <v>368</v>
      </c>
      <c r="F116" s="40" t="s">
        <v>626</v>
      </c>
    </row>
    <row r="117" spans="1:6" ht="81" x14ac:dyDescent="0.25">
      <c r="A117" s="334">
        <v>45444</v>
      </c>
      <c r="B117" s="335" t="s">
        <v>1413</v>
      </c>
      <c r="C117" s="191" t="s">
        <v>490</v>
      </c>
      <c r="D117" s="35">
        <v>4</v>
      </c>
      <c r="E117" s="35">
        <v>109</v>
      </c>
      <c r="F117" s="40" t="s">
        <v>627</v>
      </c>
    </row>
    <row r="118" spans="1:6" ht="81" x14ac:dyDescent="0.25">
      <c r="A118" s="334">
        <v>45444</v>
      </c>
      <c r="B118" s="335" t="s">
        <v>1413</v>
      </c>
      <c r="C118" s="191" t="s">
        <v>491</v>
      </c>
      <c r="D118" s="35">
        <v>3</v>
      </c>
      <c r="E118" s="35">
        <v>18</v>
      </c>
      <c r="F118" s="40" t="s">
        <v>628</v>
      </c>
    </row>
    <row r="119" spans="1:6" ht="20.25" x14ac:dyDescent="0.25">
      <c r="A119" s="334">
        <v>45474</v>
      </c>
      <c r="B119" s="335" t="s">
        <v>1401</v>
      </c>
      <c r="C119" s="191" t="s">
        <v>489</v>
      </c>
      <c r="D119" s="35"/>
      <c r="E119" s="35"/>
      <c r="F119" s="40"/>
    </row>
    <row r="120" spans="1:6" ht="20.25" x14ac:dyDescent="0.25">
      <c r="A120" s="334">
        <v>45474</v>
      </c>
      <c r="B120" s="335" t="s">
        <v>1401</v>
      </c>
      <c r="C120" s="191" t="s">
        <v>490</v>
      </c>
      <c r="D120" s="35"/>
      <c r="E120" s="35"/>
      <c r="F120" s="40"/>
    </row>
    <row r="121" spans="1:6" ht="20.25" x14ac:dyDescent="0.25">
      <c r="A121" s="334">
        <v>45474</v>
      </c>
      <c r="B121" s="335" t="s">
        <v>1401</v>
      </c>
      <c r="C121" s="191" t="s">
        <v>491</v>
      </c>
      <c r="D121" s="35">
        <v>1</v>
      </c>
      <c r="E121" s="35">
        <v>25</v>
      </c>
      <c r="F121" s="40" t="s">
        <v>632</v>
      </c>
    </row>
    <row r="122" spans="1:6" ht="20.25" x14ac:dyDescent="0.25">
      <c r="A122" s="334">
        <v>45474</v>
      </c>
      <c r="B122" s="335" t="s">
        <v>1402</v>
      </c>
      <c r="C122" s="191" t="s">
        <v>489</v>
      </c>
      <c r="D122" s="147"/>
      <c r="E122" s="147"/>
      <c r="F122" s="200"/>
    </row>
    <row r="123" spans="1:6" ht="20.25" x14ac:dyDescent="0.25">
      <c r="A123" s="334">
        <v>45474</v>
      </c>
      <c r="B123" s="335" t="s">
        <v>1402</v>
      </c>
      <c r="C123" s="191" t="s">
        <v>490</v>
      </c>
      <c r="D123" s="35"/>
      <c r="E123" s="35"/>
      <c r="F123" s="40"/>
    </row>
    <row r="124" spans="1:6" ht="20.25" x14ac:dyDescent="0.25">
      <c r="A124" s="334">
        <v>45474</v>
      </c>
      <c r="B124" s="335" t="s">
        <v>1402</v>
      </c>
      <c r="C124" s="191" t="s">
        <v>491</v>
      </c>
      <c r="D124" s="35"/>
      <c r="E124" s="35"/>
      <c r="F124" s="40"/>
    </row>
    <row r="125" spans="1:6" ht="20.25" x14ac:dyDescent="0.25">
      <c r="A125" s="334">
        <v>45474</v>
      </c>
      <c r="B125" s="335" t="s">
        <v>1403</v>
      </c>
      <c r="C125" s="191" t="s">
        <v>489</v>
      </c>
      <c r="D125" s="35">
        <v>4</v>
      </c>
      <c r="E125" s="35">
        <v>1050</v>
      </c>
      <c r="F125" s="40"/>
    </row>
    <row r="126" spans="1:6" ht="20.25" x14ac:dyDescent="0.25">
      <c r="A126" s="334">
        <v>45474</v>
      </c>
      <c r="B126" s="335" t="s">
        <v>1403</v>
      </c>
      <c r="C126" s="191" t="s">
        <v>490</v>
      </c>
      <c r="D126" s="35"/>
      <c r="E126" s="35"/>
      <c r="F126" s="40"/>
    </row>
    <row r="127" spans="1:6" ht="20.25" x14ac:dyDescent="0.25">
      <c r="A127" s="334">
        <v>45474</v>
      </c>
      <c r="B127" s="335" t="s">
        <v>1403</v>
      </c>
      <c r="C127" s="191" t="s">
        <v>491</v>
      </c>
      <c r="D127" s="35"/>
      <c r="E127" s="35"/>
      <c r="F127" s="40"/>
    </row>
    <row r="128" spans="1:6" ht="20.25" x14ac:dyDescent="0.25">
      <c r="A128" s="334">
        <v>45474</v>
      </c>
      <c r="B128" s="335" t="s">
        <v>1404</v>
      </c>
      <c r="C128" s="191" t="s">
        <v>489</v>
      </c>
      <c r="D128" s="35">
        <v>1</v>
      </c>
      <c r="E128" s="35">
        <v>300</v>
      </c>
      <c r="F128" s="40" t="s">
        <v>646</v>
      </c>
    </row>
    <row r="129" spans="1:6" ht="20.25" x14ac:dyDescent="0.25">
      <c r="A129" s="334">
        <v>45474</v>
      </c>
      <c r="B129" s="335" t="s">
        <v>1404</v>
      </c>
      <c r="C129" s="191" t="s">
        <v>490</v>
      </c>
      <c r="D129" s="35">
        <v>1</v>
      </c>
      <c r="E129" s="35">
        <v>300</v>
      </c>
      <c r="F129" s="40" t="s">
        <v>646</v>
      </c>
    </row>
    <row r="130" spans="1:6" ht="81" x14ac:dyDescent="0.25">
      <c r="A130" s="334">
        <v>45474</v>
      </c>
      <c r="B130" s="335" t="s">
        <v>1404</v>
      </c>
      <c r="C130" s="191" t="s">
        <v>491</v>
      </c>
      <c r="D130" s="35">
        <v>4</v>
      </c>
      <c r="E130" s="35">
        <v>630</v>
      </c>
      <c r="F130" s="40" t="s">
        <v>647</v>
      </c>
    </row>
    <row r="131" spans="1:6" ht="20.25" x14ac:dyDescent="0.25">
      <c r="A131" s="334">
        <v>45474</v>
      </c>
      <c r="B131" s="335" t="s">
        <v>1405</v>
      </c>
      <c r="C131" s="191" t="s">
        <v>489</v>
      </c>
      <c r="D131" s="35">
        <v>1</v>
      </c>
      <c r="E131" s="35">
        <v>35</v>
      </c>
      <c r="F131" s="40" t="s">
        <v>638</v>
      </c>
    </row>
    <row r="132" spans="1:6" ht="60.75" x14ac:dyDescent="0.25">
      <c r="A132" s="334">
        <v>45474</v>
      </c>
      <c r="B132" s="335" t="s">
        <v>1405</v>
      </c>
      <c r="C132" s="191" t="s">
        <v>490</v>
      </c>
      <c r="D132" s="35">
        <v>3</v>
      </c>
      <c r="E132" s="35">
        <v>400</v>
      </c>
      <c r="F132" s="40" t="s">
        <v>637</v>
      </c>
    </row>
    <row r="133" spans="1:6" ht="263.25" x14ac:dyDescent="0.25">
      <c r="A133" s="334">
        <v>45474</v>
      </c>
      <c r="B133" s="335" t="s">
        <v>1405</v>
      </c>
      <c r="C133" s="191" t="s">
        <v>491</v>
      </c>
      <c r="D133" s="35">
        <v>13</v>
      </c>
      <c r="E133" s="35">
        <v>163</v>
      </c>
      <c r="F133" s="40" t="s">
        <v>639</v>
      </c>
    </row>
    <row r="134" spans="1:6" ht="252" x14ac:dyDescent="0.25">
      <c r="A134" s="334">
        <v>45474</v>
      </c>
      <c r="B134" s="335" t="s">
        <v>1406</v>
      </c>
      <c r="C134" s="191" t="s">
        <v>489</v>
      </c>
      <c r="D134" s="35">
        <v>21</v>
      </c>
      <c r="E134" s="35">
        <v>3465</v>
      </c>
      <c r="F134" s="201" t="s">
        <v>642</v>
      </c>
    </row>
    <row r="135" spans="1:6" ht="20.25" x14ac:dyDescent="0.25">
      <c r="A135" s="334">
        <v>45474</v>
      </c>
      <c r="B135" s="335" t="s">
        <v>1406</v>
      </c>
      <c r="C135" s="191" t="s">
        <v>490</v>
      </c>
      <c r="D135" s="35"/>
      <c r="E135" s="35"/>
      <c r="F135" s="40"/>
    </row>
    <row r="136" spans="1:6" ht="20.25" x14ac:dyDescent="0.25">
      <c r="A136" s="334">
        <v>45474</v>
      </c>
      <c r="B136" s="335" t="s">
        <v>1406</v>
      </c>
      <c r="C136" s="191" t="s">
        <v>491</v>
      </c>
      <c r="D136" s="35">
        <v>1</v>
      </c>
      <c r="E136" s="35">
        <v>15</v>
      </c>
      <c r="F136" s="40" t="s">
        <v>641</v>
      </c>
    </row>
    <row r="137" spans="1:6" ht="81" x14ac:dyDescent="0.25">
      <c r="A137" s="334">
        <v>45474</v>
      </c>
      <c r="B137" s="335" t="s">
        <v>1438</v>
      </c>
      <c r="C137" s="191" t="s">
        <v>489</v>
      </c>
      <c r="D137" s="35">
        <v>4</v>
      </c>
      <c r="E137" s="35">
        <v>651</v>
      </c>
      <c r="F137" s="40" t="s">
        <v>634</v>
      </c>
    </row>
    <row r="138" spans="1:6" ht="40.5" x14ac:dyDescent="0.25">
      <c r="A138" s="334">
        <v>45474</v>
      </c>
      <c r="B138" s="335" t="s">
        <v>1438</v>
      </c>
      <c r="C138" s="191" t="s">
        <v>490</v>
      </c>
      <c r="D138" s="35">
        <v>2</v>
      </c>
      <c r="E138" s="35">
        <v>55</v>
      </c>
      <c r="F138" s="40" t="s">
        <v>633</v>
      </c>
    </row>
    <row r="139" spans="1:6" ht="409.5" x14ac:dyDescent="0.25">
      <c r="A139" s="334">
        <v>45474</v>
      </c>
      <c r="B139" s="335" t="s">
        <v>1438</v>
      </c>
      <c r="C139" s="191" t="s">
        <v>491</v>
      </c>
      <c r="D139" s="35">
        <v>25</v>
      </c>
      <c r="E139" s="35">
        <v>78</v>
      </c>
      <c r="F139" s="189" t="s">
        <v>636</v>
      </c>
    </row>
    <row r="140" spans="1:6" ht="121.5" x14ac:dyDescent="0.25">
      <c r="A140" s="334">
        <v>45474</v>
      </c>
      <c r="B140" s="335" t="s">
        <v>1408</v>
      </c>
      <c r="C140" s="191" t="s">
        <v>489</v>
      </c>
      <c r="D140" s="35">
        <v>5</v>
      </c>
      <c r="E140" s="35">
        <v>95</v>
      </c>
      <c r="F140" s="40" t="s">
        <v>635</v>
      </c>
    </row>
    <row r="141" spans="1:6" ht="20.25" x14ac:dyDescent="0.25">
      <c r="A141" s="334">
        <v>45474</v>
      </c>
      <c r="B141" s="335" t="s">
        <v>1408</v>
      </c>
      <c r="C141" s="191" t="s">
        <v>490</v>
      </c>
      <c r="D141" s="35"/>
      <c r="E141" s="35"/>
      <c r="F141" s="40"/>
    </row>
    <row r="142" spans="1:6" ht="20.25" x14ac:dyDescent="0.25">
      <c r="A142" s="334">
        <v>45474</v>
      </c>
      <c r="B142" s="335" t="s">
        <v>1408</v>
      </c>
      <c r="C142" s="191" t="s">
        <v>491</v>
      </c>
      <c r="D142" s="35"/>
      <c r="E142" s="35"/>
      <c r="F142" s="40"/>
    </row>
    <row r="143" spans="1:6" ht="40.5" x14ac:dyDescent="0.25">
      <c r="A143" s="334">
        <v>45474</v>
      </c>
      <c r="B143" s="335" t="s">
        <v>1409</v>
      </c>
      <c r="C143" s="191" t="s">
        <v>489</v>
      </c>
      <c r="D143" s="35">
        <v>2</v>
      </c>
      <c r="E143" s="35">
        <v>568</v>
      </c>
      <c r="F143" s="40" t="s">
        <v>643</v>
      </c>
    </row>
    <row r="144" spans="1:6" ht="20.25" x14ac:dyDescent="0.25">
      <c r="A144" s="334">
        <v>45474</v>
      </c>
      <c r="B144" s="335" t="s">
        <v>1409</v>
      </c>
      <c r="C144" s="191" t="s">
        <v>490</v>
      </c>
      <c r="D144" s="35">
        <v>1</v>
      </c>
      <c r="E144" s="35">
        <v>10</v>
      </c>
      <c r="F144" s="40" t="s">
        <v>644</v>
      </c>
    </row>
    <row r="145" spans="1:6" ht="20.25" x14ac:dyDescent="0.25">
      <c r="A145" s="334">
        <v>45474</v>
      </c>
      <c r="B145" s="335" t="s">
        <v>1409</v>
      </c>
      <c r="C145" s="191" t="s">
        <v>491</v>
      </c>
      <c r="D145" s="35"/>
      <c r="E145" s="35"/>
      <c r="F145" s="40"/>
    </row>
    <row r="146" spans="1:6" ht="40.5" x14ac:dyDescent="0.25">
      <c r="A146" s="334">
        <v>45474</v>
      </c>
      <c r="B146" s="335" t="s">
        <v>1410</v>
      </c>
      <c r="C146" s="191" t="s">
        <v>489</v>
      </c>
      <c r="D146" s="35">
        <v>2</v>
      </c>
      <c r="E146" s="35">
        <v>274</v>
      </c>
      <c r="F146" s="40" t="s">
        <v>645</v>
      </c>
    </row>
    <row r="147" spans="1:6" ht="20.25" x14ac:dyDescent="0.25">
      <c r="A147" s="334">
        <v>45474</v>
      </c>
      <c r="B147" s="335" t="s">
        <v>1410</v>
      </c>
      <c r="C147" s="191" t="s">
        <v>490</v>
      </c>
      <c r="D147" s="35"/>
      <c r="E147" s="35"/>
      <c r="F147" s="40"/>
    </row>
    <row r="148" spans="1:6" ht="20.25" x14ac:dyDescent="0.25">
      <c r="A148" s="334">
        <v>45474</v>
      </c>
      <c r="B148" s="335" t="s">
        <v>1410</v>
      </c>
      <c r="C148" s="191" t="s">
        <v>491</v>
      </c>
      <c r="D148" s="35"/>
      <c r="E148" s="35"/>
      <c r="F148" s="40"/>
    </row>
    <row r="149" spans="1:6" ht="20.25" x14ac:dyDescent="0.25">
      <c r="A149" s="334">
        <v>45474</v>
      </c>
      <c r="B149" s="335" t="s">
        <v>1411</v>
      </c>
      <c r="C149" s="191" t="s">
        <v>489</v>
      </c>
      <c r="D149" s="35">
        <v>1</v>
      </c>
      <c r="E149" s="35">
        <v>80</v>
      </c>
      <c r="F149" s="40" t="s">
        <v>640</v>
      </c>
    </row>
    <row r="150" spans="1:6" ht="20.25" x14ac:dyDescent="0.25">
      <c r="A150" s="334">
        <v>45474</v>
      </c>
      <c r="B150" s="335" t="s">
        <v>1411</v>
      </c>
      <c r="C150" s="191" t="s">
        <v>490</v>
      </c>
      <c r="D150" s="35"/>
      <c r="E150" s="35"/>
      <c r="F150" s="40"/>
    </row>
    <row r="151" spans="1:6" ht="20.25" x14ac:dyDescent="0.25">
      <c r="A151" s="334">
        <v>45474</v>
      </c>
      <c r="B151" s="335" t="s">
        <v>1411</v>
      </c>
      <c r="C151" s="191" t="s">
        <v>491</v>
      </c>
      <c r="D151" s="35"/>
      <c r="E151" s="35"/>
      <c r="F151" s="40"/>
    </row>
    <row r="152" spans="1:6" ht="324" x14ac:dyDescent="0.25">
      <c r="A152" s="334">
        <v>45474</v>
      </c>
      <c r="B152" s="335" t="s">
        <v>1452</v>
      </c>
      <c r="C152" s="191" t="s">
        <v>489</v>
      </c>
      <c r="D152" s="35">
        <v>16</v>
      </c>
      <c r="E152" s="35">
        <v>1364</v>
      </c>
      <c r="F152" s="40" t="s">
        <v>650</v>
      </c>
    </row>
    <row r="153" spans="1:6" ht="20.25" x14ac:dyDescent="0.25">
      <c r="A153" s="334">
        <v>45474</v>
      </c>
      <c r="B153" s="335" t="s">
        <v>1452</v>
      </c>
      <c r="C153" s="191" t="s">
        <v>490</v>
      </c>
      <c r="D153" s="35"/>
      <c r="E153" s="35"/>
      <c r="F153" s="40"/>
    </row>
    <row r="154" spans="1:6" ht="20.25" x14ac:dyDescent="0.25">
      <c r="A154" s="334">
        <v>45474</v>
      </c>
      <c r="B154" s="335" t="s">
        <v>1452</v>
      </c>
      <c r="C154" s="191" t="s">
        <v>491</v>
      </c>
      <c r="D154" s="35"/>
      <c r="E154" s="35"/>
      <c r="F154" s="40"/>
    </row>
    <row r="155" spans="1:6" ht="141.75" x14ac:dyDescent="0.25">
      <c r="A155" s="334">
        <v>45474</v>
      </c>
      <c r="B155" s="335" t="s">
        <v>1413</v>
      </c>
      <c r="C155" s="191" t="s">
        <v>489</v>
      </c>
      <c r="D155" s="194">
        <v>5</v>
      </c>
      <c r="E155" s="194">
        <v>399</v>
      </c>
      <c r="F155" s="40" t="s">
        <v>648</v>
      </c>
    </row>
    <row r="156" spans="1:6" ht="20.25" x14ac:dyDescent="0.25">
      <c r="A156" s="334">
        <v>45474</v>
      </c>
      <c r="B156" s="335" t="s">
        <v>1413</v>
      </c>
      <c r="C156" s="191" t="s">
        <v>490</v>
      </c>
      <c r="D156" s="35"/>
      <c r="E156" s="35"/>
      <c r="F156" s="40"/>
    </row>
    <row r="157" spans="1:6" ht="101.25" x14ac:dyDescent="0.25">
      <c r="A157" s="334">
        <v>45474</v>
      </c>
      <c r="B157" s="335" t="s">
        <v>1413</v>
      </c>
      <c r="C157" s="191" t="s">
        <v>491</v>
      </c>
      <c r="D157" s="35">
        <v>5</v>
      </c>
      <c r="E157" s="35">
        <v>98</v>
      </c>
      <c r="F157" s="40" t="s">
        <v>649</v>
      </c>
    </row>
    <row r="158" spans="1:6" x14ac:dyDescent="0.25">
      <c r="A158" s="342">
        <v>45505</v>
      </c>
      <c r="B158" s="333" t="s">
        <v>1401</v>
      </c>
      <c r="C158" s="239" t="s">
        <v>489</v>
      </c>
      <c r="D158" s="233">
        <v>1</v>
      </c>
      <c r="E158" s="233">
        <v>100</v>
      </c>
      <c r="F158" s="232" t="s">
        <v>656</v>
      </c>
    </row>
    <row r="159" spans="1:6" x14ac:dyDescent="0.25">
      <c r="A159" s="342">
        <v>45505</v>
      </c>
      <c r="B159" s="333" t="s">
        <v>1401</v>
      </c>
      <c r="C159" s="239" t="s">
        <v>490</v>
      </c>
      <c r="D159" s="233"/>
      <c r="E159" s="233"/>
      <c r="F159" s="232"/>
    </row>
    <row r="160" spans="1:6" x14ac:dyDescent="0.25">
      <c r="A160" s="342">
        <v>45505</v>
      </c>
      <c r="B160" s="333" t="s">
        <v>1401</v>
      </c>
      <c r="C160" s="239" t="s">
        <v>491</v>
      </c>
      <c r="D160" s="233"/>
      <c r="E160" s="233"/>
      <c r="F160" s="232"/>
    </row>
    <row r="161" spans="1:6" x14ac:dyDescent="0.3">
      <c r="A161" s="342">
        <v>45505</v>
      </c>
      <c r="B161" s="333" t="s">
        <v>1402</v>
      </c>
      <c r="C161" s="239" t="s">
        <v>489</v>
      </c>
      <c r="D161" s="211"/>
      <c r="E161" s="211"/>
      <c r="F161" s="207"/>
    </row>
    <row r="162" spans="1:6" x14ac:dyDescent="0.25">
      <c r="A162" s="342">
        <v>45505</v>
      </c>
      <c r="B162" s="333" t="s">
        <v>1402</v>
      </c>
      <c r="C162" s="239" t="s">
        <v>490</v>
      </c>
      <c r="D162" s="233">
        <v>1</v>
      </c>
      <c r="E162" s="233">
        <v>35</v>
      </c>
      <c r="F162" s="232" t="s">
        <v>1461</v>
      </c>
    </row>
    <row r="163" spans="1:6" x14ac:dyDescent="0.25">
      <c r="A163" s="342">
        <v>45505</v>
      </c>
      <c r="B163" s="333" t="s">
        <v>1402</v>
      </c>
      <c r="C163" s="239" t="s">
        <v>491</v>
      </c>
      <c r="D163" s="233"/>
      <c r="E163" s="233"/>
      <c r="F163" s="232"/>
    </row>
    <row r="164" spans="1:6" x14ac:dyDescent="0.25">
      <c r="A164" s="342">
        <v>45505</v>
      </c>
      <c r="B164" s="333" t="s">
        <v>1403</v>
      </c>
      <c r="C164" s="239" t="s">
        <v>489</v>
      </c>
      <c r="D164" s="233">
        <v>1</v>
      </c>
      <c r="E164" s="233">
        <v>110</v>
      </c>
      <c r="F164" s="232" t="s">
        <v>660</v>
      </c>
    </row>
    <row r="165" spans="1:6" x14ac:dyDescent="0.25">
      <c r="A165" s="342">
        <v>45505</v>
      </c>
      <c r="B165" s="333" t="s">
        <v>1403</v>
      </c>
      <c r="C165" s="239" t="s">
        <v>490</v>
      </c>
      <c r="D165" s="233">
        <v>1</v>
      </c>
      <c r="E165" s="233">
        <v>25</v>
      </c>
      <c r="F165" s="232" t="s">
        <v>661</v>
      </c>
    </row>
    <row r="166" spans="1:6" x14ac:dyDescent="0.25">
      <c r="A166" s="342">
        <v>45505</v>
      </c>
      <c r="B166" s="333" t="s">
        <v>1403</v>
      </c>
      <c r="C166" s="239" t="s">
        <v>491</v>
      </c>
      <c r="D166" s="233"/>
      <c r="E166" s="233"/>
      <c r="F166" s="232"/>
    </row>
    <row r="167" spans="1:6" x14ac:dyDescent="0.25">
      <c r="A167" s="342">
        <v>45505</v>
      </c>
      <c r="B167" s="333" t="s">
        <v>1404</v>
      </c>
      <c r="C167" s="239" t="s">
        <v>489</v>
      </c>
      <c r="D167" s="233"/>
      <c r="E167" s="233"/>
      <c r="F167" s="232"/>
    </row>
    <row r="168" spans="1:6" x14ac:dyDescent="0.25">
      <c r="A168" s="342">
        <v>45505</v>
      </c>
      <c r="B168" s="333" t="s">
        <v>1404</v>
      </c>
      <c r="C168" s="239" t="s">
        <v>490</v>
      </c>
      <c r="D168" s="233">
        <v>1</v>
      </c>
      <c r="E168" s="233">
        <v>410</v>
      </c>
      <c r="F168" s="232" t="s">
        <v>655</v>
      </c>
    </row>
    <row r="169" spans="1:6" x14ac:dyDescent="0.25">
      <c r="A169" s="342">
        <v>45505</v>
      </c>
      <c r="B169" s="333" t="s">
        <v>1404</v>
      </c>
      <c r="C169" s="239" t="s">
        <v>491</v>
      </c>
      <c r="D169" s="233"/>
      <c r="E169" s="233"/>
      <c r="F169" s="232"/>
    </row>
    <row r="170" spans="1:6" ht="37.5" x14ac:dyDescent="0.25">
      <c r="A170" s="342">
        <v>45505</v>
      </c>
      <c r="B170" s="333" t="s">
        <v>1405</v>
      </c>
      <c r="C170" s="239" t="s">
        <v>489</v>
      </c>
      <c r="D170" s="233">
        <v>2</v>
      </c>
      <c r="E170" s="233">
        <v>405</v>
      </c>
      <c r="F170" s="232" t="s">
        <v>662</v>
      </c>
    </row>
    <row r="171" spans="1:6" ht="37.5" x14ac:dyDescent="0.25">
      <c r="A171" s="342">
        <v>45505</v>
      </c>
      <c r="B171" s="333" t="s">
        <v>1405</v>
      </c>
      <c r="C171" s="239" t="s">
        <v>490</v>
      </c>
      <c r="D171" s="233">
        <v>2</v>
      </c>
      <c r="E171" s="233">
        <v>190</v>
      </c>
      <c r="F171" s="232" t="s">
        <v>663</v>
      </c>
    </row>
    <row r="172" spans="1:6" ht="150" x14ac:dyDescent="0.25">
      <c r="A172" s="342">
        <v>45505</v>
      </c>
      <c r="B172" s="333" t="s">
        <v>1405</v>
      </c>
      <c r="C172" s="239" t="s">
        <v>491</v>
      </c>
      <c r="D172" s="233">
        <v>7</v>
      </c>
      <c r="E172" s="233">
        <v>75</v>
      </c>
      <c r="F172" s="232" t="s">
        <v>664</v>
      </c>
    </row>
    <row r="173" spans="1:6" ht="243.75" x14ac:dyDescent="0.25">
      <c r="A173" s="342">
        <v>45505</v>
      </c>
      <c r="B173" s="333" t="s">
        <v>1406</v>
      </c>
      <c r="C173" s="239" t="s">
        <v>489</v>
      </c>
      <c r="D173" s="233">
        <v>13</v>
      </c>
      <c r="E173" s="233">
        <v>996</v>
      </c>
      <c r="F173" s="232" t="s">
        <v>657</v>
      </c>
    </row>
    <row r="174" spans="1:6" ht="37.5" x14ac:dyDescent="0.25">
      <c r="A174" s="342">
        <v>45505</v>
      </c>
      <c r="B174" s="333" t="s">
        <v>1406</v>
      </c>
      <c r="C174" s="239" t="s">
        <v>490</v>
      </c>
      <c r="D174" s="233">
        <v>2</v>
      </c>
      <c r="E174" s="233">
        <v>300</v>
      </c>
      <c r="F174" s="232" t="s">
        <v>658</v>
      </c>
    </row>
    <row r="175" spans="1:6" x14ac:dyDescent="0.25">
      <c r="A175" s="342">
        <v>45505</v>
      </c>
      <c r="B175" s="333" t="s">
        <v>1406</v>
      </c>
      <c r="C175" s="239" t="s">
        <v>491</v>
      </c>
      <c r="D175" s="233">
        <v>1</v>
      </c>
      <c r="E175" s="233">
        <v>55</v>
      </c>
      <c r="F175" s="232" t="s">
        <v>659</v>
      </c>
    </row>
    <row r="176" spans="1:6" ht="150" x14ac:dyDescent="0.25">
      <c r="A176" s="342">
        <v>45505</v>
      </c>
      <c r="B176" s="333" t="s">
        <v>1438</v>
      </c>
      <c r="C176" s="239" t="s">
        <v>489</v>
      </c>
      <c r="D176" s="233">
        <v>8</v>
      </c>
      <c r="E176" s="233">
        <v>2405</v>
      </c>
      <c r="F176" s="232" t="s">
        <v>672</v>
      </c>
    </row>
    <row r="177" spans="1:6" ht="262.5" x14ac:dyDescent="0.25">
      <c r="A177" s="342">
        <v>45505</v>
      </c>
      <c r="B177" s="333" t="s">
        <v>1438</v>
      </c>
      <c r="C177" s="239" t="s">
        <v>490</v>
      </c>
      <c r="D177" s="233">
        <v>14</v>
      </c>
      <c r="E177" s="233">
        <v>625</v>
      </c>
      <c r="F177" s="232" t="s">
        <v>673</v>
      </c>
    </row>
    <row r="178" spans="1:6" ht="243.75" x14ac:dyDescent="0.25">
      <c r="A178" s="342">
        <v>45505</v>
      </c>
      <c r="B178" s="333" t="s">
        <v>1438</v>
      </c>
      <c r="C178" s="239" t="s">
        <v>491</v>
      </c>
      <c r="D178" s="233">
        <v>13</v>
      </c>
      <c r="E178" s="233">
        <v>284</v>
      </c>
      <c r="F178" s="232" t="s">
        <v>674</v>
      </c>
    </row>
    <row r="179" spans="1:6" ht="37.5" x14ac:dyDescent="0.25">
      <c r="A179" s="342">
        <v>45505</v>
      </c>
      <c r="B179" s="333" t="s">
        <v>1408</v>
      </c>
      <c r="C179" s="239" t="s">
        <v>489</v>
      </c>
      <c r="D179" s="233">
        <v>2</v>
      </c>
      <c r="E179" s="233">
        <v>165</v>
      </c>
      <c r="F179" s="232" t="s">
        <v>668</v>
      </c>
    </row>
    <row r="180" spans="1:6" ht="37.5" x14ac:dyDescent="0.25">
      <c r="A180" s="342">
        <v>45505</v>
      </c>
      <c r="B180" s="333" t="s">
        <v>1408</v>
      </c>
      <c r="C180" s="239" t="s">
        <v>490</v>
      </c>
      <c r="D180" s="233">
        <v>2</v>
      </c>
      <c r="E180" s="233">
        <v>35</v>
      </c>
      <c r="F180" s="232" t="s">
        <v>667</v>
      </c>
    </row>
    <row r="181" spans="1:6" x14ac:dyDescent="0.25">
      <c r="A181" s="342">
        <v>45505</v>
      </c>
      <c r="B181" s="333" t="s">
        <v>1408</v>
      </c>
      <c r="C181" s="239" t="s">
        <v>491</v>
      </c>
      <c r="D181" s="233"/>
      <c r="E181" s="233"/>
      <c r="F181" s="232"/>
    </row>
    <row r="182" spans="1:6" ht="56.25" x14ac:dyDescent="0.25">
      <c r="A182" s="342">
        <v>45505</v>
      </c>
      <c r="B182" s="333" t="s">
        <v>1409</v>
      </c>
      <c r="C182" s="239" t="s">
        <v>489</v>
      </c>
      <c r="D182" s="233">
        <v>3</v>
      </c>
      <c r="E182" s="233">
        <v>603</v>
      </c>
      <c r="F182" s="232" t="s">
        <v>679</v>
      </c>
    </row>
    <row r="183" spans="1:6" x14ac:dyDescent="0.25">
      <c r="A183" s="342">
        <v>45505</v>
      </c>
      <c r="B183" s="333" t="s">
        <v>1409</v>
      </c>
      <c r="C183" s="239" t="s">
        <v>490</v>
      </c>
      <c r="D183" s="233"/>
      <c r="E183" s="233"/>
      <c r="F183" s="232"/>
    </row>
    <row r="184" spans="1:6" x14ac:dyDescent="0.25">
      <c r="A184" s="342">
        <v>45505</v>
      </c>
      <c r="B184" s="333" t="s">
        <v>1409</v>
      </c>
      <c r="C184" s="239" t="s">
        <v>491</v>
      </c>
      <c r="D184" s="233"/>
      <c r="E184" s="233"/>
      <c r="F184" s="232"/>
    </row>
    <row r="185" spans="1:6" ht="56.25" x14ac:dyDescent="0.25">
      <c r="A185" s="342">
        <v>45505</v>
      </c>
      <c r="B185" s="333" t="s">
        <v>1410</v>
      </c>
      <c r="C185" s="239" t="s">
        <v>489</v>
      </c>
      <c r="D185" s="233">
        <v>2</v>
      </c>
      <c r="E185" s="233">
        <v>120</v>
      </c>
      <c r="F185" s="232" t="s">
        <v>665</v>
      </c>
    </row>
    <row r="186" spans="1:6" ht="93.75" x14ac:dyDescent="0.25">
      <c r="A186" s="342">
        <v>45505</v>
      </c>
      <c r="B186" s="333" t="s">
        <v>1410</v>
      </c>
      <c r="C186" s="239" t="s">
        <v>490</v>
      </c>
      <c r="D186" s="233">
        <v>4</v>
      </c>
      <c r="E186" s="233">
        <v>91</v>
      </c>
      <c r="F186" s="232" t="s">
        <v>666</v>
      </c>
    </row>
    <row r="187" spans="1:6" x14ac:dyDescent="0.25">
      <c r="A187" s="342">
        <v>45505</v>
      </c>
      <c r="B187" s="333" t="s">
        <v>1410</v>
      </c>
      <c r="C187" s="239" t="s">
        <v>491</v>
      </c>
      <c r="D187" s="233"/>
      <c r="E187" s="233"/>
      <c r="F187" s="232"/>
    </row>
    <row r="188" spans="1:6" x14ac:dyDescent="0.25">
      <c r="A188" s="342">
        <v>45505</v>
      </c>
      <c r="B188" s="333" t="s">
        <v>1411</v>
      </c>
      <c r="C188" s="239" t="s">
        <v>489</v>
      </c>
      <c r="D188" s="233">
        <v>1</v>
      </c>
      <c r="E188" s="233">
        <v>350</v>
      </c>
      <c r="F188" s="232" t="s">
        <v>678</v>
      </c>
    </row>
    <row r="189" spans="1:6" x14ac:dyDescent="0.25">
      <c r="A189" s="342">
        <v>45505</v>
      </c>
      <c r="B189" s="333" t="s">
        <v>1411</v>
      </c>
      <c r="C189" s="239" t="s">
        <v>490</v>
      </c>
      <c r="D189" s="233">
        <v>1</v>
      </c>
      <c r="E189" s="233">
        <v>60</v>
      </c>
      <c r="F189" s="232" t="s">
        <v>677</v>
      </c>
    </row>
    <row r="190" spans="1:6" x14ac:dyDescent="0.25">
      <c r="A190" s="342">
        <v>45505</v>
      </c>
      <c r="B190" s="333" t="s">
        <v>1411</v>
      </c>
      <c r="C190" s="239" t="s">
        <v>491</v>
      </c>
      <c r="D190" s="233"/>
      <c r="E190" s="233"/>
      <c r="F190" s="232"/>
    </row>
    <row r="191" spans="1:6" ht="75" x14ac:dyDescent="0.25">
      <c r="A191" s="342">
        <v>45505</v>
      </c>
      <c r="B191" s="333" t="s">
        <v>1452</v>
      </c>
      <c r="C191" s="239" t="s">
        <v>489</v>
      </c>
      <c r="D191" s="233">
        <v>5</v>
      </c>
      <c r="E191" s="233">
        <v>497</v>
      </c>
      <c r="F191" s="232" t="s">
        <v>675</v>
      </c>
    </row>
    <row r="192" spans="1:6" ht="225" x14ac:dyDescent="0.25">
      <c r="A192" s="342">
        <v>45505</v>
      </c>
      <c r="B192" s="333" t="s">
        <v>1452</v>
      </c>
      <c r="C192" s="239" t="s">
        <v>490</v>
      </c>
      <c r="D192" s="233">
        <v>12</v>
      </c>
      <c r="E192" s="233">
        <v>1923</v>
      </c>
      <c r="F192" s="232" t="s">
        <v>676</v>
      </c>
    </row>
    <row r="193" spans="1:6" x14ac:dyDescent="0.25">
      <c r="A193" s="342">
        <v>45505</v>
      </c>
      <c r="B193" s="333" t="s">
        <v>1452</v>
      </c>
      <c r="C193" s="239" t="s">
        <v>491</v>
      </c>
      <c r="D193" s="233"/>
      <c r="E193" s="233"/>
      <c r="F193" s="232"/>
    </row>
    <row r="194" spans="1:6" ht="56.25" x14ac:dyDescent="0.25">
      <c r="A194" s="342">
        <v>45505</v>
      </c>
      <c r="B194" s="333" t="s">
        <v>1413</v>
      </c>
      <c r="C194" s="239" t="s">
        <v>489</v>
      </c>
      <c r="D194" s="212">
        <v>3</v>
      </c>
      <c r="E194" s="212">
        <v>490</v>
      </c>
      <c r="F194" s="232" t="s">
        <v>669</v>
      </c>
    </row>
    <row r="195" spans="1:6" ht="75" x14ac:dyDescent="0.25">
      <c r="A195" s="342">
        <v>45505</v>
      </c>
      <c r="B195" s="333" t="s">
        <v>1413</v>
      </c>
      <c r="C195" s="239" t="s">
        <v>490</v>
      </c>
      <c r="D195" s="233">
        <v>3</v>
      </c>
      <c r="E195" s="233">
        <v>1020</v>
      </c>
      <c r="F195" s="232" t="s">
        <v>671</v>
      </c>
    </row>
    <row r="196" spans="1:6" ht="93.75" x14ac:dyDescent="0.25">
      <c r="A196" s="342">
        <v>45505</v>
      </c>
      <c r="B196" s="333" t="s">
        <v>1413</v>
      </c>
      <c r="C196" s="239" t="s">
        <v>491</v>
      </c>
      <c r="D196" s="233">
        <v>5</v>
      </c>
      <c r="E196" s="233">
        <v>50</v>
      </c>
      <c r="F196" s="232" t="s">
        <v>670</v>
      </c>
    </row>
    <row r="197" spans="1:6" ht="37.5" x14ac:dyDescent="0.25">
      <c r="A197" s="342">
        <v>45536</v>
      </c>
      <c r="B197" s="319" t="s">
        <v>1401</v>
      </c>
      <c r="C197" s="238" t="s">
        <v>489</v>
      </c>
      <c r="D197" s="126">
        <v>2</v>
      </c>
      <c r="E197" s="126">
        <v>140</v>
      </c>
      <c r="F197" s="180" t="s">
        <v>699</v>
      </c>
    </row>
    <row r="198" spans="1:6" ht="93.75" x14ac:dyDescent="0.25">
      <c r="A198" s="342">
        <v>45536</v>
      </c>
      <c r="B198" s="319" t="s">
        <v>1401</v>
      </c>
      <c r="C198" s="238" t="s">
        <v>490</v>
      </c>
      <c r="D198" s="126">
        <v>4</v>
      </c>
      <c r="E198" s="126">
        <v>550</v>
      </c>
      <c r="F198" s="180" t="s">
        <v>700</v>
      </c>
    </row>
    <row r="199" spans="1:6" x14ac:dyDescent="0.25">
      <c r="A199" s="342">
        <v>45536</v>
      </c>
      <c r="B199" s="319" t="s">
        <v>1401</v>
      </c>
      <c r="C199" s="238" t="s">
        <v>491</v>
      </c>
      <c r="D199" s="126"/>
      <c r="E199" s="126"/>
      <c r="F199" s="180"/>
    </row>
    <row r="200" spans="1:6" x14ac:dyDescent="0.25">
      <c r="A200" s="342">
        <v>45536</v>
      </c>
      <c r="B200" s="319" t="s">
        <v>1402</v>
      </c>
      <c r="C200" s="238" t="s">
        <v>489</v>
      </c>
      <c r="D200" s="147"/>
      <c r="E200" s="147"/>
      <c r="F200" s="147"/>
    </row>
    <row r="201" spans="1:6" x14ac:dyDescent="0.25">
      <c r="A201" s="342">
        <v>45536</v>
      </c>
      <c r="B201" s="319" t="s">
        <v>1402</v>
      </c>
      <c r="C201" s="238" t="s">
        <v>490</v>
      </c>
      <c r="D201" s="126">
        <v>1</v>
      </c>
      <c r="E201" s="126">
        <v>100</v>
      </c>
      <c r="F201" s="180" t="s">
        <v>705</v>
      </c>
    </row>
    <row r="202" spans="1:6" x14ac:dyDescent="0.25">
      <c r="A202" s="342">
        <v>45536</v>
      </c>
      <c r="B202" s="319" t="s">
        <v>1402</v>
      </c>
      <c r="C202" s="238" t="s">
        <v>491</v>
      </c>
      <c r="D202" s="126"/>
      <c r="E202" s="126"/>
      <c r="F202" s="180"/>
    </row>
    <row r="203" spans="1:6" x14ac:dyDescent="0.25">
      <c r="A203" s="342">
        <v>45536</v>
      </c>
      <c r="B203" s="319" t="s">
        <v>1403</v>
      </c>
      <c r="C203" s="238" t="s">
        <v>489</v>
      </c>
      <c r="D203" s="126">
        <v>3</v>
      </c>
      <c r="E203" s="126">
        <v>1480</v>
      </c>
      <c r="F203" s="180" t="s">
        <v>686</v>
      </c>
    </row>
    <row r="204" spans="1:6" ht="56.25" x14ac:dyDescent="0.25">
      <c r="A204" s="342">
        <v>45536</v>
      </c>
      <c r="B204" s="319" t="s">
        <v>1403</v>
      </c>
      <c r="C204" s="238" t="s">
        <v>490</v>
      </c>
      <c r="D204" s="126">
        <v>3</v>
      </c>
      <c r="E204" s="126">
        <v>1010</v>
      </c>
      <c r="F204" s="180" t="s">
        <v>687</v>
      </c>
    </row>
    <row r="205" spans="1:6" x14ac:dyDescent="0.25">
      <c r="A205" s="342">
        <v>45536</v>
      </c>
      <c r="B205" s="319" t="s">
        <v>1403</v>
      </c>
      <c r="C205" s="238" t="s">
        <v>491</v>
      </c>
      <c r="D205" s="126"/>
      <c r="E205" s="126"/>
      <c r="F205" s="180"/>
    </row>
    <row r="206" spans="1:6" x14ac:dyDescent="0.25">
      <c r="A206" s="342">
        <v>45536</v>
      </c>
      <c r="B206" s="319" t="s">
        <v>1404</v>
      </c>
      <c r="C206" s="238" t="s">
        <v>489</v>
      </c>
      <c r="D206" s="126"/>
      <c r="E206" s="126"/>
      <c r="F206" s="180"/>
    </row>
    <row r="207" spans="1:6" x14ac:dyDescent="0.25">
      <c r="A207" s="342">
        <v>45536</v>
      </c>
      <c r="B207" s="319" t="s">
        <v>1404</v>
      </c>
      <c r="C207" s="238" t="s">
        <v>490</v>
      </c>
      <c r="D207" s="126"/>
      <c r="E207" s="126"/>
      <c r="F207" s="180"/>
    </row>
    <row r="208" spans="1:6" ht="37.5" x14ac:dyDescent="0.25">
      <c r="A208" s="342">
        <v>45536</v>
      </c>
      <c r="B208" s="319" t="s">
        <v>1404</v>
      </c>
      <c r="C208" s="238" t="s">
        <v>491</v>
      </c>
      <c r="D208" s="126">
        <v>2</v>
      </c>
      <c r="E208" s="126">
        <v>7</v>
      </c>
      <c r="F208" s="180" t="s">
        <v>701</v>
      </c>
    </row>
    <row r="209" spans="1:6" ht="37.5" x14ac:dyDescent="0.25">
      <c r="A209" s="342">
        <v>45536</v>
      </c>
      <c r="B209" s="319" t="s">
        <v>1405</v>
      </c>
      <c r="C209" s="238" t="s">
        <v>489</v>
      </c>
      <c r="D209" s="126">
        <v>2</v>
      </c>
      <c r="E209" s="126">
        <v>200</v>
      </c>
      <c r="F209" s="180" t="s">
        <v>682</v>
      </c>
    </row>
    <row r="210" spans="1:6" ht="37.5" x14ac:dyDescent="0.25">
      <c r="A210" s="342">
        <v>45536</v>
      </c>
      <c r="B210" s="319" t="s">
        <v>1405</v>
      </c>
      <c r="C210" s="238" t="s">
        <v>490</v>
      </c>
      <c r="D210" s="126">
        <v>1</v>
      </c>
      <c r="E210" s="126">
        <v>165</v>
      </c>
      <c r="F210" s="180" t="s">
        <v>683</v>
      </c>
    </row>
    <row r="211" spans="1:6" ht="37.5" x14ac:dyDescent="0.25">
      <c r="A211" s="342">
        <v>45536</v>
      </c>
      <c r="B211" s="319" t="s">
        <v>1405</v>
      </c>
      <c r="C211" s="238" t="s">
        <v>491</v>
      </c>
      <c r="D211" s="126">
        <v>2</v>
      </c>
      <c r="E211" s="126">
        <v>9</v>
      </c>
      <c r="F211" s="180" t="s">
        <v>684</v>
      </c>
    </row>
    <row r="212" spans="1:6" ht="300" x14ac:dyDescent="0.25">
      <c r="A212" s="342">
        <v>45536</v>
      </c>
      <c r="B212" s="319" t="s">
        <v>1406</v>
      </c>
      <c r="C212" s="238" t="s">
        <v>489</v>
      </c>
      <c r="D212" s="126">
        <v>15</v>
      </c>
      <c r="E212" s="126">
        <v>1040</v>
      </c>
      <c r="F212" s="180" t="s">
        <v>708</v>
      </c>
    </row>
    <row r="213" spans="1:6" ht="37.5" x14ac:dyDescent="0.25">
      <c r="A213" s="342">
        <v>45536</v>
      </c>
      <c r="B213" s="319" t="s">
        <v>1406</v>
      </c>
      <c r="C213" s="238" t="s">
        <v>490</v>
      </c>
      <c r="D213" s="126">
        <v>2</v>
      </c>
      <c r="E213" s="126">
        <v>229</v>
      </c>
      <c r="F213" s="180" t="s">
        <v>709</v>
      </c>
    </row>
    <row r="214" spans="1:6" x14ac:dyDescent="0.25">
      <c r="A214" s="342">
        <v>45536</v>
      </c>
      <c r="B214" s="319" t="s">
        <v>1406</v>
      </c>
      <c r="C214" s="238" t="s">
        <v>491</v>
      </c>
      <c r="D214" s="126"/>
      <c r="E214" s="126"/>
      <c r="F214" s="180"/>
    </row>
    <row r="215" spans="1:6" ht="131.25" x14ac:dyDescent="0.25">
      <c r="A215" s="342">
        <v>45536</v>
      </c>
      <c r="B215" s="319" t="s">
        <v>1438</v>
      </c>
      <c r="C215" s="238" t="s">
        <v>489</v>
      </c>
      <c r="D215" s="126">
        <v>7</v>
      </c>
      <c r="E215" s="126">
        <v>715</v>
      </c>
      <c r="F215" s="180" t="s">
        <v>691</v>
      </c>
    </row>
    <row r="216" spans="1:6" ht="206.25" x14ac:dyDescent="0.25">
      <c r="A216" s="342">
        <v>45536</v>
      </c>
      <c r="B216" s="319" t="s">
        <v>1438</v>
      </c>
      <c r="C216" s="238" t="s">
        <v>490</v>
      </c>
      <c r="D216" s="126">
        <v>10</v>
      </c>
      <c r="E216" s="126">
        <v>258</v>
      </c>
      <c r="F216" s="180" t="s">
        <v>692</v>
      </c>
    </row>
    <row r="217" spans="1:6" ht="243.75" x14ac:dyDescent="0.25">
      <c r="A217" s="342">
        <v>45536</v>
      </c>
      <c r="B217" s="319" t="s">
        <v>1438</v>
      </c>
      <c r="C217" s="238" t="s">
        <v>491</v>
      </c>
      <c r="D217" s="126">
        <v>12</v>
      </c>
      <c r="E217" s="126">
        <v>242</v>
      </c>
      <c r="F217" s="180" t="s">
        <v>693</v>
      </c>
    </row>
    <row r="218" spans="1:6" ht="56.25" x14ac:dyDescent="0.25">
      <c r="A218" s="342">
        <v>45536</v>
      </c>
      <c r="B218" s="319" t="s">
        <v>1408</v>
      </c>
      <c r="C218" s="238" t="s">
        <v>489</v>
      </c>
      <c r="D218" s="126">
        <v>2</v>
      </c>
      <c r="E218" s="126">
        <v>210</v>
      </c>
      <c r="F218" s="180" t="s">
        <v>695</v>
      </c>
    </row>
    <row r="219" spans="1:6" ht="56.25" x14ac:dyDescent="0.25">
      <c r="A219" s="342">
        <v>45536</v>
      </c>
      <c r="B219" s="319" t="s">
        <v>1408</v>
      </c>
      <c r="C219" s="238" t="s">
        <v>490</v>
      </c>
      <c r="D219" s="126">
        <v>3</v>
      </c>
      <c r="E219" s="126">
        <v>50</v>
      </c>
      <c r="F219" s="180" t="s">
        <v>694</v>
      </c>
    </row>
    <row r="220" spans="1:6" x14ac:dyDescent="0.25">
      <c r="A220" s="342">
        <v>45536</v>
      </c>
      <c r="B220" s="319" t="s">
        <v>1408</v>
      </c>
      <c r="C220" s="238" t="s">
        <v>491</v>
      </c>
      <c r="D220" s="126"/>
      <c r="E220" s="126"/>
      <c r="F220" s="180"/>
    </row>
    <row r="221" spans="1:6" x14ac:dyDescent="0.25">
      <c r="A221" s="342">
        <v>45536</v>
      </c>
      <c r="B221" s="319" t="s">
        <v>1409</v>
      </c>
      <c r="C221" s="238" t="s">
        <v>489</v>
      </c>
      <c r="D221" s="126"/>
      <c r="E221" s="126"/>
      <c r="F221" s="180"/>
    </row>
    <row r="222" spans="1:6" ht="75" x14ac:dyDescent="0.25">
      <c r="A222" s="342">
        <v>45536</v>
      </c>
      <c r="B222" s="319" t="s">
        <v>1409</v>
      </c>
      <c r="C222" s="238" t="s">
        <v>490</v>
      </c>
      <c r="D222" s="126">
        <v>4</v>
      </c>
      <c r="E222" s="126">
        <v>1003</v>
      </c>
      <c r="F222" s="180" t="s">
        <v>704</v>
      </c>
    </row>
    <row r="223" spans="1:6" x14ac:dyDescent="0.25">
      <c r="A223" s="342">
        <v>45536</v>
      </c>
      <c r="B223" s="319" t="s">
        <v>1409</v>
      </c>
      <c r="C223" s="238" t="s">
        <v>491</v>
      </c>
      <c r="D223" s="126"/>
      <c r="E223" s="126"/>
      <c r="F223" s="180"/>
    </row>
    <row r="224" spans="1:6" ht="37.5" x14ac:dyDescent="0.25">
      <c r="A224" s="342">
        <v>45536</v>
      </c>
      <c r="B224" s="319" t="s">
        <v>1410</v>
      </c>
      <c r="C224" s="238" t="s">
        <v>489</v>
      </c>
      <c r="D224" s="126">
        <v>2</v>
      </c>
      <c r="E224" s="126">
        <v>700</v>
      </c>
      <c r="F224" s="180" t="s">
        <v>689</v>
      </c>
    </row>
    <row r="225" spans="1:6" x14ac:dyDescent="0.25">
      <c r="A225" s="342">
        <v>45536</v>
      </c>
      <c r="B225" s="319" t="s">
        <v>1410</v>
      </c>
      <c r="C225" s="238" t="s">
        <v>490</v>
      </c>
      <c r="D225" s="126"/>
      <c r="E225" s="126"/>
      <c r="F225" s="180"/>
    </row>
    <row r="226" spans="1:6" ht="37.5" x14ac:dyDescent="0.25">
      <c r="A226" s="342">
        <v>45536</v>
      </c>
      <c r="B226" s="319" t="s">
        <v>1410</v>
      </c>
      <c r="C226" s="238" t="s">
        <v>491</v>
      </c>
      <c r="D226" s="126">
        <v>1</v>
      </c>
      <c r="E226" s="126">
        <v>150</v>
      </c>
      <c r="F226" s="180" t="s">
        <v>688</v>
      </c>
    </row>
    <row r="227" spans="1:6" x14ac:dyDescent="0.25">
      <c r="A227" s="342">
        <v>45536</v>
      </c>
      <c r="B227" s="319" t="s">
        <v>1411</v>
      </c>
      <c r="C227" s="238" t="s">
        <v>489</v>
      </c>
      <c r="D227" s="126">
        <v>1</v>
      </c>
      <c r="E227" s="126">
        <v>350</v>
      </c>
      <c r="F227" s="180" t="s">
        <v>706</v>
      </c>
    </row>
    <row r="228" spans="1:6" x14ac:dyDescent="0.25">
      <c r="A228" s="342">
        <v>45536</v>
      </c>
      <c r="B228" s="319" t="s">
        <v>1411</v>
      </c>
      <c r="C228" s="238" t="s">
        <v>490</v>
      </c>
      <c r="D228" s="126"/>
      <c r="E228" s="126"/>
      <c r="F228" s="180"/>
    </row>
    <row r="229" spans="1:6" x14ac:dyDescent="0.25">
      <c r="A229" s="342">
        <v>45536</v>
      </c>
      <c r="B229" s="319" t="s">
        <v>1411</v>
      </c>
      <c r="C229" s="238" t="s">
        <v>491</v>
      </c>
      <c r="D229" s="126"/>
      <c r="E229" s="126"/>
      <c r="F229" s="180"/>
    </row>
    <row r="230" spans="1:6" ht="56.25" x14ac:dyDescent="0.25">
      <c r="A230" s="342">
        <v>45536</v>
      </c>
      <c r="B230" s="319" t="s">
        <v>1452</v>
      </c>
      <c r="C230" s="238" t="s">
        <v>489</v>
      </c>
      <c r="D230" s="126">
        <v>3</v>
      </c>
      <c r="E230" s="126">
        <v>425</v>
      </c>
      <c r="F230" s="180" t="s">
        <v>702</v>
      </c>
    </row>
    <row r="231" spans="1:6" ht="150" x14ac:dyDescent="0.25">
      <c r="A231" s="342">
        <v>45536</v>
      </c>
      <c r="B231" s="319" t="s">
        <v>1452</v>
      </c>
      <c r="C231" s="238" t="s">
        <v>490</v>
      </c>
      <c r="D231" s="126">
        <v>8</v>
      </c>
      <c r="E231" s="126">
        <v>1048</v>
      </c>
      <c r="F231" s="180" t="s">
        <v>703</v>
      </c>
    </row>
    <row r="232" spans="1:6" x14ac:dyDescent="0.25">
      <c r="A232" s="342">
        <v>45536</v>
      </c>
      <c r="B232" s="319" t="s">
        <v>1452</v>
      </c>
      <c r="C232" s="238" t="s">
        <v>491</v>
      </c>
      <c r="D232" s="126"/>
      <c r="E232" s="126"/>
      <c r="F232" s="180"/>
    </row>
    <row r="233" spans="1:6" ht="93.75" x14ac:dyDescent="0.25">
      <c r="A233" s="342">
        <v>45536</v>
      </c>
      <c r="B233" s="319" t="s">
        <v>1413</v>
      </c>
      <c r="C233" s="238" t="s">
        <v>489</v>
      </c>
      <c r="D233" s="214">
        <v>5</v>
      </c>
      <c r="E233" s="214">
        <v>274</v>
      </c>
      <c r="F233" s="180" t="s">
        <v>711</v>
      </c>
    </row>
    <row r="234" spans="1:6" x14ac:dyDescent="0.25">
      <c r="A234" s="342">
        <v>45536</v>
      </c>
      <c r="B234" s="319" t="s">
        <v>1413</v>
      </c>
      <c r="C234" s="238" t="s">
        <v>490</v>
      </c>
      <c r="D234" s="126">
        <v>1</v>
      </c>
      <c r="E234" s="126">
        <v>600</v>
      </c>
      <c r="F234" s="180" t="s">
        <v>710</v>
      </c>
    </row>
    <row r="235" spans="1:6" ht="75" x14ac:dyDescent="0.25">
      <c r="A235" s="342">
        <v>45536</v>
      </c>
      <c r="B235" s="319" t="s">
        <v>1413</v>
      </c>
      <c r="C235" s="238" t="s">
        <v>491</v>
      </c>
      <c r="D235" s="126">
        <v>4</v>
      </c>
      <c r="E235" s="126">
        <v>65</v>
      </c>
      <c r="F235" s="215" t="s">
        <v>712</v>
      </c>
    </row>
    <row r="236" spans="1:6" x14ac:dyDescent="0.25">
      <c r="A236" s="342">
        <v>45566</v>
      </c>
      <c r="B236" s="319" t="s">
        <v>1401</v>
      </c>
      <c r="C236" s="238" t="s">
        <v>489</v>
      </c>
      <c r="D236" s="126">
        <v>1</v>
      </c>
      <c r="E236" s="126">
        <v>10</v>
      </c>
      <c r="F236" s="180" t="s">
        <v>716</v>
      </c>
    </row>
    <row r="237" spans="1:6" ht="75" x14ac:dyDescent="0.25">
      <c r="A237" s="342">
        <v>45566</v>
      </c>
      <c r="B237" s="319" t="s">
        <v>1401</v>
      </c>
      <c r="C237" s="238" t="s">
        <v>490</v>
      </c>
      <c r="D237" s="126">
        <v>4</v>
      </c>
      <c r="E237" s="126">
        <v>180</v>
      </c>
      <c r="F237" s="180" t="s">
        <v>717</v>
      </c>
    </row>
    <row r="238" spans="1:6" ht="75" x14ac:dyDescent="0.25">
      <c r="A238" s="342">
        <v>45566</v>
      </c>
      <c r="B238" s="319" t="s">
        <v>1401</v>
      </c>
      <c r="C238" s="238" t="s">
        <v>491</v>
      </c>
      <c r="D238" s="126">
        <v>4</v>
      </c>
      <c r="E238" s="126">
        <v>403</v>
      </c>
      <c r="F238" s="180" t="s">
        <v>718</v>
      </c>
    </row>
    <row r="239" spans="1:6" x14ac:dyDescent="0.25">
      <c r="A239" s="342">
        <v>45566</v>
      </c>
      <c r="B239" s="319" t="s">
        <v>1402</v>
      </c>
      <c r="C239" s="238" t="s">
        <v>489</v>
      </c>
      <c r="D239" s="147"/>
      <c r="E239" s="147"/>
      <c r="F239" s="147"/>
    </row>
    <row r="240" spans="1:6" x14ac:dyDescent="0.25">
      <c r="A240" s="342">
        <v>45566</v>
      </c>
      <c r="B240" s="319" t="s">
        <v>1402</v>
      </c>
      <c r="C240" s="238" t="s">
        <v>490</v>
      </c>
      <c r="D240" s="126">
        <v>1</v>
      </c>
      <c r="E240" s="126">
        <v>20</v>
      </c>
      <c r="F240" s="180" t="s">
        <v>1460</v>
      </c>
    </row>
    <row r="241" spans="1:6" x14ac:dyDescent="0.25">
      <c r="A241" s="342">
        <v>45566</v>
      </c>
      <c r="B241" s="319" t="s">
        <v>1402</v>
      </c>
      <c r="C241" s="238" t="s">
        <v>491</v>
      </c>
      <c r="D241" s="126"/>
      <c r="E241" s="126"/>
      <c r="F241" s="180"/>
    </row>
    <row r="242" spans="1:6" x14ac:dyDescent="0.25">
      <c r="A242" s="342">
        <v>45566</v>
      </c>
      <c r="B242" s="319" t="s">
        <v>1403</v>
      </c>
      <c r="C242" s="238" t="s">
        <v>489</v>
      </c>
      <c r="D242" s="126">
        <v>4</v>
      </c>
      <c r="E242" s="126">
        <v>1620</v>
      </c>
      <c r="F242" s="180"/>
    </row>
    <row r="243" spans="1:6" x14ac:dyDescent="0.25">
      <c r="A243" s="342">
        <v>45566</v>
      </c>
      <c r="B243" s="319" t="s">
        <v>1403</v>
      </c>
      <c r="C243" s="238" t="s">
        <v>490</v>
      </c>
      <c r="D243" s="126">
        <v>1</v>
      </c>
      <c r="E243" s="126">
        <v>115</v>
      </c>
      <c r="F243" s="180" t="s">
        <v>713</v>
      </c>
    </row>
    <row r="244" spans="1:6" x14ac:dyDescent="0.25">
      <c r="A244" s="342">
        <v>45566</v>
      </c>
      <c r="B244" s="319" t="s">
        <v>1403</v>
      </c>
      <c r="C244" s="238" t="s">
        <v>491</v>
      </c>
      <c r="D244" s="126"/>
      <c r="E244" s="126"/>
      <c r="F244" s="180"/>
    </row>
    <row r="245" spans="1:6" ht="37.5" x14ac:dyDescent="0.25">
      <c r="A245" s="342">
        <v>45566</v>
      </c>
      <c r="B245" s="319" t="s">
        <v>1404</v>
      </c>
      <c r="C245" s="238" t="s">
        <v>489</v>
      </c>
      <c r="D245" s="126">
        <v>2</v>
      </c>
      <c r="E245" s="126">
        <v>966</v>
      </c>
      <c r="F245" s="180" t="s">
        <v>715</v>
      </c>
    </row>
    <row r="246" spans="1:6" ht="37.5" x14ac:dyDescent="0.25">
      <c r="A246" s="342">
        <v>45566</v>
      </c>
      <c r="B246" s="319" t="s">
        <v>1404</v>
      </c>
      <c r="C246" s="238" t="s">
        <v>490</v>
      </c>
      <c r="D246" s="126">
        <v>2</v>
      </c>
      <c r="E246" s="126">
        <v>100</v>
      </c>
      <c r="F246" s="180" t="s">
        <v>714</v>
      </c>
    </row>
    <row r="247" spans="1:6" x14ac:dyDescent="0.25">
      <c r="A247" s="342">
        <v>45566</v>
      </c>
      <c r="B247" s="319" t="s">
        <v>1404</v>
      </c>
      <c r="C247" s="238" t="s">
        <v>491</v>
      </c>
      <c r="D247" s="126"/>
      <c r="E247" s="126"/>
      <c r="F247" s="180"/>
    </row>
    <row r="248" spans="1:6" x14ac:dyDescent="0.25">
      <c r="A248" s="342">
        <v>45566</v>
      </c>
      <c r="B248" s="319" t="s">
        <v>1405</v>
      </c>
      <c r="C248" s="238" t="s">
        <v>489</v>
      </c>
      <c r="D248" s="126"/>
      <c r="E248" s="126"/>
      <c r="F248" s="180"/>
    </row>
    <row r="249" spans="1:6" x14ac:dyDescent="0.25">
      <c r="A249" s="342">
        <v>45566</v>
      </c>
      <c r="B249" s="319" t="s">
        <v>1405</v>
      </c>
      <c r="C249" s="238" t="s">
        <v>490</v>
      </c>
      <c r="D249" s="126"/>
      <c r="E249" s="126"/>
      <c r="F249" s="180"/>
    </row>
    <row r="250" spans="1:6" x14ac:dyDescent="0.25">
      <c r="A250" s="342">
        <v>45566</v>
      </c>
      <c r="B250" s="319" t="s">
        <v>1405</v>
      </c>
      <c r="C250" s="238" t="s">
        <v>491</v>
      </c>
      <c r="D250" s="126"/>
      <c r="E250" s="126"/>
      <c r="F250" s="180"/>
    </row>
    <row r="251" spans="1:6" ht="225" x14ac:dyDescent="0.25">
      <c r="A251" s="342">
        <v>45566</v>
      </c>
      <c r="B251" s="319" t="s">
        <v>1406</v>
      </c>
      <c r="C251" s="238" t="s">
        <v>489</v>
      </c>
      <c r="D251" s="126">
        <v>14</v>
      </c>
      <c r="E251" s="126">
        <v>1398</v>
      </c>
      <c r="F251" s="180" t="s">
        <v>720</v>
      </c>
    </row>
    <row r="252" spans="1:6" ht="112.5" x14ac:dyDescent="0.25">
      <c r="A252" s="342">
        <v>45566</v>
      </c>
      <c r="B252" s="319" t="s">
        <v>1406</v>
      </c>
      <c r="C252" s="238" t="s">
        <v>490</v>
      </c>
      <c r="D252" s="126">
        <v>7</v>
      </c>
      <c r="E252" s="126">
        <v>1211</v>
      </c>
      <c r="F252" s="180" t="s">
        <v>721</v>
      </c>
    </row>
    <row r="253" spans="1:6" ht="37.5" x14ac:dyDescent="0.25">
      <c r="A253" s="342">
        <v>45566</v>
      </c>
      <c r="B253" s="319" t="s">
        <v>1406</v>
      </c>
      <c r="C253" s="238" t="s">
        <v>491</v>
      </c>
      <c r="D253" s="126">
        <v>2</v>
      </c>
      <c r="E253" s="126">
        <v>450</v>
      </c>
      <c r="F253" s="180" t="s">
        <v>722</v>
      </c>
    </row>
    <row r="254" spans="1:6" ht="131.25" x14ac:dyDescent="0.25">
      <c r="A254" s="342">
        <v>45566</v>
      </c>
      <c r="B254" s="319" t="s">
        <v>1438</v>
      </c>
      <c r="C254" s="238" t="s">
        <v>489</v>
      </c>
      <c r="D254" s="126">
        <v>7</v>
      </c>
      <c r="E254" s="126">
        <v>1687</v>
      </c>
      <c r="F254" s="180" t="s">
        <v>726</v>
      </c>
    </row>
    <row r="255" spans="1:6" ht="150" x14ac:dyDescent="0.25">
      <c r="A255" s="342">
        <v>45566</v>
      </c>
      <c r="B255" s="319" t="s">
        <v>1438</v>
      </c>
      <c r="C255" s="238" t="s">
        <v>490</v>
      </c>
      <c r="D255" s="126">
        <v>8</v>
      </c>
      <c r="E255" s="126">
        <v>212</v>
      </c>
      <c r="F255" s="180" t="s">
        <v>724</v>
      </c>
    </row>
    <row r="256" spans="1:6" ht="243.75" x14ac:dyDescent="0.25">
      <c r="A256" s="342">
        <v>45566</v>
      </c>
      <c r="B256" s="319" t="s">
        <v>1438</v>
      </c>
      <c r="C256" s="238" t="s">
        <v>491</v>
      </c>
      <c r="D256" s="126">
        <v>14</v>
      </c>
      <c r="E256" s="126">
        <v>212</v>
      </c>
      <c r="F256" s="180" t="s">
        <v>725</v>
      </c>
    </row>
    <row r="257" spans="1:6" ht="37.5" x14ac:dyDescent="0.25">
      <c r="A257" s="342">
        <v>45566</v>
      </c>
      <c r="B257" s="319" t="s">
        <v>1408</v>
      </c>
      <c r="C257" s="238" t="s">
        <v>489</v>
      </c>
      <c r="D257" s="126">
        <v>2</v>
      </c>
      <c r="E257" s="126">
        <v>340</v>
      </c>
      <c r="F257" s="180" t="s">
        <v>728</v>
      </c>
    </row>
    <row r="258" spans="1:6" ht="37.5" x14ac:dyDescent="0.25">
      <c r="A258" s="342">
        <v>45566</v>
      </c>
      <c r="B258" s="319" t="s">
        <v>1408</v>
      </c>
      <c r="C258" s="238" t="s">
        <v>490</v>
      </c>
      <c r="D258" s="126">
        <v>2</v>
      </c>
      <c r="E258" s="126">
        <v>35</v>
      </c>
      <c r="F258" s="180" t="s">
        <v>727</v>
      </c>
    </row>
    <row r="259" spans="1:6" x14ac:dyDescent="0.25">
      <c r="A259" s="342">
        <v>45566</v>
      </c>
      <c r="B259" s="319" t="s">
        <v>1408</v>
      </c>
      <c r="C259" s="238" t="s">
        <v>491</v>
      </c>
      <c r="D259" s="126"/>
      <c r="E259" s="126"/>
      <c r="F259" s="180"/>
    </row>
    <row r="260" spans="1:6" ht="37.5" x14ac:dyDescent="0.25">
      <c r="A260" s="342">
        <v>45566</v>
      </c>
      <c r="B260" s="319" t="s">
        <v>1409</v>
      </c>
      <c r="C260" s="238" t="s">
        <v>489</v>
      </c>
      <c r="D260" s="126">
        <v>2</v>
      </c>
      <c r="E260" s="126">
        <v>210</v>
      </c>
      <c r="F260" s="180" t="s">
        <v>729</v>
      </c>
    </row>
    <row r="261" spans="1:6" ht="75" x14ac:dyDescent="0.25">
      <c r="A261" s="342">
        <v>45566</v>
      </c>
      <c r="B261" s="319" t="s">
        <v>1409</v>
      </c>
      <c r="C261" s="238" t="s">
        <v>490</v>
      </c>
      <c r="D261" s="126">
        <v>3</v>
      </c>
      <c r="E261" s="126">
        <v>130</v>
      </c>
      <c r="F261" s="180" t="s">
        <v>730</v>
      </c>
    </row>
    <row r="262" spans="1:6" x14ac:dyDescent="0.25">
      <c r="A262" s="342">
        <v>45566</v>
      </c>
      <c r="B262" s="319" t="s">
        <v>1409</v>
      </c>
      <c r="C262" s="238" t="s">
        <v>491</v>
      </c>
      <c r="D262" s="126"/>
      <c r="E262" s="126"/>
      <c r="F262" s="180"/>
    </row>
    <row r="263" spans="1:6" x14ac:dyDescent="0.25">
      <c r="A263" s="342">
        <v>45566</v>
      </c>
      <c r="B263" s="319" t="s">
        <v>1410</v>
      </c>
      <c r="C263" s="238" t="s">
        <v>489</v>
      </c>
      <c r="D263" s="126">
        <v>1</v>
      </c>
      <c r="E263" s="126">
        <v>200</v>
      </c>
      <c r="F263" s="180" t="s">
        <v>731</v>
      </c>
    </row>
    <row r="264" spans="1:6" x14ac:dyDescent="0.25">
      <c r="A264" s="342">
        <v>45566</v>
      </c>
      <c r="B264" s="319" t="s">
        <v>1410</v>
      </c>
      <c r="C264" s="238" t="s">
        <v>490</v>
      </c>
      <c r="D264" s="126"/>
      <c r="E264" s="126"/>
      <c r="F264" s="180"/>
    </row>
    <row r="265" spans="1:6" x14ac:dyDescent="0.25">
      <c r="A265" s="342">
        <v>45566</v>
      </c>
      <c r="B265" s="319" t="s">
        <v>1410</v>
      </c>
      <c r="C265" s="238" t="s">
        <v>491</v>
      </c>
      <c r="D265" s="126"/>
      <c r="E265" s="126"/>
      <c r="F265" s="180"/>
    </row>
    <row r="266" spans="1:6" x14ac:dyDescent="0.25">
      <c r="A266" s="342">
        <v>45566</v>
      </c>
      <c r="B266" s="319" t="s">
        <v>1411</v>
      </c>
      <c r="C266" s="238" t="s">
        <v>489</v>
      </c>
      <c r="D266" s="126"/>
      <c r="E266" s="126"/>
      <c r="F266" s="180"/>
    </row>
    <row r="267" spans="1:6" x14ac:dyDescent="0.25">
      <c r="A267" s="342">
        <v>45566</v>
      </c>
      <c r="B267" s="319" t="s">
        <v>1411</v>
      </c>
      <c r="C267" s="238" t="s">
        <v>490</v>
      </c>
      <c r="D267" s="126"/>
      <c r="E267" s="126"/>
      <c r="F267" s="180"/>
    </row>
    <row r="268" spans="1:6" x14ac:dyDescent="0.25">
      <c r="A268" s="342">
        <v>45566</v>
      </c>
      <c r="B268" s="319" t="s">
        <v>1411</v>
      </c>
      <c r="C268" s="238" t="s">
        <v>491</v>
      </c>
      <c r="D268" s="126">
        <v>1</v>
      </c>
      <c r="E268" s="126">
        <v>5</v>
      </c>
      <c r="F268" s="180" t="s">
        <v>738</v>
      </c>
    </row>
    <row r="269" spans="1:6" ht="93.75" x14ac:dyDescent="0.25">
      <c r="A269" s="342">
        <v>45566</v>
      </c>
      <c r="B269" s="319" t="s">
        <v>1452</v>
      </c>
      <c r="C269" s="238" t="s">
        <v>489</v>
      </c>
      <c r="D269" s="126">
        <v>5</v>
      </c>
      <c r="E269" s="126">
        <v>529</v>
      </c>
      <c r="F269" s="180" t="s">
        <v>737</v>
      </c>
    </row>
    <row r="270" spans="1:6" ht="75" x14ac:dyDescent="0.25">
      <c r="A270" s="342">
        <v>45566</v>
      </c>
      <c r="B270" s="319" t="s">
        <v>1452</v>
      </c>
      <c r="C270" s="238" t="s">
        <v>490</v>
      </c>
      <c r="D270" s="126">
        <v>4</v>
      </c>
      <c r="E270" s="126">
        <v>485</v>
      </c>
      <c r="F270" s="180" t="s">
        <v>736</v>
      </c>
    </row>
    <row r="271" spans="1:6" x14ac:dyDescent="0.25">
      <c r="A271" s="342">
        <v>45566</v>
      </c>
      <c r="B271" s="319" t="s">
        <v>1452</v>
      </c>
      <c r="C271" s="238" t="s">
        <v>491</v>
      </c>
      <c r="D271" s="126">
        <v>1</v>
      </c>
      <c r="E271" s="126">
        <v>400</v>
      </c>
      <c r="F271" s="180" t="s">
        <v>735</v>
      </c>
    </row>
    <row r="272" spans="1:6" ht="37.5" x14ac:dyDescent="0.25">
      <c r="A272" s="342">
        <v>45566</v>
      </c>
      <c r="B272" s="319" t="s">
        <v>1413</v>
      </c>
      <c r="C272" s="238" t="s">
        <v>489</v>
      </c>
      <c r="D272" s="126">
        <v>2</v>
      </c>
      <c r="E272" s="126">
        <v>160</v>
      </c>
      <c r="F272" s="180" t="s">
        <v>732</v>
      </c>
    </row>
    <row r="273" spans="1:6" ht="168.75" x14ac:dyDescent="0.25">
      <c r="A273" s="342">
        <v>45566</v>
      </c>
      <c r="B273" s="319" t="s">
        <v>1413</v>
      </c>
      <c r="C273" s="238" t="s">
        <v>490</v>
      </c>
      <c r="D273" s="126">
        <v>9</v>
      </c>
      <c r="E273" s="126">
        <v>866</v>
      </c>
      <c r="F273" s="180" t="s">
        <v>734</v>
      </c>
    </row>
    <row r="274" spans="1:6" ht="37.5" x14ac:dyDescent="0.25">
      <c r="A274" s="342">
        <v>45566</v>
      </c>
      <c r="B274" s="319" t="s">
        <v>1413</v>
      </c>
      <c r="C274" s="238" t="s">
        <v>491</v>
      </c>
      <c r="D274" s="126">
        <v>2</v>
      </c>
      <c r="E274" s="126">
        <v>11</v>
      </c>
      <c r="F274" s="180" t="s">
        <v>733</v>
      </c>
    </row>
    <row r="275" spans="1:6" x14ac:dyDescent="0.25">
      <c r="A275" s="342">
        <v>45597</v>
      </c>
      <c r="B275" s="319" t="s">
        <v>1401</v>
      </c>
      <c r="C275" s="238" t="s">
        <v>489</v>
      </c>
      <c r="D275" s="126">
        <v>1</v>
      </c>
      <c r="E275" s="126">
        <v>300</v>
      </c>
      <c r="F275" s="180" t="s">
        <v>741</v>
      </c>
    </row>
    <row r="276" spans="1:6" x14ac:dyDescent="0.25">
      <c r="A276" s="342">
        <v>45597</v>
      </c>
      <c r="B276" s="319" t="s">
        <v>1401</v>
      </c>
      <c r="C276" s="238" t="s">
        <v>490</v>
      </c>
      <c r="D276" s="126"/>
      <c r="E276" s="126"/>
      <c r="F276" s="180"/>
    </row>
    <row r="277" spans="1:6" ht="56.25" x14ac:dyDescent="0.25">
      <c r="A277" s="342">
        <v>45597</v>
      </c>
      <c r="B277" s="319" t="s">
        <v>1401</v>
      </c>
      <c r="C277" s="238" t="s">
        <v>491</v>
      </c>
      <c r="D277" s="126">
        <v>3</v>
      </c>
      <c r="E277" s="126">
        <v>85</v>
      </c>
      <c r="F277" s="180" t="s">
        <v>740</v>
      </c>
    </row>
    <row r="278" spans="1:6" x14ac:dyDescent="0.25">
      <c r="A278" s="342">
        <v>45597</v>
      </c>
      <c r="B278" s="319" t="s">
        <v>1402</v>
      </c>
      <c r="C278" s="238" t="s">
        <v>489</v>
      </c>
      <c r="D278" s="147"/>
      <c r="E278" s="147"/>
      <c r="F278" s="147"/>
    </row>
    <row r="279" spans="1:6" x14ac:dyDescent="0.25">
      <c r="A279" s="342">
        <v>45597</v>
      </c>
      <c r="B279" s="319" t="s">
        <v>1402</v>
      </c>
      <c r="C279" s="238" t="s">
        <v>490</v>
      </c>
      <c r="D279" s="126">
        <v>1</v>
      </c>
      <c r="E279" s="126">
        <v>300</v>
      </c>
      <c r="F279" s="180" t="s">
        <v>1459</v>
      </c>
    </row>
    <row r="280" spans="1:6" x14ac:dyDescent="0.25">
      <c r="A280" s="342">
        <v>45597</v>
      </c>
      <c r="B280" s="319" t="s">
        <v>1402</v>
      </c>
      <c r="C280" s="238" t="s">
        <v>491</v>
      </c>
      <c r="D280" s="126"/>
      <c r="E280" s="126"/>
      <c r="F280" s="180"/>
    </row>
    <row r="281" spans="1:6" x14ac:dyDescent="0.25">
      <c r="A281" s="342">
        <v>45597</v>
      </c>
      <c r="B281" s="319" t="s">
        <v>1403</v>
      </c>
      <c r="C281" s="238" t="s">
        <v>489</v>
      </c>
      <c r="D281" s="126"/>
      <c r="E281" s="126"/>
      <c r="F281" s="180"/>
    </row>
    <row r="282" spans="1:6" x14ac:dyDescent="0.25">
      <c r="A282" s="342">
        <v>45597</v>
      </c>
      <c r="B282" s="319" t="s">
        <v>1403</v>
      </c>
      <c r="C282" s="238" t="s">
        <v>490</v>
      </c>
      <c r="D282" s="126"/>
      <c r="E282" s="126"/>
      <c r="F282" s="180"/>
    </row>
    <row r="283" spans="1:6" x14ac:dyDescent="0.25">
      <c r="A283" s="342">
        <v>45597</v>
      </c>
      <c r="B283" s="319" t="s">
        <v>1403</v>
      </c>
      <c r="C283" s="238" t="s">
        <v>491</v>
      </c>
      <c r="D283" s="126"/>
      <c r="E283" s="126"/>
      <c r="F283" s="180"/>
    </row>
    <row r="284" spans="1:6" x14ac:dyDescent="0.25">
      <c r="A284" s="342">
        <v>45597</v>
      </c>
      <c r="B284" s="319" t="s">
        <v>1404</v>
      </c>
      <c r="C284" s="238" t="s">
        <v>489</v>
      </c>
      <c r="D284" s="126">
        <v>1</v>
      </c>
      <c r="E284" s="126">
        <v>15</v>
      </c>
      <c r="F284" s="180" t="s">
        <v>742</v>
      </c>
    </row>
    <row r="285" spans="1:6" x14ac:dyDescent="0.25">
      <c r="A285" s="342">
        <v>45597</v>
      </c>
      <c r="B285" s="319" t="s">
        <v>1404</v>
      </c>
      <c r="C285" s="238" t="s">
        <v>490</v>
      </c>
      <c r="D285" s="126"/>
      <c r="E285" s="126"/>
      <c r="F285" s="180"/>
    </row>
    <row r="286" spans="1:6" x14ac:dyDescent="0.25">
      <c r="A286" s="342">
        <v>45597</v>
      </c>
      <c r="B286" s="319" t="s">
        <v>1404</v>
      </c>
      <c r="C286" s="238" t="s">
        <v>491</v>
      </c>
      <c r="D286" s="126"/>
      <c r="E286" s="126"/>
      <c r="F286" s="180"/>
    </row>
    <row r="287" spans="1:6" ht="56.25" x14ac:dyDescent="0.25">
      <c r="A287" s="342">
        <v>45597</v>
      </c>
      <c r="B287" s="319" t="s">
        <v>1405</v>
      </c>
      <c r="C287" s="238" t="s">
        <v>489</v>
      </c>
      <c r="D287" s="126">
        <v>3</v>
      </c>
      <c r="E287" s="126">
        <v>65</v>
      </c>
      <c r="F287" s="180" t="s">
        <v>760</v>
      </c>
    </row>
    <row r="288" spans="1:6" ht="93.75" x14ac:dyDescent="0.25">
      <c r="A288" s="342">
        <v>45597</v>
      </c>
      <c r="B288" s="319" t="s">
        <v>1405</v>
      </c>
      <c r="C288" s="238" t="s">
        <v>490</v>
      </c>
      <c r="D288" s="126">
        <v>5</v>
      </c>
      <c r="E288" s="126">
        <v>375</v>
      </c>
      <c r="F288" s="180" t="s">
        <v>761</v>
      </c>
    </row>
    <row r="289" spans="1:6" ht="56.25" x14ac:dyDescent="0.25">
      <c r="A289" s="342">
        <v>45597</v>
      </c>
      <c r="B289" s="319" t="s">
        <v>1405</v>
      </c>
      <c r="C289" s="238" t="s">
        <v>491</v>
      </c>
      <c r="D289" s="126">
        <v>2</v>
      </c>
      <c r="E289" s="126">
        <v>12</v>
      </c>
      <c r="F289" s="180" t="s">
        <v>762</v>
      </c>
    </row>
    <row r="290" spans="1:6" ht="150" x14ac:dyDescent="0.25">
      <c r="A290" s="342">
        <v>45597</v>
      </c>
      <c r="B290" s="319" t="s">
        <v>1406</v>
      </c>
      <c r="C290" s="238" t="s">
        <v>489</v>
      </c>
      <c r="D290" s="126">
        <v>8</v>
      </c>
      <c r="E290" s="126">
        <v>510</v>
      </c>
      <c r="F290" s="180" t="s">
        <v>743</v>
      </c>
    </row>
    <row r="291" spans="1:6" ht="187.5" x14ac:dyDescent="0.25">
      <c r="A291" s="342">
        <v>45597</v>
      </c>
      <c r="B291" s="319" t="s">
        <v>1406</v>
      </c>
      <c r="C291" s="238" t="s">
        <v>490</v>
      </c>
      <c r="D291" s="126">
        <v>10</v>
      </c>
      <c r="E291" s="126">
        <v>1412</v>
      </c>
      <c r="F291" s="180" t="s">
        <v>744</v>
      </c>
    </row>
    <row r="292" spans="1:6" ht="56.25" x14ac:dyDescent="0.25">
      <c r="A292" s="342">
        <v>45597</v>
      </c>
      <c r="B292" s="319" t="s">
        <v>1406</v>
      </c>
      <c r="C292" s="238" t="s">
        <v>491</v>
      </c>
      <c r="D292" s="126">
        <v>3</v>
      </c>
      <c r="E292" s="126">
        <v>211</v>
      </c>
      <c r="F292" s="180" t="s">
        <v>745</v>
      </c>
    </row>
    <row r="293" spans="1:6" ht="131.25" x14ac:dyDescent="0.25">
      <c r="A293" s="342">
        <v>45597</v>
      </c>
      <c r="B293" s="319" t="s">
        <v>1438</v>
      </c>
      <c r="C293" s="238" t="s">
        <v>489</v>
      </c>
      <c r="D293" s="126">
        <v>7</v>
      </c>
      <c r="E293" s="126">
        <v>1170</v>
      </c>
      <c r="F293" s="180" t="s">
        <v>753</v>
      </c>
    </row>
    <row r="294" spans="1:6" ht="168.75" x14ac:dyDescent="0.25">
      <c r="A294" s="342">
        <v>45597</v>
      </c>
      <c r="B294" s="319" t="s">
        <v>1438</v>
      </c>
      <c r="C294" s="238" t="s">
        <v>490</v>
      </c>
      <c r="D294" s="126">
        <v>9</v>
      </c>
      <c r="E294" s="126">
        <v>640</v>
      </c>
      <c r="F294" s="180" t="s">
        <v>751</v>
      </c>
    </row>
    <row r="295" spans="1:6" ht="243.75" x14ac:dyDescent="0.25">
      <c r="A295" s="342">
        <v>45597</v>
      </c>
      <c r="B295" s="319" t="s">
        <v>1438</v>
      </c>
      <c r="C295" s="238" t="s">
        <v>491</v>
      </c>
      <c r="D295" s="126">
        <v>13</v>
      </c>
      <c r="E295" s="126">
        <v>174</v>
      </c>
      <c r="F295" s="180" t="s">
        <v>752</v>
      </c>
    </row>
    <row r="296" spans="1:6" x14ac:dyDescent="0.25">
      <c r="A296" s="342">
        <v>45597</v>
      </c>
      <c r="B296" s="319" t="s">
        <v>1408</v>
      </c>
      <c r="C296" s="238" t="s">
        <v>489</v>
      </c>
      <c r="D296" s="126">
        <v>1</v>
      </c>
      <c r="E296" s="126">
        <v>150</v>
      </c>
      <c r="F296" s="180" t="s">
        <v>746</v>
      </c>
    </row>
    <row r="297" spans="1:6" ht="56.25" x14ac:dyDescent="0.25">
      <c r="A297" s="342">
        <v>45597</v>
      </c>
      <c r="B297" s="319" t="s">
        <v>1408</v>
      </c>
      <c r="C297" s="238" t="s">
        <v>490</v>
      </c>
      <c r="D297" s="126">
        <v>3</v>
      </c>
      <c r="E297" s="126">
        <v>72</v>
      </c>
      <c r="F297" s="180" t="s">
        <v>770</v>
      </c>
    </row>
    <row r="298" spans="1:6" x14ac:dyDescent="0.25">
      <c r="A298" s="342">
        <v>45597</v>
      </c>
      <c r="B298" s="319" t="s">
        <v>1408</v>
      </c>
      <c r="C298" s="238" t="s">
        <v>491</v>
      </c>
      <c r="D298" s="126"/>
      <c r="E298" s="126"/>
      <c r="F298" s="180"/>
    </row>
    <row r="299" spans="1:6" x14ac:dyDescent="0.25">
      <c r="A299" s="342">
        <v>45597</v>
      </c>
      <c r="B299" s="319" t="s">
        <v>1409</v>
      </c>
      <c r="C299" s="238" t="s">
        <v>489</v>
      </c>
      <c r="D299" s="126"/>
      <c r="E299" s="126"/>
      <c r="F299" s="180"/>
    </row>
    <row r="300" spans="1:6" ht="131.25" x14ac:dyDescent="0.25">
      <c r="A300" s="342">
        <v>45597</v>
      </c>
      <c r="B300" s="319" t="s">
        <v>1409</v>
      </c>
      <c r="C300" s="238" t="s">
        <v>490</v>
      </c>
      <c r="D300" s="126">
        <v>6</v>
      </c>
      <c r="E300" s="126">
        <v>1980</v>
      </c>
      <c r="F300" s="180" t="s">
        <v>763</v>
      </c>
    </row>
    <row r="301" spans="1:6" x14ac:dyDescent="0.25">
      <c r="A301" s="342">
        <v>45597</v>
      </c>
      <c r="B301" s="319" t="s">
        <v>1409</v>
      </c>
      <c r="C301" s="238" t="s">
        <v>491</v>
      </c>
      <c r="D301" s="126"/>
      <c r="E301" s="126"/>
      <c r="F301" s="180"/>
    </row>
    <row r="302" spans="1:6" ht="187.5" x14ac:dyDescent="0.25">
      <c r="A302" s="342">
        <v>45597</v>
      </c>
      <c r="B302" s="319" t="s">
        <v>1410</v>
      </c>
      <c r="C302" s="238" t="s">
        <v>489</v>
      </c>
      <c r="D302" s="126">
        <v>9</v>
      </c>
      <c r="E302" s="126">
        <v>950</v>
      </c>
      <c r="F302" s="180" t="s">
        <v>747</v>
      </c>
    </row>
    <row r="303" spans="1:6" ht="75" x14ac:dyDescent="0.25">
      <c r="A303" s="342">
        <v>45597</v>
      </c>
      <c r="B303" s="319" t="s">
        <v>1410</v>
      </c>
      <c r="C303" s="238" t="s">
        <v>490</v>
      </c>
      <c r="D303" s="126">
        <v>4</v>
      </c>
      <c r="E303" s="126">
        <v>345</v>
      </c>
      <c r="F303" s="180" t="s">
        <v>748</v>
      </c>
    </row>
    <row r="304" spans="1:6" x14ac:dyDescent="0.25">
      <c r="A304" s="342">
        <v>45597</v>
      </c>
      <c r="B304" s="319" t="s">
        <v>1410</v>
      </c>
      <c r="C304" s="238" t="s">
        <v>491</v>
      </c>
      <c r="D304" s="126"/>
      <c r="E304" s="126"/>
      <c r="F304" s="180"/>
    </row>
    <row r="305" spans="1:6" ht="37.5" x14ac:dyDescent="0.25">
      <c r="A305" s="342">
        <v>45597</v>
      </c>
      <c r="B305" s="319" t="s">
        <v>1411</v>
      </c>
      <c r="C305" s="238" t="s">
        <v>489</v>
      </c>
      <c r="D305" s="126">
        <v>2</v>
      </c>
      <c r="E305" s="126">
        <v>250</v>
      </c>
      <c r="F305" s="180" t="s">
        <v>758</v>
      </c>
    </row>
    <row r="306" spans="1:6" x14ac:dyDescent="0.25">
      <c r="A306" s="342">
        <v>45597</v>
      </c>
      <c r="B306" s="319" t="s">
        <v>1411</v>
      </c>
      <c r="C306" s="238" t="s">
        <v>490</v>
      </c>
      <c r="D306" s="126"/>
      <c r="E306" s="126"/>
      <c r="F306" s="180"/>
    </row>
    <row r="307" spans="1:6" ht="37.5" x14ac:dyDescent="0.25">
      <c r="A307" s="342">
        <v>45597</v>
      </c>
      <c r="B307" s="319" t="s">
        <v>1411</v>
      </c>
      <c r="C307" s="238" t="s">
        <v>491</v>
      </c>
      <c r="D307" s="126">
        <v>2</v>
      </c>
      <c r="E307" s="126">
        <v>35</v>
      </c>
      <c r="F307" s="180" t="s">
        <v>757</v>
      </c>
    </row>
    <row r="308" spans="1:6" ht="37.5" x14ac:dyDescent="0.25">
      <c r="A308" s="342">
        <v>45597</v>
      </c>
      <c r="B308" s="319" t="s">
        <v>1452</v>
      </c>
      <c r="C308" s="238" t="s">
        <v>489</v>
      </c>
      <c r="D308" s="126">
        <v>2</v>
      </c>
      <c r="E308" s="126">
        <v>258</v>
      </c>
      <c r="F308" s="180" t="s">
        <v>749</v>
      </c>
    </row>
    <row r="309" spans="1:6" ht="75" x14ac:dyDescent="0.25">
      <c r="A309" s="342">
        <v>45597</v>
      </c>
      <c r="B309" s="319" t="s">
        <v>1452</v>
      </c>
      <c r="C309" s="238" t="s">
        <v>490</v>
      </c>
      <c r="D309" s="126">
        <v>4</v>
      </c>
      <c r="E309" s="126">
        <v>115</v>
      </c>
      <c r="F309" s="180" t="s">
        <v>750</v>
      </c>
    </row>
    <row r="310" spans="1:6" x14ac:dyDescent="0.25">
      <c r="A310" s="342">
        <v>45597</v>
      </c>
      <c r="B310" s="319" t="s">
        <v>1452</v>
      </c>
      <c r="C310" s="238" t="s">
        <v>491</v>
      </c>
      <c r="D310" s="126"/>
      <c r="E310" s="126"/>
      <c r="F310" s="180"/>
    </row>
    <row r="311" spans="1:6" ht="93.75" x14ac:dyDescent="0.25">
      <c r="A311" s="342">
        <v>45597</v>
      </c>
      <c r="B311" s="319" t="s">
        <v>1413</v>
      </c>
      <c r="C311" s="238" t="s">
        <v>489</v>
      </c>
      <c r="D311" s="126">
        <v>5</v>
      </c>
      <c r="E311" s="126">
        <v>210</v>
      </c>
      <c r="F311" s="180" t="s">
        <v>754</v>
      </c>
    </row>
    <row r="312" spans="1:6" ht="131.25" x14ac:dyDescent="0.25">
      <c r="A312" s="342">
        <v>45597</v>
      </c>
      <c r="B312" s="319" t="s">
        <v>1413</v>
      </c>
      <c r="C312" s="238" t="s">
        <v>490</v>
      </c>
      <c r="D312" s="126">
        <v>7</v>
      </c>
      <c r="E312" s="126">
        <v>490</v>
      </c>
      <c r="F312" s="180" t="s">
        <v>755</v>
      </c>
    </row>
    <row r="313" spans="1:6" ht="93.75" x14ac:dyDescent="0.25">
      <c r="A313" s="342">
        <v>45627</v>
      </c>
      <c r="B313" s="319" t="s">
        <v>1401</v>
      </c>
      <c r="C313" s="238" t="s">
        <v>489</v>
      </c>
      <c r="D313" s="126">
        <v>5</v>
      </c>
      <c r="E313" s="126">
        <v>790</v>
      </c>
      <c r="F313" s="180" t="s">
        <v>1425</v>
      </c>
    </row>
    <row r="314" spans="1:6" ht="93.75" x14ac:dyDescent="0.25">
      <c r="A314" s="342">
        <v>45627</v>
      </c>
      <c r="B314" s="319" t="s">
        <v>1401</v>
      </c>
      <c r="C314" s="238" t="s">
        <v>490</v>
      </c>
      <c r="D314" s="126">
        <v>5</v>
      </c>
      <c r="E314" s="126">
        <v>587</v>
      </c>
      <c r="F314" s="180" t="s">
        <v>1426</v>
      </c>
    </row>
    <row r="315" spans="1:6" x14ac:dyDescent="0.25">
      <c r="A315" s="342">
        <v>45627</v>
      </c>
      <c r="B315" s="319" t="s">
        <v>1401</v>
      </c>
      <c r="C315" s="238" t="s">
        <v>491</v>
      </c>
      <c r="D315" s="126"/>
      <c r="E315" s="126"/>
      <c r="F315" s="180"/>
    </row>
    <row r="316" spans="1:6" x14ac:dyDescent="0.25">
      <c r="A316" s="342">
        <v>45627</v>
      </c>
      <c r="B316" s="319" t="s">
        <v>1402</v>
      </c>
      <c r="C316" s="238" t="s">
        <v>489</v>
      </c>
      <c r="D316" s="331">
        <v>1</v>
      </c>
      <c r="E316" s="331">
        <v>35</v>
      </c>
      <c r="F316" s="180" t="s">
        <v>1427</v>
      </c>
    </row>
    <row r="317" spans="1:6" ht="131.25" x14ac:dyDescent="0.25">
      <c r="A317" s="342">
        <v>45627</v>
      </c>
      <c r="B317" s="319" t="s">
        <v>1402</v>
      </c>
      <c r="C317" s="238" t="s">
        <v>490</v>
      </c>
      <c r="D317" s="126">
        <v>7</v>
      </c>
      <c r="E317" s="126">
        <v>810</v>
      </c>
      <c r="F317" s="180" t="s">
        <v>1428</v>
      </c>
    </row>
    <row r="318" spans="1:6" x14ac:dyDescent="0.25">
      <c r="A318" s="342">
        <v>45627</v>
      </c>
      <c r="B318" s="319" t="s">
        <v>1402</v>
      </c>
      <c r="C318" s="238" t="s">
        <v>491</v>
      </c>
      <c r="D318" s="126"/>
      <c r="E318" s="126"/>
      <c r="F318" s="180"/>
    </row>
    <row r="319" spans="1:6" x14ac:dyDescent="0.25">
      <c r="A319" s="342">
        <v>45627</v>
      </c>
      <c r="B319" s="319" t="s">
        <v>1403</v>
      </c>
      <c r="C319" s="238" t="s">
        <v>489</v>
      </c>
      <c r="D319" s="126"/>
      <c r="E319" s="126"/>
      <c r="F319" s="180"/>
    </row>
    <row r="320" spans="1:6" x14ac:dyDescent="0.25">
      <c r="A320" s="342">
        <v>45627</v>
      </c>
      <c r="B320" s="319" t="s">
        <v>1403</v>
      </c>
      <c r="C320" s="238" t="s">
        <v>490</v>
      </c>
      <c r="D320" s="126"/>
      <c r="E320" s="126"/>
      <c r="F320" s="180"/>
    </row>
    <row r="321" spans="1:6" x14ac:dyDescent="0.25">
      <c r="A321" s="342">
        <v>45627</v>
      </c>
      <c r="B321" s="319" t="s">
        <v>1403</v>
      </c>
      <c r="C321" s="238" t="s">
        <v>491</v>
      </c>
      <c r="D321" s="126"/>
      <c r="E321" s="126"/>
      <c r="F321" s="180"/>
    </row>
    <row r="322" spans="1:6" ht="75" x14ac:dyDescent="0.25">
      <c r="A322" s="342">
        <v>45627</v>
      </c>
      <c r="B322" s="319" t="s">
        <v>1404</v>
      </c>
      <c r="C322" s="238" t="s">
        <v>489</v>
      </c>
      <c r="D322" s="126">
        <v>3</v>
      </c>
      <c r="E322" s="126">
        <v>330</v>
      </c>
      <c r="F322" s="180" t="s">
        <v>1429</v>
      </c>
    </row>
    <row r="323" spans="1:6" ht="56.25" x14ac:dyDescent="0.25">
      <c r="A323" s="342">
        <v>45627</v>
      </c>
      <c r="B323" s="319" t="s">
        <v>1404</v>
      </c>
      <c r="C323" s="238" t="s">
        <v>490</v>
      </c>
      <c r="D323" s="126">
        <v>3</v>
      </c>
      <c r="E323" s="126">
        <v>70</v>
      </c>
      <c r="F323" s="180" t="s">
        <v>1430</v>
      </c>
    </row>
    <row r="324" spans="1:6" ht="206.25" x14ac:dyDescent="0.25">
      <c r="A324" s="342">
        <v>45627</v>
      </c>
      <c r="B324" s="319" t="s">
        <v>1404</v>
      </c>
      <c r="C324" s="238" t="s">
        <v>491</v>
      </c>
      <c r="D324" s="126">
        <v>11</v>
      </c>
      <c r="E324" s="126">
        <v>275</v>
      </c>
      <c r="F324" s="180" t="s">
        <v>1431</v>
      </c>
    </row>
    <row r="325" spans="1:6" ht="150" x14ac:dyDescent="0.25">
      <c r="A325" s="342">
        <v>45627</v>
      </c>
      <c r="B325" s="319" t="s">
        <v>1405</v>
      </c>
      <c r="C325" s="238" t="s">
        <v>489</v>
      </c>
      <c r="D325" s="126">
        <v>8</v>
      </c>
      <c r="E325" s="126">
        <v>217</v>
      </c>
      <c r="F325" s="180" t="s">
        <v>1432</v>
      </c>
    </row>
    <row r="326" spans="1:6" ht="56.25" x14ac:dyDescent="0.25">
      <c r="A326" s="342">
        <v>45627</v>
      </c>
      <c r="B326" s="319" t="s">
        <v>1405</v>
      </c>
      <c r="C326" s="238" t="s">
        <v>490</v>
      </c>
      <c r="D326" s="126">
        <v>3</v>
      </c>
      <c r="E326" s="126">
        <v>415</v>
      </c>
      <c r="F326" s="180" t="s">
        <v>1433</v>
      </c>
    </row>
    <row r="327" spans="1:6" ht="262.5" x14ac:dyDescent="0.25">
      <c r="A327" s="342">
        <v>45627</v>
      </c>
      <c r="B327" s="319" t="s">
        <v>1405</v>
      </c>
      <c r="C327" s="238" t="s">
        <v>491</v>
      </c>
      <c r="D327" s="126"/>
      <c r="E327" s="126">
        <v>487</v>
      </c>
      <c r="F327" s="180" t="s">
        <v>1434</v>
      </c>
    </row>
    <row r="328" spans="1:6" ht="281.25" x14ac:dyDescent="0.25">
      <c r="A328" s="342">
        <v>45627</v>
      </c>
      <c r="B328" s="319" t="s">
        <v>1406</v>
      </c>
      <c r="C328" s="238" t="s">
        <v>489</v>
      </c>
      <c r="D328" s="126">
        <v>13</v>
      </c>
      <c r="E328" s="126">
        <v>1821</v>
      </c>
      <c r="F328" s="180" t="s">
        <v>1435</v>
      </c>
    </row>
    <row r="329" spans="1:6" ht="168.75" x14ac:dyDescent="0.25">
      <c r="A329" s="342">
        <v>45627</v>
      </c>
      <c r="B329" s="319" t="s">
        <v>1406</v>
      </c>
      <c r="C329" s="238" t="s">
        <v>490</v>
      </c>
      <c r="D329" s="126">
        <v>6</v>
      </c>
      <c r="E329" s="126">
        <v>1454</v>
      </c>
      <c r="F329" s="180" t="s">
        <v>1436</v>
      </c>
    </row>
    <row r="330" spans="1:6" ht="56.25" x14ac:dyDescent="0.25">
      <c r="A330" s="342">
        <v>45627</v>
      </c>
      <c r="B330" s="319" t="s">
        <v>1406</v>
      </c>
      <c r="C330" s="238" t="s">
        <v>491</v>
      </c>
      <c r="D330" s="126">
        <v>3</v>
      </c>
      <c r="E330" s="126">
        <v>824</v>
      </c>
      <c r="F330" s="180" t="s">
        <v>1437</v>
      </c>
    </row>
    <row r="331" spans="1:6" ht="75" x14ac:dyDescent="0.25">
      <c r="A331" s="342">
        <v>45627</v>
      </c>
      <c r="B331" s="319" t="s">
        <v>1438</v>
      </c>
      <c r="C331" s="238" t="s">
        <v>489</v>
      </c>
      <c r="D331" s="126">
        <v>3</v>
      </c>
      <c r="E331" s="126">
        <v>860</v>
      </c>
      <c r="F331" s="180" t="s">
        <v>1439</v>
      </c>
    </row>
    <row r="332" spans="1:6" ht="112.5" x14ac:dyDescent="0.25">
      <c r="A332" s="342">
        <v>45627</v>
      </c>
      <c r="B332" s="319" t="s">
        <v>1438</v>
      </c>
      <c r="C332" s="238" t="s">
        <v>490</v>
      </c>
      <c r="D332" s="126">
        <v>6</v>
      </c>
      <c r="E332" s="126">
        <v>175</v>
      </c>
      <c r="F332" s="180" t="s">
        <v>1440</v>
      </c>
    </row>
    <row r="333" spans="1:6" ht="337.5" x14ac:dyDescent="0.25">
      <c r="A333" s="342">
        <v>45627</v>
      </c>
      <c r="B333" s="319" t="s">
        <v>1438</v>
      </c>
      <c r="C333" s="238" t="s">
        <v>491</v>
      </c>
      <c r="D333" s="126">
        <v>40</v>
      </c>
      <c r="E333" s="126">
        <v>841</v>
      </c>
      <c r="F333" s="180" t="s">
        <v>1441</v>
      </c>
    </row>
    <row r="334" spans="1:6" ht="375" x14ac:dyDescent="0.25">
      <c r="A334" s="342">
        <v>45627</v>
      </c>
      <c r="B334" s="319" t="s">
        <v>1438</v>
      </c>
      <c r="C334" s="238"/>
      <c r="D334" s="126"/>
      <c r="E334" s="126"/>
      <c r="F334" s="180" t="s">
        <v>1442</v>
      </c>
    </row>
    <row r="335" spans="1:6" x14ac:dyDescent="0.25">
      <c r="A335" s="342">
        <v>45627</v>
      </c>
      <c r="B335" s="319" t="s">
        <v>1408</v>
      </c>
      <c r="C335" s="238" t="s">
        <v>489</v>
      </c>
      <c r="D335" s="126">
        <v>1</v>
      </c>
      <c r="E335" s="126">
        <v>100</v>
      </c>
      <c r="F335" s="347" t="s">
        <v>1443</v>
      </c>
    </row>
    <row r="336" spans="1:6" ht="110.25" x14ac:dyDescent="0.25">
      <c r="A336" s="342">
        <v>45627</v>
      </c>
      <c r="B336" s="319" t="s">
        <v>1408</v>
      </c>
      <c r="C336" s="238" t="s">
        <v>490</v>
      </c>
      <c r="D336" s="126">
        <v>7</v>
      </c>
      <c r="E336" s="126">
        <v>215</v>
      </c>
      <c r="F336" s="348" t="s">
        <v>1444</v>
      </c>
    </row>
    <row r="337" spans="1:6" x14ac:dyDescent="0.25">
      <c r="A337" s="342">
        <v>45627</v>
      </c>
      <c r="B337" s="319" t="s">
        <v>1408</v>
      </c>
      <c r="C337" s="238" t="s">
        <v>491</v>
      </c>
      <c r="D337" s="126"/>
      <c r="E337" s="126"/>
      <c r="F337" s="180"/>
    </row>
    <row r="338" spans="1:6" x14ac:dyDescent="0.25">
      <c r="A338" s="342">
        <v>45627</v>
      </c>
      <c r="B338" s="319" t="s">
        <v>1409</v>
      </c>
      <c r="C338" s="238" t="s">
        <v>489</v>
      </c>
      <c r="D338" s="126"/>
      <c r="E338" s="126"/>
      <c r="F338" s="180"/>
    </row>
    <row r="339" spans="1:6" ht="225" x14ac:dyDescent="0.25">
      <c r="A339" s="342">
        <v>45627</v>
      </c>
      <c r="B339" s="319" t="s">
        <v>1409</v>
      </c>
      <c r="C339" s="238" t="s">
        <v>490</v>
      </c>
      <c r="D339" s="126">
        <v>9</v>
      </c>
      <c r="E339" s="126">
        <v>787</v>
      </c>
      <c r="F339" s="180" t="s">
        <v>1445</v>
      </c>
    </row>
    <row r="340" spans="1:6" x14ac:dyDescent="0.25">
      <c r="A340" s="342">
        <v>45627</v>
      </c>
      <c r="B340" s="319" t="s">
        <v>1409</v>
      </c>
      <c r="C340" s="238" t="s">
        <v>491</v>
      </c>
      <c r="D340" s="126"/>
      <c r="E340" s="126"/>
      <c r="F340" s="180"/>
    </row>
    <row r="341" spans="1:6" ht="131.25" x14ac:dyDescent="0.25">
      <c r="A341" s="342">
        <v>45627</v>
      </c>
      <c r="B341" s="319" t="s">
        <v>1410</v>
      </c>
      <c r="C341" s="238" t="s">
        <v>489</v>
      </c>
      <c r="D341" s="126">
        <v>8</v>
      </c>
      <c r="E341" s="126">
        <v>1501</v>
      </c>
      <c r="F341" s="180" t="s">
        <v>1446</v>
      </c>
    </row>
    <row r="342" spans="1:6" ht="93.75" x14ac:dyDescent="0.25">
      <c r="A342" s="342">
        <v>45627</v>
      </c>
      <c r="B342" s="319" t="s">
        <v>1410</v>
      </c>
      <c r="C342" s="238" t="s">
        <v>490</v>
      </c>
      <c r="D342" s="126">
        <v>5</v>
      </c>
      <c r="E342" s="126">
        <v>365</v>
      </c>
      <c r="F342" s="180" t="s">
        <v>1447</v>
      </c>
    </row>
    <row r="343" spans="1:6" ht="37.5" x14ac:dyDescent="0.25">
      <c r="A343" s="342">
        <v>45627</v>
      </c>
      <c r="B343" s="319" t="s">
        <v>1410</v>
      </c>
      <c r="C343" s="238" t="s">
        <v>491</v>
      </c>
      <c r="D343" s="126">
        <v>2</v>
      </c>
      <c r="E343" s="126">
        <v>20</v>
      </c>
      <c r="F343" s="180" t="s">
        <v>1448</v>
      </c>
    </row>
    <row r="344" spans="1:6" ht="75" x14ac:dyDescent="0.25">
      <c r="A344" s="342">
        <v>45627</v>
      </c>
      <c r="B344" s="319" t="s">
        <v>1411</v>
      </c>
      <c r="C344" s="238" t="s">
        <v>489</v>
      </c>
      <c r="D344" s="126">
        <v>4</v>
      </c>
      <c r="E344" s="126">
        <v>170</v>
      </c>
      <c r="F344" s="180" t="s">
        <v>1449</v>
      </c>
    </row>
    <row r="345" spans="1:6" ht="37.5" x14ac:dyDescent="0.25">
      <c r="A345" s="342">
        <v>45627</v>
      </c>
      <c r="B345" s="319" t="s">
        <v>1411</v>
      </c>
      <c r="C345" s="238" t="s">
        <v>490</v>
      </c>
      <c r="D345" s="126">
        <v>2</v>
      </c>
      <c r="E345" s="126">
        <v>23</v>
      </c>
      <c r="F345" s="180" t="s">
        <v>1450</v>
      </c>
    </row>
    <row r="346" spans="1:6" ht="37.5" x14ac:dyDescent="0.25">
      <c r="A346" s="342">
        <v>45627</v>
      </c>
      <c r="B346" s="319" t="s">
        <v>1411</v>
      </c>
      <c r="C346" s="238" t="s">
        <v>491</v>
      </c>
      <c r="D346" s="126">
        <v>2</v>
      </c>
      <c r="E346" s="126">
        <v>23</v>
      </c>
      <c r="F346" s="180" t="s">
        <v>1451</v>
      </c>
    </row>
    <row r="347" spans="1:6" ht="75" x14ac:dyDescent="0.25">
      <c r="A347" s="342">
        <v>45627</v>
      </c>
      <c r="B347" s="319" t="s">
        <v>1452</v>
      </c>
      <c r="C347" s="238" t="s">
        <v>489</v>
      </c>
      <c r="D347" s="126">
        <v>4</v>
      </c>
      <c r="E347" s="126">
        <v>155</v>
      </c>
      <c r="F347" s="180" t="s">
        <v>1453</v>
      </c>
    </row>
    <row r="348" spans="1:6" ht="37.5" x14ac:dyDescent="0.25">
      <c r="A348" s="342">
        <v>45627</v>
      </c>
      <c r="B348" s="319" t="s">
        <v>1452</v>
      </c>
      <c r="C348" s="238" t="s">
        <v>490</v>
      </c>
      <c r="D348" s="126">
        <v>2</v>
      </c>
      <c r="E348" s="126">
        <v>262</v>
      </c>
      <c r="F348" s="180" t="s">
        <v>1454</v>
      </c>
    </row>
    <row r="349" spans="1:6" ht="75" x14ac:dyDescent="0.25">
      <c r="A349" s="342">
        <v>45627</v>
      </c>
      <c r="B349" s="319" t="s">
        <v>1452</v>
      </c>
      <c r="C349" s="238" t="s">
        <v>491</v>
      </c>
      <c r="D349" s="126">
        <v>3</v>
      </c>
      <c r="E349" s="126">
        <v>900</v>
      </c>
      <c r="F349" s="180" t="s">
        <v>1455</v>
      </c>
    </row>
    <row r="350" spans="1:6" ht="75" x14ac:dyDescent="0.25">
      <c r="A350" s="342">
        <v>45627</v>
      </c>
      <c r="B350" s="319" t="s">
        <v>1413</v>
      </c>
      <c r="C350" s="238" t="s">
        <v>489</v>
      </c>
      <c r="D350" s="126">
        <v>4</v>
      </c>
      <c r="E350" s="126">
        <v>455</v>
      </c>
      <c r="F350" s="180" t="s">
        <v>1456</v>
      </c>
    </row>
    <row r="351" spans="1:6" ht="187.5" x14ac:dyDescent="0.25">
      <c r="A351" s="342">
        <v>45627</v>
      </c>
      <c r="B351" s="319" t="s">
        <v>1413</v>
      </c>
      <c r="C351" s="238" t="s">
        <v>490</v>
      </c>
      <c r="D351" s="126">
        <v>9</v>
      </c>
      <c r="E351" s="126">
        <v>337</v>
      </c>
      <c r="F351" s="180" t="s">
        <v>1457</v>
      </c>
    </row>
    <row r="352" spans="1:6" x14ac:dyDescent="0.25">
      <c r="A352" s="342">
        <v>45627</v>
      </c>
      <c r="B352" s="319" t="s">
        <v>1413</v>
      </c>
      <c r="C352" s="238" t="s">
        <v>491</v>
      </c>
      <c r="D352" s="126">
        <v>1</v>
      </c>
      <c r="E352" s="126">
        <v>4</v>
      </c>
      <c r="F352" s="193" t="s">
        <v>1458</v>
      </c>
    </row>
    <row r="353" spans="1:6" ht="38.25" x14ac:dyDescent="0.25">
      <c r="A353" s="326">
        <v>45658</v>
      </c>
      <c r="B353" s="324" t="s">
        <v>1401</v>
      </c>
      <c r="C353" s="320" t="s">
        <v>1414</v>
      </c>
      <c r="D353" s="126">
        <v>3</v>
      </c>
      <c r="E353" s="126">
        <v>600</v>
      </c>
      <c r="F353" s="193" t="s">
        <v>962</v>
      </c>
    </row>
    <row r="354" spans="1:6" x14ac:dyDescent="0.25">
      <c r="A354" s="326">
        <v>45658</v>
      </c>
      <c r="B354" s="324" t="s">
        <v>1401</v>
      </c>
      <c r="C354" s="320" t="s">
        <v>490</v>
      </c>
      <c r="D354" s="126">
        <v>1</v>
      </c>
      <c r="E354" s="126">
        <v>5</v>
      </c>
      <c r="F354" s="193" t="s">
        <v>963</v>
      </c>
    </row>
    <row r="355" spans="1:6" ht="51" x14ac:dyDescent="0.25">
      <c r="A355" s="326">
        <v>45658</v>
      </c>
      <c r="B355" s="324" t="s">
        <v>1401</v>
      </c>
      <c r="C355" s="320" t="s">
        <v>491</v>
      </c>
      <c r="D355" s="126">
        <v>3</v>
      </c>
      <c r="E355" s="126">
        <v>345</v>
      </c>
      <c r="F355" s="193" t="s">
        <v>964</v>
      </c>
    </row>
    <row r="356" spans="1:6" ht="63.75" x14ac:dyDescent="0.25">
      <c r="A356" s="326">
        <v>45658</v>
      </c>
      <c r="B356" s="324" t="s">
        <v>1402</v>
      </c>
      <c r="C356" s="320" t="s">
        <v>1414</v>
      </c>
      <c r="D356" s="194">
        <v>5</v>
      </c>
      <c r="E356" s="194">
        <v>415</v>
      </c>
      <c r="F356" s="193" t="s">
        <v>966</v>
      </c>
    </row>
    <row r="357" spans="1:6" ht="25.5" x14ac:dyDescent="0.25">
      <c r="A357" s="326">
        <v>45658</v>
      </c>
      <c r="B357" s="324" t="s">
        <v>1402</v>
      </c>
      <c r="C357" s="320" t="s">
        <v>490</v>
      </c>
      <c r="D357" s="126">
        <v>2</v>
      </c>
      <c r="E357" s="126">
        <v>30</v>
      </c>
      <c r="F357" s="193" t="s">
        <v>967</v>
      </c>
    </row>
    <row r="358" spans="1:6" x14ac:dyDescent="0.25">
      <c r="A358" s="326">
        <v>45658</v>
      </c>
      <c r="B358" s="324" t="s">
        <v>1402</v>
      </c>
      <c r="C358" s="320" t="s">
        <v>491</v>
      </c>
      <c r="D358" s="126"/>
      <c r="E358" s="126"/>
      <c r="F358" s="193"/>
    </row>
    <row r="359" spans="1:6" ht="102" x14ac:dyDescent="0.25">
      <c r="A359" s="326">
        <v>45658</v>
      </c>
      <c r="B359" s="324" t="s">
        <v>1403</v>
      </c>
      <c r="C359" s="320" t="s">
        <v>1414</v>
      </c>
      <c r="D359" s="126">
        <v>8</v>
      </c>
      <c r="E359" s="126">
        <v>565</v>
      </c>
      <c r="F359" s="193" t="s">
        <v>839</v>
      </c>
    </row>
    <row r="360" spans="1:6" ht="51" x14ac:dyDescent="0.25">
      <c r="A360" s="326">
        <v>45658</v>
      </c>
      <c r="B360" s="324" t="s">
        <v>1403</v>
      </c>
      <c r="C360" s="320" t="s">
        <v>490</v>
      </c>
      <c r="D360" s="126">
        <v>4</v>
      </c>
      <c r="E360" s="126">
        <v>540</v>
      </c>
      <c r="F360" s="193" t="s">
        <v>840</v>
      </c>
    </row>
    <row r="361" spans="1:6" x14ac:dyDescent="0.25">
      <c r="A361" s="326">
        <v>45658</v>
      </c>
      <c r="B361" s="324" t="s">
        <v>1403</v>
      </c>
      <c r="C361" s="320" t="s">
        <v>491</v>
      </c>
      <c r="D361" s="126">
        <v>1</v>
      </c>
      <c r="E361" s="126">
        <v>150</v>
      </c>
      <c r="F361" s="193" t="s">
        <v>841</v>
      </c>
    </row>
    <row r="362" spans="1:6" ht="76.5" x14ac:dyDescent="0.25">
      <c r="A362" s="326">
        <v>45658</v>
      </c>
      <c r="B362" s="324" t="s">
        <v>1404</v>
      </c>
      <c r="C362" s="320" t="s">
        <v>1414</v>
      </c>
      <c r="D362" s="126">
        <v>6</v>
      </c>
      <c r="E362" s="126">
        <v>210</v>
      </c>
      <c r="F362" s="193" t="s">
        <v>865</v>
      </c>
    </row>
    <row r="363" spans="1:6" ht="114.75" x14ac:dyDescent="0.25">
      <c r="A363" s="326">
        <v>45658</v>
      </c>
      <c r="B363" s="324" t="s">
        <v>1404</v>
      </c>
      <c r="C363" s="320" t="s">
        <v>490</v>
      </c>
      <c r="D363" s="126">
        <v>8</v>
      </c>
      <c r="E363" s="126">
        <v>319</v>
      </c>
      <c r="F363" s="193" t="s">
        <v>866</v>
      </c>
    </row>
    <row r="364" spans="1:6" ht="89.25" x14ac:dyDescent="0.25">
      <c r="A364" s="326">
        <v>45658</v>
      </c>
      <c r="B364" s="324" t="s">
        <v>1404</v>
      </c>
      <c r="C364" s="320" t="s">
        <v>491</v>
      </c>
      <c r="D364" s="126">
        <v>7</v>
      </c>
      <c r="E364" s="126">
        <v>201</v>
      </c>
      <c r="F364" s="193" t="s">
        <v>867</v>
      </c>
    </row>
    <row r="365" spans="1:6" ht="38.25" x14ac:dyDescent="0.25">
      <c r="A365" s="326">
        <v>45658</v>
      </c>
      <c r="B365" s="324" t="s">
        <v>1405</v>
      </c>
      <c r="C365" s="320" t="s">
        <v>1414</v>
      </c>
      <c r="D365" s="126">
        <v>3</v>
      </c>
      <c r="E365" s="126">
        <v>85</v>
      </c>
      <c r="F365" s="193" t="s">
        <v>814</v>
      </c>
    </row>
    <row r="366" spans="1:6" ht="38.25" x14ac:dyDescent="0.25">
      <c r="A366" s="326">
        <v>45658</v>
      </c>
      <c r="B366" s="324" t="s">
        <v>1405</v>
      </c>
      <c r="C366" s="320" t="s">
        <v>490</v>
      </c>
      <c r="D366" s="126">
        <v>2</v>
      </c>
      <c r="E366" s="126">
        <v>290</v>
      </c>
      <c r="F366" s="193" t="s">
        <v>816</v>
      </c>
    </row>
    <row r="367" spans="1:6" ht="63.75" x14ac:dyDescent="0.25">
      <c r="A367" s="326">
        <v>45658</v>
      </c>
      <c r="B367" s="324" t="s">
        <v>1405</v>
      </c>
      <c r="C367" s="320" t="s">
        <v>491</v>
      </c>
      <c r="D367" s="126">
        <v>5</v>
      </c>
      <c r="E367" s="126">
        <v>155</v>
      </c>
      <c r="F367" s="193" t="s">
        <v>815</v>
      </c>
    </row>
    <row r="368" spans="1:6" ht="204" x14ac:dyDescent="0.25">
      <c r="A368" s="326">
        <v>45658</v>
      </c>
      <c r="B368" s="324" t="s">
        <v>1406</v>
      </c>
      <c r="C368" s="320" t="s">
        <v>1414</v>
      </c>
      <c r="D368" s="126">
        <v>15</v>
      </c>
      <c r="E368" s="126">
        <v>963</v>
      </c>
      <c r="F368" s="193" t="s">
        <v>927</v>
      </c>
    </row>
    <row r="369" spans="1:6" ht="38.25" x14ac:dyDescent="0.25">
      <c r="A369" s="326">
        <v>45658</v>
      </c>
      <c r="B369" s="324" t="s">
        <v>1406</v>
      </c>
      <c r="C369" s="320" t="s">
        <v>490</v>
      </c>
      <c r="D369" s="126">
        <v>3</v>
      </c>
      <c r="E369" s="126">
        <v>137</v>
      </c>
      <c r="F369" s="193" t="s">
        <v>928</v>
      </c>
    </row>
    <row r="370" spans="1:6" ht="63.75" x14ac:dyDescent="0.25">
      <c r="A370" s="326">
        <v>45658</v>
      </c>
      <c r="B370" s="324" t="s">
        <v>1406</v>
      </c>
      <c r="C370" s="320" t="s">
        <v>491</v>
      </c>
      <c r="D370" s="126">
        <v>5</v>
      </c>
      <c r="E370" s="126">
        <v>858</v>
      </c>
      <c r="F370" s="193" t="s">
        <v>929</v>
      </c>
    </row>
    <row r="371" spans="1:6" ht="114.75" x14ac:dyDescent="0.25">
      <c r="A371" s="326">
        <v>45658</v>
      </c>
      <c r="B371" s="324" t="s">
        <v>1407</v>
      </c>
      <c r="C371" s="320" t="s">
        <v>1414</v>
      </c>
      <c r="D371" s="126">
        <v>9</v>
      </c>
      <c r="E371" s="126">
        <v>517</v>
      </c>
      <c r="F371" s="193" t="s">
        <v>889</v>
      </c>
    </row>
    <row r="372" spans="1:6" ht="102" x14ac:dyDescent="0.25">
      <c r="A372" s="326">
        <v>45658</v>
      </c>
      <c r="B372" s="324" t="s">
        <v>1407</v>
      </c>
      <c r="C372" s="320" t="s">
        <v>490</v>
      </c>
      <c r="D372" s="126">
        <v>8</v>
      </c>
      <c r="E372" s="126">
        <v>199</v>
      </c>
      <c r="F372" s="193" t="s">
        <v>884</v>
      </c>
    </row>
    <row r="373" spans="1:6" ht="216.75" x14ac:dyDescent="0.25">
      <c r="A373" s="326">
        <v>45658</v>
      </c>
      <c r="B373" s="324" t="s">
        <v>1407</v>
      </c>
      <c r="C373" s="320" t="s">
        <v>491</v>
      </c>
      <c r="D373" s="126">
        <v>17</v>
      </c>
      <c r="E373" s="126">
        <v>367</v>
      </c>
      <c r="F373" s="193" t="s">
        <v>876</v>
      </c>
    </row>
    <row r="374" spans="1:6" x14ac:dyDescent="0.25">
      <c r="A374" s="326">
        <v>45658</v>
      </c>
      <c r="B374" s="324" t="s">
        <v>1408</v>
      </c>
      <c r="C374" s="320" t="s">
        <v>1414</v>
      </c>
      <c r="D374" s="126">
        <v>1</v>
      </c>
      <c r="E374" s="126">
        <v>100</v>
      </c>
      <c r="F374" s="193" t="s">
        <v>935</v>
      </c>
    </row>
    <row r="375" spans="1:6" ht="280.5" x14ac:dyDescent="0.25">
      <c r="A375" s="326">
        <v>45658</v>
      </c>
      <c r="B375" s="324" t="s">
        <v>1408</v>
      </c>
      <c r="C375" s="320" t="s">
        <v>490</v>
      </c>
      <c r="D375" s="126">
        <v>22</v>
      </c>
      <c r="E375" s="126">
        <v>475</v>
      </c>
      <c r="F375" s="193" t="s">
        <v>934</v>
      </c>
    </row>
    <row r="376" spans="1:6" x14ac:dyDescent="0.25">
      <c r="A376" s="326">
        <v>45658</v>
      </c>
      <c r="B376" s="324" t="s">
        <v>1408</v>
      </c>
      <c r="C376" s="320" t="s">
        <v>491</v>
      </c>
      <c r="D376" s="126"/>
      <c r="E376" s="126"/>
      <c r="F376" s="193"/>
    </row>
    <row r="377" spans="1:6" ht="51" x14ac:dyDescent="0.25">
      <c r="A377" s="326">
        <v>45658</v>
      </c>
      <c r="B377" s="324" t="s">
        <v>1409</v>
      </c>
      <c r="C377" s="320" t="s">
        <v>1414</v>
      </c>
      <c r="D377" s="126">
        <v>4</v>
      </c>
      <c r="E377" s="126">
        <v>278</v>
      </c>
      <c r="F377" s="193" t="s">
        <v>950</v>
      </c>
    </row>
    <row r="378" spans="1:6" ht="38.25" x14ac:dyDescent="0.25">
      <c r="A378" s="326">
        <v>45658</v>
      </c>
      <c r="B378" s="324" t="s">
        <v>1409</v>
      </c>
      <c r="C378" s="320" t="s">
        <v>490</v>
      </c>
      <c r="D378" s="126">
        <v>2</v>
      </c>
      <c r="E378" s="126">
        <v>280</v>
      </c>
      <c r="F378" s="193" t="s">
        <v>951</v>
      </c>
    </row>
    <row r="379" spans="1:6" x14ac:dyDescent="0.25">
      <c r="A379" s="326">
        <v>45658</v>
      </c>
      <c r="B379" s="324" t="s">
        <v>1409</v>
      </c>
      <c r="C379" s="320" t="s">
        <v>491</v>
      </c>
      <c r="D379" s="126"/>
      <c r="E379" s="126"/>
      <c r="F379" s="193"/>
    </row>
    <row r="380" spans="1:6" ht="102" x14ac:dyDescent="0.25">
      <c r="A380" s="326">
        <v>45658</v>
      </c>
      <c r="B380" s="324" t="s">
        <v>1410</v>
      </c>
      <c r="C380" s="320" t="s">
        <v>1414</v>
      </c>
      <c r="D380" s="126">
        <v>7</v>
      </c>
      <c r="E380" s="126">
        <v>604</v>
      </c>
      <c r="F380" s="193" t="s">
        <v>908</v>
      </c>
    </row>
    <row r="381" spans="1:6" ht="25.5" x14ac:dyDescent="0.25">
      <c r="A381" s="326">
        <v>45658</v>
      </c>
      <c r="B381" s="324" t="s">
        <v>1410</v>
      </c>
      <c r="C381" s="320" t="s">
        <v>490</v>
      </c>
      <c r="D381" s="126">
        <v>2</v>
      </c>
      <c r="E381" s="126">
        <v>147</v>
      </c>
      <c r="F381" s="193" t="s">
        <v>906</v>
      </c>
    </row>
    <row r="382" spans="1:6" ht="76.5" x14ac:dyDescent="0.25">
      <c r="A382" s="326">
        <v>45658</v>
      </c>
      <c r="B382" s="324" t="s">
        <v>1410</v>
      </c>
      <c r="C382" s="320" t="s">
        <v>491</v>
      </c>
      <c r="D382" s="126">
        <v>6</v>
      </c>
      <c r="E382" s="126">
        <v>93</v>
      </c>
      <c r="F382" s="193" t="s">
        <v>907</v>
      </c>
    </row>
    <row r="383" spans="1:6" ht="25.5" x14ac:dyDescent="0.25">
      <c r="A383" s="326">
        <v>45658</v>
      </c>
      <c r="B383" s="324" t="s">
        <v>1411</v>
      </c>
      <c r="C383" s="320" t="s">
        <v>1414</v>
      </c>
      <c r="D383" s="246">
        <v>2</v>
      </c>
      <c r="E383" s="246">
        <v>180</v>
      </c>
      <c r="F383" s="193" t="s">
        <v>983</v>
      </c>
    </row>
    <row r="384" spans="1:6" x14ac:dyDescent="0.25">
      <c r="A384" s="326">
        <v>45658</v>
      </c>
      <c r="B384" s="324" t="s">
        <v>1411</v>
      </c>
      <c r="C384" s="320" t="s">
        <v>490</v>
      </c>
      <c r="D384" s="246">
        <v>1</v>
      </c>
      <c r="E384" s="246">
        <v>20</v>
      </c>
      <c r="F384" s="193" t="s">
        <v>985</v>
      </c>
    </row>
    <row r="385" spans="1:6" ht="38.25" x14ac:dyDescent="0.25">
      <c r="A385" s="326">
        <v>45658</v>
      </c>
      <c r="B385" s="324" t="s">
        <v>1411</v>
      </c>
      <c r="C385" s="320" t="s">
        <v>491</v>
      </c>
      <c r="D385" s="126">
        <v>3</v>
      </c>
      <c r="E385" s="126">
        <v>47</v>
      </c>
      <c r="F385" s="193" t="s">
        <v>984</v>
      </c>
    </row>
    <row r="386" spans="1:6" ht="76.5" x14ac:dyDescent="0.25">
      <c r="A386" s="326">
        <v>45658</v>
      </c>
      <c r="B386" s="324" t="s">
        <v>1412</v>
      </c>
      <c r="C386" s="320" t="s">
        <v>1414</v>
      </c>
      <c r="D386" s="126">
        <v>6</v>
      </c>
      <c r="E386" s="126">
        <v>368</v>
      </c>
      <c r="F386" s="193" t="s">
        <v>992</v>
      </c>
    </row>
    <row r="387" spans="1:6" ht="140.25" x14ac:dyDescent="0.25">
      <c r="A387" s="326">
        <v>45658</v>
      </c>
      <c r="B387" s="324" t="s">
        <v>1412</v>
      </c>
      <c r="C387" s="320" t="s">
        <v>490</v>
      </c>
      <c r="D387" s="126">
        <v>2</v>
      </c>
      <c r="E387" s="126">
        <v>140</v>
      </c>
      <c r="F387" s="193" t="s">
        <v>996</v>
      </c>
    </row>
    <row r="388" spans="1:6" x14ac:dyDescent="0.25">
      <c r="A388" s="326">
        <v>45658</v>
      </c>
      <c r="B388" s="324" t="s">
        <v>1412</v>
      </c>
      <c r="C388" s="320" t="s">
        <v>491</v>
      </c>
      <c r="D388" s="126">
        <v>1</v>
      </c>
      <c r="E388" s="126">
        <v>60</v>
      </c>
      <c r="F388" s="193" t="s">
        <v>989</v>
      </c>
    </row>
    <row r="389" spans="1:6" x14ac:dyDescent="0.25">
      <c r="A389" s="326">
        <v>45658</v>
      </c>
      <c r="B389" s="324" t="s">
        <v>1413</v>
      </c>
      <c r="C389" s="320" t="s">
        <v>1414</v>
      </c>
      <c r="D389" s="126"/>
      <c r="E389" s="126"/>
      <c r="F389" s="180"/>
    </row>
    <row r="390" spans="1:6" x14ac:dyDescent="0.25">
      <c r="A390" s="326">
        <v>45658</v>
      </c>
      <c r="B390" s="324" t="s">
        <v>1413</v>
      </c>
      <c r="C390" s="320" t="s">
        <v>490</v>
      </c>
      <c r="D390" s="126"/>
      <c r="E390" s="126"/>
      <c r="F390" s="180"/>
    </row>
    <row r="391" spans="1:6" x14ac:dyDescent="0.25">
      <c r="A391" s="326">
        <v>45658</v>
      </c>
      <c r="B391" s="324" t="s">
        <v>1413</v>
      </c>
      <c r="C391" s="320" t="s">
        <v>491</v>
      </c>
      <c r="D391" s="126"/>
      <c r="E391" s="126"/>
      <c r="F391" s="180"/>
    </row>
    <row r="392" spans="1:6" x14ac:dyDescent="0.25">
      <c r="A392" s="326">
        <v>45689</v>
      </c>
      <c r="B392" s="324" t="s">
        <v>1401</v>
      </c>
      <c r="C392" s="320" t="s">
        <v>1414</v>
      </c>
      <c r="D392" s="126"/>
      <c r="E392" s="126"/>
      <c r="F392" s="180"/>
    </row>
    <row r="393" spans="1:6" x14ac:dyDescent="0.25">
      <c r="A393" s="326">
        <v>45689</v>
      </c>
      <c r="B393" s="324" t="s">
        <v>1401</v>
      </c>
      <c r="C393" s="320" t="s">
        <v>490</v>
      </c>
      <c r="D393" s="126"/>
      <c r="E393" s="126"/>
      <c r="F393" s="180"/>
    </row>
    <row r="394" spans="1:6" ht="38.25" x14ac:dyDescent="0.25">
      <c r="A394" s="326">
        <v>45689</v>
      </c>
      <c r="B394" s="324" t="s">
        <v>1401</v>
      </c>
      <c r="C394" s="320" t="s">
        <v>491</v>
      </c>
      <c r="D394" s="126">
        <v>3</v>
      </c>
      <c r="E394" s="126">
        <v>330</v>
      </c>
      <c r="F394" s="193" t="s">
        <v>1179</v>
      </c>
    </row>
    <row r="395" spans="1:6" ht="38.25" x14ac:dyDescent="0.25">
      <c r="A395" s="326">
        <v>45689</v>
      </c>
      <c r="B395" s="324" t="s">
        <v>1402</v>
      </c>
      <c r="C395" s="320" t="s">
        <v>1414</v>
      </c>
      <c r="D395" s="194">
        <v>2</v>
      </c>
      <c r="E395" s="194">
        <v>400</v>
      </c>
      <c r="F395" s="193" t="s">
        <v>1151</v>
      </c>
    </row>
    <row r="396" spans="1:6" ht="45" x14ac:dyDescent="0.25">
      <c r="A396" s="326">
        <v>45689</v>
      </c>
      <c r="B396" s="324" t="s">
        <v>1402</v>
      </c>
      <c r="C396" s="320" t="s">
        <v>490</v>
      </c>
      <c r="D396" s="126">
        <v>3</v>
      </c>
      <c r="E396" s="126">
        <v>175</v>
      </c>
      <c r="F396" s="314" t="s">
        <v>1152</v>
      </c>
    </row>
    <row r="397" spans="1:6" x14ac:dyDescent="0.25">
      <c r="A397" s="326">
        <v>45689</v>
      </c>
      <c r="B397" s="324" t="s">
        <v>1402</v>
      </c>
      <c r="C397" s="320" t="s">
        <v>491</v>
      </c>
      <c r="D397" s="126"/>
      <c r="E397" s="126"/>
      <c r="F397" s="180"/>
    </row>
    <row r="398" spans="1:6" ht="51" x14ac:dyDescent="0.25">
      <c r="A398" s="326">
        <v>45689</v>
      </c>
      <c r="B398" s="324" t="s">
        <v>1403</v>
      </c>
      <c r="C398" s="320" t="s">
        <v>1414</v>
      </c>
      <c r="D398" s="126">
        <v>3</v>
      </c>
      <c r="E398" s="126">
        <v>170</v>
      </c>
      <c r="F398" s="193" t="s">
        <v>1183</v>
      </c>
    </row>
    <row r="399" spans="1:6" ht="51" x14ac:dyDescent="0.25">
      <c r="A399" s="326">
        <v>45689</v>
      </c>
      <c r="B399" s="324" t="s">
        <v>1403</v>
      </c>
      <c r="C399" s="320" t="s">
        <v>490</v>
      </c>
      <c r="D399" s="126">
        <v>4</v>
      </c>
      <c r="E399" s="126">
        <v>320</v>
      </c>
      <c r="F399" s="193" t="s">
        <v>1184</v>
      </c>
    </row>
    <row r="400" spans="1:6" x14ac:dyDescent="0.25">
      <c r="A400" s="326">
        <v>45689</v>
      </c>
      <c r="B400" s="324" t="s">
        <v>1403</v>
      </c>
      <c r="C400" s="320" t="s">
        <v>491</v>
      </c>
      <c r="D400" s="126"/>
      <c r="E400" s="126"/>
      <c r="F400" s="180"/>
    </row>
    <row r="401" spans="1:6" ht="38.25" x14ac:dyDescent="0.25">
      <c r="A401" s="326">
        <v>45689</v>
      </c>
      <c r="B401" s="324" t="s">
        <v>1404</v>
      </c>
      <c r="C401" s="320" t="s">
        <v>1414</v>
      </c>
      <c r="D401" s="126">
        <v>3</v>
      </c>
      <c r="E401" s="126">
        <v>1250</v>
      </c>
      <c r="F401" s="193" t="s">
        <v>1189</v>
      </c>
    </row>
    <row r="402" spans="1:6" x14ac:dyDescent="0.25">
      <c r="A402" s="326">
        <v>45689</v>
      </c>
      <c r="B402" s="324" t="s">
        <v>1404</v>
      </c>
      <c r="C402" s="320" t="s">
        <v>490</v>
      </c>
      <c r="D402" s="126">
        <v>1</v>
      </c>
      <c r="E402" s="126">
        <v>20</v>
      </c>
      <c r="F402" s="193" t="s">
        <v>1191</v>
      </c>
    </row>
    <row r="403" spans="1:6" ht="38.25" x14ac:dyDescent="0.25">
      <c r="A403" s="326">
        <v>45689</v>
      </c>
      <c r="B403" s="324" t="s">
        <v>1404</v>
      </c>
      <c r="C403" s="320" t="s">
        <v>491</v>
      </c>
      <c r="D403" s="126">
        <v>3</v>
      </c>
      <c r="E403" s="126">
        <v>45</v>
      </c>
      <c r="F403" s="193" t="s">
        <v>1190</v>
      </c>
    </row>
    <row r="404" spans="1:6" ht="69" x14ac:dyDescent="0.25">
      <c r="A404" s="326">
        <v>45689</v>
      </c>
      <c r="B404" s="324" t="s">
        <v>1405</v>
      </c>
      <c r="C404" s="320" t="s">
        <v>1414</v>
      </c>
      <c r="D404" s="126">
        <v>4</v>
      </c>
      <c r="E404" s="126">
        <v>510</v>
      </c>
      <c r="F404" s="180" t="s">
        <v>1395</v>
      </c>
    </row>
    <row r="405" spans="1:6" x14ac:dyDescent="0.25">
      <c r="A405" s="326">
        <v>45689</v>
      </c>
      <c r="B405" s="324" t="s">
        <v>1405</v>
      </c>
      <c r="C405" s="320" t="s">
        <v>490</v>
      </c>
      <c r="D405" s="126">
        <v>1</v>
      </c>
      <c r="E405" s="126">
        <v>50</v>
      </c>
      <c r="F405" s="193" t="s">
        <v>1216</v>
      </c>
    </row>
    <row r="406" spans="1:6" ht="38.25" x14ac:dyDescent="0.25">
      <c r="A406" s="326">
        <v>45689</v>
      </c>
      <c r="B406" s="324" t="s">
        <v>1405</v>
      </c>
      <c r="C406" s="320" t="s">
        <v>491</v>
      </c>
      <c r="D406" s="126">
        <v>2</v>
      </c>
      <c r="E406" s="126">
        <v>35</v>
      </c>
      <c r="F406" s="193" t="s">
        <v>1217</v>
      </c>
    </row>
    <row r="407" spans="1:6" ht="204" x14ac:dyDescent="0.25">
      <c r="A407" s="326">
        <v>45689</v>
      </c>
      <c r="B407" s="324" t="s">
        <v>1406</v>
      </c>
      <c r="C407" s="320" t="s">
        <v>1414</v>
      </c>
      <c r="D407" s="126">
        <v>13</v>
      </c>
      <c r="E407" s="126">
        <v>937</v>
      </c>
      <c r="F407" s="193" t="s">
        <v>1099</v>
      </c>
    </row>
    <row r="408" spans="1:6" ht="51" x14ac:dyDescent="0.25">
      <c r="A408" s="326">
        <v>45689</v>
      </c>
      <c r="B408" s="324" t="s">
        <v>1406</v>
      </c>
      <c r="C408" s="320" t="s">
        <v>490</v>
      </c>
      <c r="D408" s="126">
        <v>3</v>
      </c>
      <c r="E408" s="126">
        <v>961</v>
      </c>
      <c r="F408" s="193" t="s">
        <v>1100</v>
      </c>
    </row>
    <row r="409" spans="1:6" ht="63.75" x14ac:dyDescent="0.25">
      <c r="A409" s="326">
        <v>45689</v>
      </c>
      <c r="B409" s="324" t="s">
        <v>1406</v>
      </c>
      <c r="C409" s="320" t="s">
        <v>491</v>
      </c>
      <c r="D409" s="126">
        <v>4</v>
      </c>
      <c r="E409" s="126">
        <v>257</v>
      </c>
      <c r="F409" s="193" t="s">
        <v>1101</v>
      </c>
    </row>
    <row r="410" spans="1:6" ht="204" x14ac:dyDescent="0.25">
      <c r="A410" s="326">
        <v>45689</v>
      </c>
      <c r="B410" s="324" t="s">
        <v>1407</v>
      </c>
      <c r="C410" s="320" t="s">
        <v>1414</v>
      </c>
      <c r="D410" s="126">
        <v>16</v>
      </c>
      <c r="E410" s="126">
        <v>1451</v>
      </c>
      <c r="F410" s="193" t="s">
        <v>1173</v>
      </c>
    </row>
    <row r="411" spans="1:6" x14ac:dyDescent="0.25">
      <c r="A411" s="326">
        <v>45689</v>
      </c>
      <c r="B411" s="324" t="s">
        <v>1407</v>
      </c>
      <c r="C411" s="320" t="s">
        <v>490</v>
      </c>
      <c r="D411" s="126"/>
      <c r="E411" s="126"/>
      <c r="F411" s="180"/>
    </row>
    <row r="412" spans="1:6" ht="293.25" x14ac:dyDescent="0.25">
      <c r="A412" s="326">
        <v>45689</v>
      </c>
      <c r="B412" s="324" t="s">
        <v>1407</v>
      </c>
      <c r="C412" s="320" t="s">
        <v>491</v>
      </c>
      <c r="D412" s="126">
        <v>22</v>
      </c>
      <c r="E412" s="126">
        <v>834</v>
      </c>
      <c r="F412" s="193" t="s">
        <v>1174</v>
      </c>
    </row>
    <row r="413" spans="1:6" ht="25.5" x14ac:dyDescent="0.25">
      <c r="A413" s="326">
        <v>45689</v>
      </c>
      <c r="B413" s="324" t="s">
        <v>1408</v>
      </c>
      <c r="C413" s="320" t="s">
        <v>1414</v>
      </c>
      <c r="D413" s="126">
        <v>2</v>
      </c>
      <c r="E413" s="126">
        <v>175</v>
      </c>
      <c r="F413" s="193" t="s">
        <v>1196</v>
      </c>
    </row>
    <row r="414" spans="1:6" ht="216.75" x14ac:dyDescent="0.25">
      <c r="A414" s="326">
        <v>45689</v>
      </c>
      <c r="B414" s="324" t="s">
        <v>1408</v>
      </c>
      <c r="C414" s="320" t="s">
        <v>490</v>
      </c>
      <c r="D414" s="126">
        <v>17</v>
      </c>
      <c r="E414" s="126">
        <v>330</v>
      </c>
      <c r="F414" s="193" t="s">
        <v>1195</v>
      </c>
    </row>
    <row r="415" spans="1:6" x14ac:dyDescent="0.25">
      <c r="A415" s="326">
        <v>45689</v>
      </c>
      <c r="B415" s="324" t="s">
        <v>1408</v>
      </c>
      <c r="C415" s="320" t="s">
        <v>491</v>
      </c>
      <c r="D415" s="126"/>
      <c r="E415" s="126"/>
      <c r="F415" s="180"/>
    </row>
    <row r="416" spans="1:6" ht="267.75" x14ac:dyDescent="0.25">
      <c r="A416" s="326">
        <v>45689</v>
      </c>
      <c r="B416" s="324" t="s">
        <v>1409</v>
      </c>
      <c r="C416" s="320" t="s">
        <v>1414</v>
      </c>
      <c r="D416" s="126">
        <v>19</v>
      </c>
      <c r="E416" s="126">
        <v>500</v>
      </c>
      <c r="F416" s="193" t="s">
        <v>1160</v>
      </c>
    </row>
    <row r="417" spans="1:6" x14ac:dyDescent="0.25">
      <c r="A417" s="326">
        <v>45689</v>
      </c>
      <c r="B417" s="324" t="s">
        <v>1409</v>
      </c>
      <c r="C417" s="320" t="s">
        <v>490</v>
      </c>
      <c r="D417" s="126"/>
      <c r="E417" s="126"/>
      <c r="F417" s="180"/>
    </row>
    <row r="418" spans="1:6" x14ac:dyDescent="0.25">
      <c r="A418" s="326">
        <v>45689</v>
      </c>
      <c r="B418" s="324" t="s">
        <v>1409</v>
      </c>
      <c r="C418" s="320" t="s">
        <v>491</v>
      </c>
      <c r="D418" s="126"/>
      <c r="E418" s="126"/>
      <c r="F418" s="180"/>
    </row>
    <row r="419" spans="1:6" ht="51" x14ac:dyDescent="0.25">
      <c r="A419" s="326">
        <v>45689</v>
      </c>
      <c r="B419" s="324" t="s">
        <v>1410</v>
      </c>
      <c r="C419" s="320" t="s">
        <v>1414</v>
      </c>
      <c r="D419" s="126">
        <v>4</v>
      </c>
      <c r="E419" s="126">
        <v>356</v>
      </c>
      <c r="F419" s="193" t="s">
        <v>1207</v>
      </c>
    </row>
    <row r="420" spans="1:6" ht="38.25" x14ac:dyDescent="0.25">
      <c r="A420" s="326">
        <v>45689</v>
      </c>
      <c r="B420" s="324" t="s">
        <v>1410</v>
      </c>
      <c r="C420" s="320" t="s">
        <v>490</v>
      </c>
      <c r="D420" s="126">
        <v>3</v>
      </c>
      <c r="E420" s="126">
        <v>167</v>
      </c>
      <c r="F420" s="193" t="s">
        <v>1208</v>
      </c>
    </row>
    <row r="421" spans="1:6" ht="51" x14ac:dyDescent="0.25">
      <c r="A421" s="326">
        <v>45689</v>
      </c>
      <c r="B421" s="324" t="s">
        <v>1410</v>
      </c>
      <c r="C421" s="320" t="s">
        <v>491</v>
      </c>
      <c r="D421" s="126">
        <v>4</v>
      </c>
      <c r="E421" s="126">
        <v>600</v>
      </c>
      <c r="F421" s="193" t="s">
        <v>1209</v>
      </c>
    </row>
    <row r="422" spans="1:6" x14ac:dyDescent="0.25">
      <c r="A422" s="326">
        <v>45689</v>
      </c>
      <c r="B422" s="324" t="s">
        <v>1411</v>
      </c>
      <c r="C422" s="320" t="s">
        <v>1414</v>
      </c>
      <c r="D422" s="246">
        <v>1</v>
      </c>
      <c r="E422" s="246">
        <v>120</v>
      </c>
      <c r="F422" s="193" t="s">
        <v>1224</v>
      </c>
    </row>
    <row r="423" spans="1:6" x14ac:dyDescent="0.25">
      <c r="A423" s="326">
        <v>45689</v>
      </c>
      <c r="B423" s="324" t="s">
        <v>1411</v>
      </c>
      <c r="C423" s="320" t="s">
        <v>490</v>
      </c>
      <c r="D423" s="246"/>
      <c r="E423" s="246"/>
      <c r="F423" s="180"/>
    </row>
    <row r="424" spans="1:6" x14ac:dyDescent="0.25">
      <c r="A424" s="326">
        <v>45689</v>
      </c>
      <c r="B424" s="324" t="s">
        <v>1411</v>
      </c>
      <c r="C424" s="320" t="s">
        <v>491</v>
      </c>
      <c r="D424" s="126">
        <v>1</v>
      </c>
      <c r="E424" s="126">
        <v>10</v>
      </c>
      <c r="F424" s="193" t="s">
        <v>1225</v>
      </c>
    </row>
    <row r="425" spans="1:6" ht="63.75" x14ac:dyDescent="0.25">
      <c r="A425" s="326">
        <v>45689</v>
      </c>
      <c r="B425" s="324" t="s">
        <v>1412</v>
      </c>
      <c r="C425" s="320" t="s">
        <v>1414</v>
      </c>
      <c r="D425" s="126">
        <v>4</v>
      </c>
      <c r="E425" s="126">
        <v>266</v>
      </c>
      <c r="F425" s="193" t="s">
        <v>1397</v>
      </c>
    </row>
    <row r="426" spans="1:6" ht="156" x14ac:dyDescent="0.25">
      <c r="A426" s="326">
        <v>45689</v>
      </c>
      <c r="B426" s="324" t="s">
        <v>1412</v>
      </c>
      <c r="C426" s="320" t="s">
        <v>490</v>
      </c>
      <c r="D426" s="126">
        <v>11</v>
      </c>
      <c r="E426" s="126">
        <v>447</v>
      </c>
      <c r="F426" s="201" t="s">
        <v>1396</v>
      </c>
    </row>
    <row r="427" spans="1:6" ht="38.25" x14ac:dyDescent="0.25">
      <c r="A427" s="326">
        <v>45689</v>
      </c>
      <c r="B427" s="324" t="s">
        <v>1412</v>
      </c>
      <c r="C427" s="320" t="s">
        <v>491</v>
      </c>
      <c r="D427" s="126">
        <v>2</v>
      </c>
      <c r="E427" s="126">
        <v>80</v>
      </c>
      <c r="F427" s="193" t="s">
        <v>1116</v>
      </c>
    </row>
    <row r="428" spans="1:6" ht="89.25" x14ac:dyDescent="0.25">
      <c r="A428" s="326">
        <v>45689</v>
      </c>
      <c r="B428" s="324" t="s">
        <v>1413</v>
      </c>
      <c r="C428" s="320" t="s">
        <v>1414</v>
      </c>
      <c r="D428" s="126">
        <v>6</v>
      </c>
      <c r="E428" s="126">
        <v>500</v>
      </c>
      <c r="F428" s="193" t="s">
        <v>1145</v>
      </c>
    </row>
    <row r="429" spans="1:6" x14ac:dyDescent="0.25">
      <c r="A429" s="326">
        <v>45689</v>
      </c>
      <c r="B429" s="324" t="s">
        <v>1413</v>
      </c>
      <c r="C429" s="320" t="s">
        <v>490</v>
      </c>
      <c r="D429" s="126"/>
      <c r="E429" s="126"/>
      <c r="F429" s="180"/>
    </row>
    <row r="430" spans="1:6" ht="25.5" x14ac:dyDescent="0.25">
      <c r="A430" s="326">
        <v>45689</v>
      </c>
      <c r="B430" s="324" t="s">
        <v>1413</v>
      </c>
      <c r="C430" s="320" t="s">
        <v>491</v>
      </c>
      <c r="D430" s="126">
        <v>2</v>
      </c>
      <c r="E430" s="126">
        <v>55</v>
      </c>
      <c r="F430" s="193" t="s">
        <v>1144</v>
      </c>
    </row>
    <row r="431" spans="1:6" x14ac:dyDescent="0.25">
      <c r="A431" s="326">
        <v>45717</v>
      </c>
      <c r="B431" s="324" t="s">
        <v>1401</v>
      </c>
      <c r="C431" s="320" t="s">
        <v>1414</v>
      </c>
      <c r="D431" s="126"/>
      <c r="E431" s="126"/>
      <c r="F431" s="180"/>
    </row>
    <row r="432" spans="1:6" ht="25.5" x14ac:dyDescent="0.25">
      <c r="A432" s="326">
        <v>45717</v>
      </c>
      <c r="B432" s="324" t="s">
        <v>1401</v>
      </c>
      <c r="C432" s="320" t="s">
        <v>490</v>
      </c>
      <c r="D432" s="126">
        <v>2</v>
      </c>
      <c r="E432" s="126">
        <v>160</v>
      </c>
      <c r="F432" s="193" t="s">
        <v>1337</v>
      </c>
    </row>
    <row r="433" spans="1:6" ht="89.25" x14ac:dyDescent="0.25">
      <c r="A433" s="326">
        <v>45717</v>
      </c>
      <c r="B433" s="324" t="s">
        <v>1401</v>
      </c>
      <c r="C433" s="320" t="s">
        <v>491</v>
      </c>
      <c r="D433" s="126">
        <v>7</v>
      </c>
      <c r="E433" s="126">
        <v>182</v>
      </c>
      <c r="F433" s="193" t="s">
        <v>1336</v>
      </c>
    </row>
    <row r="434" spans="1:6" ht="20.25" x14ac:dyDescent="0.25">
      <c r="A434" s="326">
        <v>45717</v>
      </c>
      <c r="B434" s="324" t="s">
        <v>1402</v>
      </c>
      <c r="C434" s="320" t="s">
        <v>1414</v>
      </c>
      <c r="D434" s="194"/>
      <c r="E434" s="194"/>
      <c r="F434" s="40"/>
    </row>
    <row r="435" spans="1:6" ht="89.25" x14ac:dyDescent="0.25">
      <c r="A435" s="326">
        <v>45717</v>
      </c>
      <c r="B435" s="324" t="s">
        <v>1402</v>
      </c>
      <c r="C435" s="320" t="s">
        <v>490</v>
      </c>
      <c r="D435" s="126">
        <v>7</v>
      </c>
      <c r="E435" s="126">
        <v>56</v>
      </c>
      <c r="F435" s="193" t="s">
        <v>1274</v>
      </c>
    </row>
    <row r="436" spans="1:6" x14ac:dyDescent="0.25">
      <c r="A436" s="326">
        <v>45717</v>
      </c>
      <c r="B436" s="324" t="s">
        <v>1402</v>
      </c>
      <c r="C436" s="320" t="s">
        <v>491</v>
      </c>
      <c r="D436" s="126"/>
      <c r="E436" s="126"/>
      <c r="F436" s="180"/>
    </row>
    <row r="437" spans="1:6" ht="51" x14ac:dyDescent="0.25">
      <c r="A437" s="326">
        <v>45717</v>
      </c>
      <c r="B437" s="324" t="s">
        <v>1403</v>
      </c>
      <c r="C437" s="320" t="s">
        <v>1414</v>
      </c>
      <c r="D437" s="126">
        <v>4</v>
      </c>
      <c r="E437" s="126">
        <v>770</v>
      </c>
      <c r="F437" s="193" t="s">
        <v>1303</v>
      </c>
    </row>
    <row r="438" spans="1:6" ht="63.75" x14ac:dyDescent="0.25">
      <c r="A438" s="326">
        <v>45717</v>
      </c>
      <c r="B438" s="324" t="s">
        <v>1403</v>
      </c>
      <c r="C438" s="320" t="s">
        <v>490</v>
      </c>
      <c r="D438" s="126">
        <v>5</v>
      </c>
      <c r="E438" s="126">
        <v>815</v>
      </c>
      <c r="F438" s="193" t="s">
        <v>1304</v>
      </c>
    </row>
    <row r="439" spans="1:6" ht="63.75" x14ac:dyDescent="0.25">
      <c r="A439" s="326">
        <v>45717</v>
      </c>
      <c r="B439" s="324" t="s">
        <v>1403</v>
      </c>
      <c r="C439" s="320" t="s">
        <v>491</v>
      </c>
      <c r="D439" s="126">
        <v>4</v>
      </c>
      <c r="E439" s="126">
        <v>75</v>
      </c>
      <c r="F439" s="193" t="s">
        <v>1305</v>
      </c>
    </row>
    <row r="440" spans="1:6" ht="63.75" x14ac:dyDescent="0.25">
      <c r="A440" s="326">
        <v>45717</v>
      </c>
      <c r="B440" s="324" t="s">
        <v>1404</v>
      </c>
      <c r="C440" s="320" t="s">
        <v>1414</v>
      </c>
      <c r="D440" s="126">
        <v>4</v>
      </c>
      <c r="E440" s="126">
        <v>385</v>
      </c>
      <c r="F440" s="193" t="s">
        <v>1315</v>
      </c>
    </row>
    <row r="441" spans="1:6" ht="76.5" x14ac:dyDescent="0.25">
      <c r="A441" s="326">
        <v>45717</v>
      </c>
      <c r="B441" s="324" t="s">
        <v>1404</v>
      </c>
      <c r="C441" s="320" t="s">
        <v>490</v>
      </c>
      <c r="D441" s="126">
        <v>6</v>
      </c>
      <c r="E441" s="126">
        <v>340</v>
      </c>
      <c r="F441" s="193" t="s">
        <v>1316</v>
      </c>
    </row>
    <row r="442" spans="1:6" ht="280.5" x14ac:dyDescent="0.25">
      <c r="A442" s="326">
        <v>45717</v>
      </c>
      <c r="B442" s="324" t="s">
        <v>1404</v>
      </c>
      <c r="C442" s="320" t="s">
        <v>491</v>
      </c>
      <c r="D442" s="126">
        <v>21</v>
      </c>
      <c r="E442" s="126">
        <v>910</v>
      </c>
      <c r="F442" s="193" t="s">
        <v>1317</v>
      </c>
    </row>
    <row r="443" spans="1:6" ht="63.75" x14ac:dyDescent="0.25">
      <c r="A443" s="326">
        <v>45717</v>
      </c>
      <c r="B443" s="324" t="s">
        <v>1405</v>
      </c>
      <c r="C443" s="320" t="s">
        <v>1414</v>
      </c>
      <c r="D443" s="126">
        <v>5</v>
      </c>
      <c r="E443" s="126">
        <v>185</v>
      </c>
      <c r="F443" s="193" t="s">
        <v>1347</v>
      </c>
    </row>
    <row r="444" spans="1:6" ht="25.5" x14ac:dyDescent="0.25">
      <c r="A444" s="326">
        <v>45717</v>
      </c>
      <c r="B444" s="324" t="s">
        <v>1405</v>
      </c>
      <c r="C444" s="320" t="s">
        <v>490</v>
      </c>
      <c r="D444" s="126">
        <v>2</v>
      </c>
      <c r="E444" s="126">
        <v>200</v>
      </c>
      <c r="F444" s="193" t="s">
        <v>1348</v>
      </c>
    </row>
    <row r="445" spans="1:6" x14ac:dyDescent="0.25">
      <c r="A445" s="326">
        <v>45717</v>
      </c>
      <c r="B445" s="324" t="s">
        <v>1405</v>
      </c>
      <c r="C445" s="320" t="s">
        <v>491</v>
      </c>
      <c r="D445" s="126">
        <v>1</v>
      </c>
      <c r="E445" s="126">
        <v>35</v>
      </c>
      <c r="F445" s="193" t="s">
        <v>1349</v>
      </c>
    </row>
    <row r="446" spans="1:6" ht="114.75" x14ac:dyDescent="0.25">
      <c r="A446" s="326">
        <v>45717</v>
      </c>
      <c r="B446" s="324" t="s">
        <v>1406</v>
      </c>
      <c r="C446" s="320" t="s">
        <v>1414</v>
      </c>
      <c r="D446" s="126">
        <v>9</v>
      </c>
      <c r="E446" s="126">
        <v>580</v>
      </c>
      <c r="F446" s="193" t="s">
        <v>1385</v>
      </c>
    </row>
    <row r="447" spans="1:6" ht="51" x14ac:dyDescent="0.25">
      <c r="A447" s="326">
        <v>45717</v>
      </c>
      <c r="B447" s="324" t="s">
        <v>1406</v>
      </c>
      <c r="C447" s="320" t="s">
        <v>490</v>
      </c>
      <c r="D447" s="126">
        <v>4</v>
      </c>
      <c r="E447" s="126">
        <v>221</v>
      </c>
      <c r="F447" s="193" t="s">
        <v>1386</v>
      </c>
    </row>
    <row r="448" spans="1:6" ht="114.75" x14ac:dyDescent="0.25">
      <c r="A448" s="326">
        <v>45717</v>
      </c>
      <c r="B448" s="324" t="s">
        <v>1406</v>
      </c>
      <c r="C448" s="320" t="s">
        <v>491</v>
      </c>
      <c r="D448" s="126">
        <v>8</v>
      </c>
      <c r="E448" s="126">
        <v>426</v>
      </c>
      <c r="F448" s="193" t="s">
        <v>1387</v>
      </c>
    </row>
    <row r="449" spans="1:6" ht="216.75" x14ac:dyDescent="0.25">
      <c r="A449" s="326">
        <v>45717</v>
      </c>
      <c r="B449" s="324" t="s">
        <v>1407</v>
      </c>
      <c r="C449" s="320" t="s">
        <v>1414</v>
      </c>
      <c r="D449" s="126">
        <v>15</v>
      </c>
      <c r="E449" s="126">
        <v>2675</v>
      </c>
      <c r="F449" s="193" t="s">
        <v>1266</v>
      </c>
    </row>
    <row r="450" spans="1:6" ht="63.75" x14ac:dyDescent="0.25">
      <c r="A450" s="326">
        <v>45717</v>
      </c>
      <c r="B450" s="324" t="s">
        <v>1407</v>
      </c>
      <c r="C450" s="320" t="s">
        <v>490</v>
      </c>
      <c r="D450" s="126">
        <v>5</v>
      </c>
      <c r="E450" s="126">
        <v>208</v>
      </c>
      <c r="F450" s="286" t="s">
        <v>1268</v>
      </c>
    </row>
    <row r="451" spans="1:6" ht="369.75" x14ac:dyDescent="0.25">
      <c r="A451" s="326">
        <v>45717</v>
      </c>
      <c r="B451" s="324" t="s">
        <v>1407</v>
      </c>
      <c r="C451" s="320" t="s">
        <v>491</v>
      </c>
      <c r="D451" s="126">
        <v>29</v>
      </c>
      <c r="E451" s="126">
        <v>2008</v>
      </c>
      <c r="F451" s="286" t="s">
        <v>1267</v>
      </c>
    </row>
    <row r="452" spans="1:6" x14ac:dyDescent="0.25">
      <c r="A452" s="326">
        <v>45717</v>
      </c>
      <c r="B452" s="324" t="s">
        <v>1408</v>
      </c>
      <c r="C452" s="320" t="s">
        <v>1414</v>
      </c>
      <c r="D452" s="126">
        <v>1</v>
      </c>
      <c r="E452" s="126">
        <v>100</v>
      </c>
      <c r="F452" s="193" t="s">
        <v>1389</v>
      </c>
    </row>
    <row r="453" spans="1:6" ht="114.75" x14ac:dyDescent="0.25">
      <c r="A453" s="326">
        <v>45717</v>
      </c>
      <c r="B453" s="324" t="s">
        <v>1408</v>
      </c>
      <c r="C453" s="320" t="s">
        <v>490</v>
      </c>
      <c r="D453" s="126">
        <v>9</v>
      </c>
      <c r="E453" s="126">
        <v>195</v>
      </c>
      <c r="F453" s="193" t="s">
        <v>1388</v>
      </c>
    </row>
    <row r="454" spans="1:6" x14ac:dyDescent="0.25">
      <c r="A454" s="326">
        <v>45717</v>
      </c>
      <c r="B454" s="324" t="s">
        <v>1408</v>
      </c>
      <c r="C454" s="320" t="s">
        <v>491</v>
      </c>
      <c r="D454" s="126"/>
      <c r="E454" s="126"/>
      <c r="F454" s="180"/>
    </row>
    <row r="455" spans="1:6" ht="76.5" x14ac:dyDescent="0.25">
      <c r="A455" s="326">
        <v>45717</v>
      </c>
      <c r="B455" s="324" t="s">
        <v>1409</v>
      </c>
      <c r="C455" s="320" t="s">
        <v>1414</v>
      </c>
      <c r="D455" s="126">
        <v>5</v>
      </c>
      <c r="E455" s="126">
        <v>370</v>
      </c>
      <c r="F455" s="193" t="s">
        <v>1330</v>
      </c>
    </row>
    <row r="456" spans="1:6" ht="89.25" x14ac:dyDescent="0.25">
      <c r="A456" s="326">
        <v>45717</v>
      </c>
      <c r="B456" s="324" t="s">
        <v>1409</v>
      </c>
      <c r="C456" s="320" t="s">
        <v>490</v>
      </c>
      <c r="D456" s="126">
        <v>6</v>
      </c>
      <c r="E456" s="126">
        <v>280</v>
      </c>
      <c r="F456" s="193" t="s">
        <v>1331</v>
      </c>
    </row>
    <row r="457" spans="1:6" x14ac:dyDescent="0.25">
      <c r="A457" s="326">
        <v>45717</v>
      </c>
      <c r="B457" s="324" t="s">
        <v>1409</v>
      </c>
      <c r="C457" s="320" t="s">
        <v>491</v>
      </c>
      <c r="D457" s="126"/>
      <c r="E457" s="126"/>
      <c r="F457" s="180"/>
    </row>
    <row r="458" spans="1:6" ht="63.75" x14ac:dyDescent="0.25">
      <c r="A458" s="326">
        <v>45717</v>
      </c>
      <c r="B458" s="324" t="s">
        <v>1410</v>
      </c>
      <c r="C458" s="320" t="s">
        <v>1414</v>
      </c>
      <c r="D458" s="126">
        <v>5</v>
      </c>
      <c r="E458" s="126">
        <v>1015</v>
      </c>
      <c r="F458" s="193" t="s">
        <v>1298</v>
      </c>
    </row>
    <row r="459" spans="1:6" ht="204" x14ac:dyDescent="0.25">
      <c r="A459" s="326">
        <v>45717</v>
      </c>
      <c r="B459" s="324" t="s">
        <v>1410</v>
      </c>
      <c r="C459" s="320" t="s">
        <v>490</v>
      </c>
      <c r="D459" s="126">
        <v>11</v>
      </c>
      <c r="E459" s="126">
        <v>1220</v>
      </c>
      <c r="F459" s="193" t="s">
        <v>1299</v>
      </c>
    </row>
    <row r="460" spans="1:6" ht="51" x14ac:dyDescent="0.25">
      <c r="A460" s="326">
        <v>45717</v>
      </c>
      <c r="B460" s="324" t="s">
        <v>1410</v>
      </c>
      <c r="C460" s="320" t="s">
        <v>491</v>
      </c>
      <c r="D460" s="126">
        <v>3</v>
      </c>
      <c r="E460" s="126">
        <v>92</v>
      </c>
      <c r="F460" s="193" t="s">
        <v>1300</v>
      </c>
    </row>
    <row r="461" spans="1:6" ht="63.75" x14ac:dyDescent="0.25">
      <c r="A461" s="326">
        <v>45717</v>
      </c>
      <c r="B461" s="324" t="s">
        <v>1411</v>
      </c>
      <c r="C461" s="320" t="s">
        <v>1414</v>
      </c>
      <c r="D461" s="194">
        <v>4</v>
      </c>
      <c r="E461" s="194">
        <v>490</v>
      </c>
      <c r="F461" s="193" t="s">
        <v>1323</v>
      </c>
    </row>
    <row r="462" spans="1:6" ht="25.5" x14ac:dyDescent="0.25">
      <c r="A462" s="326">
        <v>45717</v>
      </c>
      <c r="B462" s="324" t="s">
        <v>1411</v>
      </c>
      <c r="C462" s="320" t="s">
        <v>490</v>
      </c>
      <c r="D462" s="194">
        <v>2</v>
      </c>
      <c r="E462" s="194">
        <v>190</v>
      </c>
      <c r="F462" s="193" t="s">
        <v>1324</v>
      </c>
    </row>
    <row r="463" spans="1:6" x14ac:dyDescent="0.25">
      <c r="A463" s="326">
        <v>45717</v>
      </c>
      <c r="B463" s="324" t="s">
        <v>1411</v>
      </c>
      <c r="C463" s="320" t="s">
        <v>491</v>
      </c>
      <c r="D463" s="126">
        <v>1</v>
      </c>
      <c r="E463" s="126">
        <v>5</v>
      </c>
      <c r="F463" s="193" t="s">
        <v>1325</v>
      </c>
    </row>
    <row r="464" spans="1:6" ht="51" x14ac:dyDescent="0.25">
      <c r="A464" s="326">
        <v>45717</v>
      </c>
      <c r="B464" s="324" t="s">
        <v>1412</v>
      </c>
      <c r="C464" s="320" t="s">
        <v>1414</v>
      </c>
      <c r="D464" s="126">
        <v>4</v>
      </c>
      <c r="E464" s="126">
        <v>165</v>
      </c>
      <c r="F464" s="193" t="s">
        <v>1360</v>
      </c>
    </row>
    <row r="465" spans="1:6" ht="242.25" x14ac:dyDescent="0.25">
      <c r="A465" s="326">
        <v>45717</v>
      </c>
      <c r="B465" s="324" t="s">
        <v>1412</v>
      </c>
      <c r="C465" s="320" t="s">
        <v>490</v>
      </c>
      <c r="D465" s="126">
        <v>18</v>
      </c>
      <c r="E465" s="126">
        <v>410</v>
      </c>
      <c r="F465" s="193" t="s">
        <v>1361</v>
      </c>
    </row>
    <row r="466" spans="1:6" x14ac:dyDescent="0.25">
      <c r="A466" s="326">
        <v>45717</v>
      </c>
      <c r="B466" s="324" t="s">
        <v>1412</v>
      </c>
      <c r="C466" s="320" t="s">
        <v>491</v>
      </c>
      <c r="D466" s="126"/>
      <c r="E466" s="126"/>
      <c r="F466" s="180"/>
    </row>
    <row r="467" spans="1:6" ht="127.5" x14ac:dyDescent="0.25">
      <c r="A467" s="340">
        <v>45717</v>
      </c>
      <c r="B467" s="341" t="s">
        <v>1413</v>
      </c>
      <c r="C467" s="320" t="s">
        <v>1414</v>
      </c>
      <c r="D467" s="126">
        <v>9</v>
      </c>
      <c r="E467" s="126">
        <v>1530</v>
      </c>
      <c r="F467" s="193" t="s">
        <v>1289</v>
      </c>
    </row>
    <row r="468" spans="1:6" ht="63.75" x14ac:dyDescent="0.25">
      <c r="A468" s="340">
        <v>45717</v>
      </c>
      <c r="B468" s="341" t="s">
        <v>1413</v>
      </c>
      <c r="C468" s="320" t="s">
        <v>490</v>
      </c>
      <c r="D468" s="126">
        <v>5</v>
      </c>
      <c r="E468" s="126">
        <v>185</v>
      </c>
      <c r="F468" s="193" t="s">
        <v>1291</v>
      </c>
    </row>
    <row r="469" spans="1:6" x14ac:dyDescent="0.25">
      <c r="A469" s="340">
        <v>45717</v>
      </c>
      <c r="B469" s="341" t="s">
        <v>1413</v>
      </c>
      <c r="C469" s="320" t="s">
        <v>491</v>
      </c>
      <c r="D469" s="126">
        <v>1</v>
      </c>
      <c r="E469" s="126">
        <v>5</v>
      </c>
      <c r="F469" s="193" t="s">
        <v>1290</v>
      </c>
    </row>
    <row r="470" spans="1:6" x14ac:dyDescent="0.25">
      <c r="A470" s="332"/>
      <c r="B470" s="330" t="s">
        <v>1413</v>
      </c>
      <c r="C470" s="238" t="s">
        <v>491</v>
      </c>
      <c r="D470" s="126">
        <v>1</v>
      </c>
      <c r="E470" s="126">
        <v>4</v>
      </c>
      <c r="F470" s="180" t="s">
        <v>756</v>
      </c>
    </row>
  </sheetData>
  <autoFilter ref="A1:F1" xr:uid="{00000000-0009-0000-0000-00001D000000}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filterMode="1"/>
  <dimension ref="A1:F236"/>
  <sheetViews>
    <sheetView topLeftCell="A217" workbookViewId="0">
      <selection activeCell="I232" sqref="I232"/>
    </sheetView>
  </sheetViews>
  <sheetFormatPr defaultRowHeight="15" x14ac:dyDescent="0.25"/>
  <cols>
    <col min="1" max="1" width="16.7109375" customWidth="1"/>
    <col min="3" max="3" width="20.85546875" customWidth="1"/>
    <col min="4" max="4" width="20.42578125" customWidth="1"/>
    <col min="5" max="5" width="19.7109375" customWidth="1"/>
    <col min="6" max="6" width="39" customWidth="1"/>
  </cols>
  <sheetData>
    <row r="1" spans="1:6" ht="37.5" x14ac:dyDescent="0.25">
      <c r="A1" s="329" t="s">
        <v>1421</v>
      </c>
      <c r="B1" s="329" t="s">
        <v>1422</v>
      </c>
      <c r="C1" s="329" t="s">
        <v>1423</v>
      </c>
      <c r="D1" s="329" t="s">
        <v>1417</v>
      </c>
      <c r="E1" s="329" t="s">
        <v>1424</v>
      </c>
      <c r="F1" s="329" t="s">
        <v>1419</v>
      </c>
    </row>
    <row r="2" spans="1:6" ht="18.75" hidden="1" x14ac:dyDescent="0.25">
      <c r="A2" s="342">
        <v>45566</v>
      </c>
      <c r="B2" s="319" t="s">
        <v>1401</v>
      </c>
      <c r="C2" s="238" t="s">
        <v>489</v>
      </c>
      <c r="D2" s="126">
        <v>1</v>
      </c>
      <c r="E2" s="126">
        <v>10</v>
      </c>
      <c r="F2" s="180" t="s">
        <v>716</v>
      </c>
    </row>
    <row r="3" spans="1:6" ht="75" hidden="1" x14ac:dyDescent="0.25">
      <c r="A3" s="342">
        <v>45566</v>
      </c>
      <c r="B3" s="319" t="s">
        <v>1401</v>
      </c>
      <c r="C3" s="238" t="s">
        <v>490</v>
      </c>
      <c r="D3" s="126">
        <v>4</v>
      </c>
      <c r="E3" s="126">
        <v>180</v>
      </c>
      <c r="F3" s="180" t="s">
        <v>717</v>
      </c>
    </row>
    <row r="4" spans="1:6" ht="75" x14ac:dyDescent="0.25">
      <c r="A4" s="342">
        <v>45566</v>
      </c>
      <c r="B4" s="319" t="s">
        <v>1401</v>
      </c>
      <c r="C4" s="238" t="s">
        <v>491</v>
      </c>
      <c r="D4" s="126">
        <v>4</v>
      </c>
      <c r="E4" s="126">
        <v>403</v>
      </c>
      <c r="F4" s="180" t="s">
        <v>718</v>
      </c>
    </row>
    <row r="5" spans="1:6" ht="18.75" hidden="1" x14ac:dyDescent="0.25">
      <c r="A5" s="342">
        <v>45566</v>
      </c>
      <c r="B5" s="319" t="s">
        <v>1402</v>
      </c>
      <c r="C5" s="238" t="s">
        <v>489</v>
      </c>
      <c r="D5" s="147"/>
      <c r="E5" s="147"/>
      <c r="F5" s="147"/>
    </row>
    <row r="6" spans="1:6" ht="37.5" hidden="1" x14ac:dyDescent="0.25">
      <c r="A6" s="342">
        <v>45566</v>
      </c>
      <c r="B6" s="319" t="s">
        <v>1402</v>
      </c>
      <c r="C6" s="238" t="s">
        <v>490</v>
      </c>
      <c r="D6" s="126">
        <v>1</v>
      </c>
      <c r="E6" s="126">
        <v>20</v>
      </c>
      <c r="F6" s="180" t="s">
        <v>1460</v>
      </c>
    </row>
    <row r="7" spans="1:6" ht="18.75" x14ac:dyDescent="0.25">
      <c r="A7" s="342">
        <v>45566</v>
      </c>
      <c r="B7" s="319" t="s">
        <v>1402</v>
      </c>
      <c r="C7" s="238" t="s">
        <v>491</v>
      </c>
      <c r="D7" s="126"/>
      <c r="E7" s="126"/>
      <c r="F7" s="180"/>
    </row>
    <row r="8" spans="1:6" ht="18.75" hidden="1" x14ac:dyDescent="0.25">
      <c r="A8" s="342">
        <v>45566</v>
      </c>
      <c r="B8" s="319" t="s">
        <v>1403</v>
      </c>
      <c r="C8" s="238" t="s">
        <v>489</v>
      </c>
      <c r="D8" s="126">
        <v>4</v>
      </c>
      <c r="E8" s="126">
        <v>1620</v>
      </c>
      <c r="F8" s="180"/>
    </row>
    <row r="9" spans="1:6" ht="37.5" hidden="1" x14ac:dyDescent="0.25">
      <c r="A9" s="342">
        <v>45566</v>
      </c>
      <c r="B9" s="319" t="s">
        <v>1403</v>
      </c>
      <c r="C9" s="238" t="s">
        <v>490</v>
      </c>
      <c r="D9" s="126">
        <v>1</v>
      </c>
      <c r="E9" s="126">
        <v>115</v>
      </c>
      <c r="F9" s="180" t="s">
        <v>713</v>
      </c>
    </row>
    <row r="10" spans="1:6" ht="18.75" x14ac:dyDescent="0.25">
      <c r="A10" s="342">
        <v>45566</v>
      </c>
      <c r="B10" s="319" t="s">
        <v>1403</v>
      </c>
      <c r="C10" s="238" t="s">
        <v>491</v>
      </c>
      <c r="D10" s="126"/>
      <c r="E10" s="126"/>
      <c r="F10" s="180"/>
    </row>
    <row r="11" spans="1:6" ht="56.25" hidden="1" x14ac:dyDescent="0.25">
      <c r="A11" s="342">
        <v>45566</v>
      </c>
      <c r="B11" s="319" t="s">
        <v>1404</v>
      </c>
      <c r="C11" s="238" t="s">
        <v>489</v>
      </c>
      <c r="D11" s="126">
        <v>2</v>
      </c>
      <c r="E11" s="126">
        <v>966</v>
      </c>
      <c r="F11" s="180" t="s">
        <v>715</v>
      </c>
    </row>
    <row r="12" spans="1:6" ht="37.5" hidden="1" x14ac:dyDescent="0.25">
      <c r="A12" s="342">
        <v>45566</v>
      </c>
      <c r="B12" s="319" t="s">
        <v>1404</v>
      </c>
      <c r="C12" s="238" t="s">
        <v>490</v>
      </c>
      <c r="D12" s="126">
        <v>2</v>
      </c>
      <c r="E12" s="126">
        <v>100</v>
      </c>
      <c r="F12" s="180" t="s">
        <v>714</v>
      </c>
    </row>
    <row r="13" spans="1:6" ht="18.75" x14ac:dyDescent="0.25">
      <c r="A13" s="342">
        <v>45566</v>
      </c>
      <c r="B13" s="319" t="s">
        <v>1404</v>
      </c>
      <c r="C13" s="238" t="s">
        <v>491</v>
      </c>
      <c r="D13" s="126"/>
      <c r="E13" s="126"/>
      <c r="F13" s="180"/>
    </row>
    <row r="14" spans="1:6" ht="18.75" hidden="1" x14ac:dyDescent="0.25">
      <c r="A14" s="342">
        <v>45566</v>
      </c>
      <c r="B14" s="319" t="s">
        <v>1405</v>
      </c>
      <c r="C14" s="238" t="s">
        <v>489</v>
      </c>
      <c r="D14" s="126"/>
      <c r="E14" s="126"/>
      <c r="F14" s="180"/>
    </row>
    <row r="15" spans="1:6" ht="37.5" hidden="1" x14ac:dyDescent="0.25">
      <c r="A15" s="342">
        <v>45566</v>
      </c>
      <c r="B15" s="319" t="s">
        <v>1405</v>
      </c>
      <c r="C15" s="238" t="s">
        <v>490</v>
      </c>
      <c r="D15" s="126"/>
      <c r="E15" s="126"/>
      <c r="F15" s="180"/>
    </row>
    <row r="16" spans="1:6" ht="18.75" x14ac:dyDescent="0.25">
      <c r="A16" s="342">
        <v>45566</v>
      </c>
      <c r="B16" s="319" t="s">
        <v>1405</v>
      </c>
      <c r="C16" s="238" t="s">
        <v>491</v>
      </c>
      <c r="D16" s="126"/>
      <c r="E16" s="126"/>
      <c r="F16" s="180"/>
    </row>
    <row r="17" spans="1:6" ht="409.5" hidden="1" x14ac:dyDescent="0.25">
      <c r="A17" s="342">
        <v>45566</v>
      </c>
      <c r="B17" s="319" t="s">
        <v>1406</v>
      </c>
      <c r="C17" s="238" t="s">
        <v>489</v>
      </c>
      <c r="D17" s="126">
        <v>14</v>
      </c>
      <c r="E17" s="126">
        <v>1398</v>
      </c>
      <c r="F17" s="180" t="s">
        <v>720</v>
      </c>
    </row>
    <row r="18" spans="1:6" ht="150" hidden="1" x14ac:dyDescent="0.25">
      <c r="A18" s="342">
        <v>45566</v>
      </c>
      <c r="B18" s="319" t="s">
        <v>1406</v>
      </c>
      <c r="C18" s="238" t="s">
        <v>490</v>
      </c>
      <c r="D18" s="126">
        <v>7</v>
      </c>
      <c r="E18" s="126">
        <v>1211</v>
      </c>
      <c r="F18" s="180" t="s">
        <v>721</v>
      </c>
    </row>
    <row r="19" spans="1:6" ht="56.25" x14ac:dyDescent="0.25">
      <c r="A19" s="342">
        <v>45566</v>
      </c>
      <c r="B19" s="319" t="s">
        <v>1406</v>
      </c>
      <c r="C19" s="238" t="s">
        <v>491</v>
      </c>
      <c r="D19" s="126">
        <v>2</v>
      </c>
      <c r="E19" s="126">
        <v>450</v>
      </c>
      <c r="F19" s="180" t="s">
        <v>722</v>
      </c>
    </row>
    <row r="20" spans="1:6" ht="168.75" hidden="1" x14ac:dyDescent="0.25">
      <c r="A20" s="342">
        <v>45566</v>
      </c>
      <c r="B20" s="319" t="s">
        <v>1438</v>
      </c>
      <c r="C20" s="238" t="s">
        <v>489</v>
      </c>
      <c r="D20" s="126">
        <v>7</v>
      </c>
      <c r="E20" s="126">
        <v>1687</v>
      </c>
      <c r="F20" s="180" t="s">
        <v>726</v>
      </c>
    </row>
    <row r="21" spans="1:6" ht="150" hidden="1" x14ac:dyDescent="0.25">
      <c r="A21" s="342">
        <v>45566</v>
      </c>
      <c r="B21" s="319" t="s">
        <v>1438</v>
      </c>
      <c r="C21" s="238" t="s">
        <v>490</v>
      </c>
      <c r="D21" s="126">
        <v>8</v>
      </c>
      <c r="E21" s="126">
        <v>212</v>
      </c>
      <c r="F21" s="180" t="s">
        <v>724</v>
      </c>
    </row>
    <row r="22" spans="1:6" ht="281.25" x14ac:dyDescent="0.25">
      <c r="A22" s="342">
        <v>45566</v>
      </c>
      <c r="B22" s="319" t="s">
        <v>1438</v>
      </c>
      <c r="C22" s="238" t="s">
        <v>491</v>
      </c>
      <c r="D22" s="126">
        <v>14</v>
      </c>
      <c r="E22" s="126">
        <v>212</v>
      </c>
      <c r="F22" s="180" t="s">
        <v>725</v>
      </c>
    </row>
    <row r="23" spans="1:6" ht="37.5" hidden="1" x14ac:dyDescent="0.25">
      <c r="A23" s="342">
        <v>45566</v>
      </c>
      <c r="B23" s="319" t="s">
        <v>1408</v>
      </c>
      <c r="C23" s="238" t="s">
        <v>489</v>
      </c>
      <c r="D23" s="126">
        <v>2</v>
      </c>
      <c r="E23" s="126">
        <v>340</v>
      </c>
      <c r="F23" s="180" t="s">
        <v>728</v>
      </c>
    </row>
    <row r="24" spans="1:6" ht="56.25" hidden="1" x14ac:dyDescent="0.25">
      <c r="A24" s="342">
        <v>45566</v>
      </c>
      <c r="B24" s="319" t="s">
        <v>1408</v>
      </c>
      <c r="C24" s="238" t="s">
        <v>490</v>
      </c>
      <c r="D24" s="126">
        <v>2</v>
      </c>
      <c r="E24" s="126">
        <v>35</v>
      </c>
      <c r="F24" s="180" t="s">
        <v>727</v>
      </c>
    </row>
    <row r="25" spans="1:6" ht="18.75" x14ac:dyDescent="0.25">
      <c r="A25" s="342">
        <v>45566</v>
      </c>
      <c r="B25" s="319" t="s">
        <v>1408</v>
      </c>
      <c r="C25" s="238" t="s">
        <v>491</v>
      </c>
      <c r="D25" s="126"/>
      <c r="E25" s="126"/>
      <c r="F25" s="180"/>
    </row>
    <row r="26" spans="1:6" ht="37.5" hidden="1" x14ac:dyDescent="0.25">
      <c r="A26" s="342">
        <v>45566</v>
      </c>
      <c r="B26" s="319" t="s">
        <v>1409</v>
      </c>
      <c r="C26" s="238" t="s">
        <v>489</v>
      </c>
      <c r="D26" s="126">
        <v>2</v>
      </c>
      <c r="E26" s="126">
        <v>210</v>
      </c>
      <c r="F26" s="180" t="s">
        <v>729</v>
      </c>
    </row>
    <row r="27" spans="1:6" ht="75" hidden="1" x14ac:dyDescent="0.25">
      <c r="A27" s="342">
        <v>45566</v>
      </c>
      <c r="B27" s="319" t="s">
        <v>1409</v>
      </c>
      <c r="C27" s="238" t="s">
        <v>490</v>
      </c>
      <c r="D27" s="126">
        <v>3</v>
      </c>
      <c r="E27" s="126">
        <v>130</v>
      </c>
      <c r="F27" s="180" t="s">
        <v>730</v>
      </c>
    </row>
    <row r="28" spans="1:6" ht="18.75" x14ac:dyDescent="0.25">
      <c r="A28" s="342">
        <v>45566</v>
      </c>
      <c r="B28" s="319" t="s">
        <v>1409</v>
      </c>
      <c r="C28" s="238" t="s">
        <v>491</v>
      </c>
      <c r="D28" s="126"/>
      <c r="E28" s="126"/>
      <c r="F28" s="180"/>
    </row>
    <row r="29" spans="1:6" ht="18.75" hidden="1" x14ac:dyDescent="0.25">
      <c r="A29" s="342">
        <v>45566</v>
      </c>
      <c r="B29" s="319" t="s">
        <v>1410</v>
      </c>
      <c r="C29" s="238" t="s">
        <v>489</v>
      </c>
      <c r="D29" s="126">
        <v>1</v>
      </c>
      <c r="E29" s="126">
        <v>200</v>
      </c>
      <c r="F29" s="180" t="s">
        <v>731</v>
      </c>
    </row>
    <row r="30" spans="1:6" ht="37.5" hidden="1" x14ac:dyDescent="0.25">
      <c r="A30" s="342">
        <v>45566</v>
      </c>
      <c r="B30" s="319" t="s">
        <v>1410</v>
      </c>
      <c r="C30" s="238" t="s">
        <v>490</v>
      </c>
      <c r="D30" s="126"/>
      <c r="E30" s="126"/>
      <c r="F30" s="180"/>
    </row>
    <row r="31" spans="1:6" ht="18.75" x14ac:dyDescent="0.25">
      <c r="A31" s="342">
        <v>45566</v>
      </c>
      <c r="B31" s="319" t="s">
        <v>1410</v>
      </c>
      <c r="C31" s="238" t="s">
        <v>491</v>
      </c>
      <c r="D31" s="126"/>
      <c r="E31" s="126"/>
      <c r="F31" s="180"/>
    </row>
    <row r="32" spans="1:6" ht="18.75" hidden="1" x14ac:dyDescent="0.25">
      <c r="A32" s="342">
        <v>45566</v>
      </c>
      <c r="B32" s="319" t="s">
        <v>1411</v>
      </c>
      <c r="C32" s="238" t="s">
        <v>489</v>
      </c>
      <c r="D32" s="126"/>
      <c r="E32" s="126"/>
      <c r="F32" s="180"/>
    </row>
    <row r="33" spans="1:6" ht="37.5" hidden="1" x14ac:dyDescent="0.25">
      <c r="A33" s="342">
        <v>45566</v>
      </c>
      <c r="B33" s="319" t="s">
        <v>1411</v>
      </c>
      <c r="C33" s="238" t="s">
        <v>490</v>
      </c>
      <c r="D33" s="126"/>
      <c r="E33" s="126"/>
      <c r="F33" s="180"/>
    </row>
    <row r="34" spans="1:6" ht="18.75" x14ac:dyDescent="0.25">
      <c r="A34" s="342">
        <v>45566</v>
      </c>
      <c r="B34" s="319" t="s">
        <v>1411</v>
      </c>
      <c r="C34" s="238" t="s">
        <v>491</v>
      </c>
      <c r="D34" s="126">
        <v>1</v>
      </c>
      <c r="E34" s="126">
        <v>5</v>
      </c>
      <c r="F34" s="180" t="s">
        <v>738</v>
      </c>
    </row>
    <row r="35" spans="1:6" ht="93.75" hidden="1" x14ac:dyDescent="0.25">
      <c r="A35" s="342">
        <v>45566</v>
      </c>
      <c r="B35" s="319" t="s">
        <v>1452</v>
      </c>
      <c r="C35" s="238" t="s">
        <v>489</v>
      </c>
      <c r="D35" s="126">
        <v>5</v>
      </c>
      <c r="E35" s="126">
        <v>529</v>
      </c>
      <c r="F35" s="180" t="s">
        <v>737</v>
      </c>
    </row>
    <row r="36" spans="1:6" ht="75" hidden="1" x14ac:dyDescent="0.25">
      <c r="A36" s="342">
        <v>45566</v>
      </c>
      <c r="B36" s="319" t="s">
        <v>1452</v>
      </c>
      <c r="C36" s="238" t="s">
        <v>490</v>
      </c>
      <c r="D36" s="126">
        <v>4</v>
      </c>
      <c r="E36" s="126">
        <v>485</v>
      </c>
      <c r="F36" s="180" t="s">
        <v>736</v>
      </c>
    </row>
    <row r="37" spans="1:6" ht="18.75" x14ac:dyDescent="0.25">
      <c r="A37" s="342">
        <v>45566</v>
      </c>
      <c r="B37" s="319" t="s">
        <v>1452</v>
      </c>
      <c r="C37" s="238" t="s">
        <v>491</v>
      </c>
      <c r="D37" s="126">
        <v>1</v>
      </c>
      <c r="E37" s="126">
        <v>400</v>
      </c>
      <c r="F37" s="180" t="s">
        <v>735</v>
      </c>
    </row>
    <row r="38" spans="1:6" ht="37.5" hidden="1" x14ac:dyDescent="0.25">
      <c r="A38" s="342">
        <v>45566</v>
      </c>
      <c r="B38" s="319" t="s">
        <v>1413</v>
      </c>
      <c r="C38" s="238" t="s">
        <v>489</v>
      </c>
      <c r="D38" s="126">
        <v>2</v>
      </c>
      <c r="E38" s="126">
        <v>160</v>
      </c>
      <c r="F38" s="180" t="s">
        <v>732</v>
      </c>
    </row>
    <row r="39" spans="1:6" ht="168.75" hidden="1" x14ac:dyDescent="0.25">
      <c r="A39" s="342">
        <v>45566</v>
      </c>
      <c r="B39" s="319" t="s">
        <v>1413</v>
      </c>
      <c r="C39" s="238" t="s">
        <v>490</v>
      </c>
      <c r="D39" s="126">
        <v>9</v>
      </c>
      <c r="E39" s="126">
        <v>866</v>
      </c>
      <c r="F39" s="180" t="s">
        <v>734</v>
      </c>
    </row>
    <row r="40" spans="1:6" ht="37.5" x14ac:dyDescent="0.25">
      <c r="A40" s="342">
        <v>45566</v>
      </c>
      <c r="B40" s="319" t="s">
        <v>1413</v>
      </c>
      <c r="C40" s="238" t="s">
        <v>491</v>
      </c>
      <c r="D40" s="126">
        <v>2</v>
      </c>
      <c r="E40" s="126">
        <v>11</v>
      </c>
      <c r="F40" s="180" t="s">
        <v>733</v>
      </c>
    </row>
    <row r="41" spans="1:6" ht="18.75" hidden="1" x14ac:dyDescent="0.25">
      <c r="A41" s="342">
        <v>45597</v>
      </c>
      <c r="B41" s="319" t="s">
        <v>1401</v>
      </c>
      <c r="C41" s="238" t="s">
        <v>489</v>
      </c>
      <c r="D41" s="126">
        <v>1</v>
      </c>
      <c r="E41" s="126">
        <v>300</v>
      </c>
      <c r="F41" s="180" t="s">
        <v>741</v>
      </c>
    </row>
    <row r="42" spans="1:6" ht="37.5" hidden="1" x14ac:dyDescent="0.25">
      <c r="A42" s="342">
        <v>45597</v>
      </c>
      <c r="B42" s="319" t="s">
        <v>1401</v>
      </c>
      <c r="C42" s="238" t="s">
        <v>490</v>
      </c>
      <c r="D42" s="126"/>
      <c r="E42" s="126"/>
      <c r="F42" s="180"/>
    </row>
    <row r="43" spans="1:6" ht="56.25" x14ac:dyDescent="0.25">
      <c r="A43" s="342">
        <v>45597</v>
      </c>
      <c r="B43" s="319" t="s">
        <v>1401</v>
      </c>
      <c r="C43" s="238" t="s">
        <v>491</v>
      </c>
      <c r="D43" s="126">
        <v>3</v>
      </c>
      <c r="E43" s="126">
        <v>85</v>
      </c>
      <c r="F43" s="180" t="s">
        <v>740</v>
      </c>
    </row>
    <row r="44" spans="1:6" ht="18.75" hidden="1" x14ac:dyDescent="0.25">
      <c r="A44" s="342">
        <v>45597</v>
      </c>
      <c r="B44" s="319" t="s">
        <v>1402</v>
      </c>
      <c r="C44" s="238" t="s">
        <v>489</v>
      </c>
      <c r="D44" s="147"/>
      <c r="E44" s="147"/>
      <c r="F44" s="147"/>
    </row>
    <row r="45" spans="1:6" ht="37.5" hidden="1" x14ac:dyDescent="0.25">
      <c r="A45" s="342">
        <v>45597</v>
      </c>
      <c r="B45" s="319" t="s">
        <v>1402</v>
      </c>
      <c r="C45" s="238" t="s">
        <v>490</v>
      </c>
      <c r="D45" s="126">
        <v>1</v>
      </c>
      <c r="E45" s="126">
        <v>300</v>
      </c>
      <c r="F45" s="180" t="s">
        <v>1459</v>
      </c>
    </row>
    <row r="46" spans="1:6" ht="18.75" x14ac:dyDescent="0.25">
      <c r="A46" s="342">
        <v>45597</v>
      </c>
      <c r="B46" s="319" t="s">
        <v>1402</v>
      </c>
      <c r="C46" s="238" t="s">
        <v>491</v>
      </c>
      <c r="D46" s="126"/>
      <c r="E46" s="126"/>
      <c r="F46" s="180"/>
    </row>
    <row r="47" spans="1:6" ht="18.75" hidden="1" x14ac:dyDescent="0.25">
      <c r="A47" s="342">
        <v>45597</v>
      </c>
      <c r="B47" s="319" t="s">
        <v>1403</v>
      </c>
      <c r="C47" s="238" t="s">
        <v>489</v>
      </c>
      <c r="D47" s="126"/>
      <c r="E47" s="126"/>
      <c r="F47" s="180"/>
    </row>
    <row r="48" spans="1:6" ht="37.5" hidden="1" x14ac:dyDescent="0.25">
      <c r="A48" s="342">
        <v>45597</v>
      </c>
      <c r="B48" s="319" t="s">
        <v>1403</v>
      </c>
      <c r="C48" s="238" t="s">
        <v>490</v>
      </c>
      <c r="D48" s="126"/>
      <c r="E48" s="126"/>
      <c r="F48" s="180"/>
    </row>
    <row r="49" spans="1:6" ht="18.75" x14ac:dyDescent="0.25">
      <c r="A49" s="342">
        <v>45597</v>
      </c>
      <c r="B49" s="319" t="s">
        <v>1403</v>
      </c>
      <c r="C49" s="238" t="s">
        <v>491</v>
      </c>
      <c r="D49" s="126"/>
      <c r="E49" s="126"/>
      <c r="F49" s="180"/>
    </row>
    <row r="50" spans="1:6" ht="18.75" hidden="1" x14ac:dyDescent="0.25">
      <c r="A50" s="342">
        <v>45597</v>
      </c>
      <c r="B50" s="319" t="s">
        <v>1404</v>
      </c>
      <c r="C50" s="238" t="s">
        <v>489</v>
      </c>
      <c r="D50" s="126">
        <v>1</v>
      </c>
      <c r="E50" s="126">
        <v>15</v>
      </c>
      <c r="F50" s="180" t="s">
        <v>742</v>
      </c>
    </row>
    <row r="51" spans="1:6" ht="37.5" hidden="1" x14ac:dyDescent="0.25">
      <c r="A51" s="342">
        <v>45597</v>
      </c>
      <c r="B51" s="319" t="s">
        <v>1404</v>
      </c>
      <c r="C51" s="238" t="s">
        <v>490</v>
      </c>
      <c r="D51" s="126"/>
      <c r="E51" s="126"/>
      <c r="F51" s="180"/>
    </row>
    <row r="52" spans="1:6" ht="18.75" x14ac:dyDescent="0.25">
      <c r="A52" s="342">
        <v>45597</v>
      </c>
      <c r="B52" s="319" t="s">
        <v>1404</v>
      </c>
      <c r="C52" s="238" t="s">
        <v>491</v>
      </c>
      <c r="D52" s="126"/>
      <c r="E52" s="126"/>
      <c r="F52" s="180"/>
    </row>
    <row r="53" spans="1:6" ht="56.25" hidden="1" x14ac:dyDescent="0.25">
      <c r="A53" s="342">
        <v>45597</v>
      </c>
      <c r="B53" s="319" t="s">
        <v>1405</v>
      </c>
      <c r="C53" s="238" t="s">
        <v>489</v>
      </c>
      <c r="D53" s="126">
        <v>3</v>
      </c>
      <c r="E53" s="126">
        <v>65</v>
      </c>
      <c r="F53" s="180" t="s">
        <v>760</v>
      </c>
    </row>
    <row r="54" spans="1:6" ht="112.5" hidden="1" x14ac:dyDescent="0.25">
      <c r="A54" s="342">
        <v>45597</v>
      </c>
      <c r="B54" s="319" t="s">
        <v>1405</v>
      </c>
      <c r="C54" s="238" t="s">
        <v>490</v>
      </c>
      <c r="D54" s="126">
        <v>5</v>
      </c>
      <c r="E54" s="126">
        <v>375</v>
      </c>
      <c r="F54" s="180" t="s">
        <v>761</v>
      </c>
    </row>
    <row r="55" spans="1:6" ht="56.25" x14ac:dyDescent="0.25">
      <c r="A55" s="342">
        <v>45597</v>
      </c>
      <c r="B55" s="319" t="s">
        <v>1405</v>
      </c>
      <c r="C55" s="238" t="s">
        <v>491</v>
      </c>
      <c r="D55" s="126">
        <v>2</v>
      </c>
      <c r="E55" s="126">
        <v>12</v>
      </c>
      <c r="F55" s="180" t="s">
        <v>762</v>
      </c>
    </row>
    <row r="56" spans="1:6" ht="150" hidden="1" x14ac:dyDescent="0.25">
      <c r="A56" s="342">
        <v>45597</v>
      </c>
      <c r="B56" s="319" t="s">
        <v>1406</v>
      </c>
      <c r="C56" s="238" t="s">
        <v>489</v>
      </c>
      <c r="D56" s="126">
        <v>8</v>
      </c>
      <c r="E56" s="126">
        <v>510</v>
      </c>
      <c r="F56" s="180" t="s">
        <v>743</v>
      </c>
    </row>
    <row r="57" spans="1:6" ht="262.5" hidden="1" x14ac:dyDescent="0.25">
      <c r="A57" s="342">
        <v>45597</v>
      </c>
      <c r="B57" s="319" t="s">
        <v>1406</v>
      </c>
      <c r="C57" s="238" t="s">
        <v>490</v>
      </c>
      <c r="D57" s="126">
        <v>10</v>
      </c>
      <c r="E57" s="126">
        <v>1412</v>
      </c>
      <c r="F57" s="180" t="s">
        <v>744</v>
      </c>
    </row>
    <row r="58" spans="1:6" ht="93.75" x14ac:dyDescent="0.25">
      <c r="A58" s="342">
        <v>45597</v>
      </c>
      <c r="B58" s="319" t="s">
        <v>1406</v>
      </c>
      <c r="C58" s="238" t="s">
        <v>491</v>
      </c>
      <c r="D58" s="126">
        <v>3</v>
      </c>
      <c r="E58" s="126">
        <v>211</v>
      </c>
      <c r="F58" s="180" t="s">
        <v>745</v>
      </c>
    </row>
    <row r="59" spans="1:6" ht="150" hidden="1" x14ac:dyDescent="0.25">
      <c r="A59" s="342">
        <v>45597</v>
      </c>
      <c r="B59" s="319" t="s">
        <v>1438</v>
      </c>
      <c r="C59" s="238" t="s">
        <v>489</v>
      </c>
      <c r="D59" s="126">
        <v>7</v>
      </c>
      <c r="E59" s="126">
        <v>1170</v>
      </c>
      <c r="F59" s="180" t="s">
        <v>753</v>
      </c>
    </row>
    <row r="60" spans="1:6" ht="225" hidden="1" x14ac:dyDescent="0.25">
      <c r="A60" s="342">
        <v>45597</v>
      </c>
      <c r="B60" s="319" t="s">
        <v>1438</v>
      </c>
      <c r="C60" s="238" t="s">
        <v>490</v>
      </c>
      <c r="D60" s="126">
        <v>9</v>
      </c>
      <c r="E60" s="126">
        <v>640</v>
      </c>
      <c r="F60" s="180" t="s">
        <v>751</v>
      </c>
    </row>
    <row r="61" spans="1:6" ht="281.25" x14ac:dyDescent="0.25">
      <c r="A61" s="342">
        <v>45597</v>
      </c>
      <c r="B61" s="319" t="s">
        <v>1438</v>
      </c>
      <c r="C61" s="238" t="s">
        <v>491</v>
      </c>
      <c r="D61" s="126">
        <v>13</v>
      </c>
      <c r="E61" s="126">
        <v>174</v>
      </c>
      <c r="F61" s="180" t="s">
        <v>752</v>
      </c>
    </row>
    <row r="62" spans="1:6" ht="18.75" hidden="1" x14ac:dyDescent="0.25">
      <c r="A62" s="342">
        <v>45597</v>
      </c>
      <c r="B62" s="319" t="s">
        <v>1408</v>
      </c>
      <c r="C62" s="238" t="s">
        <v>489</v>
      </c>
      <c r="D62" s="126">
        <v>1</v>
      </c>
      <c r="E62" s="126">
        <v>150</v>
      </c>
      <c r="F62" s="180" t="s">
        <v>746</v>
      </c>
    </row>
    <row r="63" spans="1:6" ht="75" hidden="1" x14ac:dyDescent="0.25">
      <c r="A63" s="342">
        <v>45597</v>
      </c>
      <c r="B63" s="319" t="s">
        <v>1408</v>
      </c>
      <c r="C63" s="238" t="s">
        <v>490</v>
      </c>
      <c r="D63" s="126">
        <v>3</v>
      </c>
      <c r="E63" s="126">
        <v>72</v>
      </c>
      <c r="F63" s="180" t="s">
        <v>770</v>
      </c>
    </row>
    <row r="64" spans="1:6" ht="18.75" x14ac:dyDescent="0.25">
      <c r="A64" s="342">
        <v>45597</v>
      </c>
      <c r="B64" s="319" t="s">
        <v>1408</v>
      </c>
      <c r="C64" s="238" t="s">
        <v>491</v>
      </c>
      <c r="D64" s="126"/>
      <c r="E64" s="126"/>
      <c r="F64" s="180"/>
    </row>
    <row r="65" spans="1:6" ht="18.75" hidden="1" x14ac:dyDescent="0.25">
      <c r="A65" s="342">
        <v>45597</v>
      </c>
      <c r="B65" s="319" t="s">
        <v>1409</v>
      </c>
      <c r="C65" s="238" t="s">
        <v>489</v>
      </c>
      <c r="D65" s="126"/>
      <c r="E65" s="126"/>
      <c r="F65" s="180"/>
    </row>
    <row r="66" spans="1:6" ht="168.75" hidden="1" x14ac:dyDescent="0.25">
      <c r="A66" s="342">
        <v>45597</v>
      </c>
      <c r="B66" s="319" t="s">
        <v>1409</v>
      </c>
      <c r="C66" s="238" t="s">
        <v>490</v>
      </c>
      <c r="D66" s="126">
        <v>6</v>
      </c>
      <c r="E66" s="126">
        <v>1980</v>
      </c>
      <c r="F66" s="180" t="s">
        <v>763</v>
      </c>
    </row>
    <row r="67" spans="1:6" ht="18.75" x14ac:dyDescent="0.25">
      <c r="A67" s="342">
        <v>45597</v>
      </c>
      <c r="B67" s="319" t="s">
        <v>1409</v>
      </c>
      <c r="C67" s="238" t="s">
        <v>491</v>
      </c>
      <c r="D67" s="126"/>
      <c r="E67" s="126"/>
      <c r="F67" s="180"/>
    </row>
    <row r="68" spans="1:6" ht="187.5" hidden="1" x14ac:dyDescent="0.25">
      <c r="A68" s="342">
        <v>45597</v>
      </c>
      <c r="B68" s="319" t="s">
        <v>1410</v>
      </c>
      <c r="C68" s="238" t="s">
        <v>489</v>
      </c>
      <c r="D68" s="126">
        <v>9</v>
      </c>
      <c r="E68" s="126">
        <v>950</v>
      </c>
      <c r="F68" s="180" t="s">
        <v>747</v>
      </c>
    </row>
    <row r="69" spans="1:6" ht="75" hidden="1" x14ac:dyDescent="0.25">
      <c r="A69" s="342">
        <v>45597</v>
      </c>
      <c r="B69" s="319" t="s">
        <v>1410</v>
      </c>
      <c r="C69" s="238" t="s">
        <v>490</v>
      </c>
      <c r="D69" s="126">
        <v>4</v>
      </c>
      <c r="E69" s="126">
        <v>345</v>
      </c>
      <c r="F69" s="180" t="s">
        <v>748</v>
      </c>
    </row>
    <row r="70" spans="1:6" ht="18.75" x14ac:dyDescent="0.25">
      <c r="A70" s="342">
        <v>45597</v>
      </c>
      <c r="B70" s="319" t="s">
        <v>1410</v>
      </c>
      <c r="C70" s="238" t="s">
        <v>491</v>
      </c>
      <c r="D70" s="126"/>
      <c r="E70" s="126"/>
      <c r="F70" s="180"/>
    </row>
    <row r="71" spans="1:6" ht="56.25" hidden="1" x14ac:dyDescent="0.25">
      <c r="A71" s="342">
        <v>45597</v>
      </c>
      <c r="B71" s="319" t="s">
        <v>1411</v>
      </c>
      <c r="C71" s="238" t="s">
        <v>489</v>
      </c>
      <c r="D71" s="126">
        <v>2</v>
      </c>
      <c r="E71" s="126">
        <v>250</v>
      </c>
      <c r="F71" s="180" t="s">
        <v>758</v>
      </c>
    </row>
    <row r="72" spans="1:6" ht="37.5" hidden="1" x14ac:dyDescent="0.25">
      <c r="A72" s="342">
        <v>45597</v>
      </c>
      <c r="B72" s="319" t="s">
        <v>1411</v>
      </c>
      <c r="C72" s="238" t="s">
        <v>490</v>
      </c>
      <c r="D72" s="126"/>
      <c r="E72" s="126"/>
      <c r="F72" s="180"/>
    </row>
    <row r="73" spans="1:6" ht="37.5" x14ac:dyDescent="0.25">
      <c r="A73" s="342">
        <v>45597</v>
      </c>
      <c r="B73" s="319" t="s">
        <v>1411</v>
      </c>
      <c r="C73" s="238" t="s">
        <v>491</v>
      </c>
      <c r="D73" s="126">
        <v>2</v>
      </c>
      <c r="E73" s="126">
        <v>35</v>
      </c>
      <c r="F73" s="180" t="s">
        <v>757</v>
      </c>
    </row>
    <row r="74" spans="1:6" ht="37.5" hidden="1" x14ac:dyDescent="0.25">
      <c r="A74" s="342">
        <v>45597</v>
      </c>
      <c r="B74" s="319" t="s">
        <v>1452</v>
      </c>
      <c r="C74" s="238" t="s">
        <v>489</v>
      </c>
      <c r="D74" s="126">
        <v>2</v>
      </c>
      <c r="E74" s="126">
        <v>258</v>
      </c>
      <c r="F74" s="180" t="s">
        <v>749</v>
      </c>
    </row>
    <row r="75" spans="1:6" ht="93.75" hidden="1" x14ac:dyDescent="0.25">
      <c r="A75" s="342">
        <v>45597</v>
      </c>
      <c r="B75" s="319" t="s">
        <v>1452</v>
      </c>
      <c r="C75" s="238" t="s">
        <v>490</v>
      </c>
      <c r="D75" s="126">
        <v>4</v>
      </c>
      <c r="E75" s="126">
        <v>115</v>
      </c>
      <c r="F75" s="180" t="s">
        <v>750</v>
      </c>
    </row>
    <row r="76" spans="1:6" ht="18.75" x14ac:dyDescent="0.25">
      <c r="A76" s="342">
        <v>45597</v>
      </c>
      <c r="B76" s="319" t="s">
        <v>1452</v>
      </c>
      <c r="C76" s="238" t="s">
        <v>491</v>
      </c>
      <c r="D76" s="126"/>
      <c r="E76" s="126"/>
      <c r="F76" s="180"/>
    </row>
    <row r="77" spans="1:6" ht="112.5" hidden="1" x14ac:dyDescent="0.25">
      <c r="A77" s="342">
        <v>45597</v>
      </c>
      <c r="B77" s="319" t="s">
        <v>1413</v>
      </c>
      <c r="C77" s="238" t="s">
        <v>489</v>
      </c>
      <c r="D77" s="126">
        <v>5</v>
      </c>
      <c r="E77" s="126">
        <v>210</v>
      </c>
      <c r="F77" s="180" t="s">
        <v>754</v>
      </c>
    </row>
    <row r="78" spans="1:6" ht="187.5" hidden="1" x14ac:dyDescent="0.25">
      <c r="A78" s="342">
        <v>45597</v>
      </c>
      <c r="B78" s="319" t="s">
        <v>1413</v>
      </c>
      <c r="C78" s="238" t="s">
        <v>490</v>
      </c>
      <c r="D78" s="126">
        <v>7</v>
      </c>
      <c r="E78" s="126">
        <v>490</v>
      </c>
      <c r="F78" s="180" t="s">
        <v>755</v>
      </c>
    </row>
    <row r="79" spans="1:6" ht="93.75" hidden="1" x14ac:dyDescent="0.25">
      <c r="A79" s="342">
        <v>45627</v>
      </c>
      <c r="B79" s="319" t="s">
        <v>1401</v>
      </c>
      <c r="C79" s="238" t="s">
        <v>489</v>
      </c>
      <c r="D79" s="126">
        <v>5</v>
      </c>
      <c r="E79" s="126">
        <v>790</v>
      </c>
      <c r="F79" s="180" t="s">
        <v>1425</v>
      </c>
    </row>
    <row r="80" spans="1:6" ht="93.75" hidden="1" x14ac:dyDescent="0.25">
      <c r="A80" s="342">
        <v>45627</v>
      </c>
      <c r="B80" s="319" t="s">
        <v>1401</v>
      </c>
      <c r="C80" s="238" t="s">
        <v>490</v>
      </c>
      <c r="D80" s="126">
        <v>5</v>
      </c>
      <c r="E80" s="126">
        <v>587</v>
      </c>
      <c r="F80" s="180" t="s">
        <v>1426</v>
      </c>
    </row>
    <row r="81" spans="1:6" ht="18.75" x14ac:dyDescent="0.25">
      <c r="A81" s="342">
        <v>45627</v>
      </c>
      <c r="B81" s="319" t="s">
        <v>1401</v>
      </c>
      <c r="C81" s="238" t="s">
        <v>491</v>
      </c>
      <c r="D81" s="126"/>
      <c r="E81" s="126"/>
      <c r="F81" s="180"/>
    </row>
    <row r="82" spans="1:6" ht="18.75" hidden="1" x14ac:dyDescent="0.25">
      <c r="A82" s="342">
        <v>45627</v>
      </c>
      <c r="B82" s="319" t="s">
        <v>1402</v>
      </c>
      <c r="C82" s="238" t="s">
        <v>489</v>
      </c>
      <c r="D82" s="331">
        <v>1</v>
      </c>
      <c r="E82" s="331">
        <v>35</v>
      </c>
      <c r="F82" s="180" t="s">
        <v>1427</v>
      </c>
    </row>
    <row r="83" spans="1:6" ht="131.25" hidden="1" x14ac:dyDescent="0.25">
      <c r="A83" s="342">
        <v>45627</v>
      </c>
      <c r="B83" s="319" t="s">
        <v>1402</v>
      </c>
      <c r="C83" s="238" t="s">
        <v>490</v>
      </c>
      <c r="D83" s="126">
        <v>7</v>
      </c>
      <c r="E83" s="126">
        <v>810</v>
      </c>
      <c r="F83" s="180" t="s">
        <v>1428</v>
      </c>
    </row>
    <row r="84" spans="1:6" ht="18.75" x14ac:dyDescent="0.25">
      <c r="A84" s="342">
        <v>45627</v>
      </c>
      <c r="B84" s="319" t="s">
        <v>1402</v>
      </c>
      <c r="C84" s="238" t="s">
        <v>491</v>
      </c>
      <c r="D84" s="126"/>
      <c r="E84" s="126"/>
      <c r="F84" s="180"/>
    </row>
    <row r="85" spans="1:6" ht="18.75" hidden="1" x14ac:dyDescent="0.25">
      <c r="A85" s="342">
        <v>45627</v>
      </c>
      <c r="B85" s="319" t="s">
        <v>1403</v>
      </c>
      <c r="C85" s="238" t="s">
        <v>489</v>
      </c>
      <c r="D85" s="126"/>
      <c r="E85" s="126"/>
      <c r="F85" s="180"/>
    </row>
    <row r="86" spans="1:6" ht="37.5" hidden="1" x14ac:dyDescent="0.25">
      <c r="A86" s="342">
        <v>45627</v>
      </c>
      <c r="B86" s="319" t="s">
        <v>1403</v>
      </c>
      <c r="C86" s="238" t="s">
        <v>490</v>
      </c>
      <c r="D86" s="126"/>
      <c r="E86" s="126"/>
      <c r="F86" s="180"/>
    </row>
    <row r="87" spans="1:6" ht="18.75" x14ac:dyDescent="0.25">
      <c r="A87" s="342">
        <v>45627</v>
      </c>
      <c r="B87" s="319" t="s">
        <v>1403</v>
      </c>
      <c r="C87" s="238" t="s">
        <v>491</v>
      </c>
      <c r="D87" s="126"/>
      <c r="E87" s="126"/>
      <c r="F87" s="180"/>
    </row>
    <row r="88" spans="1:6" ht="131.25" hidden="1" x14ac:dyDescent="0.25">
      <c r="A88" s="342">
        <v>45627</v>
      </c>
      <c r="B88" s="319" t="s">
        <v>1404</v>
      </c>
      <c r="C88" s="238" t="s">
        <v>489</v>
      </c>
      <c r="D88" s="126">
        <v>3</v>
      </c>
      <c r="E88" s="126">
        <v>330</v>
      </c>
      <c r="F88" s="180" t="s">
        <v>1429</v>
      </c>
    </row>
    <row r="89" spans="1:6" ht="56.25" hidden="1" x14ac:dyDescent="0.25">
      <c r="A89" s="342">
        <v>45627</v>
      </c>
      <c r="B89" s="319" t="s">
        <v>1404</v>
      </c>
      <c r="C89" s="238" t="s">
        <v>490</v>
      </c>
      <c r="D89" s="126">
        <v>3</v>
      </c>
      <c r="E89" s="126">
        <v>70</v>
      </c>
      <c r="F89" s="180" t="s">
        <v>1430</v>
      </c>
    </row>
    <row r="90" spans="1:6" ht="225" x14ac:dyDescent="0.25">
      <c r="A90" s="342">
        <v>45627</v>
      </c>
      <c r="B90" s="319" t="s">
        <v>1404</v>
      </c>
      <c r="C90" s="238" t="s">
        <v>491</v>
      </c>
      <c r="D90" s="126">
        <v>11</v>
      </c>
      <c r="E90" s="126">
        <v>275</v>
      </c>
      <c r="F90" s="180" t="s">
        <v>1431</v>
      </c>
    </row>
    <row r="91" spans="1:6" ht="187.5" hidden="1" x14ac:dyDescent="0.25">
      <c r="A91" s="342">
        <v>45627</v>
      </c>
      <c r="B91" s="319" t="s">
        <v>1405</v>
      </c>
      <c r="C91" s="238" t="s">
        <v>489</v>
      </c>
      <c r="D91" s="126">
        <v>8</v>
      </c>
      <c r="E91" s="126">
        <v>217</v>
      </c>
      <c r="F91" s="180" t="s">
        <v>1432</v>
      </c>
    </row>
    <row r="92" spans="1:6" ht="56.25" hidden="1" x14ac:dyDescent="0.25">
      <c r="A92" s="342">
        <v>45627</v>
      </c>
      <c r="B92" s="319" t="s">
        <v>1405</v>
      </c>
      <c r="C92" s="238" t="s">
        <v>490</v>
      </c>
      <c r="D92" s="126">
        <v>3</v>
      </c>
      <c r="E92" s="126">
        <v>415</v>
      </c>
      <c r="F92" s="180" t="s">
        <v>1433</v>
      </c>
    </row>
    <row r="93" spans="1:6" ht="281.25" x14ac:dyDescent="0.25">
      <c r="A93" s="342">
        <v>45627</v>
      </c>
      <c r="B93" s="319" t="s">
        <v>1405</v>
      </c>
      <c r="C93" s="238" t="s">
        <v>491</v>
      </c>
      <c r="D93" s="126"/>
      <c r="E93" s="126">
        <v>487</v>
      </c>
      <c r="F93" s="180" t="s">
        <v>1434</v>
      </c>
    </row>
    <row r="94" spans="1:6" ht="409.5" hidden="1" x14ac:dyDescent="0.25">
      <c r="A94" s="342">
        <v>45627</v>
      </c>
      <c r="B94" s="319" t="s">
        <v>1406</v>
      </c>
      <c r="C94" s="238" t="s">
        <v>489</v>
      </c>
      <c r="D94" s="126">
        <v>13</v>
      </c>
      <c r="E94" s="126">
        <v>1821</v>
      </c>
      <c r="F94" s="180" t="s">
        <v>1435</v>
      </c>
    </row>
    <row r="95" spans="1:6" ht="262.5" hidden="1" x14ac:dyDescent="0.25">
      <c r="A95" s="342">
        <v>45627</v>
      </c>
      <c r="B95" s="319" t="s">
        <v>1406</v>
      </c>
      <c r="C95" s="238" t="s">
        <v>490</v>
      </c>
      <c r="D95" s="126">
        <v>6</v>
      </c>
      <c r="E95" s="126">
        <v>1454</v>
      </c>
      <c r="F95" s="180" t="s">
        <v>1436</v>
      </c>
    </row>
    <row r="96" spans="1:6" ht="112.5" x14ac:dyDescent="0.25">
      <c r="A96" s="342">
        <v>45627</v>
      </c>
      <c r="B96" s="319" t="s">
        <v>1406</v>
      </c>
      <c r="C96" s="238" t="s">
        <v>491</v>
      </c>
      <c r="D96" s="126">
        <v>3</v>
      </c>
      <c r="E96" s="126">
        <v>824</v>
      </c>
      <c r="F96" s="180" t="s">
        <v>1437</v>
      </c>
    </row>
    <row r="97" spans="1:6" ht="112.5" hidden="1" x14ac:dyDescent="0.25">
      <c r="A97" s="342">
        <v>45627</v>
      </c>
      <c r="B97" s="319" t="s">
        <v>1438</v>
      </c>
      <c r="C97" s="238" t="s">
        <v>489</v>
      </c>
      <c r="D97" s="126">
        <v>3</v>
      </c>
      <c r="E97" s="126">
        <v>860</v>
      </c>
      <c r="F97" s="180" t="s">
        <v>1439</v>
      </c>
    </row>
    <row r="98" spans="1:6" ht="150" hidden="1" x14ac:dyDescent="0.25">
      <c r="A98" s="342">
        <v>45627</v>
      </c>
      <c r="B98" s="319" t="s">
        <v>1438</v>
      </c>
      <c r="C98" s="238" t="s">
        <v>490</v>
      </c>
      <c r="D98" s="126">
        <v>6</v>
      </c>
      <c r="E98" s="126">
        <v>175</v>
      </c>
      <c r="F98" s="180" t="s">
        <v>1440</v>
      </c>
    </row>
    <row r="99" spans="1:6" ht="409.5" x14ac:dyDescent="0.25">
      <c r="A99" s="342">
        <v>45627</v>
      </c>
      <c r="B99" s="319" t="s">
        <v>1438</v>
      </c>
      <c r="C99" s="238" t="s">
        <v>491</v>
      </c>
      <c r="D99" s="126">
        <v>40</v>
      </c>
      <c r="E99" s="126">
        <v>841</v>
      </c>
      <c r="F99" s="180" t="s">
        <v>1441</v>
      </c>
    </row>
    <row r="100" spans="1:6" ht="409.5" hidden="1" x14ac:dyDescent="0.25">
      <c r="A100" s="342">
        <v>45627</v>
      </c>
      <c r="B100" s="319" t="s">
        <v>1438</v>
      </c>
      <c r="C100" s="238"/>
      <c r="D100" s="126"/>
      <c r="E100" s="126"/>
      <c r="F100" s="180" t="s">
        <v>1442</v>
      </c>
    </row>
    <row r="101" spans="1:6" ht="18.75" hidden="1" x14ac:dyDescent="0.25">
      <c r="A101" s="342">
        <v>45627</v>
      </c>
      <c r="B101" s="319" t="s">
        <v>1408</v>
      </c>
      <c r="C101" s="238" t="s">
        <v>489</v>
      </c>
      <c r="D101" s="126">
        <v>1</v>
      </c>
      <c r="E101" s="126">
        <v>100</v>
      </c>
      <c r="F101" s="347" t="s">
        <v>1443</v>
      </c>
    </row>
    <row r="102" spans="1:6" ht="110.25" hidden="1" x14ac:dyDescent="0.25">
      <c r="A102" s="342">
        <v>45627</v>
      </c>
      <c r="B102" s="319" t="s">
        <v>1408</v>
      </c>
      <c r="C102" s="238" t="s">
        <v>490</v>
      </c>
      <c r="D102" s="126">
        <v>7</v>
      </c>
      <c r="E102" s="126">
        <v>215</v>
      </c>
      <c r="F102" s="348" t="s">
        <v>1444</v>
      </c>
    </row>
    <row r="103" spans="1:6" ht="18.75" x14ac:dyDescent="0.25">
      <c r="A103" s="342">
        <v>45627</v>
      </c>
      <c r="B103" s="319" t="s">
        <v>1408</v>
      </c>
      <c r="C103" s="238" t="s">
        <v>491</v>
      </c>
      <c r="D103" s="126"/>
      <c r="E103" s="126"/>
      <c r="F103" s="180"/>
    </row>
    <row r="104" spans="1:6" ht="18.75" hidden="1" x14ac:dyDescent="0.25">
      <c r="A104" s="342">
        <v>45627</v>
      </c>
      <c r="B104" s="319" t="s">
        <v>1409</v>
      </c>
      <c r="C104" s="238" t="s">
        <v>489</v>
      </c>
      <c r="D104" s="126"/>
      <c r="E104" s="126"/>
      <c r="F104" s="180"/>
    </row>
    <row r="105" spans="1:6" ht="262.5" hidden="1" x14ac:dyDescent="0.25">
      <c r="A105" s="342">
        <v>45627</v>
      </c>
      <c r="B105" s="319" t="s">
        <v>1409</v>
      </c>
      <c r="C105" s="238" t="s">
        <v>490</v>
      </c>
      <c r="D105" s="126">
        <v>9</v>
      </c>
      <c r="E105" s="126">
        <v>787</v>
      </c>
      <c r="F105" s="180" t="s">
        <v>1445</v>
      </c>
    </row>
    <row r="106" spans="1:6" ht="18.75" x14ac:dyDescent="0.25">
      <c r="A106" s="342">
        <v>45627</v>
      </c>
      <c r="B106" s="319" t="s">
        <v>1409</v>
      </c>
      <c r="C106" s="238" t="s">
        <v>491</v>
      </c>
      <c r="D106" s="126"/>
      <c r="E106" s="126"/>
      <c r="F106" s="180"/>
    </row>
    <row r="107" spans="1:6" ht="168.75" hidden="1" x14ac:dyDescent="0.25">
      <c r="A107" s="342">
        <v>45627</v>
      </c>
      <c r="B107" s="319" t="s">
        <v>1410</v>
      </c>
      <c r="C107" s="238" t="s">
        <v>489</v>
      </c>
      <c r="D107" s="126">
        <v>8</v>
      </c>
      <c r="E107" s="126">
        <v>1501</v>
      </c>
      <c r="F107" s="180" t="s">
        <v>1446</v>
      </c>
    </row>
    <row r="108" spans="1:6" ht="93.75" hidden="1" x14ac:dyDescent="0.25">
      <c r="A108" s="342">
        <v>45627</v>
      </c>
      <c r="B108" s="319" t="s">
        <v>1410</v>
      </c>
      <c r="C108" s="238" t="s">
        <v>490</v>
      </c>
      <c r="D108" s="126">
        <v>5</v>
      </c>
      <c r="E108" s="126">
        <v>365</v>
      </c>
      <c r="F108" s="180" t="s">
        <v>1447</v>
      </c>
    </row>
    <row r="109" spans="1:6" ht="37.5" x14ac:dyDescent="0.25">
      <c r="A109" s="342">
        <v>45627</v>
      </c>
      <c r="B109" s="319" t="s">
        <v>1410</v>
      </c>
      <c r="C109" s="238" t="s">
        <v>491</v>
      </c>
      <c r="D109" s="126">
        <v>2</v>
      </c>
      <c r="E109" s="126">
        <v>20</v>
      </c>
      <c r="F109" s="180" t="s">
        <v>1448</v>
      </c>
    </row>
    <row r="110" spans="1:6" ht="75" hidden="1" x14ac:dyDescent="0.25">
      <c r="A110" s="342">
        <v>45627</v>
      </c>
      <c r="B110" s="319" t="s">
        <v>1411</v>
      </c>
      <c r="C110" s="238" t="s">
        <v>489</v>
      </c>
      <c r="D110" s="126">
        <v>4</v>
      </c>
      <c r="E110" s="126">
        <v>170</v>
      </c>
      <c r="F110" s="180" t="s">
        <v>1449</v>
      </c>
    </row>
    <row r="111" spans="1:6" ht="37.5" hidden="1" x14ac:dyDescent="0.25">
      <c r="A111" s="342">
        <v>45627</v>
      </c>
      <c r="B111" s="319" t="s">
        <v>1411</v>
      </c>
      <c r="C111" s="238" t="s">
        <v>490</v>
      </c>
      <c r="D111" s="126">
        <v>2</v>
      </c>
      <c r="E111" s="126">
        <v>23</v>
      </c>
      <c r="F111" s="180" t="s">
        <v>1450</v>
      </c>
    </row>
    <row r="112" spans="1:6" ht="56.25" x14ac:dyDescent="0.25">
      <c r="A112" s="342">
        <v>45627</v>
      </c>
      <c r="B112" s="319" t="s">
        <v>1411</v>
      </c>
      <c r="C112" s="238" t="s">
        <v>491</v>
      </c>
      <c r="D112" s="126">
        <v>2</v>
      </c>
      <c r="E112" s="126">
        <v>23</v>
      </c>
      <c r="F112" s="180" t="s">
        <v>1451</v>
      </c>
    </row>
    <row r="113" spans="1:6" ht="93.75" hidden="1" x14ac:dyDescent="0.25">
      <c r="A113" s="342">
        <v>45627</v>
      </c>
      <c r="B113" s="319" t="s">
        <v>1452</v>
      </c>
      <c r="C113" s="238" t="s">
        <v>489</v>
      </c>
      <c r="D113" s="126">
        <v>4</v>
      </c>
      <c r="E113" s="126">
        <v>155</v>
      </c>
      <c r="F113" s="180" t="s">
        <v>1453</v>
      </c>
    </row>
    <row r="114" spans="1:6" ht="37.5" hidden="1" x14ac:dyDescent="0.25">
      <c r="A114" s="342">
        <v>45627</v>
      </c>
      <c r="B114" s="319" t="s">
        <v>1452</v>
      </c>
      <c r="C114" s="238" t="s">
        <v>490</v>
      </c>
      <c r="D114" s="126">
        <v>2</v>
      </c>
      <c r="E114" s="126">
        <v>262</v>
      </c>
      <c r="F114" s="180" t="s">
        <v>1454</v>
      </c>
    </row>
    <row r="115" spans="1:6" ht="131.25" x14ac:dyDescent="0.25">
      <c r="A115" s="342">
        <v>45627</v>
      </c>
      <c r="B115" s="319" t="s">
        <v>1452</v>
      </c>
      <c r="C115" s="238" t="s">
        <v>491</v>
      </c>
      <c r="D115" s="126">
        <v>3</v>
      </c>
      <c r="E115" s="126">
        <v>900</v>
      </c>
      <c r="F115" s="180" t="s">
        <v>1455</v>
      </c>
    </row>
    <row r="116" spans="1:6" ht="75" hidden="1" x14ac:dyDescent="0.25">
      <c r="A116" s="342">
        <v>45627</v>
      </c>
      <c r="B116" s="319" t="s">
        <v>1413</v>
      </c>
      <c r="C116" s="238" t="s">
        <v>489</v>
      </c>
      <c r="D116" s="126">
        <v>4</v>
      </c>
      <c r="E116" s="126">
        <v>455</v>
      </c>
      <c r="F116" s="180" t="s">
        <v>1456</v>
      </c>
    </row>
    <row r="117" spans="1:6" ht="243.75" hidden="1" x14ac:dyDescent="0.25">
      <c r="A117" s="342">
        <v>45627</v>
      </c>
      <c r="B117" s="319" t="s">
        <v>1413</v>
      </c>
      <c r="C117" s="238" t="s">
        <v>490</v>
      </c>
      <c r="D117" s="126">
        <v>9</v>
      </c>
      <c r="E117" s="126">
        <v>337</v>
      </c>
      <c r="F117" s="180" t="s">
        <v>1457</v>
      </c>
    </row>
    <row r="118" spans="1:6" ht="18.75" x14ac:dyDescent="0.25">
      <c r="A118" s="342">
        <v>45627</v>
      </c>
      <c r="B118" s="319" t="s">
        <v>1413</v>
      </c>
      <c r="C118" s="238" t="s">
        <v>491</v>
      </c>
      <c r="D118" s="126">
        <v>1</v>
      </c>
      <c r="E118" s="126">
        <v>4</v>
      </c>
      <c r="F118" s="193" t="s">
        <v>1458</v>
      </c>
    </row>
    <row r="119" spans="1:6" ht="38.25" hidden="1" x14ac:dyDescent="0.25">
      <c r="A119" s="326">
        <v>45658</v>
      </c>
      <c r="B119" s="324" t="s">
        <v>1401</v>
      </c>
      <c r="C119" s="320" t="s">
        <v>1414</v>
      </c>
      <c r="D119" s="126">
        <v>3</v>
      </c>
      <c r="E119" s="126">
        <v>600</v>
      </c>
      <c r="F119" s="193" t="s">
        <v>962</v>
      </c>
    </row>
    <row r="120" spans="1:6" ht="18.75" hidden="1" x14ac:dyDescent="0.25">
      <c r="A120" s="326">
        <v>45658</v>
      </c>
      <c r="B120" s="324" t="s">
        <v>1401</v>
      </c>
      <c r="C120" s="320" t="s">
        <v>490</v>
      </c>
      <c r="D120" s="126">
        <v>1</v>
      </c>
      <c r="E120" s="126">
        <v>5</v>
      </c>
      <c r="F120" s="193" t="s">
        <v>963</v>
      </c>
    </row>
    <row r="121" spans="1:6" ht="51" x14ac:dyDescent="0.25">
      <c r="A121" s="326">
        <v>45658</v>
      </c>
      <c r="B121" s="324" t="s">
        <v>1401</v>
      </c>
      <c r="C121" s="320" t="s">
        <v>491</v>
      </c>
      <c r="D121" s="126">
        <v>3</v>
      </c>
      <c r="E121" s="126">
        <v>345</v>
      </c>
      <c r="F121" s="193" t="s">
        <v>964</v>
      </c>
    </row>
    <row r="122" spans="1:6" ht="63.75" hidden="1" x14ac:dyDescent="0.25">
      <c r="A122" s="326">
        <v>45658</v>
      </c>
      <c r="B122" s="324" t="s">
        <v>1402</v>
      </c>
      <c r="C122" s="320" t="s">
        <v>1414</v>
      </c>
      <c r="D122" s="194">
        <v>5</v>
      </c>
      <c r="E122" s="194">
        <v>415</v>
      </c>
      <c r="F122" s="193" t="s">
        <v>966</v>
      </c>
    </row>
    <row r="123" spans="1:6" ht="25.5" hidden="1" x14ac:dyDescent="0.25">
      <c r="A123" s="326">
        <v>45658</v>
      </c>
      <c r="B123" s="324" t="s">
        <v>1402</v>
      </c>
      <c r="C123" s="320" t="s">
        <v>490</v>
      </c>
      <c r="D123" s="126">
        <v>2</v>
      </c>
      <c r="E123" s="126">
        <v>30</v>
      </c>
      <c r="F123" s="193" t="s">
        <v>967</v>
      </c>
    </row>
    <row r="124" spans="1:6" ht="18.75" x14ac:dyDescent="0.25">
      <c r="A124" s="326">
        <v>45658</v>
      </c>
      <c r="B124" s="324" t="s">
        <v>1402</v>
      </c>
      <c r="C124" s="320" t="s">
        <v>491</v>
      </c>
      <c r="D124" s="126"/>
      <c r="E124" s="126"/>
      <c r="F124" s="193"/>
    </row>
    <row r="125" spans="1:6" ht="114.75" hidden="1" x14ac:dyDescent="0.25">
      <c r="A125" s="326">
        <v>45658</v>
      </c>
      <c r="B125" s="324" t="s">
        <v>1403</v>
      </c>
      <c r="C125" s="320" t="s">
        <v>1414</v>
      </c>
      <c r="D125" s="126">
        <v>8</v>
      </c>
      <c r="E125" s="126">
        <v>565</v>
      </c>
      <c r="F125" s="193" t="s">
        <v>839</v>
      </c>
    </row>
    <row r="126" spans="1:6" ht="51" hidden="1" x14ac:dyDescent="0.25">
      <c r="A126" s="326">
        <v>45658</v>
      </c>
      <c r="B126" s="324" t="s">
        <v>1403</v>
      </c>
      <c r="C126" s="320" t="s">
        <v>490</v>
      </c>
      <c r="D126" s="126">
        <v>4</v>
      </c>
      <c r="E126" s="126">
        <v>540</v>
      </c>
      <c r="F126" s="193" t="s">
        <v>840</v>
      </c>
    </row>
    <row r="127" spans="1:6" ht="25.5" x14ac:dyDescent="0.25">
      <c r="A127" s="326">
        <v>45658</v>
      </c>
      <c r="B127" s="324" t="s">
        <v>1403</v>
      </c>
      <c r="C127" s="320" t="s">
        <v>491</v>
      </c>
      <c r="D127" s="126">
        <v>1</v>
      </c>
      <c r="E127" s="126">
        <v>150</v>
      </c>
      <c r="F127" s="193" t="s">
        <v>841</v>
      </c>
    </row>
    <row r="128" spans="1:6" ht="76.5" hidden="1" x14ac:dyDescent="0.25">
      <c r="A128" s="326">
        <v>45658</v>
      </c>
      <c r="B128" s="324" t="s">
        <v>1404</v>
      </c>
      <c r="C128" s="320" t="s">
        <v>1414</v>
      </c>
      <c r="D128" s="126">
        <v>6</v>
      </c>
      <c r="E128" s="126">
        <v>210</v>
      </c>
      <c r="F128" s="193" t="s">
        <v>865</v>
      </c>
    </row>
    <row r="129" spans="1:6" ht="127.5" hidden="1" x14ac:dyDescent="0.25">
      <c r="A129" s="326">
        <v>45658</v>
      </c>
      <c r="B129" s="324" t="s">
        <v>1404</v>
      </c>
      <c r="C129" s="320" t="s">
        <v>490</v>
      </c>
      <c r="D129" s="126">
        <v>8</v>
      </c>
      <c r="E129" s="126">
        <v>319</v>
      </c>
      <c r="F129" s="193" t="s">
        <v>866</v>
      </c>
    </row>
    <row r="130" spans="1:6" ht="127.5" x14ac:dyDescent="0.25">
      <c r="A130" s="326">
        <v>45658</v>
      </c>
      <c r="B130" s="324" t="s">
        <v>1404</v>
      </c>
      <c r="C130" s="320" t="s">
        <v>491</v>
      </c>
      <c r="D130" s="126">
        <v>7</v>
      </c>
      <c r="E130" s="126">
        <v>201</v>
      </c>
      <c r="F130" s="193" t="s">
        <v>867</v>
      </c>
    </row>
    <row r="131" spans="1:6" ht="38.25" hidden="1" x14ac:dyDescent="0.25">
      <c r="A131" s="326">
        <v>45658</v>
      </c>
      <c r="B131" s="324" t="s">
        <v>1405</v>
      </c>
      <c r="C131" s="320" t="s">
        <v>1414</v>
      </c>
      <c r="D131" s="126">
        <v>3</v>
      </c>
      <c r="E131" s="126">
        <v>85</v>
      </c>
      <c r="F131" s="193" t="s">
        <v>814</v>
      </c>
    </row>
    <row r="132" spans="1:6" ht="38.25" hidden="1" x14ac:dyDescent="0.25">
      <c r="A132" s="326">
        <v>45658</v>
      </c>
      <c r="B132" s="324" t="s">
        <v>1405</v>
      </c>
      <c r="C132" s="320" t="s">
        <v>490</v>
      </c>
      <c r="D132" s="126">
        <v>2</v>
      </c>
      <c r="E132" s="126">
        <v>290</v>
      </c>
      <c r="F132" s="193" t="s">
        <v>816</v>
      </c>
    </row>
    <row r="133" spans="1:6" ht="63.75" x14ac:dyDescent="0.25">
      <c r="A133" s="326">
        <v>45658</v>
      </c>
      <c r="B133" s="324" t="s">
        <v>1405</v>
      </c>
      <c r="C133" s="320" t="s">
        <v>491</v>
      </c>
      <c r="D133" s="126">
        <v>5</v>
      </c>
      <c r="E133" s="126">
        <v>155</v>
      </c>
      <c r="F133" s="193" t="s">
        <v>815</v>
      </c>
    </row>
    <row r="134" spans="1:6" ht="242.25" hidden="1" x14ac:dyDescent="0.25">
      <c r="A134" s="326">
        <v>45658</v>
      </c>
      <c r="B134" s="324" t="s">
        <v>1406</v>
      </c>
      <c r="C134" s="320" t="s">
        <v>1414</v>
      </c>
      <c r="D134" s="126">
        <v>15</v>
      </c>
      <c r="E134" s="126">
        <v>963</v>
      </c>
      <c r="F134" s="193" t="s">
        <v>927</v>
      </c>
    </row>
    <row r="135" spans="1:6" ht="63.75" hidden="1" x14ac:dyDescent="0.25">
      <c r="A135" s="326">
        <v>45658</v>
      </c>
      <c r="B135" s="324" t="s">
        <v>1406</v>
      </c>
      <c r="C135" s="320" t="s">
        <v>490</v>
      </c>
      <c r="D135" s="126">
        <v>3</v>
      </c>
      <c r="E135" s="126">
        <v>137</v>
      </c>
      <c r="F135" s="193" t="s">
        <v>928</v>
      </c>
    </row>
    <row r="136" spans="1:6" ht="114.75" x14ac:dyDescent="0.25">
      <c r="A136" s="326">
        <v>45658</v>
      </c>
      <c r="B136" s="324" t="s">
        <v>1406</v>
      </c>
      <c r="C136" s="320" t="s">
        <v>491</v>
      </c>
      <c r="D136" s="126">
        <v>5</v>
      </c>
      <c r="E136" s="126">
        <v>858</v>
      </c>
      <c r="F136" s="193" t="s">
        <v>929</v>
      </c>
    </row>
    <row r="137" spans="1:6" ht="114.75" hidden="1" x14ac:dyDescent="0.25">
      <c r="A137" s="326">
        <v>45658</v>
      </c>
      <c r="B137" s="324" t="s">
        <v>1407</v>
      </c>
      <c r="C137" s="320" t="s">
        <v>1414</v>
      </c>
      <c r="D137" s="126">
        <v>9</v>
      </c>
      <c r="E137" s="126">
        <v>517</v>
      </c>
      <c r="F137" s="193" t="s">
        <v>889</v>
      </c>
    </row>
    <row r="138" spans="1:6" ht="114.75" hidden="1" x14ac:dyDescent="0.25">
      <c r="A138" s="326">
        <v>45658</v>
      </c>
      <c r="B138" s="324" t="s">
        <v>1407</v>
      </c>
      <c r="C138" s="320" t="s">
        <v>490</v>
      </c>
      <c r="D138" s="126">
        <v>8</v>
      </c>
      <c r="E138" s="126">
        <v>199</v>
      </c>
      <c r="F138" s="193" t="s">
        <v>884</v>
      </c>
    </row>
    <row r="139" spans="1:6" ht="229.5" x14ac:dyDescent="0.25">
      <c r="A139" s="326">
        <v>45658</v>
      </c>
      <c r="B139" s="324" t="s">
        <v>1407</v>
      </c>
      <c r="C139" s="320" t="s">
        <v>491</v>
      </c>
      <c r="D139" s="126">
        <v>17</v>
      </c>
      <c r="E139" s="126">
        <v>367</v>
      </c>
      <c r="F139" s="193" t="s">
        <v>876</v>
      </c>
    </row>
    <row r="140" spans="1:6" ht="18.75" hidden="1" x14ac:dyDescent="0.25">
      <c r="A140" s="326">
        <v>45658</v>
      </c>
      <c r="B140" s="324" t="s">
        <v>1408</v>
      </c>
      <c r="C140" s="320" t="s">
        <v>1414</v>
      </c>
      <c r="D140" s="126">
        <v>1</v>
      </c>
      <c r="E140" s="126">
        <v>100</v>
      </c>
      <c r="F140" s="193" t="s">
        <v>935</v>
      </c>
    </row>
    <row r="141" spans="1:6" ht="280.5" hidden="1" x14ac:dyDescent="0.25">
      <c r="A141" s="326">
        <v>45658</v>
      </c>
      <c r="B141" s="324" t="s">
        <v>1408</v>
      </c>
      <c r="C141" s="320" t="s">
        <v>490</v>
      </c>
      <c r="D141" s="126">
        <v>22</v>
      </c>
      <c r="E141" s="126">
        <v>475</v>
      </c>
      <c r="F141" s="193" t="s">
        <v>934</v>
      </c>
    </row>
    <row r="142" spans="1:6" ht="18.75" x14ac:dyDescent="0.25">
      <c r="A142" s="326">
        <v>45658</v>
      </c>
      <c r="B142" s="324" t="s">
        <v>1408</v>
      </c>
      <c r="C142" s="320" t="s">
        <v>491</v>
      </c>
      <c r="D142" s="126"/>
      <c r="E142" s="126"/>
      <c r="F142" s="193"/>
    </row>
    <row r="143" spans="1:6" ht="51" hidden="1" x14ac:dyDescent="0.25">
      <c r="A143" s="326">
        <v>45658</v>
      </c>
      <c r="B143" s="324" t="s">
        <v>1409</v>
      </c>
      <c r="C143" s="320" t="s">
        <v>1414</v>
      </c>
      <c r="D143" s="126">
        <v>4</v>
      </c>
      <c r="E143" s="126">
        <v>278</v>
      </c>
      <c r="F143" s="193" t="s">
        <v>950</v>
      </c>
    </row>
    <row r="144" spans="1:6" ht="38.25" hidden="1" x14ac:dyDescent="0.25">
      <c r="A144" s="326">
        <v>45658</v>
      </c>
      <c r="B144" s="324" t="s">
        <v>1409</v>
      </c>
      <c r="C144" s="320" t="s">
        <v>490</v>
      </c>
      <c r="D144" s="126">
        <v>2</v>
      </c>
      <c r="E144" s="126">
        <v>280</v>
      </c>
      <c r="F144" s="193" t="s">
        <v>951</v>
      </c>
    </row>
    <row r="145" spans="1:6" ht="18.75" x14ac:dyDescent="0.25">
      <c r="A145" s="326">
        <v>45658</v>
      </c>
      <c r="B145" s="324" t="s">
        <v>1409</v>
      </c>
      <c r="C145" s="320" t="s">
        <v>491</v>
      </c>
      <c r="D145" s="126"/>
      <c r="E145" s="126"/>
      <c r="F145" s="193"/>
    </row>
    <row r="146" spans="1:6" ht="114.75" hidden="1" x14ac:dyDescent="0.25">
      <c r="A146" s="326">
        <v>45658</v>
      </c>
      <c r="B146" s="324" t="s">
        <v>1410</v>
      </c>
      <c r="C146" s="320" t="s">
        <v>1414</v>
      </c>
      <c r="D146" s="126">
        <v>7</v>
      </c>
      <c r="E146" s="126">
        <v>604</v>
      </c>
      <c r="F146" s="193" t="s">
        <v>908</v>
      </c>
    </row>
    <row r="147" spans="1:6" ht="25.5" hidden="1" x14ac:dyDescent="0.25">
      <c r="A147" s="326">
        <v>45658</v>
      </c>
      <c r="B147" s="324" t="s">
        <v>1410</v>
      </c>
      <c r="C147" s="320" t="s">
        <v>490</v>
      </c>
      <c r="D147" s="126">
        <v>2</v>
      </c>
      <c r="E147" s="126">
        <v>147</v>
      </c>
      <c r="F147" s="193" t="s">
        <v>906</v>
      </c>
    </row>
    <row r="148" spans="1:6" ht="76.5" x14ac:dyDescent="0.25">
      <c r="A148" s="326">
        <v>45658</v>
      </c>
      <c r="B148" s="324" t="s">
        <v>1410</v>
      </c>
      <c r="C148" s="320" t="s">
        <v>491</v>
      </c>
      <c r="D148" s="126">
        <v>6</v>
      </c>
      <c r="E148" s="126">
        <v>93</v>
      </c>
      <c r="F148" s="193" t="s">
        <v>907</v>
      </c>
    </row>
    <row r="149" spans="1:6" ht="25.5" hidden="1" x14ac:dyDescent="0.25">
      <c r="A149" s="326">
        <v>45658</v>
      </c>
      <c r="B149" s="324" t="s">
        <v>1411</v>
      </c>
      <c r="C149" s="320" t="s">
        <v>1414</v>
      </c>
      <c r="D149" s="246">
        <v>2</v>
      </c>
      <c r="E149" s="246">
        <v>180</v>
      </c>
      <c r="F149" s="193" t="s">
        <v>983</v>
      </c>
    </row>
    <row r="150" spans="1:6" ht="18.75" hidden="1" x14ac:dyDescent="0.25">
      <c r="A150" s="326">
        <v>45658</v>
      </c>
      <c r="B150" s="324" t="s">
        <v>1411</v>
      </c>
      <c r="C150" s="320" t="s">
        <v>490</v>
      </c>
      <c r="D150" s="246">
        <v>1</v>
      </c>
      <c r="E150" s="246">
        <v>20</v>
      </c>
      <c r="F150" s="193" t="s">
        <v>985</v>
      </c>
    </row>
    <row r="151" spans="1:6" ht="38.25" x14ac:dyDescent="0.25">
      <c r="A151" s="326">
        <v>45658</v>
      </c>
      <c r="B151" s="324" t="s">
        <v>1411</v>
      </c>
      <c r="C151" s="320" t="s">
        <v>491</v>
      </c>
      <c r="D151" s="126">
        <v>3</v>
      </c>
      <c r="E151" s="126">
        <v>47</v>
      </c>
      <c r="F151" s="193" t="s">
        <v>984</v>
      </c>
    </row>
    <row r="152" spans="1:6" ht="76.5" hidden="1" x14ac:dyDescent="0.25">
      <c r="A152" s="326">
        <v>45658</v>
      </c>
      <c r="B152" s="324" t="s">
        <v>1412</v>
      </c>
      <c r="C152" s="320" t="s">
        <v>1414</v>
      </c>
      <c r="D152" s="126">
        <v>6</v>
      </c>
      <c r="E152" s="126">
        <v>368</v>
      </c>
      <c r="F152" s="193" t="s">
        <v>992</v>
      </c>
    </row>
    <row r="153" spans="1:6" ht="153" hidden="1" x14ac:dyDescent="0.25">
      <c r="A153" s="326">
        <v>45658</v>
      </c>
      <c r="B153" s="324" t="s">
        <v>1412</v>
      </c>
      <c r="C153" s="320" t="s">
        <v>490</v>
      </c>
      <c r="D153" s="126">
        <v>2</v>
      </c>
      <c r="E153" s="126">
        <v>140</v>
      </c>
      <c r="F153" s="193" t="s">
        <v>996</v>
      </c>
    </row>
    <row r="154" spans="1:6" ht="18.75" x14ac:dyDescent="0.25">
      <c r="A154" s="326">
        <v>45658</v>
      </c>
      <c r="B154" s="324" t="s">
        <v>1412</v>
      </c>
      <c r="C154" s="320" t="s">
        <v>491</v>
      </c>
      <c r="D154" s="126">
        <v>1</v>
      </c>
      <c r="E154" s="126">
        <v>60</v>
      </c>
      <c r="F154" s="193" t="s">
        <v>989</v>
      </c>
    </row>
    <row r="155" spans="1:6" ht="18.75" hidden="1" x14ac:dyDescent="0.25">
      <c r="A155" s="326">
        <v>45658</v>
      </c>
      <c r="B155" s="324" t="s">
        <v>1413</v>
      </c>
      <c r="C155" s="320" t="s">
        <v>1414</v>
      </c>
      <c r="D155" s="126"/>
      <c r="E155" s="126"/>
      <c r="F155" s="180"/>
    </row>
    <row r="156" spans="1:6" ht="18.75" hidden="1" x14ac:dyDescent="0.25">
      <c r="A156" s="326">
        <v>45658</v>
      </c>
      <c r="B156" s="324" t="s">
        <v>1413</v>
      </c>
      <c r="C156" s="320" t="s">
        <v>490</v>
      </c>
      <c r="D156" s="126"/>
      <c r="E156" s="126"/>
      <c r="F156" s="180"/>
    </row>
    <row r="157" spans="1:6" ht="18.75" x14ac:dyDescent="0.25">
      <c r="A157" s="326">
        <v>45658</v>
      </c>
      <c r="B157" s="324" t="s">
        <v>1413</v>
      </c>
      <c r="C157" s="320" t="s">
        <v>491</v>
      </c>
      <c r="D157" s="126"/>
      <c r="E157" s="126"/>
      <c r="F157" s="180"/>
    </row>
    <row r="158" spans="1:6" ht="18.75" hidden="1" x14ac:dyDescent="0.25">
      <c r="A158" s="326">
        <v>45689</v>
      </c>
      <c r="B158" s="324" t="s">
        <v>1401</v>
      </c>
      <c r="C158" s="320" t="s">
        <v>1414</v>
      </c>
      <c r="D158" s="126"/>
      <c r="E158" s="126"/>
      <c r="F158" s="180"/>
    </row>
    <row r="159" spans="1:6" ht="18.75" hidden="1" x14ac:dyDescent="0.25">
      <c r="A159" s="326">
        <v>45689</v>
      </c>
      <c r="B159" s="324" t="s">
        <v>1401</v>
      </c>
      <c r="C159" s="320" t="s">
        <v>490</v>
      </c>
      <c r="D159" s="126"/>
      <c r="E159" s="126"/>
      <c r="F159" s="180"/>
    </row>
    <row r="160" spans="1:6" ht="38.25" x14ac:dyDescent="0.25">
      <c r="A160" s="326">
        <v>45689</v>
      </c>
      <c r="B160" s="324" t="s">
        <v>1401</v>
      </c>
      <c r="C160" s="320" t="s">
        <v>491</v>
      </c>
      <c r="D160" s="126">
        <v>3</v>
      </c>
      <c r="E160" s="126">
        <v>330</v>
      </c>
      <c r="F160" s="193" t="s">
        <v>1179</v>
      </c>
    </row>
    <row r="161" spans="1:6" ht="51" hidden="1" x14ac:dyDescent="0.25">
      <c r="A161" s="326">
        <v>45689</v>
      </c>
      <c r="B161" s="324" t="s">
        <v>1402</v>
      </c>
      <c r="C161" s="320" t="s">
        <v>1414</v>
      </c>
      <c r="D161" s="194">
        <v>2</v>
      </c>
      <c r="E161" s="194">
        <v>400</v>
      </c>
      <c r="F161" s="193" t="s">
        <v>1151</v>
      </c>
    </row>
    <row r="162" spans="1:6" ht="45" hidden="1" x14ac:dyDescent="0.25">
      <c r="A162" s="326">
        <v>45689</v>
      </c>
      <c r="B162" s="324" t="s">
        <v>1402</v>
      </c>
      <c r="C162" s="320" t="s">
        <v>490</v>
      </c>
      <c r="D162" s="126">
        <v>3</v>
      </c>
      <c r="E162" s="126">
        <v>175</v>
      </c>
      <c r="F162" s="314" t="s">
        <v>1152</v>
      </c>
    </row>
    <row r="163" spans="1:6" ht="18.75" x14ac:dyDescent="0.25">
      <c r="A163" s="326">
        <v>45689</v>
      </c>
      <c r="B163" s="324" t="s">
        <v>1402</v>
      </c>
      <c r="C163" s="320" t="s">
        <v>491</v>
      </c>
      <c r="D163" s="126"/>
      <c r="E163" s="126"/>
      <c r="F163" s="180"/>
    </row>
    <row r="164" spans="1:6" ht="51" hidden="1" x14ac:dyDescent="0.25">
      <c r="A164" s="326">
        <v>45689</v>
      </c>
      <c r="B164" s="324" t="s">
        <v>1403</v>
      </c>
      <c r="C164" s="320" t="s">
        <v>1414</v>
      </c>
      <c r="D164" s="126">
        <v>3</v>
      </c>
      <c r="E164" s="126">
        <v>170</v>
      </c>
      <c r="F164" s="193" t="s">
        <v>1183</v>
      </c>
    </row>
    <row r="165" spans="1:6" ht="51" hidden="1" x14ac:dyDescent="0.25">
      <c r="A165" s="326">
        <v>45689</v>
      </c>
      <c r="B165" s="324" t="s">
        <v>1403</v>
      </c>
      <c r="C165" s="320" t="s">
        <v>490</v>
      </c>
      <c r="D165" s="126">
        <v>4</v>
      </c>
      <c r="E165" s="126">
        <v>320</v>
      </c>
      <c r="F165" s="193" t="s">
        <v>1184</v>
      </c>
    </row>
    <row r="166" spans="1:6" ht="18.75" x14ac:dyDescent="0.25">
      <c r="A166" s="326">
        <v>45689</v>
      </c>
      <c r="B166" s="324" t="s">
        <v>1403</v>
      </c>
      <c r="C166" s="320" t="s">
        <v>491</v>
      </c>
      <c r="D166" s="126"/>
      <c r="E166" s="126"/>
      <c r="F166" s="180"/>
    </row>
    <row r="167" spans="1:6" ht="38.25" hidden="1" x14ac:dyDescent="0.25">
      <c r="A167" s="326">
        <v>45689</v>
      </c>
      <c r="B167" s="324" t="s">
        <v>1404</v>
      </c>
      <c r="C167" s="320" t="s">
        <v>1414</v>
      </c>
      <c r="D167" s="126">
        <v>3</v>
      </c>
      <c r="E167" s="126">
        <v>1250</v>
      </c>
      <c r="F167" s="193" t="s">
        <v>1189</v>
      </c>
    </row>
    <row r="168" spans="1:6" ht="18.75" hidden="1" x14ac:dyDescent="0.25">
      <c r="A168" s="326">
        <v>45689</v>
      </c>
      <c r="B168" s="324" t="s">
        <v>1404</v>
      </c>
      <c r="C168" s="320" t="s">
        <v>490</v>
      </c>
      <c r="D168" s="126">
        <v>1</v>
      </c>
      <c r="E168" s="126">
        <v>20</v>
      </c>
      <c r="F168" s="193" t="s">
        <v>1191</v>
      </c>
    </row>
    <row r="169" spans="1:6" ht="51" x14ac:dyDescent="0.25">
      <c r="A169" s="326">
        <v>45689</v>
      </c>
      <c r="B169" s="324" t="s">
        <v>1404</v>
      </c>
      <c r="C169" s="320" t="s">
        <v>491</v>
      </c>
      <c r="D169" s="126">
        <v>3</v>
      </c>
      <c r="E169" s="126">
        <v>45</v>
      </c>
      <c r="F169" s="193" t="s">
        <v>1190</v>
      </c>
    </row>
    <row r="170" spans="1:6" ht="138.75" hidden="1" x14ac:dyDescent="0.25">
      <c r="A170" s="326">
        <v>45689</v>
      </c>
      <c r="B170" s="324" t="s">
        <v>1405</v>
      </c>
      <c r="C170" s="320" t="s">
        <v>1414</v>
      </c>
      <c r="D170" s="126">
        <v>4</v>
      </c>
      <c r="E170" s="126">
        <v>510</v>
      </c>
      <c r="F170" s="180" t="s">
        <v>1395</v>
      </c>
    </row>
    <row r="171" spans="1:6" ht="25.5" hidden="1" x14ac:dyDescent="0.25">
      <c r="A171" s="326">
        <v>45689</v>
      </c>
      <c r="B171" s="324" t="s">
        <v>1405</v>
      </c>
      <c r="C171" s="320" t="s">
        <v>490</v>
      </c>
      <c r="D171" s="126">
        <v>1</v>
      </c>
      <c r="E171" s="126">
        <v>50</v>
      </c>
      <c r="F171" s="193" t="s">
        <v>1216</v>
      </c>
    </row>
    <row r="172" spans="1:6" ht="51" x14ac:dyDescent="0.25">
      <c r="A172" s="326">
        <v>45689</v>
      </c>
      <c r="B172" s="324" t="s">
        <v>1405</v>
      </c>
      <c r="C172" s="320" t="s">
        <v>491</v>
      </c>
      <c r="D172" s="126">
        <v>2</v>
      </c>
      <c r="E172" s="126">
        <v>35</v>
      </c>
      <c r="F172" s="193" t="s">
        <v>1217</v>
      </c>
    </row>
    <row r="173" spans="1:6" ht="267.75" hidden="1" x14ac:dyDescent="0.25">
      <c r="A173" s="326">
        <v>45689</v>
      </c>
      <c r="B173" s="324" t="s">
        <v>1406</v>
      </c>
      <c r="C173" s="320" t="s">
        <v>1414</v>
      </c>
      <c r="D173" s="126">
        <v>13</v>
      </c>
      <c r="E173" s="126">
        <v>937</v>
      </c>
      <c r="F173" s="193" t="s">
        <v>1099</v>
      </c>
    </row>
    <row r="174" spans="1:6" ht="63.75" hidden="1" x14ac:dyDescent="0.25">
      <c r="A174" s="326">
        <v>45689</v>
      </c>
      <c r="B174" s="324" t="s">
        <v>1406</v>
      </c>
      <c r="C174" s="320" t="s">
        <v>490</v>
      </c>
      <c r="D174" s="126">
        <v>3</v>
      </c>
      <c r="E174" s="126">
        <v>961</v>
      </c>
      <c r="F174" s="193" t="s">
        <v>1100</v>
      </c>
    </row>
    <row r="175" spans="1:6" ht="89.25" x14ac:dyDescent="0.25">
      <c r="A175" s="326">
        <v>45689</v>
      </c>
      <c r="B175" s="324" t="s">
        <v>1406</v>
      </c>
      <c r="C175" s="320" t="s">
        <v>491</v>
      </c>
      <c r="D175" s="126">
        <v>4</v>
      </c>
      <c r="E175" s="126">
        <v>257</v>
      </c>
      <c r="F175" s="193" t="s">
        <v>1101</v>
      </c>
    </row>
    <row r="176" spans="1:6" ht="229.5" hidden="1" x14ac:dyDescent="0.25">
      <c r="A176" s="326">
        <v>45689</v>
      </c>
      <c r="B176" s="324" t="s">
        <v>1407</v>
      </c>
      <c r="C176" s="320" t="s">
        <v>1414</v>
      </c>
      <c r="D176" s="126">
        <v>16</v>
      </c>
      <c r="E176" s="126">
        <v>1451</v>
      </c>
      <c r="F176" s="193" t="s">
        <v>1173</v>
      </c>
    </row>
    <row r="177" spans="1:6" ht="18.75" hidden="1" x14ac:dyDescent="0.25">
      <c r="A177" s="326">
        <v>45689</v>
      </c>
      <c r="B177" s="324" t="s">
        <v>1407</v>
      </c>
      <c r="C177" s="320" t="s">
        <v>490</v>
      </c>
      <c r="D177" s="126"/>
      <c r="E177" s="126"/>
      <c r="F177" s="180"/>
    </row>
    <row r="178" spans="1:6" ht="318.75" x14ac:dyDescent="0.25">
      <c r="A178" s="326">
        <v>45689</v>
      </c>
      <c r="B178" s="324" t="s">
        <v>1407</v>
      </c>
      <c r="C178" s="320" t="s">
        <v>491</v>
      </c>
      <c r="D178" s="126">
        <v>22</v>
      </c>
      <c r="E178" s="126">
        <v>834</v>
      </c>
      <c r="F178" s="193" t="s">
        <v>1174</v>
      </c>
    </row>
    <row r="179" spans="1:6" ht="25.5" hidden="1" x14ac:dyDescent="0.25">
      <c r="A179" s="326">
        <v>45689</v>
      </c>
      <c r="B179" s="324" t="s">
        <v>1408</v>
      </c>
      <c r="C179" s="320" t="s">
        <v>1414</v>
      </c>
      <c r="D179" s="126">
        <v>2</v>
      </c>
      <c r="E179" s="126">
        <v>175</v>
      </c>
      <c r="F179" s="193" t="s">
        <v>1196</v>
      </c>
    </row>
    <row r="180" spans="1:6" ht="216.75" hidden="1" x14ac:dyDescent="0.25">
      <c r="A180" s="326">
        <v>45689</v>
      </c>
      <c r="B180" s="324" t="s">
        <v>1408</v>
      </c>
      <c r="C180" s="320" t="s">
        <v>490</v>
      </c>
      <c r="D180" s="126">
        <v>17</v>
      </c>
      <c r="E180" s="126">
        <v>330</v>
      </c>
      <c r="F180" s="193" t="s">
        <v>1195</v>
      </c>
    </row>
    <row r="181" spans="1:6" ht="18.75" x14ac:dyDescent="0.25">
      <c r="A181" s="326">
        <v>45689</v>
      </c>
      <c r="B181" s="324" t="s">
        <v>1408</v>
      </c>
      <c r="C181" s="320" t="s">
        <v>491</v>
      </c>
      <c r="D181" s="126"/>
      <c r="E181" s="126"/>
      <c r="F181" s="180"/>
    </row>
    <row r="182" spans="1:6" ht="267.75" hidden="1" x14ac:dyDescent="0.25">
      <c r="A182" s="326">
        <v>45689</v>
      </c>
      <c r="B182" s="324" t="s">
        <v>1409</v>
      </c>
      <c r="C182" s="320" t="s">
        <v>1414</v>
      </c>
      <c r="D182" s="126">
        <v>19</v>
      </c>
      <c r="E182" s="126">
        <v>500</v>
      </c>
      <c r="F182" s="193" t="s">
        <v>1160</v>
      </c>
    </row>
    <row r="183" spans="1:6" ht="18.75" hidden="1" x14ac:dyDescent="0.25">
      <c r="A183" s="326">
        <v>45689</v>
      </c>
      <c r="B183" s="324" t="s">
        <v>1409</v>
      </c>
      <c r="C183" s="320" t="s">
        <v>490</v>
      </c>
      <c r="D183" s="126"/>
      <c r="E183" s="126"/>
      <c r="F183" s="180"/>
    </row>
    <row r="184" spans="1:6" ht="18.75" x14ac:dyDescent="0.25">
      <c r="A184" s="326">
        <v>45689</v>
      </c>
      <c r="B184" s="324" t="s">
        <v>1409</v>
      </c>
      <c r="C184" s="320" t="s">
        <v>491</v>
      </c>
      <c r="D184" s="126"/>
      <c r="E184" s="126"/>
      <c r="F184" s="180"/>
    </row>
    <row r="185" spans="1:6" ht="51" hidden="1" x14ac:dyDescent="0.25">
      <c r="A185" s="326">
        <v>45689</v>
      </c>
      <c r="B185" s="324" t="s">
        <v>1410</v>
      </c>
      <c r="C185" s="320" t="s">
        <v>1414</v>
      </c>
      <c r="D185" s="126">
        <v>4</v>
      </c>
      <c r="E185" s="126">
        <v>356</v>
      </c>
      <c r="F185" s="193" t="s">
        <v>1207</v>
      </c>
    </row>
    <row r="186" spans="1:6" ht="38.25" hidden="1" x14ac:dyDescent="0.25">
      <c r="A186" s="326">
        <v>45689</v>
      </c>
      <c r="B186" s="324" t="s">
        <v>1410</v>
      </c>
      <c r="C186" s="320" t="s">
        <v>490</v>
      </c>
      <c r="D186" s="126">
        <v>3</v>
      </c>
      <c r="E186" s="126">
        <v>167</v>
      </c>
      <c r="F186" s="193" t="s">
        <v>1208</v>
      </c>
    </row>
    <row r="187" spans="1:6" ht="51" x14ac:dyDescent="0.25">
      <c r="A187" s="326">
        <v>45689</v>
      </c>
      <c r="B187" s="324" t="s">
        <v>1410</v>
      </c>
      <c r="C187" s="320" t="s">
        <v>491</v>
      </c>
      <c r="D187" s="126">
        <v>4</v>
      </c>
      <c r="E187" s="126">
        <v>600</v>
      </c>
      <c r="F187" s="193" t="s">
        <v>1209</v>
      </c>
    </row>
    <row r="188" spans="1:6" ht="18.75" hidden="1" x14ac:dyDescent="0.25">
      <c r="A188" s="326">
        <v>45689</v>
      </c>
      <c r="B188" s="324" t="s">
        <v>1411</v>
      </c>
      <c r="C188" s="320" t="s">
        <v>1414</v>
      </c>
      <c r="D188" s="246">
        <v>1</v>
      </c>
      <c r="E188" s="246">
        <v>120</v>
      </c>
      <c r="F188" s="193" t="s">
        <v>1224</v>
      </c>
    </row>
    <row r="189" spans="1:6" ht="18.75" hidden="1" x14ac:dyDescent="0.25">
      <c r="A189" s="326">
        <v>45689</v>
      </c>
      <c r="B189" s="324" t="s">
        <v>1411</v>
      </c>
      <c r="C189" s="320" t="s">
        <v>490</v>
      </c>
      <c r="D189" s="246"/>
      <c r="E189" s="246"/>
      <c r="F189" s="180"/>
    </row>
    <row r="190" spans="1:6" ht="25.5" x14ac:dyDescent="0.25">
      <c r="A190" s="326">
        <v>45689</v>
      </c>
      <c r="B190" s="324" t="s">
        <v>1411</v>
      </c>
      <c r="C190" s="320" t="s">
        <v>491</v>
      </c>
      <c r="D190" s="126">
        <v>1</v>
      </c>
      <c r="E190" s="126">
        <v>10</v>
      </c>
      <c r="F190" s="193" t="s">
        <v>1225</v>
      </c>
    </row>
    <row r="191" spans="1:6" ht="63.75" hidden="1" x14ac:dyDescent="0.25">
      <c r="A191" s="326">
        <v>45689</v>
      </c>
      <c r="B191" s="324" t="s">
        <v>1412</v>
      </c>
      <c r="C191" s="320" t="s">
        <v>1414</v>
      </c>
      <c r="D191" s="126">
        <v>4</v>
      </c>
      <c r="E191" s="126">
        <v>266</v>
      </c>
      <c r="F191" s="193" t="s">
        <v>1397</v>
      </c>
    </row>
    <row r="192" spans="1:6" ht="156" hidden="1" x14ac:dyDescent="0.25">
      <c r="A192" s="326">
        <v>45689</v>
      </c>
      <c r="B192" s="324" t="s">
        <v>1412</v>
      </c>
      <c r="C192" s="320" t="s">
        <v>490</v>
      </c>
      <c r="D192" s="126">
        <v>11</v>
      </c>
      <c r="E192" s="126">
        <v>447</v>
      </c>
      <c r="F192" s="201" t="s">
        <v>1396</v>
      </c>
    </row>
    <row r="193" spans="1:6" ht="38.25" x14ac:dyDescent="0.25">
      <c r="A193" s="326">
        <v>45689</v>
      </c>
      <c r="B193" s="324" t="s">
        <v>1412</v>
      </c>
      <c r="C193" s="320" t="s">
        <v>491</v>
      </c>
      <c r="D193" s="126">
        <v>2</v>
      </c>
      <c r="E193" s="126">
        <v>80</v>
      </c>
      <c r="F193" s="193" t="s">
        <v>1116</v>
      </c>
    </row>
    <row r="194" spans="1:6" ht="89.25" hidden="1" x14ac:dyDescent="0.25">
      <c r="A194" s="326">
        <v>45689</v>
      </c>
      <c r="B194" s="324" t="s">
        <v>1413</v>
      </c>
      <c r="C194" s="320" t="s">
        <v>1414</v>
      </c>
      <c r="D194" s="126">
        <v>6</v>
      </c>
      <c r="E194" s="126">
        <v>500</v>
      </c>
      <c r="F194" s="193" t="s">
        <v>1145</v>
      </c>
    </row>
    <row r="195" spans="1:6" ht="18.75" hidden="1" x14ac:dyDescent="0.25">
      <c r="A195" s="326">
        <v>45689</v>
      </c>
      <c r="B195" s="324" t="s">
        <v>1413</v>
      </c>
      <c r="C195" s="320" t="s">
        <v>490</v>
      </c>
      <c r="D195" s="126"/>
      <c r="E195" s="126"/>
      <c r="F195" s="180"/>
    </row>
    <row r="196" spans="1:6" ht="25.5" x14ac:dyDescent="0.25">
      <c r="A196" s="326">
        <v>45689</v>
      </c>
      <c r="B196" s="324" t="s">
        <v>1413</v>
      </c>
      <c r="C196" s="320" t="s">
        <v>491</v>
      </c>
      <c r="D196" s="126">
        <v>2</v>
      </c>
      <c r="E196" s="126">
        <v>55</v>
      </c>
      <c r="F196" s="193" t="s">
        <v>1144</v>
      </c>
    </row>
    <row r="197" spans="1:6" ht="18.75" hidden="1" x14ac:dyDescent="0.25">
      <c r="A197" s="326">
        <v>45717</v>
      </c>
      <c r="B197" s="324" t="s">
        <v>1401</v>
      </c>
      <c r="C197" s="320" t="s">
        <v>1414</v>
      </c>
      <c r="D197" s="126"/>
      <c r="E197" s="126"/>
      <c r="F197" s="180"/>
    </row>
    <row r="198" spans="1:6" ht="25.5" hidden="1" x14ac:dyDescent="0.25">
      <c r="A198" s="326">
        <v>45717</v>
      </c>
      <c r="B198" s="324" t="s">
        <v>1401</v>
      </c>
      <c r="C198" s="320" t="s">
        <v>490</v>
      </c>
      <c r="D198" s="126">
        <v>2</v>
      </c>
      <c r="E198" s="126">
        <v>160</v>
      </c>
      <c r="F198" s="193" t="s">
        <v>1337</v>
      </c>
    </row>
    <row r="199" spans="1:6" ht="89.25" x14ac:dyDescent="0.25">
      <c r="A199" s="326">
        <v>45717</v>
      </c>
      <c r="B199" s="324" t="s">
        <v>1401</v>
      </c>
      <c r="C199" s="320" t="s">
        <v>491</v>
      </c>
      <c r="D199" s="126">
        <v>7</v>
      </c>
      <c r="E199" s="126">
        <v>182</v>
      </c>
      <c r="F199" s="193" t="s">
        <v>1336</v>
      </c>
    </row>
    <row r="200" spans="1:6" ht="20.25" hidden="1" x14ac:dyDescent="0.25">
      <c r="A200" s="326">
        <v>45717</v>
      </c>
      <c r="B200" s="324" t="s">
        <v>1402</v>
      </c>
      <c r="C200" s="320" t="s">
        <v>1414</v>
      </c>
      <c r="D200" s="194"/>
      <c r="E200" s="194"/>
      <c r="F200" s="40"/>
    </row>
    <row r="201" spans="1:6" ht="89.25" hidden="1" x14ac:dyDescent="0.25">
      <c r="A201" s="326">
        <v>45717</v>
      </c>
      <c r="B201" s="324" t="s">
        <v>1402</v>
      </c>
      <c r="C201" s="320" t="s">
        <v>490</v>
      </c>
      <c r="D201" s="126">
        <v>7</v>
      </c>
      <c r="E201" s="126">
        <v>56</v>
      </c>
      <c r="F201" s="193" t="s">
        <v>1274</v>
      </c>
    </row>
    <row r="202" spans="1:6" ht="18.75" x14ac:dyDescent="0.25">
      <c r="A202" s="326">
        <v>45717</v>
      </c>
      <c r="B202" s="324" t="s">
        <v>1402</v>
      </c>
      <c r="C202" s="320" t="s">
        <v>491</v>
      </c>
      <c r="D202" s="126"/>
      <c r="E202" s="126"/>
      <c r="F202" s="180"/>
    </row>
    <row r="203" spans="1:6" ht="51" hidden="1" x14ac:dyDescent="0.25">
      <c r="A203" s="326">
        <v>45717</v>
      </c>
      <c r="B203" s="324" t="s">
        <v>1403</v>
      </c>
      <c r="C203" s="320" t="s">
        <v>1414</v>
      </c>
      <c r="D203" s="126">
        <v>4</v>
      </c>
      <c r="E203" s="126">
        <v>770</v>
      </c>
      <c r="F203" s="193" t="s">
        <v>1303</v>
      </c>
    </row>
    <row r="204" spans="1:6" ht="63.75" hidden="1" x14ac:dyDescent="0.25">
      <c r="A204" s="326">
        <v>45717</v>
      </c>
      <c r="B204" s="324" t="s">
        <v>1403</v>
      </c>
      <c r="C204" s="320" t="s">
        <v>490</v>
      </c>
      <c r="D204" s="126">
        <v>5</v>
      </c>
      <c r="E204" s="126">
        <v>815</v>
      </c>
      <c r="F204" s="193" t="s">
        <v>1304</v>
      </c>
    </row>
    <row r="205" spans="1:6" ht="63.75" x14ac:dyDescent="0.25">
      <c r="A205" s="326">
        <v>45717</v>
      </c>
      <c r="B205" s="324" t="s">
        <v>1403</v>
      </c>
      <c r="C205" s="320" t="s">
        <v>491</v>
      </c>
      <c r="D205" s="126">
        <v>4</v>
      </c>
      <c r="E205" s="126">
        <v>75</v>
      </c>
      <c r="F205" s="193" t="s">
        <v>1305</v>
      </c>
    </row>
    <row r="206" spans="1:6" ht="76.5" hidden="1" x14ac:dyDescent="0.25">
      <c r="A206" s="326">
        <v>45717</v>
      </c>
      <c r="B206" s="324" t="s">
        <v>1404</v>
      </c>
      <c r="C206" s="320" t="s">
        <v>1414</v>
      </c>
      <c r="D206" s="126">
        <v>4</v>
      </c>
      <c r="E206" s="126">
        <v>385</v>
      </c>
      <c r="F206" s="193" t="s">
        <v>1315</v>
      </c>
    </row>
    <row r="207" spans="1:6" ht="89.25" hidden="1" x14ac:dyDescent="0.25">
      <c r="A207" s="326">
        <v>45717</v>
      </c>
      <c r="B207" s="324" t="s">
        <v>1404</v>
      </c>
      <c r="C207" s="320" t="s">
        <v>490</v>
      </c>
      <c r="D207" s="126">
        <v>6</v>
      </c>
      <c r="E207" s="126">
        <v>340</v>
      </c>
      <c r="F207" s="193" t="s">
        <v>1316</v>
      </c>
    </row>
    <row r="208" spans="1:6" ht="306" x14ac:dyDescent="0.25">
      <c r="A208" s="326">
        <v>45717</v>
      </c>
      <c r="B208" s="324" t="s">
        <v>1404</v>
      </c>
      <c r="C208" s="320" t="s">
        <v>491</v>
      </c>
      <c r="D208" s="126">
        <v>21</v>
      </c>
      <c r="E208" s="126">
        <v>910</v>
      </c>
      <c r="F208" s="193" t="s">
        <v>1317</v>
      </c>
    </row>
    <row r="209" spans="1:6" ht="63.75" hidden="1" x14ac:dyDescent="0.25">
      <c r="A209" s="326">
        <v>45717</v>
      </c>
      <c r="B209" s="324" t="s">
        <v>1405</v>
      </c>
      <c r="C209" s="320" t="s">
        <v>1414</v>
      </c>
      <c r="D209" s="126">
        <v>5</v>
      </c>
      <c r="E209" s="126">
        <v>185</v>
      </c>
      <c r="F209" s="193" t="s">
        <v>1347</v>
      </c>
    </row>
    <row r="210" spans="1:6" ht="25.5" hidden="1" x14ac:dyDescent="0.25">
      <c r="A210" s="326">
        <v>45717</v>
      </c>
      <c r="B210" s="324" t="s">
        <v>1405</v>
      </c>
      <c r="C210" s="320" t="s">
        <v>490</v>
      </c>
      <c r="D210" s="126">
        <v>2</v>
      </c>
      <c r="E210" s="126">
        <v>200</v>
      </c>
      <c r="F210" s="193" t="s">
        <v>1348</v>
      </c>
    </row>
    <row r="211" spans="1:6" ht="18.75" x14ac:dyDescent="0.25">
      <c r="A211" s="326">
        <v>45717</v>
      </c>
      <c r="B211" s="324" t="s">
        <v>1405</v>
      </c>
      <c r="C211" s="320" t="s">
        <v>491</v>
      </c>
      <c r="D211" s="126">
        <v>1</v>
      </c>
      <c r="E211" s="126">
        <v>35</v>
      </c>
      <c r="F211" s="193" t="s">
        <v>1349</v>
      </c>
    </row>
    <row r="212" spans="1:6" ht="127.5" hidden="1" x14ac:dyDescent="0.25">
      <c r="A212" s="326">
        <v>45717</v>
      </c>
      <c r="B212" s="324" t="s">
        <v>1406</v>
      </c>
      <c r="C212" s="320" t="s">
        <v>1414</v>
      </c>
      <c r="D212" s="126">
        <v>9</v>
      </c>
      <c r="E212" s="126">
        <v>580</v>
      </c>
      <c r="F212" s="193" t="s">
        <v>1385</v>
      </c>
    </row>
    <row r="213" spans="1:6" ht="63.75" hidden="1" x14ac:dyDescent="0.25">
      <c r="A213" s="326">
        <v>45717</v>
      </c>
      <c r="B213" s="324" t="s">
        <v>1406</v>
      </c>
      <c r="C213" s="320" t="s">
        <v>490</v>
      </c>
      <c r="D213" s="126">
        <v>4</v>
      </c>
      <c r="E213" s="126">
        <v>221</v>
      </c>
      <c r="F213" s="193" t="s">
        <v>1386</v>
      </c>
    </row>
    <row r="214" spans="1:6" ht="127.5" x14ac:dyDescent="0.25">
      <c r="A214" s="326">
        <v>45717</v>
      </c>
      <c r="B214" s="324" t="s">
        <v>1406</v>
      </c>
      <c r="C214" s="320" t="s">
        <v>491</v>
      </c>
      <c r="D214" s="126">
        <v>8</v>
      </c>
      <c r="E214" s="126">
        <v>426</v>
      </c>
      <c r="F214" s="193" t="s">
        <v>1387</v>
      </c>
    </row>
    <row r="215" spans="1:6" ht="216.75" hidden="1" x14ac:dyDescent="0.25">
      <c r="A215" s="326">
        <v>45717</v>
      </c>
      <c r="B215" s="324" t="s">
        <v>1407</v>
      </c>
      <c r="C215" s="320" t="s">
        <v>1414</v>
      </c>
      <c r="D215" s="126">
        <v>15</v>
      </c>
      <c r="E215" s="126">
        <v>2675</v>
      </c>
      <c r="F215" s="193" t="s">
        <v>1266</v>
      </c>
    </row>
    <row r="216" spans="1:6" ht="63.75" hidden="1" x14ac:dyDescent="0.25">
      <c r="A216" s="326">
        <v>45717</v>
      </c>
      <c r="B216" s="324" t="s">
        <v>1407</v>
      </c>
      <c r="C216" s="320" t="s">
        <v>490</v>
      </c>
      <c r="D216" s="126">
        <v>5</v>
      </c>
      <c r="E216" s="126">
        <v>208</v>
      </c>
      <c r="F216" s="286" t="s">
        <v>1268</v>
      </c>
    </row>
    <row r="217" spans="1:6" ht="369.75" x14ac:dyDescent="0.25">
      <c r="A217" s="326">
        <v>45717</v>
      </c>
      <c r="B217" s="324" t="s">
        <v>1407</v>
      </c>
      <c r="C217" s="320" t="s">
        <v>491</v>
      </c>
      <c r="D217" s="126">
        <v>29</v>
      </c>
      <c r="E217" s="126">
        <v>2008</v>
      </c>
      <c r="F217" s="286" t="s">
        <v>1267</v>
      </c>
    </row>
    <row r="218" spans="1:6" ht="18.75" hidden="1" x14ac:dyDescent="0.25">
      <c r="A218" s="326">
        <v>45717</v>
      </c>
      <c r="B218" s="324" t="s">
        <v>1408</v>
      </c>
      <c r="C218" s="320" t="s">
        <v>1414</v>
      </c>
      <c r="D218" s="126">
        <v>1</v>
      </c>
      <c r="E218" s="126">
        <v>100</v>
      </c>
      <c r="F218" s="193" t="s">
        <v>1389</v>
      </c>
    </row>
    <row r="219" spans="1:6" ht="114.75" hidden="1" x14ac:dyDescent="0.25">
      <c r="A219" s="326">
        <v>45717</v>
      </c>
      <c r="B219" s="324" t="s">
        <v>1408</v>
      </c>
      <c r="C219" s="320" t="s">
        <v>490</v>
      </c>
      <c r="D219" s="126">
        <v>9</v>
      </c>
      <c r="E219" s="126">
        <v>195</v>
      </c>
      <c r="F219" s="193" t="s">
        <v>1388</v>
      </c>
    </row>
    <row r="220" spans="1:6" ht="18.75" x14ac:dyDescent="0.25">
      <c r="A220" s="326">
        <v>45717</v>
      </c>
      <c r="B220" s="324" t="s">
        <v>1408</v>
      </c>
      <c r="C220" s="320" t="s">
        <v>491</v>
      </c>
      <c r="D220" s="126"/>
      <c r="E220" s="126"/>
      <c r="F220" s="180"/>
    </row>
    <row r="221" spans="1:6" ht="76.5" hidden="1" x14ac:dyDescent="0.25">
      <c r="A221" s="326">
        <v>45717</v>
      </c>
      <c r="B221" s="324" t="s">
        <v>1409</v>
      </c>
      <c r="C221" s="320" t="s">
        <v>1414</v>
      </c>
      <c r="D221" s="126">
        <v>5</v>
      </c>
      <c r="E221" s="126">
        <v>370</v>
      </c>
      <c r="F221" s="193" t="s">
        <v>1330</v>
      </c>
    </row>
    <row r="222" spans="1:6" ht="89.25" hidden="1" x14ac:dyDescent="0.25">
      <c r="A222" s="326">
        <v>45717</v>
      </c>
      <c r="B222" s="324" t="s">
        <v>1409</v>
      </c>
      <c r="C222" s="320" t="s">
        <v>490</v>
      </c>
      <c r="D222" s="126">
        <v>6</v>
      </c>
      <c r="E222" s="126">
        <v>280</v>
      </c>
      <c r="F222" s="193" t="s">
        <v>1331</v>
      </c>
    </row>
    <row r="223" spans="1:6" ht="18.75" x14ac:dyDescent="0.25">
      <c r="A223" s="326">
        <v>45717</v>
      </c>
      <c r="B223" s="324" t="s">
        <v>1409</v>
      </c>
      <c r="C223" s="320" t="s">
        <v>491</v>
      </c>
      <c r="D223" s="126"/>
      <c r="E223" s="126"/>
      <c r="F223" s="180"/>
    </row>
    <row r="224" spans="1:6" ht="76.5" hidden="1" x14ac:dyDescent="0.25">
      <c r="A224" s="326">
        <v>45717</v>
      </c>
      <c r="B224" s="324" t="s">
        <v>1410</v>
      </c>
      <c r="C224" s="320" t="s">
        <v>1414</v>
      </c>
      <c r="D224" s="126">
        <v>5</v>
      </c>
      <c r="E224" s="126">
        <v>1015</v>
      </c>
      <c r="F224" s="193" t="s">
        <v>1298</v>
      </c>
    </row>
    <row r="225" spans="1:6" ht="216.75" hidden="1" x14ac:dyDescent="0.25">
      <c r="A225" s="326">
        <v>45717</v>
      </c>
      <c r="B225" s="324" t="s">
        <v>1410</v>
      </c>
      <c r="C225" s="320" t="s">
        <v>490</v>
      </c>
      <c r="D225" s="126">
        <v>11</v>
      </c>
      <c r="E225" s="126">
        <v>1220</v>
      </c>
      <c r="F225" s="193" t="s">
        <v>1299</v>
      </c>
    </row>
    <row r="226" spans="1:6" ht="51" x14ac:dyDescent="0.25">
      <c r="A226" s="326">
        <v>45717</v>
      </c>
      <c r="B226" s="324" t="s">
        <v>1410</v>
      </c>
      <c r="C226" s="320" t="s">
        <v>491</v>
      </c>
      <c r="D226" s="126">
        <v>3</v>
      </c>
      <c r="E226" s="126">
        <v>92</v>
      </c>
      <c r="F226" s="193" t="s">
        <v>1300</v>
      </c>
    </row>
    <row r="227" spans="1:6" ht="76.5" hidden="1" x14ac:dyDescent="0.25">
      <c r="A227" s="326">
        <v>45717</v>
      </c>
      <c r="B227" s="324" t="s">
        <v>1411</v>
      </c>
      <c r="C227" s="320" t="s">
        <v>1414</v>
      </c>
      <c r="D227" s="194">
        <v>4</v>
      </c>
      <c r="E227" s="194">
        <v>490</v>
      </c>
      <c r="F227" s="193" t="s">
        <v>1323</v>
      </c>
    </row>
    <row r="228" spans="1:6" ht="25.5" hidden="1" x14ac:dyDescent="0.25">
      <c r="A228" s="326">
        <v>45717</v>
      </c>
      <c r="B228" s="324" t="s">
        <v>1411</v>
      </c>
      <c r="C228" s="320" t="s">
        <v>490</v>
      </c>
      <c r="D228" s="194">
        <v>2</v>
      </c>
      <c r="E228" s="194">
        <v>190</v>
      </c>
      <c r="F228" s="193" t="s">
        <v>1324</v>
      </c>
    </row>
    <row r="229" spans="1:6" ht="18.75" x14ac:dyDescent="0.25">
      <c r="A229" s="326">
        <v>45717</v>
      </c>
      <c r="B229" s="324" t="s">
        <v>1411</v>
      </c>
      <c r="C229" s="320" t="s">
        <v>491</v>
      </c>
      <c r="D229" s="126">
        <v>1</v>
      </c>
      <c r="E229" s="126">
        <v>5</v>
      </c>
      <c r="F229" s="193" t="s">
        <v>1325</v>
      </c>
    </row>
    <row r="230" spans="1:6" ht="51" hidden="1" x14ac:dyDescent="0.25">
      <c r="A230" s="326">
        <v>45717</v>
      </c>
      <c r="B230" s="324" t="s">
        <v>1412</v>
      </c>
      <c r="C230" s="320" t="s">
        <v>1414</v>
      </c>
      <c r="D230" s="126">
        <v>4</v>
      </c>
      <c r="E230" s="126">
        <v>165</v>
      </c>
      <c r="F230" s="193" t="s">
        <v>1360</v>
      </c>
    </row>
    <row r="231" spans="1:6" ht="242.25" hidden="1" x14ac:dyDescent="0.25">
      <c r="A231" s="326">
        <v>45717</v>
      </c>
      <c r="B231" s="324" t="s">
        <v>1412</v>
      </c>
      <c r="C231" s="320" t="s">
        <v>490</v>
      </c>
      <c r="D231" s="126">
        <v>18</v>
      </c>
      <c r="E231" s="126">
        <v>410</v>
      </c>
      <c r="F231" s="193" t="s">
        <v>1361</v>
      </c>
    </row>
    <row r="232" spans="1:6" ht="18.75" x14ac:dyDescent="0.25">
      <c r="A232" s="326">
        <v>45717</v>
      </c>
      <c r="B232" s="324" t="s">
        <v>1412</v>
      </c>
      <c r="C232" s="320" t="s">
        <v>491</v>
      </c>
      <c r="D232" s="126"/>
      <c r="E232" s="126"/>
      <c r="F232" s="180"/>
    </row>
    <row r="233" spans="1:6" ht="127.5" hidden="1" x14ac:dyDescent="0.25">
      <c r="A233" s="340">
        <v>45717</v>
      </c>
      <c r="B233" s="341" t="s">
        <v>1413</v>
      </c>
      <c r="C233" s="320" t="s">
        <v>1414</v>
      </c>
      <c r="D233" s="126">
        <v>9</v>
      </c>
      <c r="E233" s="126">
        <v>1530</v>
      </c>
      <c r="F233" s="193" t="s">
        <v>1289</v>
      </c>
    </row>
    <row r="234" spans="1:6" ht="63.75" hidden="1" x14ac:dyDescent="0.25">
      <c r="A234" s="340">
        <v>45717</v>
      </c>
      <c r="B234" s="341" t="s">
        <v>1413</v>
      </c>
      <c r="C234" s="320" t="s">
        <v>490</v>
      </c>
      <c r="D234" s="126">
        <v>5</v>
      </c>
      <c r="E234" s="126">
        <v>185</v>
      </c>
      <c r="F234" s="193" t="s">
        <v>1291</v>
      </c>
    </row>
    <row r="235" spans="1:6" ht="18.75" x14ac:dyDescent="0.25">
      <c r="A235" s="340">
        <v>45717</v>
      </c>
      <c r="B235" s="341" t="s">
        <v>1413</v>
      </c>
      <c r="C235" s="320" t="s">
        <v>491</v>
      </c>
      <c r="D235" s="126">
        <v>1</v>
      </c>
      <c r="E235" s="126">
        <v>5</v>
      </c>
      <c r="F235" s="193" t="s">
        <v>1290</v>
      </c>
    </row>
    <row r="236" spans="1:6" ht="18.75" x14ac:dyDescent="0.25">
      <c r="A236" s="332"/>
      <c r="B236" s="330" t="s">
        <v>1413</v>
      </c>
      <c r="C236" s="238" t="s">
        <v>491</v>
      </c>
      <c r="D236" s="126">
        <v>1</v>
      </c>
      <c r="E236" s="126">
        <v>4</v>
      </c>
      <c r="F236" s="180" t="s">
        <v>756</v>
      </c>
    </row>
  </sheetData>
  <autoFilter ref="A1:F236" xr:uid="{00000000-0009-0000-0000-00001E000000}">
    <filterColumn colId="2">
      <filters>
        <filter val="TRAINING"/>
      </filters>
    </filterColumn>
  </autoFilter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filterMode="1"/>
  <dimension ref="A1:F235"/>
  <sheetViews>
    <sheetView topLeftCell="A208" workbookViewId="0">
      <selection activeCell="E4" sqref="E4:E235"/>
    </sheetView>
  </sheetViews>
  <sheetFormatPr defaultRowHeight="18.75" x14ac:dyDescent="0.25"/>
  <cols>
    <col min="1" max="1" width="10.85546875" style="339" bestFit="1" customWidth="1"/>
    <col min="2" max="2" width="14.85546875" style="174" bestFit="1" customWidth="1"/>
    <col min="3" max="3" width="23.85546875" style="174" customWidth="1"/>
    <col min="4" max="4" width="18.140625" style="6" customWidth="1"/>
    <col min="5" max="5" width="13.42578125" style="6" customWidth="1"/>
    <col min="6" max="6" width="81" style="163" customWidth="1"/>
  </cols>
  <sheetData>
    <row r="1" spans="1:6" ht="56.25" x14ac:dyDescent="0.25">
      <c r="A1" s="329" t="s">
        <v>1421</v>
      </c>
      <c r="B1" s="329" t="s">
        <v>1422</v>
      </c>
      <c r="C1" s="329" t="s">
        <v>1423</v>
      </c>
      <c r="D1" s="329" t="s">
        <v>1417</v>
      </c>
      <c r="E1" s="329" t="s">
        <v>1424</v>
      </c>
      <c r="F1" s="329" t="s">
        <v>1419</v>
      </c>
    </row>
    <row r="2" spans="1:6" ht="20.25" hidden="1" x14ac:dyDescent="0.25">
      <c r="A2" s="344">
        <v>45383</v>
      </c>
      <c r="B2" s="336" t="s">
        <v>1401</v>
      </c>
      <c r="C2" s="240" t="s">
        <v>489</v>
      </c>
      <c r="D2" s="34">
        <v>1</v>
      </c>
      <c r="E2" s="34">
        <v>30</v>
      </c>
      <c r="F2" s="177" t="s">
        <v>506</v>
      </c>
    </row>
    <row r="3" spans="1:6" ht="20.25" hidden="1" x14ac:dyDescent="0.25">
      <c r="A3" s="344">
        <v>45383</v>
      </c>
      <c r="B3" s="336" t="s">
        <v>1401</v>
      </c>
      <c r="C3" s="240" t="s">
        <v>490</v>
      </c>
      <c r="D3" s="34">
        <v>1</v>
      </c>
      <c r="E3" s="34">
        <v>150</v>
      </c>
      <c r="F3" s="177" t="s">
        <v>472</v>
      </c>
    </row>
    <row r="4" spans="1:6" ht="121.5" x14ac:dyDescent="0.25">
      <c r="A4" s="344">
        <v>45383</v>
      </c>
      <c r="B4" s="336" t="s">
        <v>1401</v>
      </c>
      <c r="C4" s="240" t="s">
        <v>491</v>
      </c>
      <c r="D4" s="34">
        <v>6</v>
      </c>
      <c r="E4" s="34">
        <v>353</v>
      </c>
      <c r="F4" s="177" t="s">
        <v>473</v>
      </c>
    </row>
    <row r="5" spans="1:6" ht="20.25" hidden="1" x14ac:dyDescent="0.25">
      <c r="A5" s="344">
        <v>45383</v>
      </c>
      <c r="B5" s="336" t="s">
        <v>1402</v>
      </c>
      <c r="C5" s="240" t="s">
        <v>489</v>
      </c>
      <c r="D5" s="34">
        <v>1</v>
      </c>
      <c r="E5" s="34">
        <v>500</v>
      </c>
      <c r="F5" s="177" t="s">
        <v>503</v>
      </c>
    </row>
    <row r="6" spans="1:6" ht="20.25" hidden="1" x14ac:dyDescent="0.25">
      <c r="A6" s="344">
        <v>45383</v>
      </c>
      <c r="B6" s="336" t="s">
        <v>1402</v>
      </c>
      <c r="C6" s="240" t="s">
        <v>490</v>
      </c>
      <c r="D6" s="34"/>
      <c r="E6" s="34"/>
      <c r="F6" s="177"/>
    </row>
    <row r="7" spans="1:6" ht="40.5" x14ac:dyDescent="0.25">
      <c r="A7" s="344">
        <v>45383</v>
      </c>
      <c r="B7" s="336" t="s">
        <v>1402</v>
      </c>
      <c r="C7" s="240" t="s">
        <v>491</v>
      </c>
      <c r="D7" s="34">
        <v>2</v>
      </c>
      <c r="E7" s="34">
        <v>350</v>
      </c>
      <c r="F7" s="177" t="s">
        <v>474</v>
      </c>
    </row>
    <row r="8" spans="1:6" ht="20.25" hidden="1" x14ac:dyDescent="0.25">
      <c r="A8" s="344">
        <v>45383</v>
      </c>
      <c r="B8" s="336" t="s">
        <v>1403</v>
      </c>
      <c r="C8" s="240" t="s">
        <v>489</v>
      </c>
      <c r="D8" s="34">
        <v>1</v>
      </c>
      <c r="E8" s="34">
        <v>55</v>
      </c>
      <c r="F8" s="177" t="s">
        <v>480</v>
      </c>
    </row>
    <row r="9" spans="1:6" ht="60.75" hidden="1" x14ac:dyDescent="0.25">
      <c r="A9" s="344">
        <v>45383</v>
      </c>
      <c r="B9" s="336" t="s">
        <v>1403</v>
      </c>
      <c r="C9" s="240" t="s">
        <v>490</v>
      </c>
      <c r="D9" s="34">
        <v>2</v>
      </c>
      <c r="E9" s="34">
        <v>550</v>
      </c>
      <c r="F9" s="177" t="s">
        <v>481</v>
      </c>
    </row>
    <row r="10" spans="1:6" ht="20.25" x14ac:dyDescent="0.25">
      <c r="A10" s="344">
        <v>45383</v>
      </c>
      <c r="B10" s="336" t="s">
        <v>1403</v>
      </c>
      <c r="C10" s="240" t="s">
        <v>491</v>
      </c>
      <c r="D10" s="34"/>
      <c r="E10" s="34"/>
      <c r="F10" s="177"/>
    </row>
    <row r="11" spans="1:6" ht="60.75" hidden="1" x14ac:dyDescent="0.25">
      <c r="A11" s="344">
        <v>45383</v>
      </c>
      <c r="B11" s="336" t="s">
        <v>1404</v>
      </c>
      <c r="C11" s="240" t="s">
        <v>489</v>
      </c>
      <c r="D11" s="34">
        <v>3</v>
      </c>
      <c r="E11" s="34">
        <v>460</v>
      </c>
      <c r="F11" s="177" t="s">
        <v>475</v>
      </c>
    </row>
    <row r="12" spans="1:6" ht="101.25" hidden="1" x14ac:dyDescent="0.25">
      <c r="A12" s="344">
        <v>45383</v>
      </c>
      <c r="B12" s="336" t="s">
        <v>1404</v>
      </c>
      <c r="C12" s="240" t="s">
        <v>490</v>
      </c>
      <c r="D12" s="34">
        <v>5</v>
      </c>
      <c r="E12" s="34">
        <v>118</v>
      </c>
      <c r="F12" s="177" t="s">
        <v>476</v>
      </c>
    </row>
    <row r="13" spans="1:6" ht="101.25" x14ac:dyDescent="0.25">
      <c r="A13" s="344">
        <v>45383</v>
      </c>
      <c r="B13" s="336" t="s">
        <v>1404</v>
      </c>
      <c r="C13" s="240" t="s">
        <v>491</v>
      </c>
      <c r="D13" s="34">
        <v>5</v>
      </c>
      <c r="E13" s="34">
        <v>238</v>
      </c>
      <c r="F13" s="177" t="s">
        <v>477</v>
      </c>
    </row>
    <row r="14" spans="1:6" ht="20.25" hidden="1" x14ac:dyDescent="0.25">
      <c r="A14" s="344">
        <v>45383</v>
      </c>
      <c r="B14" s="336" t="s">
        <v>1405</v>
      </c>
      <c r="C14" s="240" t="s">
        <v>489</v>
      </c>
      <c r="D14" s="34"/>
      <c r="E14" s="34"/>
      <c r="F14" s="177"/>
    </row>
    <row r="15" spans="1:6" ht="40.5" hidden="1" x14ac:dyDescent="0.25">
      <c r="A15" s="344">
        <v>45383</v>
      </c>
      <c r="B15" s="336" t="s">
        <v>1405</v>
      </c>
      <c r="C15" s="240" t="s">
        <v>490</v>
      </c>
      <c r="D15" s="34">
        <v>2</v>
      </c>
      <c r="E15" s="34">
        <v>150</v>
      </c>
      <c r="F15" s="177" t="s">
        <v>482</v>
      </c>
    </row>
    <row r="16" spans="1:6" ht="60.75" x14ac:dyDescent="0.25">
      <c r="A16" s="344">
        <v>45383</v>
      </c>
      <c r="B16" s="336" t="s">
        <v>1405</v>
      </c>
      <c r="C16" s="240" t="s">
        <v>491</v>
      </c>
      <c r="D16" s="34">
        <v>3</v>
      </c>
      <c r="E16" s="34">
        <v>204</v>
      </c>
      <c r="F16" s="177" t="s">
        <v>483</v>
      </c>
    </row>
    <row r="17" spans="1:6" ht="409.5" hidden="1" x14ac:dyDescent="0.25">
      <c r="A17" s="344">
        <v>45383</v>
      </c>
      <c r="B17" s="336" t="s">
        <v>1406</v>
      </c>
      <c r="C17" s="240" t="s">
        <v>489</v>
      </c>
      <c r="D17" s="34">
        <v>22</v>
      </c>
      <c r="E17" s="34">
        <v>1685</v>
      </c>
      <c r="F17" s="177" t="s">
        <v>499</v>
      </c>
    </row>
    <row r="18" spans="1:6" ht="121.5" hidden="1" x14ac:dyDescent="0.25">
      <c r="A18" s="344">
        <v>45383</v>
      </c>
      <c r="B18" s="336" t="s">
        <v>1406</v>
      </c>
      <c r="C18" s="240" t="s">
        <v>490</v>
      </c>
      <c r="D18" s="34">
        <v>2</v>
      </c>
      <c r="E18" s="34">
        <v>400</v>
      </c>
      <c r="F18" s="177" t="s">
        <v>497</v>
      </c>
    </row>
    <row r="19" spans="1:6" ht="81" x14ac:dyDescent="0.25">
      <c r="A19" s="344">
        <v>45383</v>
      </c>
      <c r="B19" s="336" t="s">
        <v>1406</v>
      </c>
      <c r="C19" s="240" t="s">
        <v>491</v>
      </c>
      <c r="D19" s="34">
        <v>2</v>
      </c>
      <c r="E19" s="34">
        <v>270</v>
      </c>
      <c r="F19" s="177" t="s">
        <v>498</v>
      </c>
    </row>
    <row r="20" spans="1:6" ht="162" hidden="1" x14ac:dyDescent="0.25">
      <c r="A20" s="344">
        <v>45383</v>
      </c>
      <c r="B20" s="336" t="s">
        <v>1438</v>
      </c>
      <c r="C20" s="240" t="s">
        <v>489</v>
      </c>
      <c r="D20" s="34">
        <v>7</v>
      </c>
      <c r="E20" s="34">
        <v>1662</v>
      </c>
      <c r="F20" s="177" t="s">
        <v>484</v>
      </c>
    </row>
    <row r="21" spans="1:6" ht="222.75" hidden="1" x14ac:dyDescent="0.25">
      <c r="A21" s="344">
        <v>45383</v>
      </c>
      <c r="B21" s="336" t="s">
        <v>1438</v>
      </c>
      <c r="C21" s="240" t="s">
        <v>490</v>
      </c>
      <c r="D21" s="34">
        <v>8</v>
      </c>
      <c r="E21" s="34">
        <v>3601</v>
      </c>
      <c r="F21" s="177" t="s">
        <v>485</v>
      </c>
    </row>
    <row r="22" spans="1:6" ht="409.5" x14ac:dyDescent="0.25">
      <c r="A22" s="344">
        <v>45383</v>
      </c>
      <c r="B22" s="336" t="s">
        <v>1438</v>
      </c>
      <c r="C22" s="240" t="s">
        <v>491</v>
      </c>
      <c r="D22" s="34">
        <v>23</v>
      </c>
      <c r="E22" s="34">
        <v>553</v>
      </c>
      <c r="F22" s="178" t="s">
        <v>486</v>
      </c>
    </row>
    <row r="23" spans="1:6" ht="40.5" hidden="1" x14ac:dyDescent="0.25">
      <c r="A23" s="344">
        <v>45383</v>
      </c>
      <c r="B23" s="336" t="s">
        <v>1408</v>
      </c>
      <c r="C23" s="240" t="s">
        <v>489</v>
      </c>
      <c r="D23" s="34">
        <v>2</v>
      </c>
      <c r="E23" s="34">
        <v>275</v>
      </c>
      <c r="F23" s="179" t="s">
        <v>479</v>
      </c>
    </row>
    <row r="24" spans="1:6" ht="81" hidden="1" x14ac:dyDescent="0.25">
      <c r="A24" s="344">
        <v>45383</v>
      </c>
      <c r="B24" s="336" t="s">
        <v>1408</v>
      </c>
      <c r="C24" s="240" t="s">
        <v>490</v>
      </c>
      <c r="D24" s="34">
        <v>4</v>
      </c>
      <c r="E24" s="34">
        <v>115</v>
      </c>
      <c r="F24" s="177" t="s">
        <v>478</v>
      </c>
    </row>
    <row r="25" spans="1:6" ht="20.25" x14ac:dyDescent="0.25">
      <c r="A25" s="344">
        <v>45383</v>
      </c>
      <c r="B25" s="336" t="s">
        <v>1408</v>
      </c>
      <c r="C25" s="240" t="s">
        <v>491</v>
      </c>
      <c r="D25" s="34"/>
      <c r="E25" s="34"/>
      <c r="F25" s="177"/>
    </row>
    <row r="26" spans="1:6" ht="60.75" hidden="1" x14ac:dyDescent="0.25">
      <c r="A26" s="344">
        <v>45383</v>
      </c>
      <c r="B26" s="336" t="s">
        <v>1409</v>
      </c>
      <c r="C26" s="240" t="s">
        <v>489</v>
      </c>
      <c r="D26" s="34">
        <v>3</v>
      </c>
      <c r="E26" s="34">
        <v>540</v>
      </c>
      <c r="F26" s="177" t="s">
        <v>500</v>
      </c>
    </row>
    <row r="27" spans="1:6" ht="40.5" hidden="1" x14ac:dyDescent="0.25">
      <c r="A27" s="344">
        <v>45383</v>
      </c>
      <c r="B27" s="336" t="s">
        <v>1409</v>
      </c>
      <c r="C27" s="240" t="s">
        <v>490</v>
      </c>
      <c r="D27" s="34">
        <v>2</v>
      </c>
      <c r="E27" s="34">
        <v>33</v>
      </c>
      <c r="F27" s="177" t="s">
        <v>501</v>
      </c>
    </row>
    <row r="28" spans="1:6" ht="20.25" x14ac:dyDescent="0.25">
      <c r="A28" s="344">
        <v>45383</v>
      </c>
      <c r="B28" s="336" t="s">
        <v>1409</v>
      </c>
      <c r="C28" s="240" t="s">
        <v>491</v>
      </c>
      <c r="D28" s="34"/>
      <c r="E28" s="34"/>
      <c r="F28" s="177"/>
    </row>
    <row r="29" spans="1:6" ht="40.5" hidden="1" x14ac:dyDescent="0.25">
      <c r="A29" s="344">
        <v>45383</v>
      </c>
      <c r="B29" s="336" t="s">
        <v>1410</v>
      </c>
      <c r="C29" s="240" t="s">
        <v>489</v>
      </c>
      <c r="D29" s="34">
        <v>2</v>
      </c>
      <c r="E29" s="34">
        <v>245</v>
      </c>
      <c r="F29" s="177" t="s">
        <v>487</v>
      </c>
    </row>
    <row r="30" spans="1:6" ht="20.25" hidden="1" x14ac:dyDescent="0.25">
      <c r="A30" s="344">
        <v>45383</v>
      </c>
      <c r="B30" s="336" t="s">
        <v>1410</v>
      </c>
      <c r="C30" s="240" t="s">
        <v>490</v>
      </c>
      <c r="D30" s="34">
        <v>1</v>
      </c>
      <c r="E30" s="34">
        <v>126</v>
      </c>
      <c r="F30" s="177" t="s">
        <v>488</v>
      </c>
    </row>
    <row r="31" spans="1:6" ht="20.25" x14ac:dyDescent="0.25">
      <c r="A31" s="344">
        <v>45383</v>
      </c>
      <c r="B31" s="336" t="s">
        <v>1410</v>
      </c>
      <c r="C31" s="240" t="s">
        <v>491</v>
      </c>
      <c r="D31" s="34"/>
      <c r="E31" s="34"/>
      <c r="F31" s="177"/>
    </row>
    <row r="32" spans="1:6" ht="20.25" hidden="1" x14ac:dyDescent="0.25">
      <c r="A32" s="344">
        <v>45383</v>
      </c>
      <c r="B32" s="336" t="s">
        <v>1411</v>
      </c>
      <c r="C32" s="240" t="s">
        <v>489</v>
      </c>
      <c r="D32" s="34">
        <v>1</v>
      </c>
      <c r="E32" s="34">
        <v>35</v>
      </c>
      <c r="F32" s="177" t="s">
        <v>471</v>
      </c>
    </row>
    <row r="33" spans="1:6" ht="20.25" hidden="1" x14ac:dyDescent="0.25">
      <c r="A33" s="344">
        <v>45383</v>
      </c>
      <c r="B33" s="336" t="s">
        <v>1411</v>
      </c>
      <c r="C33" s="240" t="s">
        <v>490</v>
      </c>
      <c r="D33" s="34">
        <v>1</v>
      </c>
      <c r="E33" s="34">
        <v>150</v>
      </c>
      <c r="F33" s="177" t="s">
        <v>470</v>
      </c>
    </row>
    <row r="34" spans="1:6" ht="20.25" x14ac:dyDescent="0.25">
      <c r="A34" s="344">
        <v>45383</v>
      </c>
      <c r="B34" s="336" t="s">
        <v>1411</v>
      </c>
      <c r="C34" s="240" t="s">
        <v>491</v>
      </c>
      <c r="D34" s="34"/>
      <c r="E34" s="34"/>
      <c r="F34" s="177"/>
    </row>
    <row r="35" spans="1:6" ht="101.25" hidden="1" x14ac:dyDescent="0.25">
      <c r="A35" s="344">
        <v>45383</v>
      </c>
      <c r="B35" s="336" t="s">
        <v>1452</v>
      </c>
      <c r="C35" s="240" t="s">
        <v>489</v>
      </c>
      <c r="D35" s="34">
        <v>4</v>
      </c>
      <c r="E35" s="34">
        <v>430</v>
      </c>
      <c r="F35" s="177" t="s">
        <v>492</v>
      </c>
    </row>
    <row r="36" spans="1:6" ht="409.5" hidden="1" x14ac:dyDescent="0.25">
      <c r="A36" s="344">
        <v>45383</v>
      </c>
      <c r="B36" s="336" t="s">
        <v>1452</v>
      </c>
      <c r="C36" s="240" t="s">
        <v>490</v>
      </c>
      <c r="D36" s="34">
        <v>21</v>
      </c>
      <c r="E36" s="34">
        <v>1435</v>
      </c>
      <c r="F36" s="177" t="s">
        <v>493</v>
      </c>
    </row>
    <row r="37" spans="1:6" ht="20.25" x14ac:dyDescent="0.25">
      <c r="A37" s="344">
        <v>45383</v>
      </c>
      <c r="B37" s="336" t="s">
        <v>1452</v>
      </c>
      <c r="C37" s="240" t="s">
        <v>491</v>
      </c>
      <c r="D37" s="34"/>
      <c r="E37" s="34"/>
      <c r="F37" s="177"/>
    </row>
    <row r="38" spans="1:6" ht="162" hidden="1" x14ac:dyDescent="0.25">
      <c r="A38" s="344">
        <v>45383</v>
      </c>
      <c r="B38" s="336" t="s">
        <v>1413</v>
      </c>
      <c r="C38" s="240" t="s">
        <v>489</v>
      </c>
      <c r="D38" s="34">
        <v>8</v>
      </c>
      <c r="E38" s="34">
        <v>1010</v>
      </c>
      <c r="F38" s="177" t="s">
        <v>494</v>
      </c>
    </row>
    <row r="39" spans="1:6" ht="222.75" hidden="1" x14ac:dyDescent="0.25">
      <c r="A39" s="344">
        <v>45383</v>
      </c>
      <c r="B39" s="336" t="s">
        <v>1413</v>
      </c>
      <c r="C39" s="240" t="s">
        <v>490</v>
      </c>
      <c r="D39" s="34">
        <v>17</v>
      </c>
      <c r="E39" s="34">
        <v>984</v>
      </c>
      <c r="F39" s="177" t="s">
        <v>495</v>
      </c>
    </row>
    <row r="40" spans="1:6" ht="162" x14ac:dyDescent="0.25">
      <c r="A40" s="344">
        <v>45383</v>
      </c>
      <c r="B40" s="336" t="s">
        <v>1413</v>
      </c>
      <c r="C40" s="240" t="s">
        <v>491</v>
      </c>
      <c r="D40" s="34">
        <v>7</v>
      </c>
      <c r="E40" s="34">
        <v>278</v>
      </c>
      <c r="F40" s="177" t="s">
        <v>496</v>
      </c>
    </row>
    <row r="41" spans="1:6" ht="101.25" hidden="1" x14ac:dyDescent="0.25">
      <c r="A41" s="345">
        <v>45413</v>
      </c>
      <c r="B41" s="335" t="s">
        <v>1401</v>
      </c>
      <c r="C41" s="191" t="s">
        <v>489</v>
      </c>
      <c r="D41" s="35">
        <v>3</v>
      </c>
      <c r="E41" s="35">
        <v>281</v>
      </c>
      <c r="F41" s="40" t="s">
        <v>602</v>
      </c>
    </row>
    <row r="42" spans="1:6" ht="40.5" hidden="1" x14ac:dyDescent="0.25">
      <c r="A42" s="345">
        <v>45413</v>
      </c>
      <c r="B42" s="335" t="s">
        <v>1401</v>
      </c>
      <c r="C42" s="191" t="s">
        <v>490</v>
      </c>
      <c r="D42" s="35">
        <v>2</v>
      </c>
      <c r="E42" s="35">
        <v>390</v>
      </c>
      <c r="F42" s="40" t="s">
        <v>583</v>
      </c>
    </row>
    <row r="43" spans="1:6" ht="20.25" x14ac:dyDescent="0.25">
      <c r="A43" s="345">
        <v>45413</v>
      </c>
      <c r="B43" s="335" t="s">
        <v>1401</v>
      </c>
      <c r="C43" s="191" t="s">
        <v>491</v>
      </c>
      <c r="D43" s="35"/>
      <c r="E43" s="35"/>
      <c r="F43" s="40"/>
    </row>
    <row r="44" spans="1:6" ht="20.25" hidden="1" x14ac:dyDescent="0.25">
      <c r="A44" s="345">
        <v>45413</v>
      </c>
      <c r="B44" s="335" t="s">
        <v>1402</v>
      </c>
      <c r="C44" s="191" t="s">
        <v>489</v>
      </c>
      <c r="D44" s="35"/>
      <c r="E44" s="35"/>
      <c r="F44" s="40"/>
    </row>
    <row r="45" spans="1:6" ht="20.25" hidden="1" x14ac:dyDescent="0.25">
      <c r="A45" s="345">
        <v>45413</v>
      </c>
      <c r="B45" s="335" t="s">
        <v>1402</v>
      </c>
      <c r="C45" s="191" t="s">
        <v>490</v>
      </c>
      <c r="D45" s="35"/>
      <c r="E45" s="35"/>
      <c r="F45" s="40"/>
    </row>
    <row r="46" spans="1:6" ht="20.25" x14ac:dyDescent="0.25">
      <c r="A46" s="345">
        <v>45413</v>
      </c>
      <c r="B46" s="335" t="s">
        <v>1402</v>
      </c>
      <c r="C46" s="191" t="s">
        <v>491</v>
      </c>
      <c r="D46" s="35"/>
      <c r="E46" s="35"/>
      <c r="F46" s="40"/>
    </row>
    <row r="47" spans="1:6" ht="20.25" hidden="1" x14ac:dyDescent="0.25">
      <c r="A47" s="345">
        <v>45413</v>
      </c>
      <c r="B47" s="335" t="s">
        <v>1403</v>
      </c>
      <c r="C47" s="191" t="s">
        <v>489</v>
      </c>
      <c r="D47" s="35"/>
      <c r="E47" s="35"/>
      <c r="F47" s="40"/>
    </row>
    <row r="48" spans="1:6" ht="60.75" hidden="1" x14ac:dyDescent="0.25">
      <c r="A48" s="345">
        <v>45413</v>
      </c>
      <c r="B48" s="335" t="s">
        <v>1403</v>
      </c>
      <c r="C48" s="191" t="s">
        <v>490</v>
      </c>
      <c r="D48" s="35">
        <v>3</v>
      </c>
      <c r="E48" s="35">
        <v>107</v>
      </c>
      <c r="F48" s="40" t="s">
        <v>584</v>
      </c>
    </row>
    <row r="49" spans="1:6" ht="20.25" x14ac:dyDescent="0.25">
      <c r="A49" s="345">
        <v>45413</v>
      </c>
      <c r="B49" s="335" t="s">
        <v>1403</v>
      </c>
      <c r="C49" s="191" t="s">
        <v>491</v>
      </c>
      <c r="D49" s="35"/>
      <c r="E49" s="35"/>
      <c r="F49" s="40"/>
    </row>
    <row r="50" spans="1:6" ht="20.25" hidden="1" x14ac:dyDescent="0.25">
      <c r="A50" s="345">
        <v>45413</v>
      </c>
      <c r="B50" s="335" t="s">
        <v>1404</v>
      </c>
      <c r="C50" s="191" t="s">
        <v>489</v>
      </c>
      <c r="D50" s="35">
        <v>1</v>
      </c>
      <c r="E50" s="35">
        <v>80</v>
      </c>
      <c r="F50" s="40" t="s">
        <v>592</v>
      </c>
    </row>
    <row r="51" spans="1:6" ht="20.25" hidden="1" x14ac:dyDescent="0.25">
      <c r="A51" s="345">
        <v>45413</v>
      </c>
      <c r="B51" s="335" t="s">
        <v>1404</v>
      </c>
      <c r="C51" s="191" t="s">
        <v>490</v>
      </c>
      <c r="D51" s="35"/>
      <c r="E51" s="35"/>
      <c r="F51" s="40"/>
    </row>
    <row r="52" spans="1:6" ht="20.25" x14ac:dyDescent="0.25">
      <c r="A52" s="345">
        <v>45413</v>
      </c>
      <c r="B52" s="335" t="s">
        <v>1404</v>
      </c>
      <c r="C52" s="191" t="s">
        <v>491</v>
      </c>
      <c r="D52" s="35"/>
      <c r="E52" s="35"/>
      <c r="F52" s="40"/>
    </row>
    <row r="53" spans="1:6" ht="20.25" hidden="1" x14ac:dyDescent="0.25">
      <c r="A53" s="345">
        <v>45413</v>
      </c>
      <c r="B53" s="335" t="s">
        <v>1405</v>
      </c>
      <c r="C53" s="191" t="s">
        <v>489</v>
      </c>
      <c r="D53" s="35">
        <v>2</v>
      </c>
      <c r="E53" s="35">
        <v>22</v>
      </c>
      <c r="F53" s="40" t="s">
        <v>585</v>
      </c>
    </row>
    <row r="54" spans="1:6" ht="40.5" hidden="1" x14ac:dyDescent="0.25">
      <c r="A54" s="345">
        <v>45413</v>
      </c>
      <c r="B54" s="335" t="s">
        <v>1405</v>
      </c>
      <c r="C54" s="191" t="s">
        <v>490</v>
      </c>
      <c r="D54" s="35">
        <v>2</v>
      </c>
      <c r="E54" s="35">
        <v>260</v>
      </c>
      <c r="F54" s="40" t="s">
        <v>586</v>
      </c>
    </row>
    <row r="55" spans="1:6" ht="60.75" x14ac:dyDescent="0.25">
      <c r="A55" s="345">
        <v>45413</v>
      </c>
      <c r="B55" s="335" t="s">
        <v>1405</v>
      </c>
      <c r="C55" s="191" t="s">
        <v>491</v>
      </c>
      <c r="D55" s="35">
        <v>3</v>
      </c>
      <c r="E55" s="35">
        <v>41</v>
      </c>
      <c r="F55" s="40" t="s">
        <v>587</v>
      </c>
    </row>
    <row r="56" spans="1:6" ht="222.75" hidden="1" x14ac:dyDescent="0.25">
      <c r="A56" s="345">
        <v>45413</v>
      </c>
      <c r="B56" s="335" t="s">
        <v>1406</v>
      </c>
      <c r="C56" s="191" t="s">
        <v>489</v>
      </c>
      <c r="D56" s="35">
        <v>11</v>
      </c>
      <c r="E56" s="35">
        <v>1055</v>
      </c>
      <c r="F56" s="40" t="s">
        <v>598</v>
      </c>
    </row>
    <row r="57" spans="1:6" ht="40.5" hidden="1" x14ac:dyDescent="0.25">
      <c r="A57" s="345">
        <v>45413</v>
      </c>
      <c r="B57" s="335" t="s">
        <v>1406</v>
      </c>
      <c r="C57" s="191" t="s">
        <v>490</v>
      </c>
      <c r="D57" s="35">
        <v>2</v>
      </c>
      <c r="E57" s="35">
        <v>400</v>
      </c>
      <c r="F57" s="40" t="s">
        <v>599</v>
      </c>
    </row>
    <row r="58" spans="1:6" ht="20.25" x14ac:dyDescent="0.25">
      <c r="A58" s="345">
        <v>45413</v>
      </c>
      <c r="B58" s="335" t="s">
        <v>1406</v>
      </c>
      <c r="C58" s="191" t="s">
        <v>491</v>
      </c>
      <c r="D58" s="35"/>
      <c r="E58" s="35"/>
      <c r="F58" s="40"/>
    </row>
    <row r="59" spans="1:6" ht="141.75" hidden="1" x14ac:dyDescent="0.25">
      <c r="A59" s="345">
        <v>45413</v>
      </c>
      <c r="B59" s="335" t="s">
        <v>1438</v>
      </c>
      <c r="C59" s="191" t="s">
        <v>489</v>
      </c>
      <c r="D59" s="35">
        <v>7</v>
      </c>
      <c r="E59" s="35">
        <v>1227</v>
      </c>
      <c r="F59" s="40" t="s">
        <v>595</v>
      </c>
    </row>
    <row r="60" spans="1:6" ht="40.5" hidden="1" x14ac:dyDescent="0.25">
      <c r="A60" s="345">
        <v>45413</v>
      </c>
      <c r="B60" s="335" t="s">
        <v>1438</v>
      </c>
      <c r="C60" s="191" t="s">
        <v>490</v>
      </c>
      <c r="D60" s="35">
        <v>2</v>
      </c>
      <c r="E60" s="35">
        <v>300</v>
      </c>
      <c r="F60" s="40" t="s">
        <v>593</v>
      </c>
    </row>
    <row r="61" spans="1:6" ht="409.5" x14ac:dyDescent="0.25">
      <c r="A61" s="345">
        <v>45413</v>
      </c>
      <c r="B61" s="335" t="s">
        <v>1438</v>
      </c>
      <c r="C61" s="191" t="s">
        <v>491</v>
      </c>
      <c r="D61" s="35">
        <v>4</v>
      </c>
      <c r="E61" s="35">
        <v>32</v>
      </c>
      <c r="F61" s="189" t="s">
        <v>594</v>
      </c>
    </row>
    <row r="62" spans="1:6" ht="81" hidden="1" x14ac:dyDescent="0.25">
      <c r="A62" s="345">
        <v>45413</v>
      </c>
      <c r="B62" s="335" t="s">
        <v>1408</v>
      </c>
      <c r="C62" s="191" t="s">
        <v>489</v>
      </c>
      <c r="D62" s="35">
        <v>4</v>
      </c>
      <c r="E62" s="35">
        <v>260</v>
      </c>
      <c r="F62" s="1" t="s">
        <v>588</v>
      </c>
    </row>
    <row r="63" spans="1:6" ht="20.25" hidden="1" x14ac:dyDescent="0.25">
      <c r="A63" s="345">
        <v>45413</v>
      </c>
      <c r="B63" s="335" t="s">
        <v>1408</v>
      </c>
      <c r="C63" s="191" t="s">
        <v>490</v>
      </c>
      <c r="D63" s="35"/>
      <c r="E63" s="35"/>
      <c r="F63" s="40"/>
    </row>
    <row r="64" spans="1:6" ht="20.25" x14ac:dyDescent="0.25">
      <c r="A64" s="345">
        <v>45413</v>
      </c>
      <c r="B64" s="335" t="s">
        <v>1408</v>
      </c>
      <c r="C64" s="191" t="s">
        <v>491</v>
      </c>
      <c r="D64" s="35"/>
      <c r="E64" s="35"/>
      <c r="F64" s="40"/>
    </row>
    <row r="65" spans="1:6" ht="20.25" hidden="1" x14ac:dyDescent="0.25">
      <c r="A65" s="345">
        <v>45413</v>
      </c>
      <c r="B65" s="335" t="s">
        <v>1409</v>
      </c>
      <c r="C65" s="191" t="s">
        <v>489</v>
      </c>
      <c r="D65" s="35">
        <v>1</v>
      </c>
      <c r="E65" s="35">
        <v>425</v>
      </c>
      <c r="F65" s="40" t="s">
        <v>600</v>
      </c>
    </row>
    <row r="66" spans="1:6" ht="20.25" hidden="1" x14ac:dyDescent="0.25">
      <c r="A66" s="345">
        <v>45413</v>
      </c>
      <c r="B66" s="335" t="s">
        <v>1409</v>
      </c>
      <c r="C66" s="191" t="s">
        <v>490</v>
      </c>
      <c r="D66" s="35"/>
      <c r="E66" s="35"/>
      <c r="F66" s="40"/>
    </row>
    <row r="67" spans="1:6" ht="20.25" x14ac:dyDescent="0.25">
      <c r="A67" s="345">
        <v>45413</v>
      </c>
      <c r="B67" s="335" t="s">
        <v>1409</v>
      </c>
      <c r="C67" s="191" t="s">
        <v>491</v>
      </c>
      <c r="D67" s="35"/>
      <c r="E67" s="35"/>
      <c r="F67" s="40"/>
    </row>
    <row r="68" spans="1:6" ht="60.75" hidden="1" x14ac:dyDescent="0.25">
      <c r="A68" s="345">
        <v>45413</v>
      </c>
      <c r="B68" s="335" t="s">
        <v>1410</v>
      </c>
      <c r="C68" s="191" t="s">
        <v>489</v>
      </c>
      <c r="D68" s="35">
        <v>2</v>
      </c>
      <c r="E68" s="35">
        <v>317</v>
      </c>
      <c r="F68" s="40" t="s">
        <v>582</v>
      </c>
    </row>
    <row r="69" spans="1:6" ht="40.5" hidden="1" x14ac:dyDescent="0.25">
      <c r="A69" s="345">
        <v>45413</v>
      </c>
      <c r="B69" s="335" t="s">
        <v>1410</v>
      </c>
      <c r="C69" s="191" t="s">
        <v>490</v>
      </c>
      <c r="D69" s="35">
        <v>2</v>
      </c>
      <c r="E69" s="35">
        <v>180</v>
      </c>
      <c r="F69" s="40" t="s">
        <v>581</v>
      </c>
    </row>
    <row r="70" spans="1:6" ht="20.25" x14ac:dyDescent="0.25">
      <c r="A70" s="345">
        <v>45413</v>
      </c>
      <c r="B70" s="335" t="s">
        <v>1410</v>
      </c>
      <c r="C70" s="191" t="s">
        <v>491</v>
      </c>
      <c r="D70" s="35"/>
      <c r="E70" s="35"/>
      <c r="F70" s="40"/>
    </row>
    <row r="71" spans="1:6" ht="20.25" hidden="1" x14ac:dyDescent="0.25">
      <c r="A71" s="345">
        <v>45413</v>
      </c>
      <c r="B71" s="335" t="s">
        <v>1411</v>
      </c>
      <c r="C71" s="191" t="s">
        <v>489</v>
      </c>
      <c r="D71" s="190"/>
      <c r="E71" s="190"/>
      <c r="F71" s="40"/>
    </row>
    <row r="72" spans="1:6" ht="20.25" hidden="1" x14ac:dyDescent="0.25">
      <c r="A72" s="345">
        <v>45413</v>
      </c>
      <c r="B72" s="335" t="s">
        <v>1411</v>
      </c>
      <c r="C72" s="191" t="s">
        <v>490</v>
      </c>
      <c r="D72" s="35">
        <v>1</v>
      </c>
      <c r="E72" s="35">
        <v>300</v>
      </c>
      <c r="F72" s="40" t="s">
        <v>580</v>
      </c>
    </row>
    <row r="73" spans="1:6" ht="20.25" x14ac:dyDescent="0.25">
      <c r="A73" s="345">
        <v>45413</v>
      </c>
      <c r="B73" s="335" t="s">
        <v>1411</v>
      </c>
      <c r="C73" s="191" t="s">
        <v>491</v>
      </c>
      <c r="D73" s="35"/>
      <c r="E73" s="35"/>
      <c r="F73" s="40"/>
    </row>
    <row r="74" spans="1:6" ht="121.5" hidden="1" x14ac:dyDescent="0.25">
      <c r="A74" s="345">
        <v>45413</v>
      </c>
      <c r="B74" s="335" t="s">
        <v>1452</v>
      </c>
      <c r="C74" s="191" t="s">
        <v>489</v>
      </c>
      <c r="D74" s="35">
        <v>6</v>
      </c>
      <c r="E74" s="35">
        <v>382</v>
      </c>
      <c r="F74" s="40" t="s">
        <v>590</v>
      </c>
    </row>
    <row r="75" spans="1:6" ht="243" hidden="1" x14ac:dyDescent="0.25">
      <c r="A75" s="345">
        <v>45413</v>
      </c>
      <c r="B75" s="335" t="s">
        <v>1452</v>
      </c>
      <c r="C75" s="191" t="s">
        <v>490</v>
      </c>
      <c r="D75" s="35">
        <v>11</v>
      </c>
      <c r="E75" s="35">
        <v>882</v>
      </c>
      <c r="F75" s="40" t="s">
        <v>591</v>
      </c>
    </row>
    <row r="76" spans="1:6" ht="40.5" x14ac:dyDescent="0.25">
      <c r="A76" s="345">
        <v>45413</v>
      </c>
      <c r="B76" s="335" t="s">
        <v>1452</v>
      </c>
      <c r="C76" s="191" t="s">
        <v>491</v>
      </c>
      <c r="D76" s="35">
        <v>2</v>
      </c>
      <c r="E76" s="35">
        <v>30</v>
      </c>
      <c r="F76" s="40" t="s">
        <v>589</v>
      </c>
    </row>
    <row r="77" spans="1:6" ht="60.75" hidden="1" x14ac:dyDescent="0.25">
      <c r="A77" s="345">
        <v>45413</v>
      </c>
      <c r="B77" s="335" t="s">
        <v>1413</v>
      </c>
      <c r="C77" s="191" t="s">
        <v>489</v>
      </c>
      <c r="D77" s="35">
        <v>3</v>
      </c>
      <c r="E77" s="35">
        <v>207</v>
      </c>
      <c r="F77" s="40" t="s">
        <v>596</v>
      </c>
    </row>
    <row r="78" spans="1:6" ht="81" hidden="1" x14ac:dyDescent="0.25">
      <c r="A78" s="345">
        <v>45413</v>
      </c>
      <c r="B78" s="335" t="s">
        <v>1413</v>
      </c>
      <c r="C78" s="191" t="s">
        <v>490</v>
      </c>
      <c r="D78" s="35">
        <v>3</v>
      </c>
      <c r="E78" s="35">
        <v>129</v>
      </c>
      <c r="F78" s="40" t="s">
        <v>597</v>
      </c>
    </row>
    <row r="79" spans="1:6" ht="162" x14ac:dyDescent="0.25">
      <c r="A79" s="345">
        <v>45413</v>
      </c>
      <c r="B79" s="335" t="s">
        <v>1413</v>
      </c>
      <c r="C79" s="191" t="s">
        <v>491</v>
      </c>
      <c r="D79" s="35">
        <v>6</v>
      </c>
      <c r="E79" s="35">
        <v>38</v>
      </c>
      <c r="F79" s="40" t="s">
        <v>601</v>
      </c>
    </row>
    <row r="80" spans="1:6" ht="20.25" hidden="1" x14ac:dyDescent="0.25">
      <c r="A80" s="345">
        <v>45444</v>
      </c>
      <c r="B80" s="335" t="s">
        <v>1401</v>
      </c>
      <c r="C80" s="191" t="s">
        <v>489</v>
      </c>
      <c r="D80" s="35"/>
      <c r="E80" s="35"/>
      <c r="F80" s="40"/>
    </row>
    <row r="81" spans="1:6" ht="20.25" hidden="1" x14ac:dyDescent="0.25">
      <c r="A81" s="334">
        <v>45444</v>
      </c>
      <c r="B81" s="335" t="s">
        <v>1401</v>
      </c>
      <c r="C81" s="191" t="s">
        <v>490</v>
      </c>
      <c r="D81" s="35"/>
      <c r="E81" s="35"/>
      <c r="F81" s="40"/>
    </row>
    <row r="82" spans="1:6" ht="364.5" x14ac:dyDescent="0.25">
      <c r="A82" s="334">
        <v>45444</v>
      </c>
      <c r="B82" s="335" t="s">
        <v>1401</v>
      </c>
      <c r="C82" s="191" t="s">
        <v>491</v>
      </c>
      <c r="D82" s="35">
        <v>20</v>
      </c>
      <c r="E82" s="35">
        <v>338</v>
      </c>
      <c r="F82" s="40" t="s">
        <v>629</v>
      </c>
    </row>
    <row r="83" spans="1:6" ht="20.25" hidden="1" x14ac:dyDescent="0.25">
      <c r="A83" s="334">
        <v>45444</v>
      </c>
      <c r="B83" s="335" t="s">
        <v>1402</v>
      </c>
      <c r="C83" s="191" t="s">
        <v>489</v>
      </c>
      <c r="D83" s="35">
        <v>1</v>
      </c>
      <c r="E83" s="35">
        <v>80</v>
      </c>
      <c r="F83" s="40" t="s">
        <v>625</v>
      </c>
    </row>
    <row r="84" spans="1:6" ht="20.25" hidden="1" x14ac:dyDescent="0.25">
      <c r="A84" s="334">
        <v>45444</v>
      </c>
      <c r="B84" s="335" t="s">
        <v>1402</v>
      </c>
      <c r="C84" s="191" t="s">
        <v>490</v>
      </c>
      <c r="D84" s="35">
        <v>1</v>
      </c>
      <c r="E84" s="35">
        <v>30</v>
      </c>
      <c r="F84" s="40" t="s">
        <v>624</v>
      </c>
    </row>
    <row r="85" spans="1:6" ht="20.25" x14ac:dyDescent="0.25">
      <c r="A85" s="334">
        <v>45444</v>
      </c>
      <c r="B85" s="335" t="s">
        <v>1402</v>
      </c>
      <c r="C85" s="191" t="s">
        <v>491</v>
      </c>
      <c r="D85" s="35"/>
      <c r="E85" s="35"/>
      <c r="F85" s="40"/>
    </row>
    <row r="86" spans="1:6" ht="121.5" hidden="1" x14ac:dyDescent="0.25">
      <c r="A86" s="334">
        <v>45444</v>
      </c>
      <c r="B86" s="335" t="s">
        <v>1403</v>
      </c>
      <c r="C86" s="191" t="s">
        <v>489</v>
      </c>
      <c r="D86" s="35">
        <v>6</v>
      </c>
      <c r="E86" s="35">
        <v>290</v>
      </c>
      <c r="F86" s="40" t="s">
        <v>616</v>
      </c>
    </row>
    <row r="87" spans="1:6" ht="20.25" hidden="1" x14ac:dyDescent="0.25">
      <c r="A87" s="334">
        <v>45444</v>
      </c>
      <c r="B87" s="335" t="s">
        <v>1403</v>
      </c>
      <c r="C87" s="191" t="s">
        <v>490</v>
      </c>
      <c r="D87" s="35"/>
      <c r="E87" s="35"/>
      <c r="F87" s="40"/>
    </row>
    <row r="88" spans="1:6" ht="20.25" x14ac:dyDescent="0.25">
      <c r="A88" s="334">
        <v>45444</v>
      </c>
      <c r="B88" s="335" t="s">
        <v>1403</v>
      </c>
      <c r="C88" s="191" t="s">
        <v>491</v>
      </c>
      <c r="D88" s="35"/>
      <c r="E88" s="35"/>
      <c r="F88" s="40"/>
    </row>
    <row r="89" spans="1:6" ht="60.75" hidden="1" x14ac:dyDescent="0.25">
      <c r="A89" s="334">
        <v>45444</v>
      </c>
      <c r="B89" s="335" t="s">
        <v>1404</v>
      </c>
      <c r="C89" s="191" t="s">
        <v>489</v>
      </c>
      <c r="D89" s="35">
        <v>3</v>
      </c>
      <c r="E89" s="35">
        <v>111</v>
      </c>
      <c r="F89" s="40" t="s">
        <v>618</v>
      </c>
    </row>
    <row r="90" spans="1:6" ht="20.25" hidden="1" x14ac:dyDescent="0.25">
      <c r="A90" s="334">
        <v>45444</v>
      </c>
      <c r="B90" s="335" t="s">
        <v>1404</v>
      </c>
      <c r="C90" s="191" t="s">
        <v>490</v>
      </c>
      <c r="D90" s="35"/>
      <c r="E90" s="35"/>
      <c r="F90" s="40"/>
    </row>
    <row r="91" spans="1:6" ht="101.25" x14ac:dyDescent="0.25">
      <c r="A91" s="334">
        <v>45444</v>
      </c>
      <c r="B91" s="335" t="s">
        <v>1404</v>
      </c>
      <c r="C91" s="191" t="s">
        <v>491</v>
      </c>
      <c r="D91" s="35">
        <v>5</v>
      </c>
      <c r="E91" s="35">
        <v>122</v>
      </c>
      <c r="F91" s="40" t="s">
        <v>617</v>
      </c>
    </row>
    <row r="92" spans="1:6" ht="40.5" hidden="1" x14ac:dyDescent="0.25">
      <c r="A92" s="334">
        <v>45444</v>
      </c>
      <c r="B92" s="335" t="s">
        <v>1405</v>
      </c>
      <c r="C92" s="191" t="s">
        <v>489</v>
      </c>
      <c r="D92" s="35">
        <v>2</v>
      </c>
      <c r="E92" s="35">
        <v>94</v>
      </c>
      <c r="F92" s="40" t="s">
        <v>608</v>
      </c>
    </row>
    <row r="93" spans="1:6" ht="20.25" hidden="1" x14ac:dyDescent="0.25">
      <c r="A93" s="334">
        <v>45444</v>
      </c>
      <c r="B93" s="335" t="s">
        <v>1405</v>
      </c>
      <c r="C93" s="191" t="s">
        <v>490</v>
      </c>
      <c r="D93" s="35">
        <v>1</v>
      </c>
      <c r="E93" s="35">
        <v>150</v>
      </c>
      <c r="F93" s="40" t="s">
        <v>609</v>
      </c>
    </row>
    <row r="94" spans="1:6" ht="20.25" x14ac:dyDescent="0.25">
      <c r="A94" s="334">
        <v>45444</v>
      </c>
      <c r="B94" s="335" t="s">
        <v>1405</v>
      </c>
      <c r="C94" s="191" t="s">
        <v>491</v>
      </c>
      <c r="D94" s="35">
        <v>1</v>
      </c>
      <c r="E94" s="35">
        <v>10</v>
      </c>
      <c r="F94" s="40" t="s">
        <v>610</v>
      </c>
    </row>
    <row r="95" spans="1:6" ht="306" hidden="1" x14ac:dyDescent="0.25">
      <c r="A95" s="334">
        <v>45444</v>
      </c>
      <c r="B95" s="335" t="s">
        <v>1406</v>
      </c>
      <c r="C95" s="191" t="s">
        <v>489</v>
      </c>
      <c r="D95" s="35">
        <v>20</v>
      </c>
      <c r="E95" s="35">
        <v>1504</v>
      </c>
      <c r="F95" s="193" t="s">
        <v>619</v>
      </c>
    </row>
    <row r="96" spans="1:6" ht="20.25" hidden="1" x14ac:dyDescent="0.25">
      <c r="A96" s="334">
        <v>45444</v>
      </c>
      <c r="B96" s="335" t="s">
        <v>1406</v>
      </c>
      <c r="C96" s="191" t="s">
        <v>490</v>
      </c>
      <c r="D96" s="35"/>
      <c r="E96" s="35"/>
      <c r="F96" s="40"/>
    </row>
    <row r="97" spans="1:6" ht="20.25" x14ac:dyDescent="0.25">
      <c r="A97" s="334">
        <v>45444</v>
      </c>
      <c r="B97" s="335" t="s">
        <v>1406</v>
      </c>
      <c r="C97" s="191" t="s">
        <v>491</v>
      </c>
      <c r="D97" s="35">
        <v>1</v>
      </c>
      <c r="E97" s="35">
        <v>600</v>
      </c>
      <c r="F97" s="40" t="s">
        <v>620</v>
      </c>
    </row>
    <row r="98" spans="1:6" ht="81" hidden="1" x14ac:dyDescent="0.25">
      <c r="A98" s="334">
        <v>45444</v>
      </c>
      <c r="B98" s="335" t="s">
        <v>1438</v>
      </c>
      <c r="C98" s="191" t="s">
        <v>489</v>
      </c>
      <c r="D98" s="35">
        <v>4</v>
      </c>
      <c r="E98" s="35">
        <v>1225</v>
      </c>
      <c r="F98" s="40" t="s">
        <v>605</v>
      </c>
    </row>
    <row r="99" spans="1:6" ht="263.25" hidden="1" x14ac:dyDescent="0.25">
      <c r="A99" s="334">
        <v>45444</v>
      </c>
      <c r="B99" s="335" t="s">
        <v>1438</v>
      </c>
      <c r="C99" s="191" t="s">
        <v>490</v>
      </c>
      <c r="D99" s="35">
        <v>14</v>
      </c>
      <c r="E99" s="35">
        <v>269</v>
      </c>
      <c r="F99" s="40" t="s">
        <v>606</v>
      </c>
    </row>
    <row r="100" spans="1:6" ht="409.5" x14ac:dyDescent="0.25">
      <c r="A100" s="334">
        <v>45444</v>
      </c>
      <c r="B100" s="335" t="s">
        <v>1438</v>
      </c>
      <c r="C100" s="191" t="s">
        <v>491</v>
      </c>
      <c r="D100" s="35">
        <v>25</v>
      </c>
      <c r="E100" s="35">
        <v>374</v>
      </c>
      <c r="F100" s="189" t="s">
        <v>607</v>
      </c>
    </row>
    <row r="101" spans="1:6" ht="40.5" hidden="1" x14ac:dyDescent="0.25">
      <c r="A101" s="334">
        <v>45444</v>
      </c>
      <c r="B101" s="335" t="s">
        <v>1408</v>
      </c>
      <c r="C101" s="191" t="s">
        <v>489</v>
      </c>
      <c r="D101" s="35">
        <v>2</v>
      </c>
      <c r="E101" s="35">
        <v>170</v>
      </c>
      <c r="F101" s="1" t="s">
        <v>615</v>
      </c>
    </row>
    <row r="102" spans="1:6" ht="60.75" hidden="1" x14ac:dyDescent="0.25">
      <c r="A102" s="334">
        <v>45444</v>
      </c>
      <c r="B102" s="335" t="s">
        <v>1408</v>
      </c>
      <c r="C102" s="191" t="s">
        <v>490</v>
      </c>
      <c r="D102" s="35">
        <v>3</v>
      </c>
      <c r="E102" s="35">
        <v>70</v>
      </c>
      <c r="F102" s="40" t="s">
        <v>614</v>
      </c>
    </row>
    <row r="103" spans="1:6" ht="20.25" x14ac:dyDescent="0.25">
      <c r="A103" s="334">
        <v>45444</v>
      </c>
      <c r="B103" s="335" t="s">
        <v>1408</v>
      </c>
      <c r="C103" s="191" t="s">
        <v>491</v>
      </c>
      <c r="D103" s="35"/>
      <c r="E103" s="35"/>
      <c r="F103" s="40"/>
    </row>
    <row r="104" spans="1:6" ht="20.25" hidden="1" x14ac:dyDescent="0.25">
      <c r="A104" s="334">
        <v>45444</v>
      </c>
      <c r="B104" s="335" t="s">
        <v>1409</v>
      </c>
      <c r="C104" s="191" t="s">
        <v>489</v>
      </c>
      <c r="D104" s="35"/>
      <c r="E104" s="35"/>
      <c r="F104" s="40"/>
    </row>
    <row r="105" spans="1:6" ht="20.25" hidden="1" x14ac:dyDescent="0.25">
      <c r="A105" s="334">
        <v>45444</v>
      </c>
      <c r="B105" s="335" t="s">
        <v>1409</v>
      </c>
      <c r="C105" s="191" t="s">
        <v>490</v>
      </c>
      <c r="D105" s="35"/>
      <c r="E105" s="35"/>
      <c r="F105" s="40"/>
    </row>
    <row r="106" spans="1:6" ht="20.25" x14ac:dyDescent="0.25">
      <c r="A106" s="334">
        <v>45444</v>
      </c>
      <c r="B106" s="335" t="s">
        <v>1409</v>
      </c>
      <c r="C106" s="191" t="s">
        <v>491</v>
      </c>
      <c r="D106" s="35">
        <v>1</v>
      </c>
      <c r="E106" s="35">
        <v>10</v>
      </c>
      <c r="F106" s="40" t="s">
        <v>630</v>
      </c>
    </row>
    <row r="107" spans="1:6" ht="20.25" hidden="1" x14ac:dyDescent="0.25">
      <c r="A107" s="334">
        <v>45444</v>
      </c>
      <c r="B107" s="335" t="s">
        <v>1410</v>
      </c>
      <c r="C107" s="191" t="s">
        <v>489</v>
      </c>
      <c r="D107" s="35">
        <v>1</v>
      </c>
      <c r="E107" s="35">
        <v>150</v>
      </c>
      <c r="F107" s="40" t="s">
        <v>621</v>
      </c>
    </row>
    <row r="108" spans="1:6" ht="20.25" hidden="1" x14ac:dyDescent="0.25">
      <c r="A108" s="334">
        <v>45444</v>
      </c>
      <c r="B108" s="335" t="s">
        <v>1410</v>
      </c>
      <c r="C108" s="191" t="s">
        <v>490</v>
      </c>
      <c r="D108" s="35"/>
      <c r="E108" s="35"/>
      <c r="F108" s="40"/>
    </row>
    <row r="109" spans="1:6" ht="20.25" x14ac:dyDescent="0.25">
      <c r="A109" s="334">
        <v>45444</v>
      </c>
      <c r="B109" s="335" t="s">
        <v>1410</v>
      </c>
      <c r="C109" s="191" t="s">
        <v>491</v>
      </c>
      <c r="D109" s="35"/>
      <c r="E109" s="35"/>
      <c r="F109" s="40"/>
    </row>
    <row r="110" spans="1:6" ht="20.25" hidden="1" x14ac:dyDescent="0.25">
      <c r="A110" s="334">
        <v>45444</v>
      </c>
      <c r="B110" s="335" t="s">
        <v>1411</v>
      </c>
      <c r="C110" s="191" t="s">
        <v>489</v>
      </c>
      <c r="D110" s="190"/>
      <c r="E110" s="190"/>
      <c r="F110" s="40"/>
    </row>
    <row r="111" spans="1:6" ht="20.25" hidden="1" x14ac:dyDescent="0.25">
      <c r="A111" s="334">
        <v>45444</v>
      </c>
      <c r="B111" s="335" t="s">
        <v>1411</v>
      </c>
      <c r="C111" s="191" t="s">
        <v>490</v>
      </c>
      <c r="D111" s="35"/>
      <c r="E111" s="35"/>
      <c r="F111" s="40"/>
    </row>
    <row r="112" spans="1:6" ht="20.25" x14ac:dyDescent="0.25">
      <c r="A112" s="334">
        <v>45444</v>
      </c>
      <c r="B112" s="335" t="s">
        <v>1411</v>
      </c>
      <c r="C112" s="191" t="s">
        <v>491</v>
      </c>
      <c r="D112" s="35"/>
      <c r="E112" s="35"/>
      <c r="F112" s="40"/>
    </row>
    <row r="113" spans="1:6" ht="121.5" hidden="1" x14ac:dyDescent="0.25">
      <c r="A113" s="334">
        <v>45444</v>
      </c>
      <c r="B113" s="335" t="s">
        <v>1452</v>
      </c>
      <c r="C113" s="191" t="s">
        <v>489</v>
      </c>
      <c r="D113" s="35">
        <v>6</v>
      </c>
      <c r="E113" s="35">
        <v>205</v>
      </c>
      <c r="F113" s="40" t="s">
        <v>622</v>
      </c>
    </row>
    <row r="114" spans="1:6" ht="141.75" hidden="1" x14ac:dyDescent="0.25">
      <c r="A114" s="334">
        <v>45444</v>
      </c>
      <c r="B114" s="335" t="s">
        <v>1452</v>
      </c>
      <c r="C114" s="191" t="s">
        <v>490</v>
      </c>
      <c r="D114" s="35">
        <v>7</v>
      </c>
      <c r="E114" s="35">
        <v>143</v>
      </c>
      <c r="F114" s="40" t="s">
        <v>623</v>
      </c>
    </row>
    <row r="115" spans="1:6" ht="20.25" x14ac:dyDescent="0.25">
      <c r="A115" s="334">
        <v>45444</v>
      </c>
      <c r="B115" s="335" t="s">
        <v>1452</v>
      </c>
      <c r="C115" s="191" t="s">
        <v>491</v>
      </c>
      <c r="D115" s="35"/>
      <c r="E115" s="35"/>
      <c r="F115" s="40"/>
    </row>
    <row r="116" spans="1:6" ht="81" hidden="1" x14ac:dyDescent="0.25">
      <c r="A116" s="334">
        <v>45444</v>
      </c>
      <c r="B116" s="335" t="s">
        <v>1413</v>
      </c>
      <c r="C116" s="191" t="s">
        <v>489</v>
      </c>
      <c r="D116" s="194">
        <v>4</v>
      </c>
      <c r="E116" s="194">
        <v>368</v>
      </c>
      <c r="F116" s="40" t="s">
        <v>626</v>
      </c>
    </row>
    <row r="117" spans="1:6" ht="81" hidden="1" x14ac:dyDescent="0.25">
      <c r="A117" s="334">
        <v>45444</v>
      </c>
      <c r="B117" s="335" t="s">
        <v>1413</v>
      </c>
      <c r="C117" s="191" t="s">
        <v>490</v>
      </c>
      <c r="D117" s="35">
        <v>4</v>
      </c>
      <c r="E117" s="35">
        <v>109</v>
      </c>
      <c r="F117" s="40" t="s">
        <v>627</v>
      </c>
    </row>
    <row r="118" spans="1:6" ht="81" x14ac:dyDescent="0.25">
      <c r="A118" s="334">
        <v>45444</v>
      </c>
      <c r="B118" s="335" t="s">
        <v>1413</v>
      </c>
      <c r="C118" s="191" t="s">
        <v>491</v>
      </c>
      <c r="D118" s="35">
        <v>3</v>
      </c>
      <c r="E118" s="35">
        <v>18</v>
      </c>
      <c r="F118" s="40" t="s">
        <v>628</v>
      </c>
    </row>
    <row r="119" spans="1:6" ht="20.25" hidden="1" x14ac:dyDescent="0.25">
      <c r="A119" s="334">
        <v>45474</v>
      </c>
      <c r="B119" s="335" t="s">
        <v>1401</v>
      </c>
      <c r="C119" s="191" t="s">
        <v>489</v>
      </c>
      <c r="D119" s="35"/>
      <c r="E119" s="35"/>
      <c r="F119" s="40"/>
    </row>
    <row r="120" spans="1:6" ht="20.25" hidden="1" x14ac:dyDescent="0.25">
      <c r="A120" s="334">
        <v>45474</v>
      </c>
      <c r="B120" s="335" t="s">
        <v>1401</v>
      </c>
      <c r="C120" s="191" t="s">
        <v>490</v>
      </c>
      <c r="D120" s="35"/>
      <c r="E120" s="35"/>
      <c r="F120" s="40"/>
    </row>
    <row r="121" spans="1:6" ht="20.25" x14ac:dyDescent="0.25">
      <c r="A121" s="334">
        <v>45474</v>
      </c>
      <c r="B121" s="335" t="s">
        <v>1401</v>
      </c>
      <c r="C121" s="191" t="s">
        <v>491</v>
      </c>
      <c r="D121" s="35">
        <v>1</v>
      </c>
      <c r="E121" s="35">
        <v>25</v>
      </c>
      <c r="F121" s="40" t="s">
        <v>632</v>
      </c>
    </row>
    <row r="122" spans="1:6" ht="20.25" hidden="1" x14ac:dyDescent="0.25">
      <c r="A122" s="334">
        <v>45474</v>
      </c>
      <c r="B122" s="335" t="s">
        <v>1402</v>
      </c>
      <c r="C122" s="191" t="s">
        <v>489</v>
      </c>
      <c r="D122" s="147"/>
      <c r="E122" s="147"/>
      <c r="F122" s="200"/>
    </row>
    <row r="123" spans="1:6" ht="20.25" hidden="1" x14ac:dyDescent="0.25">
      <c r="A123" s="334">
        <v>45474</v>
      </c>
      <c r="B123" s="335" t="s">
        <v>1402</v>
      </c>
      <c r="C123" s="191" t="s">
        <v>490</v>
      </c>
      <c r="D123" s="35"/>
      <c r="E123" s="35"/>
      <c r="F123" s="40"/>
    </row>
    <row r="124" spans="1:6" ht="20.25" x14ac:dyDescent="0.25">
      <c r="A124" s="334">
        <v>45474</v>
      </c>
      <c r="B124" s="335" t="s">
        <v>1402</v>
      </c>
      <c r="C124" s="191" t="s">
        <v>491</v>
      </c>
      <c r="D124" s="35"/>
      <c r="E124" s="35"/>
      <c r="F124" s="40"/>
    </row>
    <row r="125" spans="1:6" ht="20.25" hidden="1" x14ac:dyDescent="0.25">
      <c r="A125" s="334">
        <v>45474</v>
      </c>
      <c r="B125" s="335" t="s">
        <v>1403</v>
      </c>
      <c r="C125" s="191" t="s">
        <v>489</v>
      </c>
      <c r="D125" s="35">
        <v>4</v>
      </c>
      <c r="E125" s="35">
        <v>1050</v>
      </c>
      <c r="F125" s="40"/>
    </row>
    <row r="126" spans="1:6" ht="20.25" hidden="1" x14ac:dyDescent="0.25">
      <c r="A126" s="334">
        <v>45474</v>
      </c>
      <c r="B126" s="335" t="s">
        <v>1403</v>
      </c>
      <c r="C126" s="191" t="s">
        <v>490</v>
      </c>
      <c r="D126" s="35"/>
      <c r="E126" s="35"/>
      <c r="F126" s="40"/>
    </row>
    <row r="127" spans="1:6" ht="20.25" x14ac:dyDescent="0.25">
      <c r="A127" s="334">
        <v>45474</v>
      </c>
      <c r="B127" s="335" t="s">
        <v>1403</v>
      </c>
      <c r="C127" s="191" t="s">
        <v>491</v>
      </c>
      <c r="D127" s="35"/>
      <c r="E127" s="35"/>
      <c r="F127" s="40"/>
    </row>
    <row r="128" spans="1:6" ht="20.25" hidden="1" x14ac:dyDescent="0.25">
      <c r="A128" s="334">
        <v>45474</v>
      </c>
      <c r="B128" s="335" t="s">
        <v>1404</v>
      </c>
      <c r="C128" s="191" t="s">
        <v>489</v>
      </c>
      <c r="D128" s="35">
        <v>1</v>
      </c>
      <c r="E128" s="35">
        <v>300</v>
      </c>
      <c r="F128" s="40" t="s">
        <v>646</v>
      </c>
    </row>
    <row r="129" spans="1:6" ht="20.25" hidden="1" x14ac:dyDescent="0.25">
      <c r="A129" s="334">
        <v>45474</v>
      </c>
      <c r="B129" s="335" t="s">
        <v>1404</v>
      </c>
      <c r="C129" s="191" t="s">
        <v>490</v>
      </c>
      <c r="D129" s="35">
        <v>1</v>
      </c>
      <c r="E129" s="35">
        <v>300</v>
      </c>
      <c r="F129" s="40" t="s">
        <v>646</v>
      </c>
    </row>
    <row r="130" spans="1:6" ht="81" x14ac:dyDescent="0.25">
      <c r="A130" s="334">
        <v>45474</v>
      </c>
      <c r="B130" s="335" t="s">
        <v>1404</v>
      </c>
      <c r="C130" s="191" t="s">
        <v>491</v>
      </c>
      <c r="D130" s="35">
        <v>4</v>
      </c>
      <c r="E130" s="35">
        <v>630</v>
      </c>
      <c r="F130" s="40" t="s">
        <v>647</v>
      </c>
    </row>
    <row r="131" spans="1:6" ht="20.25" hidden="1" x14ac:dyDescent="0.25">
      <c r="A131" s="334">
        <v>45474</v>
      </c>
      <c r="B131" s="335" t="s">
        <v>1405</v>
      </c>
      <c r="C131" s="191" t="s">
        <v>489</v>
      </c>
      <c r="D131" s="35">
        <v>1</v>
      </c>
      <c r="E131" s="35">
        <v>35</v>
      </c>
      <c r="F131" s="40" t="s">
        <v>638</v>
      </c>
    </row>
    <row r="132" spans="1:6" ht="60.75" hidden="1" x14ac:dyDescent="0.25">
      <c r="A132" s="334">
        <v>45474</v>
      </c>
      <c r="B132" s="335" t="s">
        <v>1405</v>
      </c>
      <c r="C132" s="191" t="s">
        <v>490</v>
      </c>
      <c r="D132" s="35">
        <v>3</v>
      </c>
      <c r="E132" s="35">
        <v>400</v>
      </c>
      <c r="F132" s="40" t="s">
        <v>637</v>
      </c>
    </row>
    <row r="133" spans="1:6" ht="263.25" x14ac:dyDescent="0.25">
      <c r="A133" s="334">
        <v>45474</v>
      </c>
      <c r="B133" s="335" t="s">
        <v>1405</v>
      </c>
      <c r="C133" s="191" t="s">
        <v>491</v>
      </c>
      <c r="D133" s="35">
        <v>13</v>
      </c>
      <c r="E133" s="35">
        <v>163</v>
      </c>
      <c r="F133" s="40" t="s">
        <v>639</v>
      </c>
    </row>
    <row r="134" spans="1:6" ht="252" hidden="1" x14ac:dyDescent="0.25">
      <c r="A134" s="334">
        <v>45474</v>
      </c>
      <c r="B134" s="335" t="s">
        <v>1406</v>
      </c>
      <c r="C134" s="191" t="s">
        <v>489</v>
      </c>
      <c r="D134" s="35">
        <v>21</v>
      </c>
      <c r="E134" s="35">
        <v>3465</v>
      </c>
      <c r="F134" s="201" t="s">
        <v>642</v>
      </c>
    </row>
    <row r="135" spans="1:6" ht="20.25" hidden="1" x14ac:dyDescent="0.25">
      <c r="A135" s="334">
        <v>45474</v>
      </c>
      <c r="B135" s="335" t="s">
        <v>1406</v>
      </c>
      <c r="C135" s="191" t="s">
        <v>490</v>
      </c>
      <c r="D135" s="35"/>
      <c r="E135" s="35"/>
      <c r="F135" s="40"/>
    </row>
    <row r="136" spans="1:6" ht="20.25" x14ac:dyDescent="0.25">
      <c r="A136" s="334">
        <v>45474</v>
      </c>
      <c r="B136" s="335" t="s">
        <v>1406</v>
      </c>
      <c r="C136" s="191" t="s">
        <v>491</v>
      </c>
      <c r="D136" s="35">
        <v>1</v>
      </c>
      <c r="E136" s="35">
        <v>15</v>
      </c>
      <c r="F136" s="40" t="s">
        <v>641</v>
      </c>
    </row>
    <row r="137" spans="1:6" ht="81" hidden="1" x14ac:dyDescent="0.25">
      <c r="A137" s="334">
        <v>45474</v>
      </c>
      <c r="B137" s="335" t="s">
        <v>1438</v>
      </c>
      <c r="C137" s="191" t="s">
        <v>489</v>
      </c>
      <c r="D137" s="35">
        <v>4</v>
      </c>
      <c r="E137" s="35">
        <v>651</v>
      </c>
      <c r="F137" s="40" t="s">
        <v>634</v>
      </c>
    </row>
    <row r="138" spans="1:6" ht="40.5" hidden="1" x14ac:dyDescent="0.25">
      <c r="A138" s="334">
        <v>45474</v>
      </c>
      <c r="B138" s="335" t="s">
        <v>1438</v>
      </c>
      <c r="C138" s="191" t="s">
        <v>490</v>
      </c>
      <c r="D138" s="35">
        <v>2</v>
      </c>
      <c r="E138" s="35">
        <v>55</v>
      </c>
      <c r="F138" s="40" t="s">
        <v>633</v>
      </c>
    </row>
    <row r="139" spans="1:6" ht="409.5" x14ac:dyDescent="0.25">
      <c r="A139" s="334">
        <v>45474</v>
      </c>
      <c r="B139" s="335" t="s">
        <v>1438</v>
      </c>
      <c r="C139" s="191" t="s">
        <v>491</v>
      </c>
      <c r="D139" s="35">
        <v>25</v>
      </c>
      <c r="E139" s="35">
        <v>78</v>
      </c>
      <c r="F139" s="189" t="s">
        <v>636</v>
      </c>
    </row>
    <row r="140" spans="1:6" ht="121.5" hidden="1" x14ac:dyDescent="0.25">
      <c r="A140" s="334">
        <v>45474</v>
      </c>
      <c r="B140" s="335" t="s">
        <v>1408</v>
      </c>
      <c r="C140" s="191" t="s">
        <v>489</v>
      </c>
      <c r="D140" s="35">
        <v>5</v>
      </c>
      <c r="E140" s="35">
        <v>95</v>
      </c>
      <c r="F140" s="40" t="s">
        <v>635</v>
      </c>
    </row>
    <row r="141" spans="1:6" ht="20.25" hidden="1" x14ac:dyDescent="0.25">
      <c r="A141" s="334">
        <v>45474</v>
      </c>
      <c r="B141" s="335" t="s">
        <v>1408</v>
      </c>
      <c r="C141" s="191" t="s">
        <v>490</v>
      </c>
      <c r="D141" s="35"/>
      <c r="E141" s="35"/>
      <c r="F141" s="40"/>
    </row>
    <row r="142" spans="1:6" ht="20.25" x14ac:dyDescent="0.25">
      <c r="A142" s="334">
        <v>45474</v>
      </c>
      <c r="B142" s="335" t="s">
        <v>1408</v>
      </c>
      <c r="C142" s="191" t="s">
        <v>491</v>
      </c>
      <c r="D142" s="35"/>
      <c r="E142" s="35"/>
      <c r="F142" s="40"/>
    </row>
    <row r="143" spans="1:6" ht="40.5" hidden="1" x14ac:dyDescent="0.25">
      <c r="A143" s="334">
        <v>45474</v>
      </c>
      <c r="B143" s="335" t="s">
        <v>1409</v>
      </c>
      <c r="C143" s="191" t="s">
        <v>489</v>
      </c>
      <c r="D143" s="35">
        <v>2</v>
      </c>
      <c r="E143" s="35">
        <v>568</v>
      </c>
      <c r="F143" s="40" t="s">
        <v>643</v>
      </c>
    </row>
    <row r="144" spans="1:6" ht="20.25" hidden="1" x14ac:dyDescent="0.25">
      <c r="A144" s="334">
        <v>45474</v>
      </c>
      <c r="B144" s="335" t="s">
        <v>1409</v>
      </c>
      <c r="C144" s="191" t="s">
        <v>490</v>
      </c>
      <c r="D144" s="35">
        <v>1</v>
      </c>
      <c r="E144" s="35">
        <v>10</v>
      </c>
      <c r="F144" s="40" t="s">
        <v>644</v>
      </c>
    </row>
    <row r="145" spans="1:6" ht="20.25" x14ac:dyDescent="0.25">
      <c r="A145" s="334">
        <v>45474</v>
      </c>
      <c r="B145" s="335" t="s">
        <v>1409</v>
      </c>
      <c r="C145" s="191" t="s">
        <v>491</v>
      </c>
      <c r="D145" s="35"/>
      <c r="E145" s="35"/>
      <c r="F145" s="40"/>
    </row>
    <row r="146" spans="1:6" ht="40.5" hidden="1" x14ac:dyDescent="0.25">
      <c r="A146" s="334">
        <v>45474</v>
      </c>
      <c r="B146" s="335" t="s">
        <v>1410</v>
      </c>
      <c r="C146" s="191" t="s">
        <v>489</v>
      </c>
      <c r="D146" s="35">
        <v>2</v>
      </c>
      <c r="E146" s="35">
        <v>274</v>
      </c>
      <c r="F146" s="40" t="s">
        <v>645</v>
      </c>
    </row>
    <row r="147" spans="1:6" ht="20.25" hidden="1" x14ac:dyDescent="0.25">
      <c r="A147" s="334">
        <v>45474</v>
      </c>
      <c r="B147" s="335" t="s">
        <v>1410</v>
      </c>
      <c r="C147" s="191" t="s">
        <v>490</v>
      </c>
      <c r="D147" s="35"/>
      <c r="E147" s="35"/>
      <c r="F147" s="40"/>
    </row>
    <row r="148" spans="1:6" ht="20.25" x14ac:dyDescent="0.25">
      <c r="A148" s="334">
        <v>45474</v>
      </c>
      <c r="B148" s="335" t="s">
        <v>1410</v>
      </c>
      <c r="C148" s="191" t="s">
        <v>491</v>
      </c>
      <c r="D148" s="35"/>
      <c r="E148" s="35"/>
      <c r="F148" s="40"/>
    </row>
    <row r="149" spans="1:6" ht="20.25" hidden="1" x14ac:dyDescent="0.25">
      <c r="A149" s="334">
        <v>45474</v>
      </c>
      <c r="B149" s="335" t="s">
        <v>1411</v>
      </c>
      <c r="C149" s="191" t="s">
        <v>489</v>
      </c>
      <c r="D149" s="35">
        <v>1</v>
      </c>
      <c r="E149" s="35">
        <v>80</v>
      </c>
      <c r="F149" s="40" t="s">
        <v>640</v>
      </c>
    </row>
    <row r="150" spans="1:6" ht="20.25" hidden="1" x14ac:dyDescent="0.25">
      <c r="A150" s="334">
        <v>45474</v>
      </c>
      <c r="B150" s="335" t="s">
        <v>1411</v>
      </c>
      <c r="C150" s="191" t="s">
        <v>490</v>
      </c>
      <c r="D150" s="35"/>
      <c r="E150" s="35"/>
      <c r="F150" s="40"/>
    </row>
    <row r="151" spans="1:6" ht="20.25" x14ac:dyDescent="0.25">
      <c r="A151" s="334">
        <v>45474</v>
      </c>
      <c r="B151" s="335" t="s">
        <v>1411</v>
      </c>
      <c r="C151" s="191" t="s">
        <v>491</v>
      </c>
      <c r="D151" s="35"/>
      <c r="E151" s="35"/>
      <c r="F151" s="40"/>
    </row>
    <row r="152" spans="1:6" ht="324" hidden="1" x14ac:dyDescent="0.25">
      <c r="A152" s="334">
        <v>45474</v>
      </c>
      <c r="B152" s="335" t="s">
        <v>1452</v>
      </c>
      <c r="C152" s="191" t="s">
        <v>489</v>
      </c>
      <c r="D152" s="35">
        <v>16</v>
      </c>
      <c r="E152" s="35">
        <v>1364</v>
      </c>
      <c r="F152" s="40" t="s">
        <v>650</v>
      </c>
    </row>
    <row r="153" spans="1:6" ht="20.25" hidden="1" x14ac:dyDescent="0.25">
      <c r="A153" s="334">
        <v>45474</v>
      </c>
      <c r="B153" s="335" t="s">
        <v>1452</v>
      </c>
      <c r="C153" s="191" t="s">
        <v>490</v>
      </c>
      <c r="D153" s="35"/>
      <c r="E153" s="35"/>
      <c r="F153" s="40"/>
    </row>
    <row r="154" spans="1:6" ht="20.25" x14ac:dyDescent="0.25">
      <c r="A154" s="334">
        <v>45474</v>
      </c>
      <c r="B154" s="335" t="s">
        <v>1452</v>
      </c>
      <c r="C154" s="191" t="s">
        <v>491</v>
      </c>
      <c r="D154" s="35"/>
      <c r="E154" s="35"/>
      <c r="F154" s="40"/>
    </row>
    <row r="155" spans="1:6" ht="141.75" hidden="1" x14ac:dyDescent="0.25">
      <c r="A155" s="334">
        <v>45474</v>
      </c>
      <c r="B155" s="335" t="s">
        <v>1413</v>
      </c>
      <c r="C155" s="191" t="s">
        <v>489</v>
      </c>
      <c r="D155" s="194">
        <v>5</v>
      </c>
      <c r="E155" s="194">
        <v>399</v>
      </c>
      <c r="F155" s="40" t="s">
        <v>648</v>
      </c>
    </row>
    <row r="156" spans="1:6" ht="20.25" hidden="1" x14ac:dyDescent="0.25">
      <c r="A156" s="334">
        <v>45474</v>
      </c>
      <c r="B156" s="335" t="s">
        <v>1413</v>
      </c>
      <c r="C156" s="191" t="s">
        <v>490</v>
      </c>
      <c r="D156" s="35"/>
      <c r="E156" s="35"/>
      <c r="F156" s="40"/>
    </row>
    <row r="157" spans="1:6" ht="101.25" x14ac:dyDescent="0.25">
      <c r="A157" s="334">
        <v>45474</v>
      </c>
      <c r="B157" s="335" t="s">
        <v>1413</v>
      </c>
      <c r="C157" s="191" t="s">
        <v>491</v>
      </c>
      <c r="D157" s="35">
        <v>5</v>
      </c>
      <c r="E157" s="35">
        <v>98</v>
      </c>
      <c r="F157" s="40" t="s">
        <v>649</v>
      </c>
    </row>
    <row r="158" spans="1:6" hidden="1" x14ac:dyDescent="0.25">
      <c r="A158" s="342">
        <v>45505</v>
      </c>
      <c r="B158" s="333" t="s">
        <v>1401</v>
      </c>
      <c r="C158" s="239" t="s">
        <v>489</v>
      </c>
      <c r="D158" s="233">
        <v>1</v>
      </c>
      <c r="E158" s="233">
        <v>100</v>
      </c>
      <c r="F158" s="232" t="s">
        <v>656</v>
      </c>
    </row>
    <row r="159" spans="1:6" hidden="1" x14ac:dyDescent="0.25">
      <c r="A159" s="342">
        <v>45505</v>
      </c>
      <c r="B159" s="333" t="s">
        <v>1401</v>
      </c>
      <c r="C159" s="239" t="s">
        <v>490</v>
      </c>
      <c r="D159" s="233"/>
      <c r="E159" s="233"/>
      <c r="F159" s="232"/>
    </row>
    <row r="160" spans="1:6" x14ac:dyDescent="0.25">
      <c r="A160" s="342">
        <v>45505</v>
      </c>
      <c r="B160" s="333" t="s">
        <v>1401</v>
      </c>
      <c r="C160" s="239" t="s">
        <v>491</v>
      </c>
      <c r="D160" s="233"/>
      <c r="E160" s="233"/>
      <c r="F160" s="232"/>
    </row>
    <row r="161" spans="1:6" hidden="1" x14ac:dyDescent="0.3">
      <c r="A161" s="342">
        <v>45505</v>
      </c>
      <c r="B161" s="333" t="s">
        <v>1402</v>
      </c>
      <c r="C161" s="239" t="s">
        <v>489</v>
      </c>
      <c r="D161" s="211"/>
      <c r="E161" s="211"/>
      <c r="F161" s="207"/>
    </row>
    <row r="162" spans="1:6" hidden="1" x14ac:dyDescent="0.25">
      <c r="A162" s="342">
        <v>45505</v>
      </c>
      <c r="B162" s="333" t="s">
        <v>1402</v>
      </c>
      <c r="C162" s="239" t="s">
        <v>490</v>
      </c>
      <c r="D162" s="233">
        <v>1</v>
      </c>
      <c r="E162" s="233">
        <v>35</v>
      </c>
      <c r="F162" s="232" t="s">
        <v>1461</v>
      </c>
    </row>
    <row r="163" spans="1:6" x14ac:dyDescent="0.25">
      <c r="A163" s="342">
        <v>45505</v>
      </c>
      <c r="B163" s="333" t="s">
        <v>1402</v>
      </c>
      <c r="C163" s="239" t="s">
        <v>491</v>
      </c>
      <c r="D163" s="233"/>
      <c r="E163" s="233"/>
      <c r="F163" s="232"/>
    </row>
    <row r="164" spans="1:6" hidden="1" x14ac:dyDescent="0.25">
      <c r="A164" s="342">
        <v>45505</v>
      </c>
      <c r="B164" s="333" t="s">
        <v>1403</v>
      </c>
      <c r="C164" s="239" t="s">
        <v>489</v>
      </c>
      <c r="D164" s="233">
        <v>1</v>
      </c>
      <c r="E164" s="233">
        <v>110</v>
      </c>
      <c r="F164" s="232" t="s">
        <v>660</v>
      </c>
    </row>
    <row r="165" spans="1:6" hidden="1" x14ac:dyDescent="0.25">
      <c r="A165" s="342">
        <v>45505</v>
      </c>
      <c r="B165" s="333" t="s">
        <v>1403</v>
      </c>
      <c r="C165" s="239" t="s">
        <v>490</v>
      </c>
      <c r="D165" s="233">
        <v>1</v>
      </c>
      <c r="E165" s="233">
        <v>25</v>
      </c>
      <c r="F165" s="232" t="s">
        <v>661</v>
      </c>
    </row>
    <row r="166" spans="1:6" x14ac:dyDescent="0.25">
      <c r="A166" s="342">
        <v>45505</v>
      </c>
      <c r="B166" s="333" t="s">
        <v>1403</v>
      </c>
      <c r="C166" s="239" t="s">
        <v>491</v>
      </c>
      <c r="D166" s="233"/>
      <c r="E166" s="233"/>
      <c r="F166" s="232"/>
    </row>
    <row r="167" spans="1:6" hidden="1" x14ac:dyDescent="0.25">
      <c r="A167" s="342">
        <v>45505</v>
      </c>
      <c r="B167" s="333" t="s">
        <v>1404</v>
      </c>
      <c r="C167" s="239" t="s">
        <v>489</v>
      </c>
      <c r="D167" s="233"/>
      <c r="E167" s="233"/>
      <c r="F167" s="232"/>
    </row>
    <row r="168" spans="1:6" hidden="1" x14ac:dyDescent="0.25">
      <c r="A168" s="342">
        <v>45505</v>
      </c>
      <c r="B168" s="333" t="s">
        <v>1404</v>
      </c>
      <c r="C168" s="239" t="s">
        <v>490</v>
      </c>
      <c r="D168" s="233">
        <v>1</v>
      </c>
      <c r="E168" s="233">
        <v>410</v>
      </c>
      <c r="F168" s="232" t="s">
        <v>655</v>
      </c>
    </row>
    <row r="169" spans="1:6" x14ac:dyDescent="0.25">
      <c r="A169" s="342">
        <v>45505</v>
      </c>
      <c r="B169" s="333" t="s">
        <v>1404</v>
      </c>
      <c r="C169" s="239" t="s">
        <v>491</v>
      </c>
      <c r="D169" s="233"/>
      <c r="E169" s="233"/>
      <c r="F169" s="232"/>
    </row>
    <row r="170" spans="1:6" ht="37.5" hidden="1" x14ac:dyDescent="0.25">
      <c r="A170" s="342">
        <v>45505</v>
      </c>
      <c r="B170" s="333" t="s">
        <v>1405</v>
      </c>
      <c r="C170" s="239" t="s">
        <v>489</v>
      </c>
      <c r="D170" s="233">
        <v>2</v>
      </c>
      <c r="E170" s="233">
        <v>405</v>
      </c>
      <c r="F170" s="232" t="s">
        <v>662</v>
      </c>
    </row>
    <row r="171" spans="1:6" ht="37.5" hidden="1" x14ac:dyDescent="0.25">
      <c r="A171" s="342">
        <v>45505</v>
      </c>
      <c r="B171" s="333" t="s">
        <v>1405</v>
      </c>
      <c r="C171" s="239" t="s">
        <v>490</v>
      </c>
      <c r="D171" s="233">
        <v>2</v>
      </c>
      <c r="E171" s="233">
        <v>190</v>
      </c>
      <c r="F171" s="232" t="s">
        <v>663</v>
      </c>
    </row>
    <row r="172" spans="1:6" ht="150" x14ac:dyDescent="0.25">
      <c r="A172" s="342">
        <v>45505</v>
      </c>
      <c r="B172" s="333" t="s">
        <v>1405</v>
      </c>
      <c r="C172" s="239" t="s">
        <v>491</v>
      </c>
      <c r="D172" s="233">
        <v>7</v>
      </c>
      <c r="E172" s="233">
        <v>75</v>
      </c>
      <c r="F172" s="232" t="s">
        <v>664</v>
      </c>
    </row>
    <row r="173" spans="1:6" ht="243.75" hidden="1" x14ac:dyDescent="0.25">
      <c r="A173" s="342">
        <v>45505</v>
      </c>
      <c r="B173" s="333" t="s">
        <v>1406</v>
      </c>
      <c r="C173" s="239" t="s">
        <v>489</v>
      </c>
      <c r="D173" s="233">
        <v>13</v>
      </c>
      <c r="E173" s="233">
        <v>996</v>
      </c>
      <c r="F173" s="232" t="s">
        <v>657</v>
      </c>
    </row>
    <row r="174" spans="1:6" ht="37.5" hidden="1" x14ac:dyDescent="0.25">
      <c r="A174" s="342">
        <v>45505</v>
      </c>
      <c r="B174" s="333" t="s">
        <v>1406</v>
      </c>
      <c r="C174" s="239" t="s">
        <v>490</v>
      </c>
      <c r="D174" s="233">
        <v>2</v>
      </c>
      <c r="E174" s="233">
        <v>300</v>
      </c>
      <c r="F174" s="232" t="s">
        <v>658</v>
      </c>
    </row>
    <row r="175" spans="1:6" x14ac:dyDescent="0.25">
      <c r="A175" s="342">
        <v>45505</v>
      </c>
      <c r="B175" s="333" t="s">
        <v>1406</v>
      </c>
      <c r="C175" s="239" t="s">
        <v>491</v>
      </c>
      <c r="D175" s="233">
        <v>1</v>
      </c>
      <c r="E175" s="233">
        <v>55</v>
      </c>
      <c r="F175" s="232" t="s">
        <v>659</v>
      </c>
    </row>
    <row r="176" spans="1:6" ht="150" hidden="1" x14ac:dyDescent="0.25">
      <c r="A176" s="342">
        <v>45505</v>
      </c>
      <c r="B176" s="333" t="s">
        <v>1438</v>
      </c>
      <c r="C176" s="239" t="s">
        <v>489</v>
      </c>
      <c r="D176" s="233">
        <v>8</v>
      </c>
      <c r="E176" s="233">
        <v>2405</v>
      </c>
      <c r="F176" s="232" t="s">
        <v>672</v>
      </c>
    </row>
    <row r="177" spans="1:6" ht="262.5" hidden="1" x14ac:dyDescent="0.25">
      <c r="A177" s="342">
        <v>45505</v>
      </c>
      <c r="B177" s="333" t="s">
        <v>1438</v>
      </c>
      <c r="C177" s="239" t="s">
        <v>490</v>
      </c>
      <c r="D177" s="233">
        <v>14</v>
      </c>
      <c r="E177" s="233">
        <v>625</v>
      </c>
      <c r="F177" s="232" t="s">
        <v>673</v>
      </c>
    </row>
    <row r="178" spans="1:6" ht="243.75" x14ac:dyDescent="0.25">
      <c r="A178" s="342">
        <v>45505</v>
      </c>
      <c r="B178" s="333" t="s">
        <v>1438</v>
      </c>
      <c r="C178" s="239" t="s">
        <v>491</v>
      </c>
      <c r="D178" s="233">
        <v>13</v>
      </c>
      <c r="E178" s="233">
        <v>284</v>
      </c>
      <c r="F178" s="232" t="s">
        <v>674</v>
      </c>
    </row>
    <row r="179" spans="1:6" ht="37.5" hidden="1" x14ac:dyDescent="0.25">
      <c r="A179" s="342">
        <v>45505</v>
      </c>
      <c r="B179" s="333" t="s">
        <v>1408</v>
      </c>
      <c r="C179" s="239" t="s">
        <v>489</v>
      </c>
      <c r="D179" s="233">
        <v>2</v>
      </c>
      <c r="E179" s="233">
        <v>165</v>
      </c>
      <c r="F179" s="232" t="s">
        <v>668</v>
      </c>
    </row>
    <row r="180" spans="1:6" ht="37.5" hidden="1" x14ac:dyDescent="0.25">
      <c r="A180" s="342">
        <v>45505</v>
      </c>
      <c r="B180" s="333" t="s">
        <v>1408</v>
      </c>
      <c r="C180" s="239" t="s">
        <v>490</v>
      </c>
      <c r="D180" s="233">
        <v>2</v>
      </c>
      <c r="E180" s="233">
        <v>35</v>
      </c>
      <c r="F180" s="232" t="s">
        <v>667</v>
      </c>
    </row>
    <row r="181" spans="1:6" x14ac:dyDescent="0.25">
      <c r="A181" s="342">
        <v>45505</v>
      </c>
      <c r="B181" s="333" t="s">
        <v>1408</v>
      </c>
      <c r="C181" s="239" t="s">
        <v>491</v>
      </c>
      <c r="D181" s="233"/>
      <c r="E181" s="233"/>
      <c r="F181" s="232"/>
    </row>
    <row r="182" spans="1:6" ht="56.25" hidden="1" x14ac:dyDescent="0.25">
      <c r="A182" s="342">
        <v>45505</v>
      </c>
      <c r="B182" s="333" t="s">
        <v>1409</v>
      </c>
      <c r="C182" s="239" t="s">
        <v>489</v>
      </c>
      <c r="D182" s="233">
        <v>3</v>
      </c>
      <c r="E182" s="233">
        <v>603</v>
      </c>
      <c r="F182" s="232" t="s">
        <v>679</v>
      </c>
    </row>
    <row r="183" spans="1:6" hidden="1" x14ac:dyDescent="0.25">
      <c r="A183" s="342">
        <v>45505</v>
      </c>
      <c r="B183" s="333" t="s">
        <v>1409</v>
      </c>
      <c r="C183" s="239" t="s">
        <v>490</v>
      </c>
      <c r="D183" s="233"/>
      <c r="E183" s="233"/>
      <c r="F183" s="232"/>
    </row>
    <row r="184" spans="1:6" x14ac:dyDescent="0.25">
      <c r="A184" s="342">
        <v>45505</v>
      </c>
      <c r="B184" s="333" t="s">
        <v>1409</v>
      </c>
      <c r="C184" s="239" t="s">
        <v>491</v>
      </c>
      <c r="D184" s="233"/>
      <c r="E184" s="233"/>
      <c r="F184" s="232"/>
    </row>
    <row r="185" spans="1:6" ht="56.25" hidden="1" x14ac:dyDescent="0.25">
      <c r="A185" s="342">
        <v>45505</v>
      </c>
      <c r="B185" s="333" t="s">
        <v>1410</v>
      </c>
      <c r="C185" s="239" t="s">
        <v>489</v>
      </c>
      <c r="D185" s="233">
        <v>2</v>
      </c>
      <c r="E185" s="233">
        <v>120</v>
      </c>
      <c r="F185" s="232" t="s">
        <v>665</v>
      </c>
    </row>
    <row r="186" spans="1:6" ht="93.75" hidden="1" x14ac:dyDescent="0.25">
      <c r="A186" s="342">
        <v>45505</v>
      </c>
      <c r="B186" s="333" t="s">
        <v>1410</v>
      </c>
      <c r="C186" s="239" t="s">
        <v>490</v>
      </c>
      <c r="D186" s="233">
        <v>4</v>
      </c>
      <c r="E186" s="233">
        <v>91</v>
      </c>
      <c r="F186" s="232" t="s">
        <v>666</v>
      </c>
    </row>
    <row r="187" spans="1:6" x14ac:dyDescent="0.25">
      <c r="A187" s="342">
        <v>45505</v>
      </c>
      <c r="B187" s="333" t="s">
        <v>1410</v>
      </c>
      <c r="C187" s="239" t="s">
        <v>491</v>
      </c>
      <c r="D187" s="233"/>
      <c r="E187" s="233"/>
      <c r="F187" s="232"/>
    </row>
    <row r="188" spans="1:6" hidden="1" x14ac:dyDescent="0.25">
      <c r="A188" s="342">
        <v>45505</v>
      </c>
      <c r="B188" s="333" t="s">
        <v>1411</v>
      </c>
      <c r="C188" s="239" t="s">
        <v>489</v>
      </c>
      <c r="D188" s="233">
        <v>1</v>
      </c>
      <c r="E188" s="233">
        <v>350</v>
      </c>
      <c r="F188" s="232" t="s">
        <v>678</v>
      </c>
    </row>
    <row r="189" spans="1:6" hidden="1" x14ac:dyDescent="0.25">
      <c r="A189" s="342">
        <v>45505</v>
      </c>
      <c r="B189" s="333" t="s">
        <v>1411</v>
      </c>
      <c r="C189" s="239" t="s">
        <v>490</v>
      </c>
      <c r="D189" s="233">
        <v>1</v>
      </c>
      <c r="E189" s="233">
        <v>60</v>
      </c>
      <c r="F189" s="232" t="s">
        <v>677</v>
      </c>
    </row>
    <row r="190" spans="1:6" x14ac:dyDescent="0.25">
      <c r="A190" s="342">
        <v>45505</v>
      </c>
      <c r="B190" s="333" t="s">
        <v>1411</v>
      </c>
      <c r="C190" s="239" t="s">
        <v>491</v>
      </c>
      <c r="D190" s="233"/>
      <c r="E190" s="233"/>
      <c r="F190" s="232"/>
    </row>
    <row r="191" spans="1:6" ht="75" hidden="1" x14ac:dyDescent="0.25">
      <c r="A191" s="342">
        <v>45505</v>
      </c>
      <c r="B191" s="333" t="s">
        <v>1452</v>
      </c>
      <c r="C191" s="239" t="s">
        <v>489</v>
      </c>
      <c r="D191" s="233">
        <v>5</v>
      </c>
      <c r="E191" s="233">
        <v>497</v>
      </c>
      <c r="F191" s="232" t="s">
        <v>675</v>
      </c>
    </row>
    <row r="192" spans="1:6" ht="225" hidden="1" x14ac:dyDescent="0.25">
      <c r="A192" s="342">
        <v>45505</v>
      </c>
      <c r="B192" s="333" t="s">
        <v>1452</v>
      </c>
      <c r="C192" s="239" t="s">
        <v>490</v>
      </c>
      <c r="D192" s="233">
        <v>12</v>
      </c>
      <c r="E192" s="233">
        <v>1923</v>
      </c>
      <c r="F192" s="232" t="s">
        <v>676</v>
      </c>
    </row>
    <row r="193" spans="1:6" x14ac:dyDescent="0.25">
      <c r="A193" s="342">
        <v>45505</v>
      </c>
      <c r="B193" s="333" t="s">
        <v>1452</v>
      </c>
      <c r="C193" s="239" t="s">
        <v>491</v>
      </c>
      <c r="D193" s="233"/>
      <c r="E193" s="233"/>
      <c r="F193" s="232"/>
    </row>
    <row r="194" spans="1:6" ht="56.25" hidden="1" x14ac:dyDescent="0.25">
      <c r="A194" s="342">
        <v>45505</v>
      </c>
      <c r="B194" s="333" t="s">
        <v>1413</v>
      </c>
      <c r="C194" s="239" t="s">
        <v>489</v>
      </c>
      <c r="D194" s="212">
        <v>3</v>
      </c>
      <c r="E194" s="212">
        <v>490</v>
      </c>
      <c r="F194" s="232" t="s">
        <v>669</v>
      </c>
    </row>
    <row r="195" spans="1:6" ht="75" hidden="1" x14ac:dyDescent="0.25">
      <c r="A195" s="342">
        <v>45505</v>
      </c>
      <c r="B195" s="333" t="s">
        <v>1413</v>
      </c>
      <c r="C195" s="239" t="s">
        <v>490</v>
      </c>
      <c r="D195" s="233">
        <v>3</v>
      </c>
      <c r="E195" s="233">
        <v>1020</v>
      </c>
      <c r="F195" s="232" t="s">
        <v>671</v>
      </c>
    </row>
    <row r="196" spans="1:6" ht="93.75" x14ac:dyDescent="0.25">
      <c r="A196" s="342">
        <v>45505</v>
      </c>
      <c r="B196" s="333" t="s">
        <v>1413</v>
      </c>
      <c r="C196" s="239" t="s">
        <v>491</v>
      </c>
      <c r="D196" s="233">
        <v>5</v>
      </c>
      <c r="E196" s="233">
        <v>50</v>
      </c>
      <c r="F196" s="232" t="s">
        <v>670</v>
      </c>
    </row>
    <row r="197" spans="1:6" ht="37.5" hidden="1" x14ac:dyDescent="0.25">
      <c r="A197" s="342">
        <v>45536</v>
      </c>
      <c r="B197" s="319" t="s">
        <v>1401</v>
      </c>
      <c r="C197" s="238" t="s">
        <v>489</v>
      </c>
      <c r="D197" s="126">
        <v>2</v>
      </c>
      <c r="E197" s="126">
        <v>140</v>
      </c>
      <c r="F197" s="180" t="s">
        <v>699</v>
      </c>
    </row>
    <row r="198" spans="1:6" ht="93.75" hidden="1" x14ac:dyDescent="0.25">
      <c r="A198" s="342">
        <v>45536</v>
      </c>
      <c r="B198" s="319" t="s">
        <v>1401</v>
      </c>
      <c r="C198" s="238" t="s">
        <v>490</v>
      </c>
      <c r="D198" s="126">
        <v>4</v>
      </c>
      <c r="E198" s="126">
        <v>550</v>
      </c>
      <c r="F198" s="180" t="s">
        <v>700</v>
      </c>
    </row>
    <row r="199" spans="1:6" x14ac:dyDescent="0.25">
      <c r="A199" s="342">
        <v>45536</v>
      </c>
      <c r="B199" s="319" t="s">
        <v>1401</v>
      </c>
      <c r="C199" s="238" t="s">
        <v>491</v>
      </c>
      <c r="D199" s="126"/>
      <c r="E199" s="126"/>
      <c r="F199" s="180"/>
    </row>
    <row r="200" spans="1:6" hidden="1" x14ac:dyDescent="0.25">
      <c r="A200" s="342">
        <v>45536</v>
      </c>
      <c r="B200" s="319" t="s">
        <v>1402</v>
      </c>
      <c r="C200" s="238" t="s">
        <v>489</v>
      </c>
      <c r="D200" s="147"/>
      <c r="E200" s="147"/>
      <c r="F200" s="147"/>
    </row>
    <row r="201" spans="1:6" hidden="1" x14ac:dyDescent="0.25">
      <c r="A201" s="342">
        <v>45536</v>
      </c>
      <c r="B201" s="319" t="s">
        <v>1402</v>
      </c>
      <c r="C201" s="238" t="s">
        <v>490</v>
      </c>
      <c r="D201" s="126">
        <v>1</v>
      </c>
      <c r="E201" s="126">
        <v>100</v>
      </c>
      <c r="F201" s="180" t="s">
        <v>705</v>
      </c>
    </row>
    <row r="202" spans="1:6" x14ac:dyDescent="0.25">
      <c r="A202" s="342">
        <v>45536</v>
      </c>
      <c r="B202" s="319" t="s">
        <v>1402</v>
      </c>
      <c r="C202" s="238" t="s">
        <v>491</v>
      </c>
      <c r="D202" s="126"/>
      <c r="E202" s="126"/>
      <c r="F202" s="180"/>
    </row>
    <row r="203" spans="1:6" hidden="1" x14ac:dyDescent="0.25">
      <c r="A203" s="342">
        <v>45536</v>
      </c>
      <c r="B203" s="319" t="s">
        <v>1403</v>
      </c>
      <c r="C203" s="238" t="s">
        <v>489</v>
      </c>
      <c r="D203" s="126">
        <v>3</v>
      </c>
      <c r="E203" s="126">
        <v>1480</v>
      </c>
      <c r="F203" s="180" t="s">
        <v>686</v>
      </c>
    </row>
    <row r="204" spans="1:6" ht="56.25" hidden="1" x14ac:dyDescent="0.25">
      <c r="A204" s="342">
        <v>45536</v>
      </c>
      <c r="B204" s="319" t="s">
        <v>1403</v>
      </c>
      <c r="C204" s="238" t="s">
        <v>490</v>
      </c>
      <c r="D204" s="126">
        <v>3</v>
      </c>
      <c r="E204" s="126">
        <v>1010</v>
      </c>
      <c r="F204" s="180" t="s">
        <v>687</v>
      </c>
    </row>
    <row r="205" spans="1:6" x14ac:dyDescent="0.25">
      <c r="A205" s="342">
        <v>45536</v>
      </c>
      <c r="B205" s="319" t="s">
        <v>1403</v>
      </c>
      <c r="C205" s="238" t="s">
        <v>491</v>
      </c>
      <c r="D205" s="126"/>
      <c r="E205" s="126"/>
      <c r="F205" s="180"/>
    </row>
    <row r="206" spans="1:6" hidden="1" x14ac:dyDescent="0.25">
      <c r="A206" s="342">
        <v>45536</v>
      </c>
      <c r="B206" s="319" t="s">
        <v>1404</v>
      </c>
      <c r="C206" s="238" t="s">
        <v>489</v>
      </c>
      <c r="D206" s="126"/>
      <c r="E206" s="126"/>
      <c r="F206" s="180"/>
    </row>
    <row r="207" spans="1:6" hidden="1" x14ac:dyDescent="0.25">
      <c r="A207" s="342">
        <v>45536</v>
      </c>
      <c r="B207" s="319" t="s">
        <v>1404</v>
      </c>
      <c r="C207" s="238" t="s">
        <v>490</v>
      </c>
      <c r="D207" s="126"/>
      <c r="E207" s="126"/>
      <c r="F207" s="180"/>
    </row>
    <row r="208" spans="1:6" ht="37.5" x14ac:dyDescent="0.25">
      <c r="A208" s="342">
        <v>45536</v>
      </c>
      <c r="B208" s="319" t="s">
        <v>1404</v>
      </c>
      <c r="C208" s="238" t="s">
        <v>491</v>
      </c>
      <c r="D208" s="126">
        <v>2</v>
      </c>
      <c r="E208" s="126">
        <v>7</v>
      </c>
      <c r="F208" s="180" t="s">
        <v>701</v>
      </c>
    </row>
    <row r="209" spans="1:6" ht="37.5" hidden="1" x14ac:dyDescent="0.25">
      <c r="A209" s="342">
        <v>45536</v>
      </c>
      <c r="B209" s="319" t="s">
        <v>1405</v>
      </c>
      <c r="C209" s="238" t="s">
        <v>489</v>
      </c>
      <c r="D209" s="126">
        <v>2</v>
      </c>
      <c r="E209" s="126">
        <v>200</v>
      </c>
      <c r="F209" s="180" t="s">
        <v>682</v>
      </c>
    </row>
    <row r="210" spans="1:6" ht="37.5" hidden="1" x14ac:dyDescent="0.25">
      <c r="A210" s="342">
        <v>45536</v>
      </c>
      <c r="B210" s="319" t="s">
        <v>1405</v>
      </c>
      <c r="C210" s="238" t="s">
        <v>490</v>
      </c>
      <c r="D210" s="126">
        <v>1</v>
      </c>
      <c r="E210" s="126">
        <v>165</v>
      </c>
      <c r="F210" s="180" t="s">
        <v>683</v>
      </c>
    </row>
    <row r="211" spans="1:6" ht="37.5" x14ac:dyDescent="0.25">
      <c r="A211" s="342">
        <v>45536</v>
      </c>
      <c r="B211" s="319" t="s">
        <v>1405</v>
      </c>
      <c r="C211" s="238" t="s">
        <v>491</v>
      </c>
      <c r="D211" s="126">
        <v>2</v>
      </c>
      <c r="E211" s="126">
        <v>9</v>
      </c>
      <c r="F211" s="180" t="s">
        <v>684</v>
      </c>
    </row>
    <row r="212" spans="1:6" ht="300" hidden="1" x14ac:dyDescent="0.25">
      <c r="A212" s="342">
        <v>45536</v>
      </c>
      <c r="B212" s="319" t="s">
        <v>1406</v>
      </c>
      <c r="C212" s="238" t="s">
        <v>489</v>
      </c>
      <c r="D212" s="126">
        <v>15</v>
      </c>
      <c r="E212" s="126">
        <v>1040</v>
      </c>
      <c r="F212" s="180" t="s">
        <v>708</v>
      </c>
    </row>
    <row r="213" spans="1:6" ht="37.5" hidden="1" x14ac:dyDescent="0.25">
      <c r="A213" s="342">
        <v>45536</v>
      </c>
      <c r="B213" s="319" t="s">
        <v>1406</v>
      </c>
      <c r="C213" s="238" t="s">
        <v>490</v>
      </c>
      <c r="D213" s="126">
        <v>2</v>
      </c>
      <c r="E213" s="126">
        <v>229</v>
      </c>
      <c r="F213" s="180" t="s">
        <v>709</v>
      </c>
    </row>
    <row r="214" spans="1:6" x14ac:dyDescent="0.25">
      <c r="A214" s="342">
        <v>45536</v>
      </c>
      <c r="B214" s="319" t="s">
        <v>1406</v>
      </c>
      <c r="C214" s="238" t="s">
        <v>491</v>
      </c>
      <c r="D214" s="126"/>
      <c r="E214" s="126"/>
      <c r="F214" s="180"/>
    </row>
    <row r="215" spans="1:6" ht="131.25" hidden="1" x14ac:dyDescent="0.25">
      <c r="A215" s="342">
        <v>45536</v>
      </c>
      <c r="B215" s="319" t="s">
        <v>1438</v>
      </c>
      <c r="C215" s="238" t="s">
        <v>489</v>
      </c>
      <c r="D215" s="126">
        <v>7</v>
      </c>
      <c r="E215" s="126">
        <v>715</v>
      </c>
      <c r="F215" s="180" t="s">
        <v>691</v>
      </c>
    </row>
    <row r="216" spans="1:6" ht="206.25" hidden="1" x14ac:dyDescent="0.25">
      <c r="A216" s="342">
        <v>45536</v>
      </c>
      <c r="B216" s="319" t="s">
        <v>1438</v>
      </c>
      <c r="C216" s="238" t="s">
        <v>490</v>
      </c>
      <c r="D216" s="126">
        <v>10</v>
      </c>
      <c r="E216" s="126">
        <v>258</v>
      </c>
      <c r="F216" s="180" t="s">
        <v>692</v>
      </c>
    </row>
    <row r="217" spans="1:6" ht="243.75" x14ac:dyDescent="0.25">
      <c r="A217" s="342">
        <v>45536</v>
      </c>
      <c r="B217" s="319" t="s">
        <v>1438</v>
      </c>
      <c r="C217" s="238" t="s">
        <v>491</v>
      </c>
      <c r="D217" s="126">
        <v>12</v>
      </c>
      <c r="E217" s="126">
        <v>242</v>
      </c>
      <c r="F217" s="180" t="s">
        <v>693</v>
      </c>
    </row>
    <row r="218" spans="1:6" ht="56.25" hidden="1" x14ac:dyDescent="0.25">
      <c r="A218" s="342">
        <v>45536</v>
      </c>
      <c r="B218" s="319" t="s">
        <v>1408</v>
      </c>
      <c r="C218" s="238" t="s">
        <v>489</v>
      </c>
      <c r="D218" s="126">
        <v>2</v>
      </c>
      <c r="E218" s="126">
        <v>210</v>
      </c>
      <c r="F218" s="180" t="s">
        <v>695</v>
      </c>
    </row>
    <row r="219" spans="1:6" ht="56.25" hidden="1" x14ac:dyDescent="0.25">
      <c r="A219" s="342">
        <v>45536</v>
      </c>
      <c r="B219" s="319" t="s">
        <v>1408</v>
      </c>
      <c r="C219" s="238" t="s">
        <v>490</v>
      </c>
      <c r="D219" s="126">
        <v>3</v>
      </c>
      <c r="E219" s="126">
        <v>50</v>
      </c>
      <c r="F219" s="180" t="s">
        <v>694</v>
      </c>
    </row>
    <row r="220" spans="1:6" x14ac:dyDescent="0.25">
      <c r="A220" s="342">
        <v>45536</v>
      </c>
      <c r="B220" s="319" t="s">
        <v>1408</v>
      </c>
      <c r="C220" s="238" t="s">
        <v>491</v>
      </c>
      <c r="D220" s="126"/>
      <c r="E220" s="126"/>
      <c r="F220" s="180"/>
    </row>
    <row r="221" spans="1:6" hidden="1" x14ac:dyDescent="0.25">
      <c r="A221" s="342">
        <v>45536</v>
      </c>
      <c r="B221" s="319" t="s">
        <v>1409</v>
      </c>
      <c r="C221" s="238" t="s">
        <v>489</v>
      </c>
      <c r="D221" s="126"/>
      <c r="E221" s="126"/>
      <c r="F221" s="180"/>
    </row>
    <row r="222" spans="1:6" ht="75" hidden="1" x14ac:dyDescent="0.25">
      <c r="A222" s="342">
        <v>45536</v>
      </c>
      <c r="B222" s="319" t="s">
        <v>1409</v>
      </c>
      <c r="C222" s="238" t="s">
        <v>490</v>
      </c>
      <c r="D222" s="126">
        <v>4</v>
      </c>
      <c r="E222" s="126">
        <v>1003</v>
      </c>
      <c r="F222" s="180" t="s">
        <v>704</v>
      </c>
    </row>
    <row r="223" spans="1:6" x14ac:dyDescent="0.25">
      <c r="A223" s="342">
        <v>45536</v>
      </c>
      <c r="B223" s="319" t="s">
        <v>1409</v>
      </c>
      <c r="C223" s="238" t="s">
        <v>491</v>
      </c>
      <c r="D223" s="126"/>
      <c r="E223" s="126"/>
      <c r="F223" s="180"/>
    </row>
    <row r="224" spans="1:6" ht="37.5" hidden="1" x14ac:dyDescent="0.25">
      <c r="A224" s="342">
        <v>45536</v>
      </c>
      <c r="B224" s="319" t="s">
        <v>1410</v>
      </c>
      <c r="C224" s="238" t="s">
        <v>489</v>
      </c>
      <c r="D224" s="126">
        <v>2</v>
      </c>
      <c r="E224" s="126">
        <v>700</v>
      </c>
      <c r="F224" s="180" t="s">
        <v>689</v>
      </c>
    </row>
    <row r="225" spans="1:6" hidden="1" x14ac:dyDescent="0.25">
      <c r="A225" s="342">
        <v>45536</v>
      </c>
      <c r="B225" s="319" t="s">
        <v>1410</v>
      </c>
      <c r="C225" s="238" t="s">
        <v>490</v>
      </c>
      <c r="D225" s="126"/>
      <c r="E225" s="126"/>
      <c r="F225" s="180"/>
    </row>
    <row r="226" spans="1:6" ht="37.5" x14ac:dyDescent="0.25">
      <c r="A226" s="342">
        <v>45536</v>
      </c>
      <c r="B226" s="319" t="s">
        <v>1410</v>
      </c>
      <c r="C226" s="238" t="s">
        <v>491</v>
      </c>
      <c r="D226" s="126">
        <v>1</v>
      </c>
      <c r="E226" s="126">
        <v>150</v>
      </c>
      <c r="F226" s="180" t="s">
        <v>688</v>
      </c>
    </row>
    <row r="227" spans="1:6" hidden="1" x14ac:dyDescent="0.25">
      <c r="A227" s="342">
        <v>45536</v>
      </c>
      <c r="B227" s="319" t="s">
        <v>1411</v>
      </c>
      <c r="C227" s="238" t="s">
        <v>489</v>
      </c>
      <c r="D227" s="126">
        <v>1</v>
      </c>
      <c r="E227" s="126">
        <v>350</v>
      </c>
      <c r="F227" s="180" t="s">
        <v>706</v>
      </c>
    </row>
    <row r="228" spans="1:6" hidden="1" x14ac:dyDescent="0.25">
      <c r="A228" s="342">
        <v>45536</v>
      </c>
      <c r="B228" s="319" t="s">
        <v>1411</v>
      </c>
      <c r="C228" s="238" t="s">
        <v>490</v>
      </c>
      <c r="D228" s="126"/>
      <c r="E228" s="126"/>
      <c r="F228" s="180"/>
    </row>
    <row r="229" spans="1:6" x14ac:dyDescent="0.25">
      <c r="A229" s="342">
        <v>45536</v>
      </c>
      <c r="B229" s="319" t="s">
        <v>1411</v>
      </c>
      <c r="C229" s="238" t="s">
        <v>491</v>
      </c>
      <c r="D229" s="126"/>
      <c r="E229" s="126"/>
      <c r="F229" s="180"/>
    </row>
    <row r="230" spans="1:6" ht="56.25" hidden="1" x14ac:dyDescent="0.25">
      <c r="A230" s="342">
        <v>45536</v>
      </c>
      <c r="B230" s="319" t="s">
        <v>1452</v>
      </c>
      <c r="C230" s="238" t="s">
        <v>489</v>
      </c>
      <c r="D230" s="126">
        <v>3</v>
      </c>
      <c r="E230" s="126">
        <v>425</v>
      </c>
      <c r="F230" s="180" t="s">
        <v>702</v>
      </c>
    </row>
    <row r="231" spans="1:6" ht="150" hidden="1" x14ac:dyDescent="0.25">
      <c r="A231" s="342">
        <v>45536</v>
      </c>
      <c r="B231" s="319" t="s">
        <v>1452</v>
      </c>
      <c r="C231" s="238" t="s">
        <v>490</v>
      </c>
      <c r="D231" s="126">
        <v>8</v>
      </c>
      <c r="E231" s="126">
        <v>1048</v>
      </c>
      <c r="F231" s="180" t="s">
        <v>703</v>
      </c>
    </row>
    <row r="232" spans="1:6" x14ac:dyDescent="0.25">
      <c r="A232" s="342">
        <v>45536</v>
      </c>
      <c r="B232" s="319" t="s">
        <v>1452</v>
      </c>
      <c r="C232" s="238" t="s">
        <v>491</v>
      </c>
      <c r="D232" s="126"/>
      <c r="E232" s="126"/>
      <c r="F232" s="180"/>
    </row>
    <row r="233" spans="1:6" ht="93.75" hidden="1" x14ac:dyDescent="0.25">
      <c r="A233" s="342">
        <v>45536</v>
      </c>
      <c r="B233" s="319" t="s">
        <v>1413</v>
      </c>
      <c r="C233" s="238" t="s">
        <v>489</v>
      </c>
      <c r="D233" s="214">
        <v>5</v>
      </c>
      <c r="E233" s="214">
        <v>274</v>
      </c>
      <c r="F233" s="180" t="s">
        <v>711</v>
      </c>
    </row>
    <row r="234" spans="1:6" hidden="1" x14ac:dyDescent="0.25">
      <c r="A234" s="342">
        <v>45536</v>
      </c>
      <c r="B234" s="319" t="s">
        <v>1413</v>
      </c>
      <c r="C234" s="238" t="s">
        <v>490</v>
      </c>
      <c r="D234" s="126">
        <v>1</v>
      </c>
      <c r="E234" s="126">
        <v>600</v>
      </c>
      <c r="F234" s="180" t="s">
        <v>710</v>
      </c>
    </row>
    <row r="235" spans="1:6" ht="75" x14ac:dyDescent="0.25">
      <c r="A235" s="342">
        <v>45536</v>
      </c>
      <c r="B235" s="319" t="s">
        <v>1413</v>
      </c>
      <c r="C235" s="238" t="s">
        <v>491</v>
      </c>
      <c r="D235" s="126">
        <v>4</v>
      </c>
      <c r="E235" s="126">
        <v>65</v>
      </c>
      <c r="F235" s="215" t="s">
        <v>712</v>
      </c>
    </row>
  </sheetData>
  <autoFilter ref="A1:F235" xr:uid="{00000000-0009-0000-0000-00001F000000}">
    <filterColumn colId="2">
      <filters>
        <filter val="TRAINING"/>
      </filters>
    </filterColumn>
  </autoFilter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470"/>
  <sheetViews>
    <sheetView topLeftCell="A451" workbookViewId="0">
      <selection activeCell="C1" sqref="C1"/>
    </sheetView>
  </sheetViews>
  <sheetFormatPr defaultRowHeight="18.75" x14ac:dyDescent="0.25"/>
  <cols>
    <col min="1" max="1" width="10.85546875" style="339" bestFit="1" customWidth="1"/>
    <col min="2" max="2" width="14.85546875" style="174" bestFit="1" customWidth="1"/>
    <col min="3" max="3" width="23.85546875" style="174" customWidth="1"/>
    <col min="4" max="4" width="18.140625" style="6" customWidth="1"/>
    <col min="5" max="5" width="13.42578125" style="6" customWidth="1"/>
    <col min="6" max="6" width="81" style="163" customWidth="1"/>
  </cols>
  <sheetData>
    <row r="1" spans="1:6" ht="56.25" x14ac:dyDescent="0.25">
      <c r="A1" s="329" t="s">
        <v>1421</v>
      </c>
      <c r="B1" s="329" t="s">
        <v>1422</v>
      </c>
      <c r="C1" s="329" t="s">
        <v>1423</v>
      </c>
      <c r="D1" s="329" t="s">
        <v>1417</v>
      </c>
      <c r="E1" s="329" t="s">
        <v>1424</v>
      </c>
      <c r="F1" s="329" t="s">
        <v>1419</v>
      </c>
    </row>
    <row r="2" spans="1:6" ht="20.25" x14ac:dyDescent="0.25">
      <c r="A2" s="344">
        <v>45383</v>
      </c>
      <c r="B2" s="336" t="s">
        <v>1401</v>
      </c>
      <c r="C2" s="240" t="s">
        <v>489</v>
      </c>
      <c r="D2" s="34">
        <v>1</v>
      </c>
      <c r="E2" s="34">
        <v>30</v>
      </c>
      <c r="F2" s="177" t="s">
        <v>506</v>
      </c>
    </row>
    <row r="3" spans="1:6" ht="20.25" x14ac:dyDescent="0.25">
      <c r="A3" s="344">
        <v>45383</v>
      </c>
      <c r="B3" s="336" t="s">
        <v>1401</v>
      </c>
      <c r="C3" s="240" t="s">
        <v>490</v>
      </c>
      <c r="D3" s="34">
        <v>1</v>
      </c>
      <c r="E3" s="34">
        <v>150</v>
      </c>
      <c r="F3" s="177" t="s">
        <v>472</v>
      </c>
    </row>
    <row r="4" spans="1:6" ht="121.5" x14ac:dyDescent="0.25">
      <c r="A4" s="344">
        <v>45383</v>
      </c>
      <c r="B4" s="336" t="s">
        <v>1401</v>
      </c>
      <c r="C4" s="240" t="s">
        <v>491</v>
      </c>
      <c r="D4" s="34">
        <v>6</v>
      </c>
      <c r="E4" s="34">
        <v>353</v>
      </c>
      <c r="F4" s="177" t="s">
        <v>473</v>
      </c>
    </row>
    <row r="5" spans="1:6" ht="20.25" x14ac:dyDescent="0.25">
      <c r="A5" s="344">
        <v>45383</v>
      </c>
      <c r="B5" s="336" t="s">
        <v>1402</v>
      </c>
      <c r="C5" s="240" t="s">
        <v>489</v>
      </c>
      <c r="D5" s="34">
        <v>1</v>
      </c>
      <c r="E5" s="34">
        <v>500</v>
      </c>
      <c r="F5" s="177" t="s">
        <v>503</v>
      </c>
    </row>
    <row r="6" spans="1:6" ht="20.25" x14ac:dyDescent="0.25">
      <c r="A6" s="344">
        <v>45383</v>
      </c>
      <c r="B6" s="336" t="s">
        <v>1402</v>
      </c>
      <c r="C6" s="240" t="s">
        <v>490</v>
      </c>
      <c r="D6" s="34"/>
      <c r="E6" s="34"/>
      <c r="F6" s="177"/>
    </row>
    <row r="7" spans="1:6" ht="40.5" x14ac:dyDescent="0.25">
      <c r="A7" s="344">
        <v>45383</v>
      </c>
      <c r="B7" s="336" t="s">
        <v>1402</v>
      </c>
      <c r="C7" s="240" t="s">
        <v>491</v>
      </c>
      <c r="D7" s="34">
        <v>2</v>
      </c>
      <c r="E7" s="34">
        <v>350</v>
      </c>
      <c r="F7" s="177" t="s">
        <v>474</v>
      </c>
    </row>
    <row r="8" spans="1:6" ht="20.25" x14ac:dyDescent="0.25">
      <c r="A8" s="344">
        <v>45383</v>
      </c>
      <c r="B8" s="336" t="s">
        <v>1403</v>
      </c>
      <c r="C8" s="240" t="s">
        <v>489</v>
      </c>
      <c r="D8" s="34">
        <v>1</v>
      </c>
      <c r="E8" s="34">
        <v>55</v>
      </c>
      <c r="F8" s="177" t="s">
        <v>480</v>
      </c>
    </row>
    <row r="9" spans="1:6" ht="60.75" x14ac:dyDescent="0.25">
      <c r="A9" s="344">
        <v>45383</v>
      </c>
      <c r="B9" s="336" t="s">
        <v>1403</v>
      </c>
      <c r="C9" s="240" t="s">
        <v>490</v>
      </c>
      <c r="D9" s="34">
        <v>2</v>
      </c>
      <c r="E9" s="34">
        <v>550</v>
      </c>
      <c r="F9" s="177" t="s">
        <v>481</v>
      </c>
    </row>
    <row r="10" spans="1:6" ht="20.25" x14ac:dyDescent="0.25">
      <c r="A10" s="344">
        <v>45383</v>
      </c>
      <c r="B10" s="336" t="s">
        <v>1403</v>
      </c>
      <c r="C10" s="240" t="s">
        <v>491</v>
      </c>
      <c r="D10" s="34"/>
      <c r="E10" s="34"/>
      <c r="F10" s="177"/>
    </row>
    <row r="11" spans="1:6" ht="60.75" x14ac:dyDescent="0.25">
      <c r="A11" s="344">
        <v>45383</v>
      </c>
      <c r="B11" s="336" t="s">
        <v>1404</v>
      </c>
      <c r="C11" s="240" t="s">
        <v>489</v>
      </c>
      <c r="D11" s="34">
        <v>3</v>
      </c>
      <c r="E11" s="34">
        <v>460</v>
      </c>
      <c r="F11" s="177" t="s">
        <v>475</v>
      </c>
    </row>
    <row r="12" spans="1:6" ht="101.25" x14ac:dyDescent="0.25">
      <c r="A12" s="344">
        <v>45383</v>
      </c>
      <c r="B12" s="336" t="s">
        <v>1404</v>
      </c>
      <c r="C12" s="240" t="s">
        <v>490</v>
      </c>
      <c r="D12" s="34">
        <v>5</v>
      </c>
      <c r="E12" s="34">
        <v>118</v>
      </c>
      <c r="F12" s="177" t="s">
        <v>476</v>
      </c>
    </row>
    <row r="13" spans="1:6" ht="101.25" x14ac:dyDescent="0.25">
      <c r="A13" s="344">
        <v>45383</v>
      </c>
      <c r="B13" s="336" t="s">
        <v>1404</v>
      </c>
      <c r="C13" s="240" t="s">
        <v>491</v>
      </c>
      <c r="D13" s="34">
        <v>5</v>
      </c>
      <c r="E13" s="34">
        <v>238</v>
      </c>
      <c r="F13" s="177" t="s">
        <v>477</v>
      </c>
    </row>
    <row r="14" spans="1:6" ht="20.25" x14ac:dyDescent="0.25">
      <c r="A14" s="344">
        <v>45383</v>
      </c>
      <c r="B14" s="336" t="s">
        <v>1405</v>
      </c>
      <c r="C14" s="240" t="s">
        <v>489</v>
      </c>
      <c r="D14" s="34"/>
      <c r="E14" s="34"/>
      <c r="F14" s="177"/>
    </row>
    <row r="15" spans="1:6" ht="40.5" x14ac:dyDescent="0.25">
      <c r="A15" s="344">
        <v>45383</v>
      </c>
      <c r="B15" s="336" t="s">
        <v>1405</v>
      </c>
      <c r="C15" s="240" t="s">
        <v>490</v>
      </c>
      <c r="D15" s="34">
        <v>2</v>
      </c>
      <c r="E15" s="34">
        <v>150</v>
      </c>
      <c r="F15" s="177" t="s">
        <v>482</v>
      </c>
    </row>
    <row r="16" spans="1:6" ht="60.75" x14ac:dyDescent="0.25">
      <c r="A16" s="344">
        <v>45383</v>
      </c>
      <c r="B16" s="336" t="s">
        <v>1405</v>
      </c>
      <c r="C16" s="240" t="s">
        <v>491</v>
      </c>
      <c r="D16" s="34">
        <v>3</v>
      </c>
      <c r="E16" s="34">
        <v>204</v>
      </c>
      <c r="F16" s="177" t="s">
        <v>483</v>
      </c>
    </row>
    <row r="17" spans="1:6" ht="409.5" x14ac:dyDescent="0.25">
      <c r="A17" s="344">
        <v>45383</v>
      </c>
      <c r="B17" s="336" t="s">
        <v>1406</v>
      </c>
      <c r="C17" s="240" t="s">
        <v>489</v>
      </c>
      <c r="D17" s="34">
        <v>22</v>
      </c>
      <c r="E17" s="34">
        <v>1685</v>
      </c>
      <c r="F17" s="177" t="s">
        <v>499</v>
      </c>
    </row>
    <row r="18" spans="1:6" ht="121.5" x14ac:dyDescent="0.25">
      <c r="A18" s="344">
        <v>45383</v>
      </c>
      <c r="B18" s="336" t="s">
        <v>1406</v>
      </c>
      <c r="C18" s="240" t="s">
        <v>490</v>
      </c>
      <c r="D18" s="34">
        <v>2</v>
      </c>
      <c r="E18" s="34">
        <v>400</v>
      </c>
      <c r="F18" s="177" t="s">
        <v>497</v>
      </c>
    </row>
    <row r="19" spans="1:6" ht="81" x14ac:dyDescent="0.25">
      <c r="A19" s="344">
        <v>45383</v>
      </c>
      <c r="B19" s="336" t="s">
        <v>1406</v>
      </c>
      <c r="C19" s="240" t="s">
        <v>491</v>
      </c>
      <c r="D19" s="34">
        <v>2</v>
      </c>
      <c r="E19" s="34">
        <v>270</v>
      </c>
      <c r="F19" s="177" t="s">
        <v>498</v>
      </c>
    </row>
    <row r="20" spans="1:6" ht="162" x14ac:dyDescent="0.25">
      <c r="A20" s="344">
        <v>45383</v>
      </c>
      <c r="B20" s="336" t="s">
        <v>1438</v>
      </c>
      <c r="C20" s="240" t="s">
        <v>489</v>
      </c>
      <c r="D20" s="34">
        <v>7</v>
      </c>
      <c r="E20" s="34">
        <v>1662</v>
      </c>
      <c r="F20" s="177" t="s">
        <v>484</v>
      </c>
    </row>
    <row r="21" spans="1:6" ht="222.75" x14ac:dyDescent="0.25">
      <c r="A21" s="344">
        <v>45383</v>
      </c>
      <c r="B21" s="336" t="s">
        <v>1438</v>
      </c>
      <c r="C21" s="240" t="s">
        <v>490</v>
      </c>
      <c r="D21" s="34">
        <v>8</v>
      </c>
      <c r="E21" s="34">
        <v>3601</v>
      </c>
      <c r="F21" s="177" t="s">
        <v>485</v>
      </c>
    </row>
    <row r="22" spans="1:6" ht="409.5" x14ac:dyDescent="0.25">
      <c r="A22" s="344">
        <v>45383</v>
      </c>
      <c r="B22" s="336" t="s">
        <v>1438</v>
      </c>
      <c r="C22" s="240" t="s">
        <v>491</v>
      </c>
      <c r="D22" s="34">
        <v>23</v>
      </c>
      <c r="E22" s="34">
        <v>553</v>
      </c>
      <c r="F22" s="178" t="s">
        <v>486</v>
      </c>
    </row>
    <row r="23" spans="1:6" ht="40.5" x14ac:dyDescent="0.25">
      <c r="A23" s="344">
        <v>45383</v>
      </c>
      <c r="B23" s="336" t="s">
        <v>1408</v>
      </c>
      <c r="C23" s="240" t="s">
        <v>489</v>
      </c>
      <c r="D23" s="34">
        <v>2</v>
      </c>
      <c r="E23" s="34">
        <v>275</v>
      </c>
      <c r="F23" s="179" t="s">
        <v>479</v>
      </c>
    </row>
    <row r="24" spans="1:6" ht="81" x14ac:dyDescent="0.25">
      <c r="A24" s="344">
        <v>45383</v>
      </c>
      <c r="B24" s="336" t="s">
        <v>1408</v>
      </c>
      <c r="C24" s="240" t="s">
        <v>490</v>
      </c>
      <c r="D24" s="34">
        <v>4</v>
      </c>
      <c r="E24" s="34">
        <v>115</v>
      </c>
      <c r="F24" s="177" t="s">
        <v>478</v>
      </c>
    </row>
    <row r="25" spans="1:6" ht="20.25" x14ac:dyDescent="0.25">
      <c r="A25" s="344">
        <v>45383</v>
      </c>
      <c r="B25" s="336" t="s">
        <v>1408</v>
      </c>
      <c r="C25" s="240" t="s">
        <v>491</v>
      </c>
      <c r="D25" s="34"/>
      <c r="E25" s="34"/>
      <c r="F25" s="177"/>
    </row>
    <row r="26" spans="1:6" ht="60.75" x14ac:dyDescent="0.25">
      <c r="A26" s="344">
        <v>45383</v>
      </c>
      <c r="B26" s="336" t="s">
        <v>1409</v>
      </c>
      <c r="C26" s="240" t="s">
        <v>489</v>
      </c>
      <c r="D26" s="34">
        <v>3</v>
      </c>
      <c r="E26" s="34">
        <v>540</v>
      </c>
      <c r="F26" s="177" t="s">
        <v>500</v>
      </c>
    </row>
    <row r="27" spans="1:6" ht="40.5" x14ac:dyDescent="0.25">
      <c r="A27" s="344">
        <v>45383</v>
      </c>
      <c r="B27" s="336" t="s">
        <v>1409</v>
      </c>
      <c r="C27" s="240" t="s">
        <v>490</v>
      </c>
      <c r="D27" s="34">
        <v>2</v>
      </c>
      <c r="E27" s="34">
        <v>33</v>
      </c>
      <c r="F27" s="177" t="s">
        <v>501</v>
      </c>
    </row>
    <row r="28" spans="1:6" ht="20.25" x14ac:dyDescent="0.25">
      <c r="A28" s="344">
        <v>45383</v>
      </c>
      <c r="B28" s="336" t="s">
        <v>1409</v>
      </c>
      <c r="C28" s="240" t="s">
        <v>491</v>
      </c>
      <c r="D28" s="34"/>
      <c r="E28" s="34"/>
      <c r="F28" s="177"/>
    </row>
    <row r="29" spans="1:6" ht="40.5" x14ac:dyDescent="0.25">
      <c r="A29" s="344">
        <v>45383</v>
      </c>
      <c r="B29" s="336" t="s">
        <v>1410</v>
      </c>
      <c r="C29" s="240" t="s">
        <v>489</v>
      </c>
      <c r="D29" s="34">
        <v>2</v>
      </c>
      <c r="E29" s="34">
        <v>245</v>
      </c>
      <c r="F29" s="177" t="s">
        <v>487</v>
      </c>
    </row>
    <row r="30" spans="1:6" ht="20.25" x14ac:dyDescent="0.25">
      <c r="A30" s="344">
        <v>45383</v>
      </c>
      <c r="B30" s="336" t="s">
        <v>1410</v>
      </c>
      <c r="C30" s="240" t="s">
        <v>490</v>
      </c>
      <c r="D30" s="34">
        <v>1</v>
      </c>
      <c r="E30" s="34">
        <v>126</v>
      </c>
      <c r="F30" s="177" t="s">
        <v>488</v>
      </c>
    </row>
    <row r="31" spans="1:6" ht="20.25" x14ac:dyDescent="0.25">
      <c r="A31" s="344">
        <v>45383</v>
      </c>
      <c r="B31" s="336" t="s">
        <v>1410</v>
      </c>
      <c r="C31" s="240" t="s">
        <v>491</v>
      </c>
      <c r="D31" s="34"/>
      <c r="E31" s="34"/>
      <c r="F31" s="177"/>
    </row>
    <row r="32" spans="1:6" ht="20.25" x14ac:dyDescent="0.25">
      <c r="A32" s="344">
        <v>45383</v>
      </c>
      <c r="B32" s="336" t="s">
        <v>1411</v>
      </c>
      <c r="C32" s="240" t="s">
        <v>489</v>
      </c>
      <c r="D32" s="34">
        <v>1</v>
      </c>
      <c r="E32" s="34">
        <v>35</v>
      </c>
      <c r="F32" s="177" t="s">
        <v>471</v>
      </c>
    </row>
    <row r="33" spans="1:6" ht="20.25" x14ac:dyDescent="0.25">
      <c r="A33" s="344">
        <v>45383</v>
      </c>
      <c r="B33" s="336" t="s">
        <v>1411</v>
      </c>
      <c r="C33" s="240" t="s">
        <v>490</v>
      </c>
      <c r="D33" s="34">
        <v>1</v>
      </c>
      <c r="E33" s="34">
        <v>150</v>
      </c>
      <c r="F33" s="177" t="s">
        <v>470</v>
      </c>
    </row>
    <row r="34" spans="1:6" ht="20.25" x14ac:dyDescent="0.25">
      <c r="A34" s="344">
        <v>45383</v>
      </c>
      <c r="B34" s="336" t="s">
        <v>1411</v>
      </c>
      <c r="C34" s="240" t="s">
        <v>491</v>
      </c>
      <c r="D34" s="34"/>
      <c r="E34" s="34"/>
      <c r="F34" s="177"/>
    </row>
    <row r="35" spans="1:6" ht="101.25" x14ac:dyDescent="0.25">
      <c r="A35" s="344">
        <v>45383</v>
      </c>
      <c r="B35" s="336" t="s">
        <v>1452</v>
      </c>
      <c r="C35" s="240" t="s">
        <v>489</v>
      </c>
      <c r="D35" s="34">
        <v>4</v>
      </c>
      <c r="E35" s="34">
        <v>430</v>
      </c>
      <c r="F35" s="177" t="s">
        <v>492</v>
      </c>
    </row>
    <row r="36" spans="1:6" ht="409.5" x14ac:dyDescent="0.25">
      <c r="A36" s="344">
        <v>45383</v>
      </c>
      <c r="B36" s="336" t="s">
        <v>1452</v>
      </c>
      <c r="C36" s="240" t="s">
        <v>490</v>
      </c>
      <c r="D36" s="34">
        <v>21</v>
      </c>
      <c r="E36" s="34">
        <v>1435</v>
      </c>
      <c r="F36" s="177" t="s">
        <v>493</v>
      </c>
    </row>
    <row r="37" spans="1:6" ht="20.25" x14ac:dyDescent="0.25">
      <c r="A37" s="344">
        <v>45383</v>
      </c>
      <c r="B37" s="336" t="s">
        <v>1452</v>
      </c>
      <c r="C37" s="240" t="s">
        <v>491</v>
      </c>
      <c r="D37" s="34"/>
      <c r="E37" s="34"/>
      <c r="F37" s="177"/>
    </row>
    <row r="38" spans="1:6" ht="162" x14ac:dyDescent="0.25">
      <c r="A38" s="344">
        <v>45383</v>
      </c>
      <c r="B38" s="336" t="s">
        <v>1413</v>
      </c>
      <c r="C38" s="240" t="s">
        <v>489</v>
      </c>
      <c r="D38" s="34">
        <v>8</v>
      </c>
      <c r="E38" s="34">
        <v>1010</v>
      </c>
      <c r="F38" s="177" t="s">
        <v>494</v>
      </c>
    </row>
    <row r="39" spans="1:6" ht="222.75" x14ac:dyDescent="0.25">
      <c r="A39" s="344">
        <v>45383</v>
      </c>
      <c r="B39" s="336" t="s">
        <v>1413</v>
      </c>
      <c r="C39" s="240" t="s">
        <v>490</v>
      </c>
      <c r="D39" s="34">
        <v>17</v>
      </c>
      <c r="E39" s="34">
        <v>984</v>
      </c>
      <c r="F39" s="177" t="s">
        <v>495</v>
      </c>
    </row>
    <row r="40" spans="1:6" ht="162" x14ac:dyDescent="0.25">
      <c r="A40" s="344">
        <v>45383</v>
      </c>
      <c r="B40" s="336" t="s">
        <v>1413</v>
      </c>
      <c r="C40" s="240" t="s">
        <v>491</v>
      </c>
      <c r="D40" s="34">
        <v>7</v>
      </c>
      <c r="E40" s="34">
        <v>278</v>
      </c>
      <c r="F40" s="177" t="s">
        <v>496</v>
      </c>
    </row>
    <row r="41" spans="1:6" ht="101.25" x14ac:dyDescent="0.25">
      <c r="A41" s="345">
        <v>45413</v>
      </c>
      <c r="B41" s="335" t="s">
        <v>1401</v>
      </c>
      <c r="C41" s="191" t="s">
        <v>489</v>
      </c>
      <c r="D41" s="35">
        <v>3</v>
      </c>
      <c r="E41" s="35">
        <v>281</v>
      </c>
      <c r="F41" s="40" t="s">
        <v>602</v>
      </c>
    </row>
    <row r="42" spans="1:6" ht="40.5" x14ac:dyDescent="0.25">
      <c r="A42" s="345">
        <v>45413</v>
      </c>
      <c r="B42" s="335" t="s">
        <v>1401</v>
      </c>
      <c r="C42" s="191" t="s">
        <v>490</v>
      </c>
      <c r="D42" s="35">
        <v>2</v>
      </c>
      <c r="E42" s="35">
        <v>390</v>
      </c>
      <c r="F42" s="40" t="s">
        <v>583</v>
      </c>
    </row>
    <row r="43" spans="1:6" ht="20.25" x14ac:dyDescent="0.25">
      <c r="A43" s="345">
        <v>45413</v>
      </c>
      <c r="B43" s="335" t="s">
        <v>1401</v>
      </c>
      <c r="C43" s="191" t="s">
        <v>491</v>
      </c>
      <c r="D43" s="35"/>
      <c r="E43" s="35"/>
      <c r="F43" s="40"/>
    </row>
    <row r="44" spans="1:6" ht="20.25" x14ac:dyDescent="0.25">
      <c r="A44" s="345">
        <v>45413</v>
      </c>
      <c r="B44" s="335" t="s">
        <v>1402</v>
      </c>
      <c r="C44" s="191" t="s">
        <v>489</v>
      </c>
      <c r="D44" s="35"/>
      <c r="E44" s="35"/>
      <c r="F44" s="40"/>
    </row>
    <row r="45" spans="1:6" ht="20.25" x14ac:dyDescent="0.25">
      <c r="A45" s="345">
        <v>45413</v>
      </c>
      <c r="B45" s="335" t="s">
        <v>1402</v>
      </c>
      <c r="C45" s="191" t="s">
        <v>490</v>
      </c>
      <c r="D45" s="35"/>
      <c r="E45" s="35"/>
      <c r="F45" s="40"/>
    </row>
    <row r="46" spans="1:6" ht="20.25" x14ac:dyDescent="0.25">
      <c r="A46" s="345">
        <v>45413</v>
      </c>
      <c r="B46" s="335" t="s">
        <v>1402</v>
      </c>
      <c r="C46" s="191" t="s">
        <v>491</v>
      </c>
      <c r="D46" s="35"/>
      <c r="E46" s="35"/>
      <c r="F46" s="40"/>
    </row>
    <row r="47" spans="1:6" ht="20.25" x14ac:dyDescent="0.25">
      <c r="A47" s="345">
        <v>45413</v>
      </c>
      <c r="B47" s="335" t="s">
        <v>1403</v>
      </c>
      <c r="C47" s="191" t="s">
        <v>489</v>
      </c>
      <c r="D47" s="35"/>
      <c r="E47" s="35"/>
      <c r="F47" s="40"/>
    </row>
    <row r="48" spans="1:6" ht="60.75" x14ac:dyDescent="0.25">
      <c r="A48" s="345">
        <v>45413</v>
      </c>
      <c r="B48" s="335" t="s">
        <v>1403</v>
      </c>
      <c r="C48" s="191" t="s">
        <v>490</v>
      </c>
      <c r="D48" s="35">
        <v>3</v>
      </c>
      <c r="E48" s="35">
        <v>107</v>
      </c>
      <c r="F48" s="40" t="s">
        <v>584</v>
      </c>
    </row>
    <row r="49" spans="1:6" ht="20.25" x14ac:dyDescent="0.25">
      <c r="A49" s="345">
        <v>45413</v>
      </c>
      <c r="B49" s="335" t="s">
        <v>1403</v>
      </c>
      <c r="C49" s="191" t="s">
        <v>491</v>
      </c>
      <c r="D49" s="35"/>
      <c r="E49" s="35"/>
      <c r="F49" s="40"/>
    </row>
    <row r="50" spans="1:6" ht="20.25" x14ac:dyDescent="0.25">
      <c r="A50" s="345">
        <v>45413</v>
      </c>
      <c r="B50" s="335" t="s">
        <v>1404</v>
      </c>
      <c r="C50" s="191" t="s">
        <v>489</v>
      </c>
      <c r="D50" s="35">
        <v>1</v>
      </c>
      <c r="E50" s="35">
        <v>80</v>
      </c>
      <c r="F50" s="40" t="s">
        <v>592</v>
      </c>
    </row>
    <row r="51" spans="1:6" ht="20.25" x14ac:dyDescent="0.25">
      <c r="A51" s="345">
        <v>45413</v>
      </c>
      <c r="B51" s="335" t="s">
        <v>1404</v>
      </c>
      <c r="C51" s="191" t="s">
        <v>490</v>
      </c>
      <c r="D51" s="35"/>
      <c r="E51" s="35"/>
      <c r="F51" s="40"/>
    </row>
    <row r="52" spans="1:6" ht="20.25" x14ac:dyDescent="0.25">
      <c r="A52" s="345">
        <v>45413</v>
      </c>
      <c r="B52" s="335" t="s">
        <v>1404</v>
      </c>
      <c r="C52" s="191" t="s">
        <v>491</v>
      </c>
      <c r="D52" s="35"/>
      <c r="E52" s="35"/>
      <c r="F52" s="40"/>
    </row>
    <row r="53" spans="1:6" ht="20.25" x14ac:dyDescent="0.25">
      <c r="A53" s="345">
        <v>45413</v>
      </c>
      <c r="B53" s="335" t="s">
        <v>1405</v>
      </c>
      <c r="C53" s="191" t="s">
        <v>489</v>
      </c>
      <c r="D53" s="35">
        <v>2</v>
      </c>
      <c r="E53" s="35">
        <v>22</v>
      </c>
      <c r="F53" s="40" t="s">
        <v>585</v>
      </c>
    </row>
    <row r="54" spans="1:6" ht="40.5" x14ac:dyDescent="0.25">
      <c r="A54" s="345">
        <v>45413</v>
      </c>
      <c r="B54" s="335" t="s">
        <v>1405</v>
      </c>
      <c r="C54" s="191" t="s">
        <v>490</v>
      </c>
      <c r="D54" s="35">
        <v>2</v>
      </c>
      <c r="E54" s="35">
        <v>260</v>
      </c>
      <c r="F54" s="40" t="s">
        <v>586</v>
      </c>
    </row>
    <row r="55" spans="1:6" ht="60.75" x14ac:dyDescent="0.25">
      <c r="A55" s="345">
        <v>45413</v>
      </c>
      <c r="B55" s="335" t="s">
        <v>1405</v>
      </c>
      <c r="C55" s="191" t="s">
        <v>491</v>
      </c>
      <c r="D55" s="35">
        <v>3</v>
      </c>
      <c r="E55" s="35">
        <v>41</v>
      </c>
      <c r="F55" s="40" t="s">
        <v>587</v>
      </c>
    </row>
    <row r="56" spans="1:6" ht="222.75" x14ac:dyDescent="0.25">
      <c r="A56" s="345">
        <v>45413</v>
      </c>
      <c r="B56" s="335" t="s">
        <v>1406</v>
      </c>
      <c r="C56" s="191" t="s">
        <v>489</v>
      </c>
      <c r="D56" s="35">
        <v>11</v>
      </c>
      <c r="E56" s="35">
        <v>1055</v>
      </c>
      <c r="F56" s="40" t="s">
        <v>598</v>
      </c>
    </row>
    <row r="57" spans="1:6" ht="40.5" x14ac:dyDescent="0.25">
      <c r="A57" s="345">
        <v>45413</v>
      </c>
      <c r="B57" s="335" t="s">
        <v>1406</v>
      </c>
      <c r="C57" s="191" t="s">
        <v>490</v>
      </c>
      <c r="D57" s="35">
        <v>2</v>
      </c>
      <c r="E57" s="35">
        <v>400</v>
      </c>
      <c r="F57" s="40" t="s">
        <v>599</v>
      </c>
    </row>
    <row r="58" spans="1:6" ht="20.25" x14ac:dyDescent="0.25">
      <c r="A58" s="345">
        <v>45413</v>
      </c>
      <c r="B58" s="335" t="s">
        <v>1406</v>
      </c>
      <c r="C58" s="191" t="s">
        <v>491</v>
      </c>
      <c r="D58" s="35"/>
      <c r="E58" s="35"/>
      <c r="F58" s="40"/>
    </row>
    <row r="59" spans="1:6" ht="141.75" x14ac:dyDescent="0.25">
      <c r="A59" s="345">
        <v>45413</v>
      </c>
      <c r="B59" s="335" t="s">
        <v>1438</v>
      </c>
      <c r="C59" s="191" t="s">
        <v>489</v>
      </c>
      <c r="D59" s="35">
        <v>7</v>
      </c>
      <c r="E59" s="35">
        <v>1227</v>
      </c>
      <c r="F59" s="40" t="s">
        <v>595</v>
      </c>
    </row>
    <row r="60" spans="1:6" ht="40.5" x14ac:dyDescent="0.25">
      <c r="A60" s="345">
        <v>45413</v>
      </c>
      <c r="B60" s="335" t="s">
        <v>1438</v>
      </c>
      <c r="C60" s="191" t="s">
        <v>490</v>
      </c>
      <c r="D60" s="35">
        <v>2</v>
      </c>
      <c r="E60" s="35">
        <v>300</v>
      </c>
      <c r="F60" s="40" t="s">
        <v>593</v>
      </c>
    </row>
    <row r="61" spans="1:6" ht="409.5" x14ac:dyDescent="0.25">
      <c r="A61" s="345">
        <v>45413</v>
      </c>
      <c r="B61" s="335" t="s">
        <v>1438</v>
      </c>
      <c r="C61" s="191" t="s">
        <v>491</v>
      </c>
      <c r="D61" s="35">
        <v>4</v>
      </c>
      <c r="E61" s="35">
        <v>32</v>
      </c>
      <c r="F61" s="189" t="s">
        <v>594</v>
      </c>
    </row>
    <row r="62" spans="1:6" ht="81" x14ac:dyDescent="0.25">
      <c r="A62" s="345">
        <v>45413</v>
      </c>
      <c r="B62" s="335" t="s">
        <v>1408</v>
      </c>
      <c r="C62" s="191" t="s">
        <v>489</v>
      </c>
      <c r="D62" s="35">
        <v>4</v>
      </c>
      <c r="E62" s="35">
        <v>260</v>
      </c>
      <c r="F62" s="1" t="s">
        <v>588</v>
      </c>
    </row>
    <row r="63" spans="1:6" ht="20.25" x14ac:dyDescent="0.25">
      <c r="A63" s="345">
        <v>45413</v>
      </c>
      <c r="B63" s="335" t="s">
        <v>1408</v>
      </c>
      <c r="C63" s="191" t="s">
        <v>490</v>
      </c>
      <c r="D63" s="35"/>
      <c r="E63" s="35"/>
      <c r="F63" s="40"/>
    </row>
    <row r="64" spans="1:6" ht="20.25" x14ac:dyDescent="0.25">
      <c r="A64" s="345">
        <v>45413</v>
      </c>
      <c r="B64" s="335" t="s">
        <v>1408</v>
      </c>
      <c r="C64" s="191" t="s">
        <v>491</v>
      </c>
      <c r="D64" s="35"/>
      <c r="E64" s="35"/>
      <c r="F64" s="40"/>
    </row>
    <row r="65" spans="1:6" ht="20.25" x14ac:dyDescent="0.25">
      <c r="A65" s="345">
        <v>45413</v>
      </c>
      <c r="B65" s="335" t="s">
        <v>1409</v>
      </c>
      <c r="C65" s="191" t="s">
        <v>489</v>
      </c>
      <c r="D65" s="35">
        <v>1</v>
      </c>
      <c r="E65" s="35">
        <v>425</v>
      </c>
      <c r="F65" s="40" t="s">
        <v>600</v>
      </c>
    </row>
    <row r="66" spans="1:6" ht="20.25" x14ac:dyDescent="0.25">
      <c r="A66" s="345">
        <v>45413</v>
      </c>
      <c r="B66" s="335" t="s">
        <v>1409</v>
      </c>
      <c r="C66" s="191" t="s">
        <v>490</v>
      </c>
      <c r="D66" s="35"/>
      <c r="E66" s="35"/>
      <c r="F66" s="40"/>
    </row>
    <row r="67" spans="1:6" ht="20.25" x14ac:dyDescent="0.25">
      <c r="A67" s="345">
        <v>45413</v>
      </c>
      <c r="B67" s="335" t="s">
        <v>1409</v>
      </c>
      <c r="C67" s="191" t="s">
        <v>491</v>
      </c>
      <c r="D67" s="35"/>
      <c r="E67" s="35"/>
      <c r="F67" s="40"/>
    </row>
    <row r="68" spans="1:6" ht="60.75" x14ac:dyDescent="0.25">
      <c r="A68" s="345">
        <v>45413</v>
      </c>
      <c r="B68" s="335" t="s">
        <v>1410</v>
      </c>
      <c r="C68" s="191" t="s">
        <v>489</v>
      </c>
      <c r="D68" s="35">
        <v>2</v>
      </c>
      <c r="E68" s="35">
        <v>317</v>
      </c>
      <c r="F68" s="40" t="s">
        <v>582</v>
      </c>
    </row>
    <row r="69" spans="1:6" ht="40.5" x14ac:dyDescent="0.25">
      <c r="A69" s="345">
        <v>45413</v>
      </c>
      <c r="B69" s="335" t="s">
        <v>1410</v>
      </c>
      <c r="C69" s="191" t="s">
        <v>490</v>
      </c>
      <c r="D69" s="35">
        <v>2</v>
      </c>
      <c r="E69" s="35">
        <v>180</v>
      </c>
      <c r="F69" s="40" t="s">
        <v>581</v>
      </c>
    </row>
    <row r="70" spans="1:6" ht="20.25" x14ac:dyDescent="0.25">
      <c r="A70" s="345">
        <v>45413</v>
      </c>
      <c r="B70" s="335" t="s">
        <v>1410</v>
      </c>
      <c r="C70" s="191" t="s">
        <v>491</v>
      </c>
      <c r="D70" s="35"/>
      <c r="E70" s="35"/>
      <c r="F70" s="40"/>
    </row>
    <row r="71" spans="1:6" ht="20.25" x14ac:dyDescent="0.25">
      <c r="A71" s="345">
        <v>45413</v>
      </c>
      <c r="B71" s="335" t="s">
        <v>1411</v>
      </c>
      <c r="C71" s="191" t="s">
        <v>489</v>
      </c>
      <c r="D71" s="190"/>
      <c r="E71" s="190"/>
      <c r="F71" s="40"/>
    </row>
    <row r="72" spans="1:6" ht="20.25" x14ac:dyDescent="0.25">
      <c r="A72" s="345">
        <v>45413</v>
      </c>
      <c r="B72" s="335" t="s">
        <v>1411</v>
      </c>
      <c r="C72" s="191" t="s">
        <v>490</v>
      </c>
      <c r="D72" s="35">
        <v>1</v>
      </c>
      <c r="E72" s="35">
        <v>300</v>
      </c>
      <c r="F72" s="40" t="s">
        <v>580</v>
      </c>
    </row>
    <row r="73" spans="1:6" ht="20.25" x14ac:dyDescent="0.25">
      <c r="A73" s="345">
        <v>45413</v>
      </c>
      <c r="B73" s="335" t="s">
        <v>1411</v>
      </c>
      <c r="C73" s="191" t="s">
        <v>491</v>
      </c>
      <c r="D73" s="35"/>
      <c r="E73" s="35"/>
      <c r="F73" s="40"/>
    </row>
    <row r="74" spans="1:6" ht="121.5" x14ac:dyDescent="0.25">
      <c r="A74" s="345">
        <v>45413</v>
      </c>
      <c r="B74" s="335" t="s">
        <v>1452</v>
      </c>
      <c r="C74" s="191" t="s">
        <v>489</v>
      </c>
      <c r="D74" s="35">
        <v>6</v>
      </c>
      <c r="E74" s="35">
        <v>382</v>
      </c>
      <c r="F74" s="40" t="s">
        <v>590</v>
      </c>
    </row>
    <row r="75" spans="1:6" ht="243" x14ac:dyDescent="0.25">
      <c r="A75" s="345">
        <v>45413</v>
      </c>
      <c r="B75" s="335" t="s">
        <v>1452</v>
      </c>
      <c r="C75" s="191" t="s">
        <v>490</v>
      </c>
      <c r="D75" s="35">
        <v>11</v>
      </c>
      <c r="E75" s="35">
        <v>882</v>
      </c>
      <c r="F75" s="40" t="s">
        <v>591</v>
      </c>
    </row>
    <row r="76" spans="1:6" ht="40.5" x14ac:dyDescent="0.25">
      <c r="A76" s="345">
        <v>45413</v>
      </c>
      <c r="B76" s="335" t="s">
        <v>1452</v>
      </c>
      <c r="C76" s="191" t="s">
        <v>491</v>
      </c>
      <c r="D76" s="35">
        <v>2</v>
      </c>
      <c r="E76" s="35">
        <v>30</v>
      </c>
      <c r="F76" s="40" t="s">
        <v>589</v>
      </c>
    </row>
    <row r="77" spans="1:6" ht="60.75" x14ac:dyDescent="0.25">
      <c r="A77" s="345">
        <v>45413</v>
      </c>
      <c r="B77" s="335" t="s">
        <v>1413</v>
      </c>
      <c r="C77" s="191" t="s">
        <v>489</v>
      </c>
      <c r="D77" s="35">
        <v>3</v>
      </c>
      <c r="E77" s="35">
        <v>207</v>
      </c>
      <c r="F77" s="40" t="s">
        <v>596</v>
      </c>
    </row>
    <row r="78" spans="1:6" ht="81" x14ac:dyDescent="0.25">
      <c r="A78" s="345">
        <v>45413</v>
      </c>
      <c r="B78" s="335" t="s">
        <v>1413</v>
      </c>
      <c r="C78" s="191" t="s">
        <v>490</v>
      </c>
      <c r="D78" s="35">
        <v>3</v>
      </c>
      <c r="E78" s="35">
        <v>129</v>
      </c>
      <c r="F78" s="40" t="s">
        <v>597</v>
      </c>
    </row>
    <row r="79" spans="1:6" ht="162" x14ac:dyDescent="0.25">
      <c r="A79" s="345">
        <v>45413</v>
      </c>
      <c r="B79" s="335" t="s">
        <v>1413</v>
      </c>
      <c r="C79" s="191" t="s">
        <v>491</v>
      </c>
      <c r="D79" s="35">
        <v>6</v>
      </c>
      <c r="E79" s="35">
        <v>38</v>
      </c>
      <c r="F79" s="40" t="s">
        <v>601</v>
      </c>
    </row>
    <row r="80" spans="1:6" ht="20.25" x14ac:dyDescent="0.25">
      <c r="A80" s="345">
        <v>45444</v>
      </c>
      <c r="B80" s="335" t="s">
        <v>1401</v>
      </c>
      <c r="C80" s="191" t="s">
        <v>489</v>
      </c>
      <c r="D80" s="35"/>
      <c r="E80" s="35"/>
      <c r="F80" s="40"/>
    </row>
    <row r="81" spans="1:6" ht="20.25" x14ac:dyDescent="0.25">
      <c r="A81" s="334">
        <v>45444</v>
      </c>
      <c r="B81" s="335" t="s">
        <v>1401</v>
      </c>
      <c r="C81" s="191" t="s">
        <v>490</v>
      </c>
      <c r="D81" s="35"/>
      <c r="E81" s="35"/>
      <c r="F81" s="40"/>
    </row>
    <row r="82" spans="1:6" ht="364.5" x14ac:dyDescent="0.25">
      <c r="A82" s="334">
        <v>45444</v>
      </c>
      <c r="B82" s="335" t="s">
        <v>1401</v>
      </c>
      <c r="C82" s="191" t="s">
        <v>491</v>
      </c>
      <c r="D82" s="35">
        <v>20</v>
      </c>
      <c r="E82" s="35">
        <v>338</v>
      </c>
      <c r="F82" s="40" t="s">
        <v>629</v>
      </c>
    </row>
    <row r="83" spans="1:6" ht="20.25" x14ac:dyDescent="0.25">
      <c r="A83" s="334">
        <v>45444</v>
      </c>
      <c r="B83" s="335" t="s">
        <v>1402</v>
      </c>
      <c r="C83" s="191" t="s">
        <v>489</v>
      </c>
      <c r="D83" s="35">
        <v>1</v>
      </c>
      <c r="E83" s="35">
        <v>80</v>
      </c>
      <c r="F83" s="40" t="s">
        <v>625</v>
      </c>
    </row>
    <row r="84" spans="1:6" ht="20.25" x14ac:dyDescent="0.25">
      <c r="A84" s="334">
        <v>45444</v>
      </c>
      <c r="B84" s="335" t="s">
        <v>1402</v>
      </c>
      <c r="C84" s="191" t="s">
        <v>490</v>
      </c>
      <c r="D84" s="35">
        <v>1</v>
      </c>
      <c r="E84" s="35">
        <v>30</v>
      </c>
      <c r="F84" s="40" t="s">
        <v>624</v>
      </c>
    </row>
    <row r="85" spans="1:6" ht="20.25" x14ac:dyDescent="0.25">
      <c r="A85" s="334">
        <v>45444</v>
      </c>
      <c r="B85" s="335" t="s">
        <v>1402</v>
      </c>
      <c r="C85" s="191" t="s">
        <v>491</v>
      </c>
      <c r="D85" s="35"/>
      <c r="E85" s="35"/>
      <c r="F85" s="40"/>
    </row>
    <row r="86" spans="1:6" ht="121.5" x14ac:dyDescent="0.25">
      <c r="A86" s="334">
        <v>45444</v>
      </c>
      <c r="B86" s="335" t="s">
        <v>1403</v>
      </c>
      <c r="C86" s="191" t="s">
        <v>489</v>
      </c>
      <c r="D86" s="35">
        <v>6</v>
      </c>
      <c r="E86" s="35">
        <v>290</v>
      </c>
      <c r="F86" s="40" t="s">
        <v>616</v>
      </c>
    </row>
    <row r="87" spans="1:6" ht="20.25" x14ac:dyDescent="0.25">
      <c r="A87" s="334">
        <v>45444</v>
      </c>
      <c r="B87" s="335" t="s">
        <v>1403</v>
      </c>
      <c r="C87" s="191" t="s">
        <v>490</v>
      </c>
      <c r="D87" s="35"/>
      <c r="E87" s="35"/>
      <c r="F87" s="40"/>
    </row>
    <row r="88" spans="1:6" ht="20.25" x14ac:dyDescent="0.25">
      <c r="A88" s="334">
        <v>45444</v>
      </c>
      <c r="B88" s="335" t="s">
        <v>1403</v>
      </c>
      <c r="C88" s="191" t="s">
        <v>491</v>
      </c>
      <c r="D88" s="35"/>
      <c r="E88" s="35"/>
      <c r="F88" s="40"/>
    </row>
    <row r="89" spans="1:6" ht="60.75" x14ac:dyDescent="0.25">
      <c r="A89" s="334">
        <v>45444</v>
      </c>
      <c r="B89" s="335" t="s">
        <v>1404</v>
      </c>
      <c r="C89" s="191" t="s">
        <v>489</v>
      </c>
      <c r="D89" s="35">
        <v>3</v>
      </c>
      <c r="E89" s="35">
        <v>111</v>
      </c>
      <c r="F89" s="40" t="s">
        <v>618</v>
      </c>
    </row>
    <row r="90" spans="1:6" ht="20.25" x14ac:dyDescent="0.25">
      <c r="A90" s="334">
        <v>45444</v>
      </c>
      <c r="B90" s="335" t="s">
        <v>1404</v>
      </c>
      <c r="C90" s="191" t="s">
        <v>490</v>
      </c>
      <c r="D90" s="35"/>
      <c r="E90" s="35"/>
      <c r="F90" s="40"/>
    </row>
    <row r="91" spans="1:6" ht="101.25" x14ac:dyDescent="0.25">
      <c r="A91" s="334">
        <v>45444</v>
      </c>
      <c r="B91" s="335" t="s">
        <v>1404</v>
      </c>
      <c r="C91" s="191" t="s">
        <v>491</v>
      </c>
      <c r="D91" s="35">
        <v>5</v>
      </c>
      <c r="E91" s="35">
        <v>122</v>
      </c>
      <c r="F91" s="40" t="s">
        <v>617</v>
      </c>
    </row>
    <row r="92" spans="1:6" ht="40.5" x14ac:dyDescent="0.25">
      <c r="A92" s="334">
        <v>45444</v>
      </c>
      <c r="B92" s="335" t="s">
        <v>1405</v>
      </c>
      <c r="C92" s="191" t="s">
        <v>489</v>
      </c>
      <c r="D92" s="35">
        <v>2</v>
      </c>
      <c r="E92" s="35">
        <v>94</v>
      </c>
      <c r="F92" s="40" t="s">
        <v>608</v>
      </c>
    </row>
    <row r="93" spans="1:6" ht="20.25" x14ac:dyDescent="0.25">
      <c r="A93" s="334">
        <v>45444</v>
      </c>
      <c r="B93" s="335" t="s">
        <v>1405</v>
      </c>
      <c r="C93" s="191" t="s">
        <v>490</v>
      </c>
      <c r="D93" s="35">
        <v>1</v>
      </c>
      <c r="E93" s="35">
        <v>150</v>
      </c>
      <c r="F93" s="40" t="s">
        <v>609</v>
      </c>
    </row>
    <row r="94" spans="1:6" ht="20.25" x14ac:dyDescent="0.25">
      <c r="A94" s="334">
        <v>45444</v>
      </c>
      <c r="B94" s="335" t="s">
        <v>1405</v>
      </c>
      <c r="C94" s="191" t="s">
        <v>491</v>
      </c>
      <c r="D94" s="35">
        <v>1</v>
      </c>
      <c r="E94" s="35">
        <v>10</v>
      </c>
      <c r="F94" s="40" t="s">
        <v>610</v>
      </c>
    </row>
    <row r="95" spans="1:6" ht="306" x14ac:dyDescent="0.25">
      <c r="A95" s="334">
        <v>45444</v>
      </c>
      <c r="B95" s="335" t="s">
        <v>1406</v>
      </c>
      <c r="C95" s="191" t="s">
        <v>489</v>
      </c>
      <c r="D95" s="35">
        <v>20</v>
      </c>
      <c r="E95" s="35">
        <v>1504</v>
      </c>
      <c r="F95" s="193" t="s">
        <v>619</v>
      </c>
    </row>
    <row r="96" spans="1:6" ht="20.25" x14ac:dyDescent="0.25">
      <c r="A96" s="334">
        <v>45444</v>
      </c>
      <c r="B96" s="335" t="s">
        <v>1406</v>
      </c>
      <c r="C96" s="191" t="s">
        <v>490</v>
      </c>
      <c r="D96" s="35"/>
      <c r="E96" s="35"/>
      <c r="F96" s="40"/>
    </row>
    <row r="97" spans="1:6" ht="20.25" x14ac:dyDescent="0.25">
      <c r="A97" s="334">
        <v>45444</v>
      </c>
      <c r="B97" s="335" t="s">
        <v>1406</v>
      </c>
      <c r="C97" s="191" t="s">
        <v>491</v>
      </c>
      <c r="D97" s="35">
        <v>1</v>
      </c>
      <c r="E97" s="35">
        <v>600</v>
      </c>
      <c r="F97" s="40" t="s">
        <v>620</v>
      </c>
    </row>
    <row r="98" spans="1:6" ht="81" x14ac:dyDescent="0.25">
      <c r="A98" s="334">
        <v>45444</v>
      </c>
      <c r="B98" s="335" t="s">
        <v>1438</v>
      </c>
      <c r="C98" s="191" t="s">
        <v>489</v>
      </c>
      <c r="D98" s="35">
        <v>4</v>
      </c>
      <c r="E98" s="35">
        <v>1225</v>
      </c>
      <c r="F98" s="40" t="s">
        <v>605</v>
      </c>
    </row>
    <row r="99" spans="1:6" ht="263.25" x14ac:dyDescent="0.25">
      <c r="A99" s="334">
        <v>45444</v>
      </c>
      <c r="B99" s="335" t="s">
        <v>1438</v>
      </c>
      <c r="C99" s="191" t="s">
        <v>490</v>
      </c>
      <c r="D99" s="35">
        <v>14</v>
      </c>
      <c r="E99" s="35">
        <v>269</v>
      </c>
      <c r="F99" s="40" t="s">
        <v>606</v>
      </c>
    </row>
    <row r="100" spans="1:6" ht="409.5" x14ac:dyDescent="0.25">
      <c r="A100" s="334">
        <v>45444</v>
      </c>
      <c r="B100" s="335" t="s">
        <v>1438</v>
      </c>
      <c r="C100" s="191" t="s">
        <v>491</v>
      </c>
      <c r="D100" s="35">
        <v>25</v>
      </c>
      <c r="E100" s="35">
        <v>374</v>
      </c>
      <c r="F100" s="189" t="s">
        <v>607</v>
      </c>
    </row>
    <row r="101" spans="1:6" ht="40.5" x14ac:dyDescent="0.25">
      <c r="A101" s="334">
        <v>45444</v>
      </c>
      <c r="B101" s="335" t="s">
        <v>1408</v>
      </c>
      <c r="C101" s="191" t="s">
        <v>489</v>
      </c>
      <c r="D101" s="35">
        <v>2</v>
      </c>
      <c r="E101" s="35">
        <v>170</v>
      </c>
      <c r="F101" s="1" t="s">
        <v>615</v>
      </c>
    </row>
    <row r="102" spans="1:6" ht="60.75" x14ac:dyDescent="0.25">
      <c r="A102" s="334">
        <v>45444</v>
      </c>
      <c r="B102" s="335" t="s">
        <v>1408</v>
      </c>
      <c r="C102" s="191" t="s">
        <v>490</v>
      </c>
      <c r="D102" s="35">
        <v>3</v>
      </c>
      <c r="E102" s="35">
        <v>70</v>
      </c>
      <c r="F102" s="40" t="s">
        <v>614</v>
      </c>
    </row>
    <row r="103" spans="1:6" ht="20.25" x14ac:dyDescent="0.25">
      <c r="A103" s="334">
        <v>45444</v>
      </c>
      <c r="B103" s="335" t="s">
        <v>1408</v>
      </c>
      <c r="C103" s="191" t="s">
        <v>491</v>
      </c>
      <c r="D103" s="35"/>
      <c r="E103" s="35"/>
      <c r="F103" s="40"/>
    </row>
    <row r="104" spans="1:6" ht="20.25" x14ac:dyDescent="0.25">
      <c r="A104" s="334">
        <v>45444</v>
      </c>
      <c r="B104" s="335" t="s">
        <v>1409</v>
      </c>
      <c r="C104" s="191" t="s">
        <v>489</v>
      </c>
      <c r="D104" s="35"/>
      <c r="E104" s="35"/>
      <c r="F104" s="40"/>
    </row>
    <row r="105" spans="1:6" ht="20.25" x14ac:dyDescent="0.25">
      <c r="A105" s="334">
        <v>45444</v>
      </c>
      <c r="B105" s="335" t="s">
        <v>1409</v>
      </c>
      <c r="C105" s="191" t="s">
        <v>490</v>
      </c>
      <c r="D105" s="35"/>
      <c r="E105" s="35"/>
      <c r="F105" s="40"/>
    </row>
    <row r="106" spans="1:6" ht="20.25" x14ac:dyDescent="0.25">
      <c r="A106" s="334">
        <v>45444</v>
      </c>
      <c r="B106" s="335" t="s">
        <v>1409</v>
      </c>
      <c r="C106" s="191" t="s">
        <v>491</v>
      </c>
      <c r="D106" s="35">
        <v>1</v>
      </c>
      <c r="E106" s="35">
        <v>10</v>
      </c>
      <c r="F106" s="40" t="s">
        <v>630</v>
      </c>
    </row>
    <row r="107" spans="1:6" ht="20.25" x14ac:dyDescent="0.25">
      <c r="A107" s="334">
        <v>45444</v>
      </c>
      <c r="B107" s="335" t="s">
        <v>1410</v>
      </c>
      <c r="C107" s="191" t="s">
        <v>489</v>
      </c>
      <c r="D107" s="35">
        <v>1</v>
      </c>
      <c r="E107" s="35">
        <v>150</v>
      </c>
      <c r="F107" s="40" t="s">
        <v>621</v>
      </c>
    </row>
    <row r="108" spans="1:6" ht="20.25" x14ac:dyDescent="0.25">
      <c r="A108" s="334">
        <v>45444</v>
      </c>
      <c r="B108" s="335" t="s">
        <v>1410</v>
      </c>
      <c r="C108" s="191" t="s">
        <v>490</v>
      </c>
      <c r="D108" s="35"/>
      <c r="E108" s="35"/>
      <c r="F108" s="40"/>
    </row>
    <row r="109" spans="1:6" ht="20.25" x14ac:dyDescent="0.25">
      <c r="A109" s="334">
        <v>45444</v>
      </c>
      <c r="B109" s="335" t="s">
        <v>1410</v>
      </c>
      <c r="C109" s="191" t="s">
        <v>491</v>
      </c>
      <c r="D109" s="35"/>
      <c r="E109" s="35"/>
      <c r="F109" s="40"/>
    </row>
    <row r="110" spans="1:6" ht="20.25" x14ac:dyDescent="0.25">
      <c r="A110" s="334">
        <v>45444</v>
      </c>
      <c r="B110" s="335" t="s">
        <v>1411</v>
      </c>
      <c r="C110" s="191" t="s">
        <v>489</v>
      </c>
      <c r="D110" s="190"/>
      <c r="E110" s="190"/>
      <c r="F110" s="40"/>
    </row>
    <row r="111" spans="1:6" ht="20.25" x14ac:dyDescent="0.25">
      <c r="A111" s="334">
        <v>45444</v>
      </c>
      <c r="B111" s="335" t="s">
        <v>1411</v>
      </c>
      <c r="C111" s="191" t="s">
        <v>490</v>
      </c>
      <c r="D111" s="35"/>
      <c r="E111" s="35"/>
      <c r="F111" s="40"/>
    </row>
    <row r="112" spans="1:6" ht="20.25" x14ac:dyDescent="0.25">
      <c r="A112" s="334">
        <v>45444</v>
      </c>
      <c r="B112" s="335" t="s">
        <v>1411</v>
      </c>
      <c r="C112" s="191" t="s">
        <v>491</v>
      </c>
      <c r="D112" s="35"/>
      <c r="E112" s="35"/>
      <c r="F112" s="40"/>
    </row>
    <row r="113" spans="1:6" ht="121.5" x14ac:dyDescent="0.25">
      <c r="A113" s="334">
        <v>45444</v>
      </c>
      <c r="B113" s="335" t="s">
        <v>1452</v>
      </c>
      <c r="C113" s="191" t="s">
        <v>489</v>
      </c>
      <c r="D113" s="35">
        <v>6</v>
      </c>
      <c r="E113" s="35">
        <v>205</v>
      </c>
      <c r="F113" s="40" t="s">
        <v>622</v>
      </c>
    </row>
    <row r="114" spans="1:6" ht="141.75" x14ac:dyDescent="0.25">
      <c r="A114" s="334">
        <v>45444</v>
      </c>
      <c r="B114" s="335" t="s">
        <v>1452</v>
      </c>
      <c r="C114" s="191" t="s">
        <v>490</v>
      </c>
      <c r="D114" s="35">
        <v>7</v>
      </c>
      <c r="E114" s="35">
        <v>143</v>
      </c>
      <c r="F114" s="40" t="s">
        <v>623</v>
      </c>
    </row>
    <row r="115" spans="1:6" ht="20.25" x14ac:dyDescent="0.25">
      <c r="A115" s="334">
        <v>45444</v>
      </c>
      <c r="B115" s="335" t="s">
        <v>1452</v>
      </c>
      <c r="C115" s="191" t="s">
        <v>491</v>
      </c>
      <c r="D115" s="35"/>
      <c r="E115" s="35"/>
      <c r="F115" s="40"/>
    </row>
    <row r="116" spans="1:6" ht="81" x14ac:dyDescent="0.25">
      <c r="A116" s="334">
        <v>45444</v>
      </c>
      <c r="B116" s="335" t="s">
        <v>1413</v>
      </c>
      <c r="C116" s="191" t="s">
        <v>489</v>
      </c>
      <c r="D116" s="194">
        <v>4</v>
      </c>
      <c r="E116" s="194">
        <v>368</v>
      </c>
      <c r="F116" s="40" t="s">
        <v>626</v>
      </c>
    </row>
    <row r="117" spans="1:6" ht="81" x14ac:dyDescent="0.25">
      <c r="A117" s="334">
        <v>45444</v>
      </c>
      <c r="B117" s="335" t="s">
        <v>1413</v>
      </c>
      <c r="C117" s="191" t="s">
        <v>490</v>
      </c>
      <c r="D117" s="35">
        <v>4</v>
      </c>
      <c r="E117" s="35">
        <v>109</v>
      </c>
      <c r="F117" s="40" t="s">
        <v>627</v>
      </c>
    </row>
    <row r="118" spans="1:6" ht="81" x14ac:dyDescent="0.25">
      <c r="A118" s="334">
        <v>45444</v>
      </c>
      <c r="B118" s="335" t="s">
        <v>1413</v>
      </c>
      <c r="C118" s="191" t="s">
        <v>491</v>
      </c>
      <c r="D118" s="35">
        <v>3</v>
      </c>
      <c r="E118" s="35">
        <v>18</v>
      </c>
      <c r="F118" s="40" t="s">
        <v>628</v>
      </c>
    </row>
    <row r="119" spans="1:6" ht="20.25" x14ac:dyDescent="0.25">
      <c r="A119" s="334">
        <v>45474</v>
      </c>
      <c r="B119" s="335" t="s">
        <v>1401</v>
      </c>
      <c r="C119" s="191" t="s">
        <v>489</v>
      </c>
      <c r="D119" s="35"/>
      <c r="E119" s="35"/>
      <c r="F119" s="40"/>
    </row>
    <row r="120" spans="1:6" ht="20.25" x14ac:dyDescent="0.25">
      <c r="A120" s="334">
        <v>45474</v>
      </c>
      <c r="B120" s="335" t="s">
        <v>1401</v>
      </c>
      <c r="C120" s="191" t="s">
        <v>490</v>
      </c>
      <c r="D120" s="35"/>
      <c r="E120" s="35"/>
      <c r="F120" s="40"/>
    </row>
    <row r="121" spans="1:6" ht="20.25" x14ac:dyDescent="0.25">
      <c r="A121" s="334">
        <v>45474</v>
      </c>
      <c r="B121" s="335" t="s">
        <v>1401</v>
      </c>
      <c r="C121" s="191" t="s">
        <v>491</v>
      </c>
      <c r="D121" s="35">
        <v>1</v>
      </c>
      <c r="E121" s="35">
        <v>25</v>
      </c>
      <c r="F121" s="40" t="s">
        <v>632</v>
      </c>
    </row>
    <row r="122" spans="1:6" ht="20.25" x14ac:dyDescent="0.25">
      <c r="A122" s="334">
        <v>45474</v>
      </c>
      <c r="B122" s="335" t="s">
        <v>1402</v>
      </c>
      <c r="C122" s="191" t="s">
        <v>489</v>
      </c>
      <c r="D122" s="147"/>
      <c r="E122" s="147"/>
      <c r="F122" s="200"/>
    </row>
    <row r="123" spans="1:6" ht="20.25" x14ac:dyDescent="0.25">
      <c r="A123" s="334">
        <v>45474</v>
      </c>
      <c r="B123" s="335" t="s">
        <v>1402</v>
      </c>
      <c r="C123" s="191" t="s">
        <v>490</v>
      </c>
      <c r="D123" s="35"/>
      <c r="E123" s="35"/>
      <c r="F123" s="40"/>
    </row>
    <row r="124" spans="1:6" ht="20.25" x14ac:dyDescent="0.25">
      <c r="A124" s="334">
        <v>45474</v>
      </c>
      <c r="B124" s="335" t="s">
        <v>1402</v>
      </c>
      <c r="C124" s="191" t="s">
        <v>491</v>
      </c>
      <c r="D124" s="35"/>
      <c r="E124" s="35"/>
      <c r="F124" s="40"/>
    </row>
    <row r="125" spans="1:6" ht="20.25" x14ac:dyDescent="0.25">
      <c r="A125" s="334">
        <v>45474</v>
      </c>
      <c r="B125" s="335" t="s">
        <v>1403</v>
      </c>
      <c r="C125" s="191" t="s">
        <v>489</v>
      </c>
      <c r="D125" s="35">
        <v>4</v>
      </c>
      <c r="E125" s="35">
        <v>1050</v>
      </c>
      <c r="F125" s="40"/>
    </row>
    <row r="126" spans="1:6" ht="20.25" x14ac:dyDescent="0.25">
      <c r="A126" s="334">
        <v>45474</v>
      </c>
      <c r="B126" s="335" t="s">
        <v>1403</v>
      </c>
      <c r="C126" s="191" t="s">
        <v>490</v>
      </c>
      <c r="D126" s="35"/>
      <c r="E126" s="35"/>
      <c r="F126" s="40"/>
    </row>
    <row r="127" spans="1:6" ht="20.25" x14ac:dyDescent="0.25">
      <c r="A127" s="334">
        <v>45474</v>
      </c>
      <c r="B127" s="335" t="s">
        <v>1403</v>
      </c>
      <c r="C127" s="191" t="s">
        <v>491</v>
      </c>
      <c r="D127" s="35"/>
      <c r="E127" s="35"/>
      <c r="F127" s="40"/>
    </row>
    <row r="128" spans="1:6" ht="20.25" x14ac:dyDescent="0.25">
      <c r="A128" s="334">
        <v>45474</v>
      </c>
      <c r="B128" s="335" t="s">
        <v>1404</v>
      </c>
      <c r="C128" s="191" t="s">
        <v>489</v>
      </c>
      <c r="D128" s="35">
        <v>1</v>
      </c>
      <c r="E128" s="35">
        <v>300</v>
      </c>
      <c r="F128" s="40" t="s">
        <v>646</v>
      </c>
    </row>
    <row r="129" spans="1:6" ht="20.25" x14ac:dyDescent="0.25">
      <c r="A129" s="334">
        <v>45474</v>
      </c>
      <c r="B129" s="335" t="s">
        <v>1404</v>
      </c>
      <c r="C129" s="191" t="s">
        <v>490</v>
      </c>
      <c r="D129" s="35">
        <v>1</v>
      </c>
      <c r="E129" s="35">
        <v>300</v>
      </c>
      <c r="F129" s="40" t="s">
        <v>646</v>
      </c>
    </row>
    <row r="130" spans="1:6" ht="81" x14ac:dyDescent="0.25">
      <c r="A130" s="334">
        <v>45474</v>
      </c>
      <c r="B130" s="335" t="s">
        <v>1404</v>
      </c>
      <c r="C130" s="191" t="s">
        <v>491</v>
      </c>
      <c r="D130" s="35">
        <v>4</v>
      </c>
      <c r="E130" s="35">
        <v>630</v>
      </c>
      <c r="F130" s="40" t="s">
        <v>647</v>
      </c>
    </row>
    <row r="131" spans="1:6" ht="20.25" x14ac:dyDescent="0.25">
      <c r="A131" s="334">
        <v>45474</v>
      </c>
      <c r="B131" s="335" t="s">
        <v>1405</v>
      </c>
      <c r="C131" s="191" t="s">
        <v>489</v>
      </c>
      <c r="D131" s="35">
        <v>1</v>
      </c>
      <c r="E131" s="35">
        <v>35</v>
      </c>
      <c r="F131" s="40" t="s">
        <v>638</v>
      </c>
    </row>
    <row r="132" spans="1:6" ht="60.75" x14ac:dyDescent="0.25">
      <c r="A132" s="334">
        <v>45474</v>
      </c>
      <c r="B132" s="335" t="s">
        <v>1405</v>
      </c>
      <c r="C132" s="191" t="s">
        <v>490</v>
      </c>
      <c r="D132" s="35">
        <v>3</v>
      </c>
      <c r="E132" s="35">
        <v>400</v>
      </c>
      <c r="F132" s="40" t="s">
        <v>637</v>
      </c>
    </row>
    <row r="133" spans="1:6" ht="263.25" x14ac:dyDescent="0.25">
      <c r="A133" s="334">
        <v>45474</v>
      </c>
      <c r="B133" s="335" t="s">
        <v>1405</v>
      </c>
      <c r="C133" s="191" t="s">
        <v>491</v>
      </c>
      <c r="D133" s="35">
        <v>13</v>
      </c>
      <c r="E133" s="35">
        <v>163</v>
      </c>
      <c r="F133" s="40" t="s">
        <v>639</v>
      </c>
    </row>
    <row r="134" spans="1:6" ht="252" x14ac:dyDescent="0.25">
      <c r="A134" s="334">
        <v>45474</v>
      </c>
      <c r="B134" s="335" t="s">
        <v>1406</v>
      </c>
      <c r="C134" s="191" t="s">
        <v>489</v>
      </c>
      <c r="D134" s="35">
        <v>21</v>
      </c>
      <c r="E134" s="35">
        <v>3465</v>
      </c>
      <c r="F134" s="201" t="s">
        <v>642</v>
      </c>
    </row>
    <row r="135" spans="1:6" ht="20.25" x14ac:dyDescent="0.25">
      <c r="A135" s="334">
        <v>45474</v>
      </c>
      <c r="B135" s="335" t="s">
        <v>1406</v>
      </c>
      <c r="C135" s="191" t="s">
        <v>490</v>
      </c>
      <c r="D135" s="35"/>
      <c r="E135" s="35"/>
      <c r="F135" s="40"/>
    </row>
    <row r="136" spans="1:6" ht="20.25" x14ac:dyDescent="0.25">
      <c r="A136" s="334">
        <v>45474</v>
      </c>
      <c r="B136" s="335" t="s">
        <v>1406</v>
      </c>
      <c r="C136" s="191" t="s">
        <v>491</v>
      </c>
      <c r="D136" s="35">
        <v>1</v>
      </c>
      <c r="E136" s="35">
        <v>15</v>
      </c>
      <c r="F136" s="40" t="s">
        <v>641</v>
      </c>
    </row>
    <row r="137" spans="1:6" ht="81" x14ac:dyDescent="0.25">
      <c r="A137" s="334">
        <v>45474</v>
      </c>
      <c r="B137" s="335" t="s">
        <v>1438</v>
      </c>
      <c r="C137" s="191" t="s">
        <v>489</v>
      </c>
      <c r="D137" s="35">
        <v>4</v>
      </c>
      <c r="E137" s="35">
        <v>651</v>
      </c>
      <c r="F137" s="40" t="s">
        <v>634</v>
      </c>
    </row>
    <row r="138" spans="1:6" ht="40.5" x14ac:dyDescent="0.25">
      <c r="A138" s="334">
        <v>45474</v>
      </c>
      <c r="B138" s="335" t="s">
        <v>1438</v>
      </c>
      <c r="C138" s="191" t="s">
        <v>490</v>
      </c>
      <c r="D138" s="35">
        <v>2</v>
      </c>
      <c r="E138" s="35">
        <v>55</v>
      </c>
      <c r="F138" s="40" t="s">
        <v>633</v>
      </c>
    </row>
    <row r="139" spans="1:6" ht="409.5" x14ac:dyDescent="0.25">
      <c r="A139" s="334">
        <v>45474</v>
      </c>
      <c r="B139" s="335" t="s">
        <v>1438</v>
      </c>
      <c r="C139" s="191" t="s">
        <v>491</v>
      </c>
      <c r="D139" s="35">
        <v>25</v>
      </c>
      <c r="E139" s="35">
        <v>78</v>
      </c>
      <c r="F139" s="189" t="s">
        <v>636</v>
      </c>
    </row>
    <row r="140" spans="1:6" ht="121.5" x14ac:dyDescent="0.25">
      <c r="A140" s="334">
        <v>45474</v>
      </c>
      <c r="B140" s="335" t="s">
        <v>1408</v>
      </c>
      <c r="C140" s="191" t="s">
        <v>489</v>
      </c>
      <c r="D140" s="35">
        <v>5</v>
      </c>
      <c r="E140" s="35">
        <v>95</v>
      </c>
      <c r="F140" s="40" t="s">
        <v>635</v>
      </c>
    </row>
    <row r="141" spans="1:6" ht="20.25" x14ac:dyDescent="0.25">
      <c r="A141" s="334">
        <v>45474</v>
      </c>
      <c r="B141" s="335" t="s">
        <v>1408</v>
      </c>
      <c r="C141" s="191" t="s">
        <v>490</v>
      </c>
      <c r="D141" s="35"/>
      <c r="E141" s="35"/>
      <c r="F141" s="40"/>
    </row>
    <row r="142" spans="1:6" ht="20.25" x14ac:dyDescent="0.25">
      <c r="A142" s="334">
        <v>45474</v>
      </c>
      <c r="B142" s="335" t="s">
        <v>1408</v>
      </c>
      <c r="C142" s="191" t="s">
        <v>491</v>
      </c>
      <c r="D142" s="35"/>
      <c r="E142" s="35"/>
      <c r="F142" s="40"/>
    </row>
    <row r="143" spans="1:6" ht="40.5" x14ac:dyDescent="0.25">
      <c r="A143" s="334">
        <v>45474</v>
      </c>
      <c r="B143" s="335" t="s">
        <v>1409</v>
      </c>
      <c r="C143" s="191" t="s">
        <v>489</v>
      </c>
      <c r="D143" s="35">
        <v>2</v>
      </c>
      <c r="E143" s="35">
        <v>568</v>
      </c>
      <c r="F143" s="40" t="s">
        <v>643</v>
      </c>
    </row>
    <row r="144" spans="1:6" ht="20.25" x14ac:dyDescent="0.25">
      <c r="A144" s="334">
        <v>45474</v>
      </c>
      <c r="B144" s="335" t="s">
        <v>1409</v>
      </c>
      <c r="C144" s="191" t="s">
        <v>490</v>
      </c>
      <c r="D144" s="35">
        <v>1</v>
      </c>
      <c r="E144" s="35">
        <v>10</v>
      </c>
      <c r="F144" s="40" t="s">
        <v>644</v>
      </c>
    </row>
    <row r="145" spans="1:6" ht="20.25" x14ac:dyDescent="0.25">
      <c r="A145" s="334">
        <v>45474</v>
      </c>
      <c r="B145" s="335" t="s">
        <v>1409</v>
      </c>
      <c r="C145" s="191" t="s">
        <v>491</v>
      </c>
      <c r="D145" s="35"/>
      <c r="E145" s="35"/>
      <c r="F145" s="40"/>
    </row>
    <row r="146" spans="1:6" ht="40.5" x14ac:dyDescent="0.25">
      <c r="A146" s="334">
        <v>45474</v>
      </c>
      <c r="B146" s="335" t="s">
        <v>1410</v>
      </c>
      <c r="C146" s="191" t="s">
        <v>489</v>
      </c>
      <c r="D146" s="35">
        <v>2</v>
      </c>
      <c r="E146" s="35">
        <v>274</v>
      </c>
      <c r="F146" s="40" t="s">
        <v>645</v>
      </c>
    </row>
    <row r="147" spans="1:6" ht="20.25" x14ac:dyDescent="0.25">
      <c r="A147" s="334">
        <v>45474</v>
      </c>
      <c r="B147" s="335" t="s">
        <v>1410</v>
      </c>
      <c r="C147" s="191" t="s">
        <v>490</v>
      </c>
      <c r="D147" s="35"/>
      <c r="E147" s="35"/>
      <c r="F147" s="40"/>
    </row>
    <row r="148" spans="1:6" ht="20.25" x14ac:dyDescent="0.25">
      <c r="A148" s="334">
        <v>45474</v>
      </c>
      <c r="B148" s="335" t="s">
        <v>1410</v>
      </c>
      <c r="C148" s="191" t="s">
        <v>491</v>
      </c>
      <c r="D148" s="35"/>
      <c r="E148" s="35"/>
      <c r="F148" s="40"/>
    </row>
    <row r="149" spans="1:6" ht="20.25" x14ac:dyDescent="0.25">
      <c r="A149" s="334">
        <v>45474</v>
      </c>
      <c r="B149" s="335" t="s">
        <v>1411</v>
      </c>
      <c r="C149" s="191" t="s">
        <v>489</v>
      </c>
      <c r="D149" s="35">
        <v>1</v>
      </c>
      <c r="E149" s="35">
        <v>80</v>
      </c>
      <c r="F149" s="40" t="s">
        <v>640</v>
      </c>
    </row>
    <row r="150" spans="1:6" ht="20.25" x14ac:dyDescent="0.25">
      <c r="A150" s="334">
        <v>45474</v>
      </c>
      <c r="B150" s="335" t="s">
        <v>1411</v>
      </c>
      <c r="C150" s="191" t="s">
        <v>490</v>
      </c>
      <c r="D150" s="35"/>
      <c r="E150" s="35"/>
      <c r="F150" s="40"/>
    </row>
    <row r="151" spans="1:6" ht="20.25" x14ac:dyDescent="0.25">
      <c r="A151" s="334">
        <v>45474</v>
      </c>
      <c r="B151" s="335" t="s">
        <v>1411</v>
      </c>
      <c r="C151" s="191" t="s">
        <v>491</v>
      </c>
      <c r="D151" s="35"/>
      <c r="E151" s="35"/>
      <c r="F151" s="40"/>
    </row>
    <row r="152" spans="1:6" ht="324" x14ac:dyDescent="0.25">
      <c r="A152" s="334">
        <v>45474</v>
      </c>
      <c r="B152" s="335" t="s">
        <v>1452</v>
      </c>
      <c r="C152" s="191" t="s">
        <v>489</v>
      </c>
      <c r="D152" s="35">
        <v>16</v>
      </c>
      <c r="E152" s="35">
        <v>1364</v>
      </c>
      <c r="F152" s="40" t="s">
        <v>650</v>
      </c>
    </row>
    <row r="153" spans="1:6" ht="20.25" x14ac:dyDescent="0.25">
      <c r="A153" s="334">
        <v>45474</v>
      </c>
      <c r="B153" s="335" t="s">
        <v>1452</v>
      </c>
      <c r="C153" s="191" t="s">
        <v>490</v>
      </c>
      <c r="D153" s="35"/>
      <c r="E153" s="35"/>
      <c r="F153" s="40"/>
    </row>
    <row r="154" spans="1:6" ht="20.25" x14ac:dyDescent="0.25">
      <c r="A154" s="334">
        <v>45474</v>
      </c>
      <c r="B154" s="335" t="s">
        <v>1452</v>
      </c>
      <c r="C154" s="191" t="s">
        <v>491</v>
      </c>
      <c r="D154" s="35"/>
      <c r="E154" s="35"/>
      <c r="F154" s="40"/>
    </row>
    <row r="155" spans="1:6" ht="141.75" x14ac:dyDescent="0.25">
      <c r="A155" s="334">
        <v>45474</v>
      </c>
      <c r="B155" s="335" t="s">
        <v>1413</v>
      </c>
      <c r="C155" s="191" t="s">
        <v>489</v>
      </c>
      <c r="D155" s="194">
        <v>5</v>
      </c>
      <c r="E155" s="194">
        <v>399</v>
      </c>
      <c r="F155" s="40" t="s">
        <v>648</v>
      </c>
    </row>
    <row r="156" spans="1:6" ht="20.25" x14ac:dyDescent="0.25">
      <c r="A156" s="334">
        <v>45474</v>
      </c>
      <c r="B156" s="335" t="s">
        <v>1413</v>
      </c>
      <c r="C156" s="191" t="s">
        <v>490</v>
      </c>
      <c r="D156" s="35"/>
      <c r="E156" s="35"/>
      <c r="F156" s="40"/>
    </row>
    <row r="157" spans="1:6" ht="101.25" x14ac:dyDescent="0.25">
      <c r="A157" s="334">
        <v>45474</v>
      </c>
      <c r="B157" s="335" t="s">
        <v>1413</v>
      </c>
      <c r="C157" s="191" t="s">
        <v>491</v>
      </c>
      <c r="D157" s="35">
        <v>5</v>
      </c>
      <c r="E157" s="35">
        <v>98</v>
      </c>
      <c r="F157" s="40" t="s">
        <v>649</v>
      </c>
    </row>
    <row r="158" spans="1:6" x14ac:dyDescent="0.25">
      <c r="A158" s="342">
        <v>45505</v>
      </c>
      <c r="B158" s="333" t="s">
        <v>1401</v>
      </c>
      <c r="C158" s="239" t="s">
        <v>489</v>
      </c>
      <c r="D158" s="233">
        <v>1</v>
      </c>
      <c r="E158" s="233">
        <v>100</v>
      </c>
      <c r="F158" s="232" t="s">
        <v>656</v>
      </c>
    </row>
    <row r="159" spans="1:6" x14ac:dyDescent="0.25">
      <c r="A159" s="342">
        <v>45505</v>
      </c>
      <c r="B159" s="333" t="s">
        <v>1401</v>
      </c>
      <c r="C159" s="239" t="s">
        <v>490</v>
      </c>
      <c r="D159" s="233"/>
      <c r="E159" s="233"/>
      <c r="F159" s="232"/>
    </row>
    <row r="160" spans="1:6" x14ac:dyDescent="0.25">
      <c r="A160" s="342">
        <v>45505</v>
      </c>
      <c r="B160" s="333" t="s">
        <v>1401</v>
      </c>
      <c r="C160" s="239" t="s">
        <v>491</v>
      </c>
      <c r="D160" s="233"/>
      <c r="E160" s="233"/>
      <c r="F160" s="232"/>
    </row>
    <row r="161" spans="1:6" x14ac:dyDescent="0.3">
      <c r="A161" s="342">
        <v>45505</v>
      </c>
      <c r="B161" s="333" t="s">
        <v>1402</v>
      </c>
      <c r="C161" s="239" t="s">
        <v>489</v>
      </c>
      <c r="D161" s="211"/>
      <c r="E161" s="211"/>
      <c r="F161" s="207"/>
    </row>
    <row r="162" spans="1:6" x14ac:dyDescent="0.25">
      <c r="A162" s="342">
        <v>45505</v>
      </c>
      <c r="B162" s="333" t="s">
        <v>1402</v>
      </c>
      <c r="C162" s="239" t="s">
        <v>490</v>
      </c>
      <c r="D162" s="233">
        <v>1</v>
      </c>
      <c r="E162" s="233">
        <v>35</v>
      </c>
      <c r="F162" s="232" t="s">
        <v>1461</v>
      </c>
    </row>
    <row r="163" spans="1:6" x14ac:dyDescent="0.25">
      <c r="A163" s="342">
        <v>45505</v>
      </c>
      <c r="B163" s="333" t="s">
        <v>1402</v>
      </c>
      <c r="C163" s="239" t="s">
        <v>491</v>
      </c>
      <c r="D163" s="233"/>
      <c r="E163" s="233"/>
      <c r="F163" s="232"/>
    </row>
    <row r="164" spans="1:6" x14ac:dyDescent="0.25">
      <c r="A164" s="342">
        <v>45505</v>
      </c>
      <c r="B164" s="333" t="s">
        <v>1403</v>
      </c>
      <c r="C164" s="239" t="s">
        <v>489</v>
      </c>
      <c r="D164" s="233">
        <v>1</v>
      </c>
      <c r="E164" s="233">
        <v>110</v>
      </c>
      <c r="F164" s="232" t="s">
        <v>660</v>
      </c>
    </row>
    <row r="165" spans="1:6" x14ac:dyDescent="0.25">
      <c r="A165" s="342">
        <v>45505</v>
      </c>
      <c r="B165" s="333" t="s">
        <v>1403</v>
      </c>
      <c r="C165" s="239" t="s">
        <v>490</v>
      </c>
      <c r="D165" s="233">
        <v>1</v>
      </c>
      <c r="E165" s="233">
        <v>25</v>
      </c>
      <c r="F165" s="232" t="s">
        <v>661</v>
      </c>
    </row>
    <row r="166" spans="1:6" x14ac:dyDescent="0.25">
      <c r="A166" s="342">
        <v>45505</v>
      </c>
      <c r="B166" s="333" t="s">
        <v>1403</v>
      </c>
      <c r="C166" s="239" t="s">
        <v>491</v>
      </c>
      <c r="D166" s="233"/>
      <c r="E166" s="233"/>
      <c r="F166" s="232"/>
    </row>
    <row r="167" spans="1:6" x14ac:dyDescent="0.25">
      <c r="A167" s="342">
        <v>45505</v>
      </c>
      <c r="B167" s="333" t="s">
        <v>1404</v>
      </c>
      <c r="C167" s="239" t="s">
        <v>489</v>
      </c>
      <c r="D167" s="233"/>
      <c r="E167" s="233"/>
      <c r="F167" s="232"/>
    </row>
    <row r="168" spans="1:6" x14ac:dyDescent="0.25">
      <c r="A168" s="342">
        <v>45505</v>
      </c>
      <c r="B168" s="333" t="s">
        <v>1404</v>
      </c>
      <c r="C168" s="239" t="s">
        <v>490</v>
      </c>
      <c r="D168" s="233">
        <v>1</v>
      </c>
      <c r="E168" s="233">
        <v>410</v>
      </c>
      <c r="F168" s="232" t="s">
        <v>655</v>
      </c>
    </row>
    <row r="169" spans="1:6" x14ac:dyDescent="0.25">
      <c r="A169" s="342">
        <v>45505</v>
      </c>
      <c r="B169" s="333" t="s">
        <v>1404</v>
      </c>
      <c r="C169" s="239" t="s">
        <v>491</v>
      </c>
      <c r="D169" s="233"/>
      <c r="E169" s="233"/>
      <c r="F169" s="232"/>
    </row>
    <row r="170" spans="1:6" ht="37.5" x14ac:dyDescent="0.25">
      <c r="A170" s="342">
        <v>45505</v>
      </c>
      <c r="B170" s="333" t="s">
        <v>1405</v>
      </c>
      <c r="C170" s="239" t="s">
        <v>489</v>
      </c>
      <c r="D170" s="233">
        <v>2</v>
      </c>
      <c r="E170" s="233">
        <v>405</v>
      </c>
      <c r="F170" s="232" t="s">
        <v>662</v>
      </c>
    </row>
    <row r="171" spans="1:6" ht="37.5" x14ac:dyDescent="0.25">
      <c r="A171" s="342">
        <v>45505</v>
      </c>
      <c r="B171" s="333" t="s">
        <v>1405</v>
      </c>
      <c r="C171" s="239" t="s">
        <v>490</v>
      </c>
      <c r="D171" s="233">
        <v>2</v>
      </c>
      <c r="E171" s="233">
        <v>190</v>
      </c>
      <c r="F171" s="232" t="s">
        <v>663</v>
      </c>
    </row>
    <row r="172" spans="1:6" ht="150" x14ac:dyDescent="0.25">
      <c r="A172" s="342">
        <v>45505</v>
      </c>
      <c r="B172" s="333" t="s">
        <v>1405</v>
      </c>
      <c r="C172" s="239" t="s">
        <v>491</v>
      </c>
      <c r="D172" s="233">
        <v>7</v>
      </c>
      <c r="E172" s="233">
        <v>75</v>
      </c>
      <c r="F172" s="232" t="s">
        <v>664</v>
      </c>
    </row>
    <row r="173" spans="1:6" ht="243.75" x14ac:dyDescent="0.25">
      <c r="A173" s="342">
        <v>45505</v>
      </c>
      <c r="B173" s="333" t="s">
        <v>1406</v>
      </c>
      <c r="C173" s="239" t="s">
        <v>489</v>
      </c>
      <c r="D173" s="233">
        <v>13</v>
      </c>
      <c r="E173" s="233">
        <v>996</v>
      </c>
      <c r="F173" s="232" t="s">
        <v>657</v>
      </c>
    </row>
    <row r="174" spans="1:6" ht="37.5" x14ac:dyDescent="0.25">
      <c r="A174" s="342">
        <v>45505</v>
      </c>
      <c r="B174" s="333" t="s">
        <v>1406</v>
      </c>
      <c r="C174" s="239" t="s">
        <v>490</v>
      </c>
      <c r="D174" s="233">
        <v>2</v>
      </c>
      <c r="E174" s="233">
        <v>300</v>
      </c>
      <c r="F174" s="232" t="s">
        <v>658</v>
      </c>
    </row>
    <row r="175" spans="1:6" x14ac:dyDescent="0.25">
      <c r="A175" s="342">
        <v>45505</v>
      </c>
      <c r="B175" s="333" t="s">
        <v>1406</v>
      </c>
      <c r="C175" s="239" t="s">
        <v>491</v>
      </c>
      <c r="D175" s="233">
        <v>1</v>
      </c>
      <c r="E175" s="233">
        <v>55</v>
      </c>
      <c r="F175" s="232" t="s">
        <v>659</v>
      </c>
    </row>
    <row r="176" spans="1:6" ht="150" x14ac:dyDescent="0.25">
      <c r="A176" s="342">
        <v>45505</v>
      </c>
      <c r="B176" s="333" t="s">
        <v>1438</v>
      </c>
      <c r="C176" s="239" t="s">
        <v>489</v>
      </c>
      <c r="D176" s="233">
        <v>8</v>
      </c>
      <c r="E176" s="233">
        <v>2405</v>
      </c>
      <c r="F176" s="232" t="s">
        <v>672</v>
      </c>
    </row>
    <row r="177" spans="1:6" ht="262.5" x14ac:dyDescent="0.25">
      <c r="A177" s="342">
        <v>45505</v>
      </c>
      <c r="B177" s="333" t="s">
        <v>1438</v>
      </c>
      <c r="C177" s="239" t="s">
        <v>490</v>
      </c>
      <c r="D177" s="233">
        <v>14</v>
      </c>
      <c r="E177" s="233">
        <v>625</v>
      </c>
      <c r="F177" s="232" t="s">
        <v>673</v>
      </c>
    </row>
    <row r="178" spans="1:6" ht="243.75" x14ac:dyDescent="0.25">
      <c r="A178" s="342">
        <v>45505</v>
      </c>
      <c r="B178" s="333" t="s">
        <v>1438</v>
      </c>
      <c r="C178" s="239" t="s">
        <v>491</v>
      </c>
      <c r="D178" s="233">
        <v>13</v>
      </c>
      <c r="E178" s="233">
        <v>284</v>
      </c>
      <c r="F178" s="232" t="s">
        <v>674</v>
      </c>
    </row>
    <row r="179" spans="1:6" ht="37.5" x14ac:dyDescent="0.25">
      <c r="A179" s="342">
        <v>45505</v>
      </c>
      <c r="B179" s="333" t="s">
        <v>1408</v>
      </c>
      <c r="C179" s="239" t="s">
        <v>489</v>
      </c>
      <c r="D179" s="233">
        <v>2</v>
      </c>
      <c r="E179" s="233">
        <v>165</v>
      </c>
      <c r="F179" s="232" t="s">
        <v>668</v>
      </c>
    </row>
    <row r="180" spans="1:6" ht="37.5" x14ac:dyDescent="0.25">
      <c r="A180" s="342">
        <v>45505</v>
      </c>
      <c r="B180" s="333" t="s">
        <v>1408</v>
      </c>
      <c r="C180" s="239" t="s">
        <v>490</v>
      </c>
      <c r="D180" s="233">
        <v>2</v>
      </c>
      <c r="E180" s="233">
        <v>35</v>
      </c>
      <c r="F180" s="232" t="s">
        <v>667</v>
      </c>
    </row>
    <row r="181" spans="1:6" x14ac:dyDescent="0.25">
      <c r="A181" s="342">
        <v>45505</v>
      </c>
      <c r="B181" s="333" t="s">
        <v>1408</v>
      </c>
      <c r="C181" s="239" t="s">
        <v>491</v>
      </c>
      <c r="D181" s="233"/>
      <c r="E181" s="233"/>
      <c r="F181" s="232"/>
    </row>
    <row r="182" spans="1:6" ht="56.25" x14ac:dyDescent="0.25">
      <c r="A182" s="342">
        <v>45505</v>
      </c>
      <c r="B182" s="333" t="s">
        <v>1409</v>
      </c>
      <c r="C182" s="239" t="s">
        <v>489</v>
      </c>
      <c r="D182" s="233">
        <v>3</v>
      </c>
      <c r="E182" s="233">
        <v>603</v>
      </c>
      <c r="F182" s="232" t="s">
        <v>679</v>
      </c>
    </row>
    <row r="183" spans="1:6" x14ac:dyDescent="0.25">
      <c r="A183" s="342">
        <v>45505</v>
      </c>
      <c r="B183" s="333" t="s">
        <v>1409</v>
      </c>
      <c r="C183" s="239" t="s">
        <v>490</v>
      </c>
      <c r="D183" s="233"/>
      <c r="E183" s="233"/>
      <c r="F183" s="232"/>
    </row>
    <row r="184" spans="1:6" x14ac:dyDescent="0.25">
      <c r="A184" s="342">
        <v>45505</v>
      </c>
      <c r="B184" s="333" t="s">
        <v>1409</v>
      </c>
      <c r="C184" s="239" t="s">
        <v>491</v>
      </c>
      <c r="D184" s="233"/>
      <c r="E184" s="233"/>
      <c r="F184" s="232"/>
    </row>
    <row r="185" spans="1:6" ht="56.25" x14ac:dyDescent="0.25">
      <c r="A185" s="342">
        <v>45505</v>
      </c>
      <c r="B185" s="333" t="s">
        <v>1410</v>
      </c>
      <c r="C185" s="239" t="s">
        <v>489</v>
      </c>
      <c r="D185" s="233">
        <v>2</v>
      </c>
      <c r="E185" s="233">
        <v>120</v>
      </c>
      <c r="F185" s="232" t="s">
        <v>665</v>
      </c>
    </row>
    <row r="186" spans="1:6" ht="93.75" x14ac:dyDescent="0.25">
      <c r="A186" s="342">
        <v>45505</v>
      </c>
      <c r="B186" s="333" t="s">
        <v>1410</v>
      </c>
      <c r="C186" s="239" t="s">
        <v>490</v>
      </c>
      <c r="D186" s="233">
        <v>4</v>
      </c>
      <c r="E186" s="233">
        <v>91</v>
      </c>
      <c r="F186" s="232" t="s">
        <v>666</v>
      </c>
    </row>
    <row r="187" spans="1:6" x14ac:dyDescent="0.25">
      <c r="A187" s="342">
        <v>45505</v>
      </c>
      <c r="B187" s="333" t="s">
        <v>1410</v>
      </c>
      <c r="C187" s="239" t="s">
        <v>491</v>
      </c>
      <c r="D187" s="233"/>
      <c r="E187" s="233"/>
      <c r="F187" s="232"/>
    </row>
    <row r="188" spans="1:6" x14ac:dyDescent="0.25">
      <c r="A188" s="342">
        <v>45505</v>
      </c>
      <c r="B188" s="333" t="s">
        <v>1411</v>
      </c>
      <c r="C188" s="239" t="s">
        <v>489</v>
      </c>
      <c r="D188" s="233">
        <v>1</v>
      </c>
      <c r="E188" s="233">
        <v>350</v>
      </c>
      <c r="F188" s="232" t="s">
        <v>678</v>
      </c>
    </row>
    <row r="189" spans="1:6" x14ac:dyDescent="0.25">
      <c r="A189" s="342">
        <v>45505</v>
      </c>
      <c r="B189" s="333" t="s">
        <v>1411</v>
      </c>
      <c r="C189" s="239" t="s">
        <v>490</v>
      </c>
      <c r="D189" s="233">
        <v>1</v>
      </c>
      <c r="E189" s="233">
        <v>60</v>
      </c>
      <c r="F189" s="232" t="s">
        <v>677</v>
      </c>
    </row>
    <row r="190" spans="1:6" x14ac:dyDescent="0.25">
      <c r="A190" s="342">
        <v>45505</v>
      </c>
      <c r="B190" s="333" t="s">
        <v>1411</v>
      </c>
      <c r="C190" s="239" t="s">
        <v>491</v>
      </c>
      <c r="D190" s="233"/>
      <c r="E190" s="233"/>
      <c r="F190" s="232"/>
    </row>
    <row r="191" spans="1:6" ht="75" x14ac:dyDescent="0.25">
      <c r="A191" s="342">
        <v>45505</v>
      </c>
      <c r="B191" s="333" t="s">
        <v>1452</v>
      </c>
      <c r="C191" s="239" t="s">
        <v>489</v>
      </c>
      <c r="D191" s="233">
        <v>5</v>
      </c>
      <c r="E191" s="233">
        <v>497</v>
      </c>
      <c r="F191" s="232" t="s">
        <v>675</v>
      </c>
    </row>
    <row r="192" spans="1:6" ht="225" x14ac:dyDescent="0.25">
      <c r="A192" s="342">
        <v>45505</v>
      </c>
      <c r="B192" s="333" t="s">
        <v>1452</v>
      </c>
      <c r="C192" s="239" t="s">
        <v>490</v>
      </c>
      <c r="D192" s="233">
        <v>12</v>
      </c>
      <c r="E192" s="233">
        <v>1923</v>
      </c>
      <c r="F192" s="232" t="s">
        <v>676</v>
      </c>
    </row>
    <row r="193" spans="1:6" x14ac:dyDescent="0.25">
      <c r="A193" s="342">
        <v>45505</v>
      </c>
      <c r="B193" s="333" t="s">
        <v>1452</v>
      </c>
      <c r="C193" s="239" t="s">
        <v>491</v>
      </c>
      <c r="D193" s="233"/>
      <c r="E193" s="233"/>
      <c r="F193" s="232"/>
    </row>
    <row r="194" spans="1:6" ht="56.25" x14ac:dyDescent="0.25">
      <c r="A194" s="342">
        <v>45505</v>
      </c>
      <c r="B194" s="333" t="s">
        <v>1413</v>
      </c>
      <c r="C194" s="239" t="s">
        <v>489</v>
      </c>
      <c r="D194" s="212">
        <v>3</v>
      </c>
      <c r="E194" s="212">
        <v>490</v>
      </c>
      <c r="F194" s="232" t="s">
        <v>669</v>
      </c>
    </row>
    <row r="195" spans="1:6" ht="75" x14ac:dyDescent="0.25">
      <c r="A195" s="342">
        <v>45505</v>
      </c>
      <c r="B195" s="333" t="s">
        <v>1413</v>
      </c>
      <c r="C195" s="239" t="s">
        <v>490</v>
      </c>
      <c r="D195" s="233">
        <v>3</v>
      </c>
      <c r="E195" s="233">
        <v>1020</v>
      </c>
      <c r="F195" s="232" t="s">
        <v>671</v>
      </c>
    </row>
    <row r="196" spans="1:6" ht="93.75" x14ac:dyDescent="0.25">
      <c r="A196" s="342">
        <v>45505</v>
      </c>
      <c r="B196" s="333" t="s">
        <v>1413</v>
      </c>
      <c r="C196" s="239" t="s">
        <v>491</v>
      </c>
      <c r="D196" s="233">
        <v>5</v>
      </c>
      <c r="E196" s="233">
        <v>50</v>
      </c>
      <c r="F196" s="232" t="s">
        <v>670</v>
      </c>
    </row>
    <row r="197" spans="1:6" ht="37.5" x14ac:dyDescent="0.25">
      <c r="A197" s="342">
        <v>45536</v>
      </c>
      <c r="B197" s="319" t="s">
        <v>1401</v>
      </c>
      <c r="C197" s="238" t="s">
        <v>489</v>
      </c>
      <c r="D197" s="126">
        <v>2</v>
      </c>
      <c r="E197" s="126">
        <v>140</v>
      </c>
      <c r="F197" s="180" t="s">
        <v>699</v>
      </c>
    </row>
    <row r="198" spans="1:6" ht="93.75" x14ac:dyDescent="0.25">
      <c r="A198" s="342">
        <v>45536</v>
      </c>
      <c r="B198" s="319" t="s">
        <v>1401</v>
      </c>
      <c r="C198" s="238" t="s">
        <v>490</v>
      </c>
      <c r="D198" s="126">
        <v>4</v>
      </c>
      <c r="E198" s="126">
        <v>550</v>
      </c>
      <c r="F198" s="180" t="s">
        <v>700</v>
      </c>
    </row>
    <row r="199" spans="1:6" x14ac:dyDescent="0.25">
      <c r="A199" s="342">
        <v>45536</v>
      </c>
      <c r="B199" s="319" t="s">
        <v>1401</v>
      </c>
      <c r="C199" s="238" t="s">
        <v>491</v>
      </c>
      <c r="D199" s="126"/>
      <c r="E199" s="126"/>
      <c r="F199" s="180"/>
    </row>
    <row r="200" spans="1:6" x14ac:dyDescent="0.25">
      <c r="A200" s="342">
        <v>45536</v>
      </c>
      <c r="B200" s="319" t="s">
        <v>1402</v>
      </c>
      <c r="C200" s="238" t="s">
        <v>489</v>
      </c>
      <c r="D200" s="147"/>
      <c r="E200" s="147"/>
      <c r="F200" s="147"/>
    </row>
    <row r="201" spans="1:6" x14ac:dyDescent="0.25">
      <c r="A201" s="342">
        <v>45536</v>
      </c>
      <c r="B201" s="319" t="s">
        <v>1402</v>
      </c>
      <c r="C201" s="238" t="s">
        <v>490</v>
      </c>
      <c r="D201" s="126">
        <v>1</v>
      </c>
      <c r="E201" s="126">
        <v>100</v>
      </c>
      <c r="F201" s="180" t="s">
        <v>705</v>
      </c>
    </row>
    <row r="202" spans="1:6" x14ac:dyDescent="0.25">
      <c r="A202" s="342">
        <v>45536</v>
      </c>
      <c r="B202" s="319" t="s">
        <v>1402</v>
      </c>
      <c r="C202" s="238" t="s">
        <v>491</v>
      </c>
      <c r="D202" s="126"/>
      <c r="E202" s="126"/>
      <c r="F202" s="180"/>
    </row>
    <row r="203" spans="1:6" x14ac:dyDescent="0.25">
      <c r="A203" s="342">
        <v>45536</v>
      </c>
      <c r="B203" s="319" t="s">
        <v>1403</v>
      </c>
      <c r="C203" s="238" t="s">
        <v>489</v>
      </c>
      <c r="D203" s="126">
        <v>3</v>
      </c>
      <c r="E203" s="126">
        <v>1480</v>
      </c>
      <c r="F203" s="180" t="s">
        <v>686</v>
      </c>
    </row>
    <row r="204" spans="1:6" ht="56.25" x14ac:dyDescent="0.25">
      <c r="A204" s="342">
        <v>45536</v>
      </c>
      <c r="B204" s="319" t="s">
        <v>1403</v>
      </c>
      <c r="C204" s="238" t="s">
        <v>490</v>
      </c>
      <c r="D204" s="126">
        <v>3</v>
      </c>
      <c r="E204" s="126">
        <v>1010</v>
      </c>
      <c r="F204" s="180" t="s">
        <v>687</v>
      </c>
    </row>
    <row r="205" spans="1:6" x14ac:dyDescent="0.25">
      <c r="A205" s="342">
        <v>45536</v>
      </c>
      <c r="B205" s="319" t="s">
        <v>1403</v>
      </c>
      <c r="C205" s="238" t="s">
        <v>491</v>
      </c>
      <c r="D205" s="126"/>
      <c r="E205" s="126"/>
      <c r="F205" s="180"/>
    </row>
    <row r="206" spans="1:6" x14ac:dyDescent="0.25">
      <c r="A206" s="342">
        <v>45536</v>
      </c>
      <c r="B206" s="319" t="s">
        <v>1404</v>
      </c>
      <c r="C206" s="238" t="s">
        <v>489</v>
      </c>
      <c r="D206" s="126"/>
      <c r="E206" s="126"/>
      <c r="F206" s="180"/>
    </row>
    <row r="207" spans="1:6" x14ac:dyDescent="0.25">
      <c r="A207" s="342">
        <v>45536</v>
      </c>
      <c r="B207" s="319" t="s">
        <v>1404</v>
      </c>
      <c r="C207" s="238" t="s">
        <v>490</v>
      </c>
      <c r="D207" s="126"/>
      <c r="E207" s="126"/>
      <c r="F207" s="180"/>
    </row>
    <row r="208" spans="1:6" ht="37.5" x14ac:dyDescent="0.25">
      <c r="A208" s="342">
        <v>45536</v>
      </c>
      <c r="B208" s="319" t="s">
        <v>1404</v>
      </c>
      <c r="C208" s="238" t="s">
        <v>491</v>
      </c>
      <c r="D208" s="126">
        <v>2</v>
      </c>
      <c r="E208" s="126">
        <v>7</v>
      </c>
      <c r="F208" s="180" t="s">
        <v>701</v>
      </c>
    </row>
    <row r="209" spans="1:6" ht="37.5" x14ac:dyDescent="0.25">
      <c r="A209" s="342">
        <v>45536</v>
      </c>
      <c r="B209" s="319" t="s">
        <v>1405</v>
      </c>
      <c r="C209" s="238" t="s">
        <v>489</v>
      </c>
      <c r="D209" s="126">
        <v>2</v>
      </c>
      <c r="E209" s="126">
        <v>200</v>
      </c>
      <c r="F209" s="180" t="s">
        <v>682</v>
      </c>
    </row>
    <row r="210" spans="1:6" ht="37.5" x14ac:dyDescent="0.25">
      <c r="A210" s="342">
        <v>45536</v>
      </c>
      <c r="B210" s="319" t="s">
        <v>1405</v>
      </c>
      <c r="C210" s="238" t="s">
        <v>490</v>
      </c>
      <c r="D210" s="126">
        <v>1</v>
      </c>
      <c r="E210" s="126">
        <v>165</v>
      </c>
      <c r="F210" s="180" t="s">
        <v>683</v>
      </c>
    </row>
    <row r="211" spans="1:6" ht="37.5" x14ac:dyDescent="0.25">
      <c r="A211" s="342">
        <v>45536</v>
      </c>
      <c r="B211" s="319" t="s">
        <v>1405</v>
      </c>
      <c r="C211" s="238" t="s">
        <v>491</v>
      </c>
      <c r="D211" s="126">
        <v>2</v>
      </c>
      <c r="E211" s="126">
        <v>9</v>
      </c>
      <c r="F211" s="180" t="s">
        <v>684</v>
      </c>
    </row>
    <row r="212" spans="1:6" ht="300" x14ac:dyDescent="0.25">
      <c r="A212" s="342">
        <v>45536</v>
      </c>
      <c r="B212" s="319" t="s">
        <v>1406</v>
      </c>
      <c r="C212" s="238" t="s">
        <v>489</v>
      </c>
      <c r="D212" s="126">
        <v>15</v>
      </c>
      <c r="E212" s="126">
        <v>1040</v>
      </c>
      <c r="F212" s="180" t="s">
        <v>708</v>
      </c>
    </row>
    <row r="213" spans="1:6" ht="37.5" x14ac:dyDescent="0.25">
      <c r="A213" s="342">
        <v>45536</v>
      </c>
      <c r="B213" s="319" t="s">
        <v>1406</v>
      </c>
      <c r="C213" s="238" t="s">
        <v>490</v>
      </c>
      <c r="D213" s="126">
        <v>2</v>
      </c>
      <c r="E213" s="126">
        <v>229</v>
      </c>
      <c r="F213" s="180" t="s">
        <v>709</v>
      </c>
    </row>
    <row r="214" spans="1:6" x14ac:dyDescent="0.25">
      <c r="A214" s="342">
        <v>45536</v>
      </c>
      <c r="B214" s="319" t="s">
        <v>1406</v>
      </c>
      <c r="C214" s="238" t="s">
        <v>491</v>
      </c>
      <c r="D214" s="126"/>
      <c r="E214" s="126"/>
      <c r="F214" s="180"/>
    </row>
    <row r="215" spans="1:6" ht="131.25" x14ac:dyDescent="0.25">
      <c r="A215" s="342">
        <v>45536</v>
      </c>
      <c r="B215" s="319" t="s">
        <v>1438</v>
      </c>
      <c r="C215" s="238" t="s">
        <v>489</v>
      </c>
      <c r="D215" s="126">
        <v>7</v>
      </c>
      <c r="E215" s="126">
        <v>715</v>
      </c>
      <c r="F215" s="180" t="s">
        <v>691</v>
      </c>
    </row>
    <row r="216" spans="1:6" ht="206.25" x14ac:dyDescent="0.25">
      <c r="A216" s="342">
        <v>45536</v>
      </c>
      <c r="B216" s="319" t="s">
        <v>1438</v>
      </c>
      <c r="C216" s="238" t="s">
        <v>490</v>
      </c>
      <c r="D216" s="126">
        <v>10</v>
      </c>
      <c r="E216" s="126">
        <v>258</v>
      </c>
      <c r="F216" s="180" t="s">
        <v>692</v>
      </c>
    </row>
    <row r="217" spans="1:6" ht="243.75" x14ac:dyDescent="0.25">
      <c r="A217" s="342">
        <v>45536</v>
      </c>
      <c r="B217" s="319" t="s">
        <v>1438</v>
      </c>
      <c r="C217" s="238" t="s">
        <v>491</v>
      </c>
      <c r="D217" s="126">
        <v>12</v>
      </c>
      <c r="E217" s="126">
        <v>242</v>
      </c>
      <c r="F217" s="180" t="s">
        <v>693</v>
      </c>
    </row>
    <row r="218" spans="1:6" ht="56.25" x14ac:dyDescent="0.25">
      <c r="A218" s="342">
        <v>45536</v>
      </c>
      <c r="B218" s="319" t="s">
        <v>1408</v>
      </c>
      <c r="C218" s="238" t="s">
        <v>489</v>
      </c>
      <c r="D218" s="126">
        <v>2</v>
      </c>
      <c r="E218" s="126">
        <v>210</v>
      </c>
      <c r="F218" s="180" t="s">
        <v>695</v>
      </c>
    </row>
    <row r="219" spans="1:6" ht="56.25" x14ac:dyDescent="0.25">
      <c r="A219" s="342">
        <v>45536</v>
      </c>
      <c r="B219" s="319" t="s">
        <v>1408</v>
      </c>
      <c r="C219" s="238" t="s">
        <v>490</v>
      </c>
      <c r="D219" s="126">
        <v>3</v>
      </c>
      <c r="E219" s="126">
        <v>50</v>
      </c>
      <c r="F219" s="180" t="s">
        <v>694</v>
      </c>
    </row>
    <row r="220" spans="1:6" x14ac:dyDescent="0.25">
      <c r="A220" s="342">
        <v>45536</v>
      </c>
      <c r="B220" s="319" t="s">
        <v>1408</v>
      </c>
      <c r="C220" s="238" t="s">
        <v>491</v>
      </c>
      <c r="D220" s="126"/>
      <c r="E220" s="126"/>
      <c r="F220" s="180"/>
    </row>
    <row r="221" spans="1:6" x14ac:dyDescent="0.25">
      <c r="A221" s="342">
        <v>45536</v>
      </c>
      <c r="B221" s="319" t="s">
        <v>1409</v>
      </c>
      <c r="C221" s="238" t="s">
        <v>489</v>
      </c>
      <c r="D221" s="126"/>
      <c r="E221" s="126"/>
      <c r="F221" s="180"/>
    </row>
    <row r="222" spans="1:6" ht="75" x14ac:dyDescent="0.25">
      <c r="A222" s="342">
        <v>45536</v>
      </c>
      <c r="B222" s="319" t="s">
        <v>1409</v>
      </c>
      <c r="C222" s="238" t="s">
        <v>490</v>
      </c>
      <c r="D222" s="126">
        <v>4</v>
      </c>
      <c r="E222" s="126">
        <v>1003</v>
      </c>
      <c r="F222" s="180" t="s">
        <v>704</v>
      </c>
    </row>
    <row r="223" spans="1:6" x14ac:dyDescent="0.25">
      <c r="A223" s="342">
        <v>45536</v>
      </c>
      <c r="B223" s="319" t="s">
        <v>1409</v>
      </c>
      <c r="C223" s="238" t="s">
        <v>491</v>
      </c>
      <c r="D223" s="126"/>
      <c r="E223" s="126"/>
      <c r="F223" s="180"/>
    </row>
    <row r="224" spans="1:6" ht="37.5" x14ac:dyDescent="0.25">
      <c r="A224" s="342">
        <v>45536</v>
      </c>
      <c r="B224" s="319" t="s">
        <v>1410</v>
      </c>
      <c r="C224" s="238" t="s">
        <v>489</v>
      </c>
      <c r="D224" s="126">
        <v>2</v>
      </c>
      <c r="E224" s="126">
        <v>700</v>
      </c>
      <c r="F224" s="180" t="s">
        <v>689</v>
      </c>
    </row>
    <row r="225" spans="1:6" x14ac:dyDescent="0.25">
      <c r="A225" s="342">
        <v>45536</v>
      </c>
      <c r="B225" s="319" t="s">
        <v>1410</v>
      </c>
      <c r="C225" s="238" t="s">
        <v>490</v>
      </c>
      <c r="D225" s="126"/>
      <c r="E225" s="126"/>
      <c r="F225" s="180"/>
    </row>
    <row r="226" spans="1:6" ht="37.5" x14ac:dyDescent="0.25">
      <c r="A226" s="342">
        <v>45536</v>
      </c>
      <c r="B226" s="319" t="s">
        <v>1410</v>
      </c>
      <c r="C226" s="238" t="s">
        <v>491</v>
      </c>
      <c r="D226" s="126">
        <v>1</v>
      </c>
      <c r="E226" s="126">
        <v>150</v>
      </c>
      <c r="F226" s="180" t="s">
        <v>688</v>
      </c>
    </row>
    <row r="227" spans="1:6" x14ac:dyDescent="0.25">
      <c r="A227" s="342">
        <v>45536</v>
      </c>
      <c r="B227" s="319" t="s">
        <v>1411</v>
      </c>
      <c r="C227" s="238" t="s">
        <v>489</v>
      </c>
      <c r="D227" s="126">
        <v>1</v>
      </c>
      <c r="E227" s="126">
        <v>350</v>
      </c>
      <c r="F227" s="180" t="s">
        <v>706</v>
      </c>
    </row>
    <row r="228" spans="1:6" x14ac:dyDescent="0.25">
      <c r="A228" s="342">
        <v>45536</v>
      </c>
      <c r="B228" s="319" t="s">
        <v>1411</v>
      </c>
      <c r="C228" s="238" t="s">
        <v>490</v>
      </c>
      <c r="D228" s="126"/>
      <c r="E228" s="126"/>
      <c r="F228" s="180"/>
    </row>
    <row r="229" spans="1:6" x14ac:dyDescent="0.25">
      <c r="A229" s="342">
        <v>45536</v>
      </c>
      <c r="B229" s="319" t="s">
        <v>1411</v>
      </c>
      <c r="C229" s="238" t="s">
        <v>491</v>
      </c>
      <c r="D229" s="126"/>
      <c r="E229" s="126"/>
      <c r="F229" s="180"/>
    </row>
    <row r="230" spans="1:6" ht="56.25" x14ac:dyDescent="0.25">
      <c r="A230" s="342">
        <v>45536</v>
      </c>
      <c r="B230" s="319" t="s">
        <v>1452</v>
      </c>
      <c r="C230" s="238" t="s">
        <v>489</v>
      </c>
      <c r="D230" s="126">
        <v>3</v>
      </c>
      <c r="E230" s="126">
        <v>425</v>
      </c>
      <c r="F230" s="180" t="s">
        <v>702</v>
      </c>
    </row>
    <row r="231" spans="1:6" ht="150" x14ac:dyDescent="0.25">
      <c r="A231" s="342">
        <v>45536</v>
      </c>
      <c r="B231" s="319" t="s">
        <v>1452</v>
      </c>
      <c r="C231" s="238" t="s">
        <v>490</v>
      </c>
      <c r="D231" s="126">
        <v>8</v>
      </c>
      <c r="E231" s="126">
        <v>1048</v>
      </c>
      <c r="F231" s="180" t="s">
        <v>703</v>
      </c>
    </row>
    <row r="232" spans="1:6" x14ac:dyDescent="0.25">
      <c r="A232" s="342">
        <v>45536</v>
      </c>
      <c r="B232" s="319" t="s">
        <v>1452</v>
      </c>
      <c r="C232" s="238" t="s">
        <v>491</v>
      </c>
      <c r="D232" s="126"/>
      <c r="E232" s="126"/>
      <c r="F232" s="180"/>
    </row>
    <row r="233" spans="1:6" ht="93.75" x14ac:dyDescent="0.25">
      <c r="A233" s="342">
        <v>45536</v>
      </c>
      <c r="B233" s="319" t="s">
        <v>1413</v>
      </c>
      <c r="C233" s="238" t="s">
        <v>489</v>
      </c>
      <c r="D233" s="214">
        <v>5</v>
      </c>
      <c r="E233" s="214">
        <v>274</v>
      </c>
      <c r="F233" s="180" t="s">
        <v>711</v>
      </c>
    </row>
    <row r="234" spans="1:6" x14ac:dyDescent="0.25">
      <c r="A234" s="342">
        <v>45536</v>
      </c>
      <c r="B234" s="319" t="s">
        <v>1413</v>
      </c>
      <c r="C234" s="238" t="s">
        <v>490</v>
      </c>
      <c r="D234" s="126">
        <v>1</v>
      </c>
      <c r="E234" s="126">
        <v>600</v>
      </c>
      <c r="F234" s="180" t="s">
        <v>710</v>
      </c>
    </row>
    <row r="235" spans="1:6" ht="75" x14ac:dyDescent="0.25">
      <c r="A235" s="342">
        <v>45536</v>
      </c>
      <c r="B235" s="319" t="s">
        <v>1413</v>
      </c>
      <c r="C235" s="238" t="s">
        <v>491</v>
      </c>
      <c r="D235" s="126">
        <v>4</v>
      </c>
      <c r="E235" s="126">
        <v>65</v>
      </c>
      <c r="F235" s="215" t="s">
        <v>712</v>
      </c>
    </row>
    <row r="236" spans="1:6" x14ac:dyDescent="0.25">
      <c r="A236" s="342">
        <v>45566</v>
      </c>
      <c r="B236" s="319" t="s">
        <v>1401</v>
      </c>
      <c r="C236" s="238" t="s">
        <v>489</v>
      </c>
      <c r="D236" s="126">
        <v>1</v>
      </c>
      <c r="E236" s="126">
        <v>10</v>
      </c>
      <c r="F236" s="180" t="s">
        <v>716</v>
      </c>
    </row>
    <row r="237" spans="1:6" ht="75" x14ac:dyDescent="0.25">
      <c r="A237" s="342">
        <v>45566</v>
      </c>
      <c r="B237" s="319" t="s">
        <v>1401</v>
      </c>
      <c r="C237" s="238" t="s">
        <v>490</v>
      </c>
      <c r="D237" s="126">
        <v>4</v>
      </c>
      <c r="E237" s="126">
        <v>180</v>
      </c>
      <c r="F237" s="180" t="s">
        <v>717</v>
      </c>
    </row>
    <row r="238" spans="1:6" ht="75" x14ac:dyDescent="0.25">
      <c r="A238" s="342">
        <v>45566</v>
      </c>
      <c r="B238" s="319" t="s">
        <v>1401</v>
      </c>
      <c r="C238" s="238" t="s">
        <v>491</v>
      </c>
      <c r="D238" s="126">
        <v>4</v>
      </c>
      <c r="E238" s="126">
        <v>403</v>
      </c>
      <c r="F238" s="180" t="s">
        <v>718</v>
      </c>
    </row>
    <row r="239" spans="1:6" x14ac:dyDescent="0.25">
      <c r="A239" s="342">
        <v>45566</v>
      </c>
      <c r="B239" s="319" t="s">
        <v>1402</v>
      </c>
      <c r="C239" s="238" t="s">
        <v>489</v>
      </c>
      <c r="D239" s="147"/>
      <c r="E239" s="147"/>
      <c r="F239" s="147"/>
    </row>
    <row r="240" spans="1:6" x14ac:dyDescent="0.25">
      <c r="A240" s="342">
        <v>45566</v>
      </c>
      <c r="B240" s="319" t="s">
        <v>1402</v>
      </c>
      <c r="C240" s="238" t="s">
        <v>490</v>
      </c>
      <c r="D240" s="126">
        <v>1</v>
      </c>
      <c r="E240" s="126">
        <v>20</v>
      </c>
      <c r="F240" s="180" t="s">
        <v>1460</v>
      </c>
    </row>
    <row r="241" spans="1:6" x14ac:dyDescent="0.25">
      <c r="A241" s="342">
        <v>45566</v>
      </c>
      <c r="B241" s="319" t="s">
        <v>1402</v>
      </c>
      <c r="C241" s="238" t="s">
        <v>491</v>
      </c>
      <c r="D241" s="126"/>
      <c r="E241" s="126"/>
      <c r="F241" s="180"/>
    </row>
    <row r="242" spans="1:6" x14ac:dyDescent="0.25">
      <c r="A242" s="342">
        <v>45566</v>
      </c>
      <c r="B242" s="319" t="s">
        <v>1403</v>
      </c>
      <c r="C242" s="238" t="s">
        <v>489</v>
      </c>
      <c r="D242" s="126">
        <v>4</v>
      </c>
      <c r="E242" s="126">
        <v>1620</v>
      </c>
      <c r="F242" s="180"/>
    </row>
    <row r="243" spans="1:6" x14ac:dyDescent="0.25">
      <c r="A243" s="342">
        <v>45566</v>
      </c>
      <c r="B243" s="319" t="s">
        <v>1403</v>
      </c>
      <c r="C243" s="238" t="s">
        <v>490</v>
      </c>
      <c r="D243" s="126">
        <v>1</v>
      </c>
      <c r="E243" s="126">
        <v>115</v>
      </c>
      <c r="F243" s="180" t="s">
        <v>713</v>
      </c>
    </row>
    <row r="244" spans="1:6" x14ac:dyDescent="0.25">
      <c r="A244" s="342">
        <v>45566</v>
      </c>
      <c r="B244" s="319" t="s">
        <v>1403</v>
      </c>
      <c r="C244" s="238" t="s">
        <v>491</v>
      </c>
      <c r="D244" s="126"/>
      <c r="E244" s="126"/>
      <c r="F244" s="180"/>
    </row>
    <row r="245" spans="1:6" ht="37.5" x14ac:dyDescent="0.25">
      <c r="A245" s="342">
        <v>45566</v>
      </c>
      <c r="B245" s="319" t="s">
        <v>1404</v>
      </c>
      <c r="C245" s="238" t="s">
        <v>489</v>
      </c>
      <c r="D245" s="126">
        <v>2</v>
      </c>
      <c r="E245" s="126">
        <v>966</v>
      </c>
      <c r="F245" s="180" t="s">
        <v>715</v>
      </c>
    </row>
    <row r="246" spans="1:6" ht="37.5" x14ac:dyDescent="0.25">
      <c r="A246" s="342">
        <v>45566</v>
      </c>
      <c r="B246" s="319" t="s">
        <v>1404</v>
      </c>
      <c r="C246" s="238" t="s">
        <v>490</v>
      </c>
      <c r="D246" s="126">
        <v>2</v>
      </c>
      <c r="E246" s="126">
        <v>100</v>
      </c>
      <c r="F246" s="180" t="s">
        <v>714</v>
      </c>
    </row>
    <row r="247" spans="1:6" x14ac:dyDescent="0.25">
      <c r="A247" s="342">
        <v>45566</v>
      </c>
      <c r="B247" s="319" t="s">
        <v>1404</v>
      </c>
      <c r="C247" s="238" t="s">
        <v>491</v>
      </c>
      <c r="D247" s="126"/>
      <c r="E247" s="126"/>
      <c r="F247" s="180"/>
    </row>
    <row r="248" spans="1:6" x14ac:dyDescent="0.25">
      <c r="A248" s="342">
        <v>45566</v>
      </c>
      <c r="B248" s="319" t="s">
        <v>1405</v>
      </c>
      <c r="C248" s="238" t="s">
        <v>489</v>
      </c>
      <c r="D248" s="126"/>
      <c r="E248" s="126"/>
      <c r="F248" s="180"/>
    </row>
    <row r="249" spans="1:6" x14ac:dyDescent="0.25">
      <c r="A249" s="342">
        <v>45566</v>
      </c>
      <c r="B249" s="319" t="s">
        <v>1405</v>
      </c>
      <c r="C249" s="238" t="s">
        <v>490</v>
      </c>
      <c r="D249" s="126"/>
      <c r="E249" s="126"/>
      <c r="F249" s="180"/>
    </row>
    <row r="250" spans="1:6" x14ac:dyDescent="0.25">
      <c r="A250" s="342">
        <v>45566</v>
      </c>
      <c r="B250" s="319" t="s">
        <v>1405</v>
      </c>
      <c r="C250" s="238" t="s">
        <v>491</v>
      </c>
      <c r="D250" s="126"/>
      <c r="E250" s="126"/>
      <c r="F250" s="180"/>
    </row>
    <row r="251" spans="1:6" ht="225" x14ac:dyDescent="0.25">
      <c r="A251" s="342">
        <v>45566</v>
      </c>
      <c r="B251" s="319" t="s">
        <v>1406</v>
      </c>
      <c r="C251" s="238" t="s">
        <v>489</v>
      </c>
      <c r="D251" s="126">
        <v>14</v>
      </c>
      <c r="E251" s="126">
        <v>1398</v>
      </c>
      <c r="F251" s="180" t="s">
        <v>720</v>
      </c>
    </row>
    <row r="252" spans="1:6" ht="112.5" x14ac:dyDescent="0.25">
      <c r="A252" s="342">
        <v>45566</v>
      </c>
      <c r="B252" s="319" t="s">
        <v>1406</v>
      </c>
      <c r="C252" s="238" t="s">
        <v>490</v>
      </c>
      <c r="D252" s="126">
        <v>7</v>
      </c>
      <c r="E252" s="126">
        <v>1211</v>
      </c>
      <c r="F252" s="180" t="s">
        <v>721</v>
      </c>
    </row>
    <row r="253" spans="1:6" ht="37.5" x14ac:dyDescent="0.25">
      <c r="A253" s="342">
        <v>45566</v>
      </c>
      <c r="B253" s="319" t="s">
        <v>1406</v>
      </c>
      <c r="C253" s="238" t="s">
        <v>491</v>
      </c>
      <c r="D253" s="126">
        <v>2</v>
      </c>
      <c r="E253" s="126">
        <v>450</v>
      </c>
      <c r="F253" s="180" t="s">
        <v>722</v>
      </c>
    </row>
    <row r="254" spans="1:6" ht="131.25" x14ac:dyDescent="0.25">
      <c r="A254" s="342">
        <v>45566</v>
      </c>
      <c r="B254" s="319" t="s">
        <v>1438</v>
      </c>
      <c r="C254" s="238" t="s">
        <v>489</v>
      </c>
      <c r="D254" s="126">
        <v>7</v>
      </c>
      <c r="E254" s="126">
        <v>1687</v>
      </c>
      <c r="F254" s="180" t="s">
        <v>726</v>
      </c>
    </row>
    <row r="255" spans="1:6" ht="150" x14ac:dyDescent="0.25">
      <c r="A255" s="342">
        <v>45566</v>
      </c>
      <c r="B255" s="319" t="s">
        <v>1438</v>
      </c>
      <c r="C255" s="238" t="s">
        <v>490</v>
      </c>
      <c r="D255" s="126">
        <v>8</v>
      </c>
      <c r="E255" s="126">
        <v>212</v>
      </c>
      <c r="F255" s="180" t="s">
        <v>724</v>
      </c>
    </row>
    <row r="256" spans="1:6" ht="243.75" x14ac:dyDescent="0.25">
      <c r="A256" s="342">
        <v>45566</v>
      </c>
      <c r="B256" s="319" t="s">
        <v>1438</v>
      </c>
      <c r="C256" s="238" t="s">
        <v>491</v>
      </c>
      <c r="D256" s="126">
        <v>14</v>
      </c>
      <c r="E256" s="126">
        <v>212</v>
      </c>
      <c r="F256" s="180" t="s">
        <v>725</v>
      </c>
    </row>
    <row r="257" spans="1:6" ht="37.5" x14ac:dyDescent="0.25">
      <c r="A257" s="342">
        <v>45566</v>
      </c>
      <c r="B257" s="319" t="s">
        <v>1408</v>
      </c>
      <c r="C257" s="238" t="s">
        <v>489</v>
      </c>
      <c r="D257" s="126">
        <v>2</v>
      </c>
      <c r="E257" s="126">
        <v>340</v>
      </c>
      <c r="F257" s="180" t="s">
        <v>728</v>
      </c>
    </row>
    <row r="258" spans="1:6" ht="37.5" x14ac:dyDescent="0.25">
      <c r="A258" s="342">
        <v>45566</v>
      </c>
      <c r="B258" s="319" t="s">
        <v>1408</v>
      </c>
      <c r="C258" s="238" t="s">
        <v>490</v>
      </c>
      <c r="D258" s="126">
        <v>2</v>
      </c>
      <c r="E258" s="126">
        <v>35</v>
      </c>
      <c r="F258" s="180" t="s">
        <v>727</v>
      </c>
    </row>
    <row r="259" spans="1:6" x14ac:dyDescent="0.25">
      <c r="A259" s="342">
        <v>45566</v>
      </c>
      <c r="B259" s="319" t="s">
        <v>1408</v>
      </c>
      <c r="C259" s="238" t="s">
        <v>491</v>
      </c>
      <c r="D259" s="126"/>
      <c r="E259" s="126"/>
      <c r="F259" s="180"/>
    </row>
    <row r="260" spans="1:6" ht="37.5" x14ac:dyDescent="0.25">
      <c r="A260" s="342">
        <v>45566</v>
      </c>
      <c r="B260" s="319" t="s">
        <v>1409</v>
      </c>
      <c r="C260" s="238" t="s">
        <v>489</v>
      </c>
      <c r="D260" s="126">
        <v>2</v>
      </c>
      <c r="E260" s="126">
        <v>210</v>
      </c>
      <c r="F260" s="180" t="s">
        <v>729</v>
      </c>
    </row>
    <row r="261" spans="1:6" ht="75" x14ac:dyDescent="0.25">
      <c r="A261" s="342">
        <v>45566</v>
      </c>
      <c r="B261" s="319" t="s">
        <v>1409</v>
      </c>
      <c r="C261" s="238" t="s">
        <v>490</v>
      </c>
      <c r="D261" s="126">
        <v>3</v>
      </c>
      <c r="E261" s="126">
        <v>130</v>
      </c>
      <c r="F261" s="180" t="s">
        <v>730</v>
      </c>
    </row>
    <row r="262" spans="1:6" x14ac:dyDescent="0.25">
      <c r="A262" s="342">
        <v>45566</v>
      </c>
      <c r="B262" s="319" t="s">
        <v>1409</v>
      </c>
      <c r="C262" s="238" t="s">
        <v>491</v>
      </c>
      <c r="D262" s="126"/>
      <c r="E262" s="126"/>
      <c r="F262" s="180"/>
    </row>
    <row r="263" spans="1:6" x14ac:dyDescent="0.25">
      <c r="A263" s="342">
        <v>45566</v>
      </c>
      <c r="B263" s="319" t="s">
        <v>1410</v>
      </c>
      <c r="C263" s="238" t="s">
        <v>489</v>
      </c>
      <c r="D263" s="126">
        <v>1</v>
      </c>
      <c r="E263" s="126">
        <v>200</v>
      </c>
      <c r="F263" s="180" t="s">
        <v>731</v>
      </c>
    </row>
    <row r="264" spans="1:6" x14ac:dyDescent="0.25">
      <c r="A264" s="342">
        <v>45566</v>
      </c>
      <c r="B264" s="319" t="s">
        <v>1410</v>
      </c>
      <c r="C264" s="238" t="s">
        <v>490</v>
      </c>
      <c r="D264" s="126"/>
      <c r="E264" s="126"/>
      <c r="F264" s="180"/>
    </row>
    <row r="265" spans="1:6" x14ac:dyDescent="0.25">
      <c r="A265" s="342">
        <v>45566</v>
      </c>
      <c r="B265" s="319" t="s">
        <v>1410</v>
      </c>
      <c r="C265" s="238" t="s">
        <v>491</v>
      </c>
      <c r="D265" s="126"/>
      <c r="E265" s="126"/>
      <c r="F265" s="180"/>
    </row>
    <row r="266" spans="1:6" x14ac:dyDescent="0.25">
      <c r="A266" s="342">
        <v>45566</v>
      </c>
      <c r="B266" s="319" t="s">
        <v>1411</v>
      </c>
      <c r="C266" s="238" t="s">
        <v>489</v>
      </c>
      <c r="D266" s="126"/>
      <c r="E266" s="126"/>
      <c r="F266" s="180"/>
    </row>
    <row r="267" spans="1:6" x14ac:dyDescent="0.25">
      <c r="A267" s="342">
        <v>45566</v>
      </c>
      <c r="B267" s="319" t="s">
        <v>1411</v>
      </c>
      <c r="C267" s="238" t="s">
        <v>490</v>
      </c>
      <c r="D267" s="126"/>
      <c r="E267" s="126"/>
      <c r="F267" s="180"/>
    </row>
    <row r="268" spans="1:6" x14ac:dyDescent="0.25">
      <c r="A268" s="342">
        <v>45566</v>
      </c>
      <c r="B268" s="319" t="s">
        <v>1411</v>
      </c>
      <c r="C268" s="238" t="s">
        <v>491</v>
      </c>
      <c r="D268" s="126">
        <v>1</v>
      </c>
      <c r="E268" s="126">
        <v>5</v>
      </c>
      <c r="F268" s="180" t="s">
        <v>738</v>
      </c>
    </row>
    <row r="269" spans="1:6" ht="93.75" x14ac:dyDescent="0.25">
      <c r="A269" s="342">
        <v>45566</v>
      </c>
      <c r="B269" s="319" t="s">
        <v>1452</v>
      </c>
      <c r="C269" s="238" t="s">
        <v>489</v>
      </c>
      <c r="D269" s="126">
        <v>5</v>
      </c>
      <c r="E269" s="126">
        <v>529</v>
      </c>
      <c r="F269" s="180" t="s">
        <v>737</v>
      </c>
    </row>
    <row r="270" spans="1:6" ht="75" x14ac:dyDescent="0.25">
      <c r="A270" s="342">
        <v>45566</v>
      </c>
      <c r="B270" s="319" t="s">
        <v>1452</v>
      </c>
      <c r="C270" s="238" t="s">
        <v>490</v>
      </c>
      <c r="D270" s="126">
        <v>4</v>
      </c>
      <c r="E270" s="126">
        <v>485</v>
      </c>
      <c r="F270" s="180" t="s">
        <v>736</v>
      </c>
    </row>
    <row r="271" spans="1:6" x14ac:dyDescent="0.25">
      <c r="A271" s="342">
        <v>45566</v>
      </c>
      <c r="B271" s="319" t="s">
        <v>1452</v>
      </c>
      <c r="C271" s="238" t="s">
        <v>491</v>
      </c>
      <c r="D271" s="126">
        <v>1</v>
      </c>
      <c r="E271" s="126">
        <v>400</v>
      </c>
      <c r="F271" s="180" t="s">
        <v>735</v>
      </c>
    </row>
    <row r="272" spans="1:6" ht="37.5" x14ac:dyDescent="0.25">
      <c r="A272" s="342">
        <v>45566</v>
      </c>
      <c r="B272" s="319" t="s">
        <v>1413</v>
      </c>
      <c r="C272" s="238" t="s">
        <v>489</v>
      </c>
      <c r="D272" s="126">
        <v>2</v>
      </c>
      <c r="E272" s="126">
        <v>160</v>
      </c>
      <c r="F272" s="180" t="s">
        <v>732</v>
      </c>
    </row>
    <row r="273" spans="1:6" ht="168.75" x14ac:dyDescent="0.25">
      <c r="A273" s="342">
        <v>45566</v>
      </c>
      <c r="B273" s="319" t="s">
        <v>1413</v>
      </c>
      <c r="C273" s="238" t="s">
        <v>490</v>
      </c>
      <c r="D273" s="126">
        <v>9</v>
      </c>
      <c r="E273" s="126">
        <v>866</v>
      </c>
      <c r="F273" s="180" t="s">
        <v>734</v>
      </c>
    </row>
    <row r="274" spans="1:6" ht="37.5" x14ac:dyDescent="0.25">
      <c r="A274" s="342">
        <v>45566</v>
      </c>
      <c r="B274" s="319" t="s">
        <v>1413</v>
      </c>
      <c r="C274" s="238" t="s">
        <v>491</v>
      </c>
      <c r="D274" s="126">
        <v>2</v>
      </c>
      <c r="E274" s="126">
        <v>11</v>
      </c>
      <c r="F274" s="180" t="s">
        <v>733</v>
      </c>
    </row>
    <row r="275" spans="1:6" x14ac:dyDescent="0.25">
      <c r="A275" s="342">
        <v>45597</v>
      </c>
      <c r="B275" s="319" t="s">
        <v>1401</v>
      </c>
      <c r="C275" s="238" t="s">
        <v>489</v>
      </c>
      <c r="D275" s="126">
        <v>1</v>
      </c>
      <c r="E275" s="126">
        <v>300</v>
      </c>
      <c r="F275" s="180" t="s">
        <v>741</v>
      </c>
    </row>
    <row r="276" spans="1:6" x14ac:dyDescent="0.25">
      <c r="A276" s="342">
        <v>45597</v>
      </c>
      <c r="B276" s="319" t="s">
        <v>1401</v>
      </c>
      <c r="C276" s="238" t="s">
        <v>490</v>
      </c>
      <c r="D276" s="126"/>
      <c r="E276" s="126"/>
      <c r="F276" s="180"/>
    </row>
    <row r="277" spans="1:6" ht="56.25" x14ac:dyDescent="0.25">
      <c r="A277" s="342">
        <v>45597</v>
      </c>
      <c r="B277" s="319" t="s">
        <v>1401</v>
      </c>
      <c r="C277" s="238" t="s">
        <v>491</v>
      </c>
      <c r="D277" s="126">
        <v>3</v>
      </c>
      <c r="E277" s="126">
        <v>85</v>
      </c>
      <c r="F277" s="180" t="s">
        <v>740</v>
      </c>
    </row>
    <row r="278" spans="1:6" x14ac:dyDescent="0.25">
      <c r="A278" s="342">
        <v>45597</v>
      </c>
      <c r="B278" s="319" t="s">
        <v>1402</v>
      </c>
      <c r="C278" s="238" t="s">
        <v>489</v>
      </c>
      <c r="D278" s="147"/>
      <c r="E278" s="147"/>
      <c r="F278" s="147"/>
    </row>
    <row r="279" spans="1:6" x14ac:dyDescent="0.25">
      <c r="A279" s="342">
        <v>45597</v>
      </c>
      <c r="B279" s="319" t="s">
        <v>1402</v>
      </c>
      <c r="C279" s="238" t="s">
        <v>490</v>
      </c>
      <c r="D279" s="126">
        <v>1</v>
      </c>
      <c r="E279" s="126">
        <v>300</v>
      </c>
      <c r="F279" s="180" t="s">
        <v>1459</v>
      </c>
    </row>
    <row r="280" spans="1:6" x14ac:dyDescent="0.25">
      <c r="A280" s="342">
        <v>45597</v>
      </c>
      <c r="B280" s="319" t="s">
        <v>1402</v>
      </c>
      <c r="C280" s="238" t="s">
        <v>491</v>
      </c>
      <c r="D280" s="126"/>
      <c r="E280" s="126"/>
      <c r="F280" s="180"/>
    </row>
    <row r="281" spans="1:6" x14ac:dyDescent="0.25">
      <c r="A281" s="342">
        <v>45597</v>
      </c>
      <c r="B281" s="319" t="s">
        <v>1403</v>
      </c>
      <c r="C281" s="238" t="s">
        <v>489</v>
      </c>
      <c r="D281" s="126"/>
      <c r="E281" s="126"/>
      <c r="F281" s="180"/>
    </row>
    <row r="282" spans="1:6" x14ac:dyDescent="0.25">
      <c r="A282" s="342">
        <v>45597</v>
      </c>
      <c r="B282" s="319" t="s">
        <v>1403</v>
      </c>
      <c r="C282" s="238" t="s">
        <v>490</v>
      </c>
      <c r="D282" s="126"/>
      <c r="E282" s="126"/>
      <c r="F282" s="180"/>
    </row>
    <row r="283" spans="1:6" x14ac:dyDescent="0.25">
      <c r="A283" s="342">
        <v>45597</v>
      </c>
      <c r="B283" s="319" t="s">
        <v>1403</v>
      </c>
      <c r="C283" s="238" t="s">
        <v>491</v>
      </c>
      <c r="D283" s="126"/>
      <c r="E283" s="126"/>
      <c r="F283" s="180"/>
    </row>
    <row r="284" spans="1:6" x14ac:dyDescent="0.25">
      <c r="A284" s="342">
        <v>45597</v>
      </c>
      <c r="B284" s="319" t="s">
        <v>1404</v>
      </c>
      <c r="C284" s="238" t="s">
        <v>489</v>
      </c>
      <c r="D284" s="126">
        <v>1</v>
      </c>
      <c r="E284" s="126">
        <v>15</v>
      </c>
      <c r="F284" s="180" t="s">
        <v>742</v>
      </c>
    </row>
    <row r="285" spans="1:6" x14ac:dyDescent="0.25">
      <c r="A285" s="342">
        <v>45597</v>
      </c>
      <c r="B285" s="319" t="s">
        <v>1404</v>
      </c>
      <c r="C285" s="238" t="s">
        <v>490</v>
      </c>
      <c r="D285" s="126"/>
      <c r="E285" s="126"/>
      <c r="F285" s="180"/>
    </row>
    <row r="286" spans="1:6" x14ac:dyDescent="0.25">
      <c r="A286" s="342">
        <v>45597</v>
      </c>
      <c r="B286" s="319" t="s">
        <v>1404</v>
      </c>
      <c r="C286" s="238" t="s">
        <v>491</v>
      </c>
      <c r="D286" s="126"/>
      <c r="E286" s="126"/>
      <c r="F286" s="180"/>
    </row>
    <row r="287" spans="1:6" ht="56.25" x14ac:dyDescent="0.25">
      <c r="A287" s="342">
        <v>45597</v>
      </c>
      <c r="B287" s="319" t="s">
        <v>1405</v>
      </c>
      <c r="C287" s="238" t="s">
        <v>489</v>
      </c>
      <c r="D287" s="126">
        <v>3</v>
      </c>
      <c r="E287" s="126">
        <v>65</v>
      </c>
      <c r="F287" s="180" t="s">
        <v>760</v>
      </c>
    </row>
    <row r="288" spans="1:6" ht="93.75" x14ac:dyDescent="0.25">
      <c r="A288" s="342">
        <v>45597</v>
      </c>
      <c r="B288" s="319" t="s">
        <v>1405</v>
      </c>
      <c r="C288" s="238" t="s">
        <v>490</v>
      </c>
      <c r="D288" s="126">
        <v>5</v>
      </c>
      <c r="E288" s="126">
        <v>375</v>
      </c>
      <c r="F288" s="180" t="s">
        <v>761</v>
      </c>
    </row>
    <row r="289" spans="1:6" ht="56.25" x14ac:dyDescent="0.25">
      <c r="A289" s="342">
        <v>45597</v>
      </c>
      <c r="B289" s="319" t="s">
        <v>1405</v>
      </c>
      <c r="C289" s="238" t="s">
        <v>491</v>
      </c>
      <c r="D289" s="126">
        <v>2</v>
      </c>
      <c r="E289" s="126">
        <v>12</v>
      </c>
      <c r="F289" s="180" t="s">
        <v>762</v>
      </c>
    </row>
    <row r="290" spans="1:6" ht="150" x14ac:dyDescent="0.25">
      <c r="A290" s="342">
        <v>45597</v>
      </c>
      <c r="B290" s="319" t="s">
        <v>1406</v>
      </c>
      <c r="C290" s="238" t="s">
        <v>489</v>
      </c>
      <c r="D290" s="126">
        <v>8</v>
      </c>
      <c r="E290" s="126">
        <v>510</v>
      </c>
      <c r="F290" s="180" t="s">
        <v>743</v>
      </c>
    </row>
    <row r="291" spans="1:6" ht="187.5" x14ac:dyDescent="0.25">
      <c r="A291" s="342">
        <v>45597</v>
      </c>
      <c r="B291" s="319" t="s">
        <v>1406</v>
      </c>
      <c r="C291" s="238" t="s">
        <v>490</v>
      </c>
      <c r="D291" s="126">
        <v>10</v>
      </c>
      <c r="E291" s="126">
        <v>1412</v>
      </c>
      <c r="F291" s="180" t="s">
        <v>744</v>
      </c>
    </row>
    <row r="292" spans="1:6" ht="56.25" x14ac:dyDescent="0.25">
      <c r="A292" s="342">
        <v>45597</v>
      </c>
      <c r="B292" s="319" t="s">
        <v>1406</v>
      </c>
      <c r="C292" s="238" t="s">
        <v>491</v>
      </c>
      <c r="D292" s="126">
        <v>3</v>
      </c>
      <c r="E292" s="126">
        <v>211</v>
      </c>
      <c r="F292" s="180" t="s">
        <v>745</v>
      </c>
    </row>
    <row r="293" spans="1:6" ht="131.25" x14ac:dyDescent="0.25">
      <c r="A293" s="342">
        <v>45597</v>
      </c>
      <c r="B293" s="319" t="s">
        <v>1438</v>
      </c>
      <c r="C293" s="238" t="s">
        <v>489</v>
      </c>
      <c r="D293" s="126">
        <v>7</v>
      </c>
      <c r="E293" s="126">
        <v>1170</v>
      </c>
      <c r="F293" s="180" t="s">
        <v>753</v>
      </c>
    </row>
    <row r="294" spans="1:6" ht="168.75" x14ac:dyDescent="0.25">
      <c r="A294" s="342">
        <v>45597</v>
      </c>
      <c r="B294" s="319" t="s">
        <v>1438</v>
      </c>
      <c r="C294" s="238" t="s">
        <v>490</v>
      </c>
      <c r="D294" s="126">
        <v>9</v>
      </c>
      <c r="E294" s="126">
        <v>640</v>
      </c>
      <c r="F294" s="180" t="s">
        <v>751</v>
      </c>
    </row>
    <row r="295" spans="1:6" ht="243.75" x14ac:dyDescent="0.25">
      <c r="A295" s="342">
        <v>45597</v>
      </c>
      <c r="B295" s="319" t="s">
        <v>1438</v>
      </c>
      <c r="C295" s="238" t="s">
        <v>491</v>
      </c>
      <c r="D295" s="126">
        <v>13</v>
      </c>
      <c r="E295" s="126">
        <v>174</v>
      </c>
      <c r="F295" s="180" t="s">
        <v>752</v>
      </c>
    </row>
    <row r="296" spans="1:6" x14ac:dyDescent="0.25">
      <c r="A296" s="342">
        <v>45597</v>
      </c>
      <c r="B296" s="319" t="s">
        <v>1408</v>
      </c>
      <c r="C296" s="238" t="s">
        <v>489</v>
      </c>
      <c r="D296" s="126">
        <v>1</v>
      </c>
      <c r="E296" s="126">
        <v>150</v>
      </c>
      <c r="F296" s="180" t="s">
        <v>746</v>
      </c>
    </row>
    <row r="297" spans="1:6" ht="56.25" x14ac:dyDescent="0.25">
      <c r="A297" s="342">
        <v>45597</v>
      </c>
      <c r="B297" s="319" t="s">
        <v>1408</v>
      </c>
      <c r="C297" s="238" t="s">
        <v>490</v>
      </c>
      <c r="D297" s="126">
        <v>3</v>
      </c>
      <c r="E297" s="126">
        <v>72</v>
      </c>
      <c r="F297" s="180" t="s">
        <v>770</v>
      </c>
    </row>
    <row r="298" spans="1:6" x14ac:dyDescent="0.25">
      <c r="A298" s="342">
        <v>45597</v>
      </c>
      <c r="B298" s="319" t="s">
        <v>1408</v>
      </c>
      <c r="C298" s="238" t="s">
        <v>491</v>
      </c>
      <c r="D298" s="126"/>
      <c r="E298" s="126"/>
      <c r="F298" s="180"/>
    </row>
    <row r="299" spans="1:6" x14ac:dyDescent="0.25">
      <c r="A299" s="342">
        <v>45597</v>
      </c>
      <c r="B299" s="319" t="s">
        <v>1409</v>
      </c>
      <c r="C299" s="238" t="s">
        <v>489</v>
      </c>
      <c r="D299" s="126"/>
      <c r="E299" s="126"/>
      <c r="F299" s="180"/>
    </row>
    <row r="300" spans="1:6" ht="131.25" x14ac:dyDescent="0.25">
      <c r="A300" s="342">
        <v>45597</v>
      </c>
      <c r="B300" s="319" t="s">
        <v>1409</v>
      </c>
      <c r="C300" s="238" t="s">
        <v>490</v>
      </c>
      <c r="D300" s="126">
        <v>6</v>
      </c>
      <c r="E300" s="126">
        <v>1980</v>
      </c>
      <c r="F300" s="180" t="s">
        <v>763</v>
      </c>
    </row>
    <row r="301" spans="1:6" x14ac:dyDescent="0.25">
      <c r="A301" s="342">
        <v>45597</v>
      </c>
      <c r="B301" s="319" t="s">
        <v>1409</v>
      </c>
      <c r="C301" s="238" t="s">
        <v>491</v>
      </c>
      <c r="D301" s="126"/>
      <c r="E301" s="126"/>
      <c r="F301" s="180"/>
    </row>
    <row r="302" spans="1:6" ht="187.5" x14ac:dyDescent="0.25">
      <c r="A302" s="342">
        <v>45597</v>
      </c>
      <c r="B302" s="319" t="s">
        <v>1410</v>
      </c>
      <c r="C302" s="238" t="s">
        <v>489</v>
      </c>
      <c r="D302" s="126">
        <v>9</v>
      </c>
      <c r="E302" s="126">
        <v>950</v>
      </c>
      <c r="F302" s="180" t="s">
        <v>747</v>
      </c>
    </row>
    <row r="303" spans="1:6" ht="75" x14ac:dyDescent="0.25">
      <c r="A303" s="342">
        <v>45597</v>
      </c>
      <c r="B303" s="319" t="s">
        <v>1410</v>
      </c>
      <c r="C303" s="238" t="s">
        <v>490</v>
      </c>
      <c r="D303" s="126">
        <v>4</v>
      </c>
      <c r="E303" s="126">
        <v>345</v>
      </c>
      <c r="F303" s="180" t="s">
        <v>748</v>
      </c>
    </row>
    <row r="304" spans="1:6" x14ac:dyDescent="0.25">
      <c r="A304" s="342">
        <v>45597</v>
      </c>
      <c r="B304" s="319" t="s">
        <v>1410</v>
      </c>
      <c r="C304" s="238" t="s">
        <v>491</v>
      </c>
      <c r="D304" s="126"/>
      <c r="E304" s="126"/>
      <c r="F304" s="180"/>
    </row>
    <row r="305" spans="1:6" ht="37.5" x14ac:dyDescent="0.25">
      <c r="A305" s="342">
        <v>45597</v>
      </c>
      <c r="B305" s="319" t="s">
        <v>1411</v>
      </c>
      <c r="C305" s="238" t="s">
        <v>489</v>
      </c>
      <c r="D305" s="126">
        <v>2</v>
      </c>
      <c r="E305" s="126">
        <v>250</v>
      </c>
      <c r="F305" s="180" t="s">
        <v>758</v>
      </c>
    </row>
    <row r="306" spans="1:6" x14ac:dyDescent="0.25">
      <c r="A306" s="342">
        <v>45597</v>
      </c>
      <c r="B306" s="319" t="s">
        <v>1411</v>
      </c>
      <c r="C306" s="238" t="s">
        <v>490</v>
      </c>
      <c r="D306" s="126"/>
      <c r="E306" s="126"/>
      <c r="F306" s="180"/>
    </row>
    <row r="307" spans="1:6" ht="37.5" x14ac:dyDescent="0.25">
      <c r="A307" s="342">
        <v>45597</v>
      </c>
      <c r="B307" s="319" t="s">
        <v>1411</v>
      </c>
      <c r="C307" s="238" t="s">
        <v>491</v>
      </c>
      <c r="D307" s="126">
        <v>2</v>
      </c>
      <c r="E307" s="126">
        <v>35</v>
      </c>
      <c r="F307" s="180" t="s">
        <v>757</v>
      </c>
    </row>
    <row r="308" spans="1:6" ht="37.5" x14ac:dyDescent="0.25">
      <c r="A308" s="342">
        <v>45597</v>
      </c>
      <c r="B308" s="319" t="s">
        <v>1452</v>
      </c>
      <c r="C308" s="238" t="s">
        <v>489</v>
      </c>
      <c r="D308" s="126">
        <v>2</v>
      </c>
      <c r="E308" s="126">
        <v>258</v>
      </c>
      <c r="F308" s="180" t="s">
        <v>749</v>
      </c>
    </row>
    <row r="309" spans="1:6" ht="75" x14ac:dyDescent="0.25">
      <c r="A309" s="342">
        <v>45597</v>
      </c>
      <c r="B309" s="319" t="s">
        <v>1452</v>
      </c>
      <c r="C309" s="238" t="s">
        <v>490</v>
      </c>
      <c r="D309" s="126">
        <v>4</v>
      </c>
      <c r="E309" s="126">
        <v>115</v>
      </c>
      <c r="F309" s="180" t="s">
        <v>750</v>
      </c>
    </row>
    <row r="310" spans="1:6" x14ac:dyDescent="0.25">
      <c r="A310" s="342">
        <v>45597</v>
      </c>
      <c r="B310" s="319" t="s">
        <v>1452</v>
      </c>
      <c r="C310" s="238" t="s">
        <v>491</v>
      </c>
      <c r="D310" s="126"/>
      <c r="E310" s="126"/>
      <c r="F310" s="180"/>
    </row>
    <row r="311" spans="1:6" ht="93.75" x14ac:dyDescent="0.25">
      <c r="A311" s="342">
        <v>45597</v>
      </c>
      <c r="B311" s="319" t="s">
        <v>1413</v>
      </c>
      <c r="C311" s="238" t="s">
        <v>489</v>
      </c>
      <c r="D311" s="126">
        <v>5</v>
      </c>
      <c r="E311" s="126">
        <v>210</v>
      </c>
      <c r="F311" s="180" t="s">
        <v>754</v>
      </c>
    </row>
    <row r="312" spans="1:6" ht="131.25" x14ac:dyDescent="0.25">
      <c r="A312" s="342">
        <v>45597</v>
      </c>
      <c r="B312" s="319" t="s">
        <v>1413</v>
      </c>
      <c r="C312" s="238" t="s">
        <v>490</v>
      </c>
      <c r="D312" s="126">
        <v>7</v>
      </c>
      <c r="E312" s="126">
        <v>490</v>
      </c>
      <c r="F312" s="180" t="s">
        <v>755</v>
      </c>
    </row>
    <row r="313" spans="1:6" ht="93.75" x14ac:dyDescent="0.25">
      <c r="A313" s="342">
        <v>45627</v>
      </c>
      <c r="B313" s="319" t="s">
        <v>1401</v>
      </c>
      <c r="C313" s="238" t="s">
        <v>489</v>
      </c>
      <c r="D313" s="126">
        <v>5</v>
      </c>
      <c r="E313" s="126">
        <v>790</v>
      </c>
      <c r="F313" s="180" t="s">
        <v>1425</v>
      </c>
    </row>
    <row r="314" spans="1:6" ht="93.75" x14ac:dyDescent="0.25">
      <c r="A314" s="342">
        <v>45627</v>
      </c>
      <c r="B314" s="319" t="s">
        <v>1401</v>
      </c>
      <c r="C314" s="238" t="s">
        <v>490</v>
      </c>
      <c r="D314" s="126">
        <v>5</v>
      </c>
      <c r="E314" s="126">
        <v>587</v>
      </c>
      <c r="F314" s="180" t="s">
        <v>1426</v>
      </c>
    </row>
    <row r="315" spans="1:6" x14ac:dyDescent="0.25">
      <c r="A315" s="342">
        <v>45627</v>
      </c>
      <c r="B315" s="319" t="s">
        <v>1401</v>
      </c>
      <c r="C315" s="238" t="s">
        <v>491</v>
      </c>
      <c r="D315" s="126"/>
      <c r="E315" s="126"/>
      <c r="F315" s="180"/>
    </row>
    <row r="316" spans="1:6" x14ac:dyDescent="0.25">
      <c r="A316" s="342">
        <v>45627</v>
      </c>
      <c r="B316" s="319" t="s">
        <v>1402</v>
      </c>
      <c r="C316" s="238" t="s">
        <v>489</v>
      </c>
      <c r="D316" s="331">
        <v>1</v>
      </c>
      <c r="E316" s="331">
        <v>35</v>
      </c>
      <c r="F316" s="180" t="s">
        <v>1427</v>
      </c>
    </row>
    <row r="317" spans="1:6" ht="131.25" x14ac:dyDescent="0.25">
      <c r="A317" s="342">
        <v>45627</v>
      </c>
      <c r="B317" s="319" t="s">
        <v>1402</v>
      </c>
      <c r="C317" s="238" t="s">
        <v>490</v>
      </c>
      <c r="D317" s="126">
        <v>7</v>
      </c>
      <c r="E317" s="126">
        <v>810</v>
      </c>
      <c r="F317" s="180" t="s">
        <v>1428</v>
      </c>
    </row>
    <row r="318" spans="1:6" x14ac:dyDescent="0.25">
      <c r="A318" s="342">
        <v>45627</v>
      </c>
      <c r="B318" s="319" t="s">
        <v>1402</v>
      </c>
      <c r="C318" s="238" t="s">
        <v>491</v>
      </c>
      <c r="D318" s="126"/>
      <c r="E318" s="126"/>
      <c r="F318" s="180"/>
    </row>
    <row r="319" spans="1:6" x14ac:dyDescent="0.25">
      <c r="A319" s="342">
        <v>45627</v>
      </c>
      <c r="B319" s="319" t="s">
        <v>1403</v>
      </c>
      <c r="C319" s="238" t="s">
        <v>489</v>
      </c>
      <c r="D319" s="126"/>
      <c r="E319" s="126"/>
      <c r="F319" s="180"/>
    </row>
    <row r="320" spans="1:6" x14ac:dyDescent="0.25">
      <c r="A320" s="342">
        <v>45627</v>
      </c>
      <c r="B320" s="319" t="s">
        <v>1403</v>
      </c>
      <c r="C320" s="238" t="s">
        <v>490</v>
      </c>
      <c r="D320" s="126"/>
      <c r="E320" s="126"/>
      <c r="F320" s="180"/>
    </row>
    <row r="321" spans="1:6" x14ac:dyDescent="0.25">
      <c r="A321" s="342">
        <v>45627</v>
      </c>
      <c r="B321" s="319" t="s">
        <v>1403</v>
      </c>
      <c r="C321" s="238" t="s">
        <v>491</v>
      </c>
      <c r="D321" s="126"/>
      <c r="E321" s="126"/>
      <c r="F321" s="180"/>
    </row>
    <row r="322" spans="1:6" ht="75" x14ac:dyDescent="0.25">
      <c r="A322" s="342">
        <v>45627</v>
      </c>
      <c r="B322" s="319" t="s">
        <v>1404</v>
      </c>
      <c r="C322" s="238" t="s">
        <v>489</v>
      </c>
      <c r="D322" s="126">
        <v>3</v>
      </c>
      <c r="E322" s="126">
        <v>330</v>
      </c>
      <c r="F322" s="180" t="s">
        <v>1429</v>
      </c>
    </row>
    <row r="323" spans="1:6" ht="56.25" x14ac:dyDescent="0.25">
      <c r="A323" s="342">
        <v>45627</v>
      </c>
      <c r="B323" s="319" t="s">
        <v>1404</v>
      </c>
      <c r="C323" s="238" t="s">
        <v>490</v>
      </c>
      <c r="D323" s="126">
        <v>3</v>
      </c>
      <c r="E323" s="126">
        <v>70</v>
      </c>
      <c r="F323" s="180" t="s">
        <v>1430</v>
      </c>
    </row>
    <row r="324" spans="1:6" ht="206.25" x14ac:dyDescent="0.25">
      <c r="A324" s="342">
        <v>45627</v>
      </c>
      <c r="B324" s="319" t="s">
        <v>1404</v>
      </c>
      <c r="C324" s="238" t="s">
        <v>491</v>
      </c>
      <c r="D324" s="126">
        <v>11</v>
      </c>
      <c r="E324" s="126">
        <v>275</v>
      </c>
      <c r="F324" s="180" t="s">
        <v>1431</v>
      </c>
    </row>
    <row r="325" spans="1:6" ht="150" x14ac:dyDescent="0.25">
      <c r="A325" s="342">
        <v>45627</v>
      </c>
      <c r="B325" s="319" t="s">
        <v>1405</v>
      </c>
      <c r="C325" s="238" t="s">
        <v>489</v>
      </c>
      <c r="D325" s="126">
        <v>8</v>
      </c>
      <c r="E325" s="126">
        <v>217</v>
      </c>
      <c r="F325" s="180" t="s">
        <v>1432</v>
      </c>
    </row>
    <row r="326" spans="1:6" ht="56.25" x14ac:dyDescent="0.25">
      <c r="A326" s="342">
        <v>45627</v>
      </c>
      <c r="B326" s="319" t="s">
        <v>1405</v>
      </c>
      <c r="C326" s="238" t="s">
        <v>490</v>
      </c>
      <c r="D326" s="126">
        <v>3</v>
      </c>
      <c r="E326" s="126">
        <v>415</v>
      </c>
      <c r="F326" s="180" t="s">
        <v>1433</v>
      </c>
    </row>
    <row r="327" spans="1:6" ht="262.5" x14ac:dyDescent="0.25">
      <c r="A327" s="342">
        <v>45627</v>
      </c>
      <c r="B327" s="319" t="s">
        <v>1405</v>
      </c>
      <c r="C327" s="238" t="s">
        <v>491</v>
      </c>
      <c r="D327" s="126"/>
      <c r="E327" s="126">
        <v>487</v>
      </c>
      <c r="F327" s="180" t="s">
        <v>1434</v>
      </c>
    </row>
    <row r="328" spans="1:6" ht="281.25" x14ac:dyDescent="0.25">
      <c r="A328" s="342">
        <v>45627</v>
      </c>
      <c r="B328" s="319" t="s">
        <v>1406</v>
      </c>
      <c r="C328" s="238" t="s">
        <v>489</v>
      </c>
      <c r="D328" s="126">
        <v>13</v>
      </c>
      <c r="E328" s="126">
        <v>1821</v>
      </c>
      <c r="F328" s="180" t="s">
        <v>1435</v>
      </c>
    </row>
    <row r="329" spans="1:6" ht="168.75" x14ac:dyDescent="0.25">
      <c r="A329" s="342">
        <v>45627</v>
      </c>
      <c r="B329" s="319" t="s">
        <v>1406</v>
      </c>
      <c r="C329" s="238" t="s">
        <v>490</v>
      </c>
      <c r="D329" s="126">
        <v>6</v>
      </c>
      <c r="E329" s="126">
        <v>1454</v>
      </c>
      <c r="F329" s="180" t="s">
        <v>1436</v>
      </c>
    </row>
    <row r="330" spans="1:6" ht="56.25" x14ac:dyDescent="0.25">
      <c r="A330" s="342">
        <v>45627</v>
      </c>
      <c r="B330" s="319" t="s">
        <v>1406</v>
      </c>
      <c r="C330" s="238" t="s">
        <v>491</v>
      </c>
      <c r="D330" s="126">
        <v>3</v>
      </c>
      <c r="E330" s="126">
        <v>824</v>
      </c>
      <c r="F330" s="180" t="s">
        <v>1437</v>
      </c>
    </row>
    <row r="331" spans="1:6" ht="75" x14ac:dyDescent="0.25">
      <c r="A331" s="342">
        <v>45627</v>
      </c>
      <c r="B331" s="319" t="s">
        <v>1438</v>
      </c>
      <c r="C331" s="238" t="s">
        <v>489</v>
      </c>
      <c r="D331" s="126">
        <v>3</v>
      </c>
      <c r="E331" s="126">
        <v>860</v>
      </c>
      <c r="F331" s="180" t="s">
        <v>1439</v>
      </c>
    </row>
    <row r="332" spans="1:6" ht="112.5" x14ac:dyDescent="0.25">
      <c r="A332" s="342">
        <v>45627</v>
      </c>
      <c r="B332" s="319" t="s">
        <v>1438</v>
      </c>
      <c r="C332" s="238" t="s">
        <v>490</v>
      </c>
      <c r="D332" s="126">
        <v>6</v>
      </c>
      <c r="E332" s="126">
        <v>175</v>
      </c>
      <c r="F332" s="180" t="s">
        <v>1440</v>
      </c>
    </row>
    <row r="333" spans="1:6" ht="337.5" x14ac:dyDescent="0.25">
      <c r="A333" s="342">
        <v>45627</v>
      </c>
      <c r="B333" s="319" t="s">
        <v>1438</v>
      </c>
      <c r="C333" s="238" t="s">
        <v>491</v>
      </c>
      <c r="D333" s="126">
        <v>40</v>
      </c>
      <c r="E333" s="126">
        <v>841</v>
      </c>
      <c r="F333" s="180" t="s">
        <v>1441</v>
      </c>
    </row>
    <row r="334" spans="1:6" ht="375" x14ac:dyDescent="0.25">
      <c r="A334" s="342">
        <v>45627</v>
      </c>
      <c r="B334" s="319" t="s">
        <v>1438</v>
      </c>
      <c r="C334" s="238"/>
      <c r="D334" s="126"/>
      <c r="E334" s="126"/>
      <c r="F334" s="180" t="s">
        <v>1442</v>
      </c>
    </row>
    <row r="335" spans="1:6" x14ac:dyDescent="0.25">
      <c r="A335" s="342">
        <v>45627</v>
      </c>
      <c r="B335" s="319" t="s">
        <v>1408</v>
      </c>
      <c r="C335" s="238" t="s">
        <v>489</v>
      </c>
      <c r="D335" s="126">
        <v>1</v>
      </c>
      <c r="E335" s="126">
        <v>100</v>
      </c>
      <c r="F335" s="347" t="s">
        <v>1443</v>
      </c>
    </row>
    <row r="336" spans="1:6" ht="110.25" x14ac:dyDescent="0.25">
      <c r="A336" s="342">
        <v>45627</v>
      </c>
      <c r="B336" s="319" t="s">
        <v>1408</v>
      </c>
      <c r="C336" s="238" t="s">
        <v>490</v>
      </c>
      <c r="D336" s="126">
        <v>7</v>
      </c>
      <c r="E336" s="126">
        <v>215</v>
      </c>
      <c r="F336" s="348" t="s">
        <v>1444</v>
      </c>
    </row>
    <row r="337" spans="1:6" x14ac:dyDescent="0.25">
      <c r="A337" s="342">
        <v>45627</v>
      </c>
      <c r="B337" s="319" t="s">
        <v>1408</v>
      </c>
      <c r="C337" s="238" t="s">
        <v>491</v>
      </c>
      <c r="D337" s="126"/>
      <c r="E337" s="126"/>
      <c r="F337" s="180"/>
    </row>
    <row r="338" spans="1:6" x14ac:dyDescent="0.25">
      <c r="A338" s="342">
        <v>45627</v>
      </c>
      <c r="B338" s="319" t="s">
        <v>1409</v>
      </c>
      <c r="C338" s="238" t="s">
        <v>489</v>
      </c>
      <c r="D338" s="126"/>
      <c r="E338" s="126"/>
      <c r="F338" s="180"/>
    </row>
    <row r="339" spans="1:6" ht="225" x14ac:dyDescent="0.25">
      <c r="A339" s="342">
        <v>45627</v>
      </c>
      <c r="B339" s="319" t="s">
        <v>1409</v>
      </c>
      <c r="C339" s="238" t="s">
        <v>490</v>
      </c>
      <c r="D339" s="126">
        <v>9</v>
      </c>
      <c r="E339" s="126">
        <v>787</v>
      </c>
      <c r="F339" s="180" t="s">
        <v>1445</v>
      </c>
    </row>
    <row r="340" spans="1:6" x14ac:dyDescent="0.25">
      <c r="A340" s="342">
        <v>45627</v>
      </c>
      <c r="B340" s="319" t="s">
        <v>1409</v>
      </c>
      <c r="C340" s="238" t="s">
        <v>491</v>
      </c>
      <c r="D340" s="126"/>
      <c r="E340" s="126"/>
      <c r="F340" s="180"/>
    </row>
    <row r="341" spans="1:6" ht="131.25" x14ac:dyDescent="0.25">
      <c r="A341" s="342">
        <v>45627</v>
      </c>
      <c r="B341" s="319" t="s">
        <v>1410</v>
      </c>
      <c r="C341" s="238" t="s">
        <v>489</v>
      </c>
      <c r="D341" s="126">
        <v>8</v>
      </c>
      <c r="E341" s="126">
        <v>1501</v>
      </c>
      <c r="F341" s="180" t="s">
        <v>1446</v>
      </c>
    </row>
    <row r="342" spans="1:6" ht="93.75" x14ac:dyDescent="0.25">
      <c r="A342" s="342">
        <v>45627</v>
      </c>
      <c r="B342" s="319" t="s">
        <v>1410</v>
      </c>
      <c r="C342" s="238" t="s">
        <v>490</v>
      </c>
      <c r="D342" s="126">
        <v>5</v>
      </c>
      <c r="E342" s="126">
        <v>365</v>
      </c>
      <c r="F342" s="180" t="s">
        <v>1447</v>
      </c>
    </row>
    <row r="343" spans="1:6" ht="37.5" x14ac:dyDescent="0.25">
      <c r="A343" s="342">
        <v>45627</v>
      </c>
      <c r="B343" s="319" t="s">
        <v>1410</v>
      </c>
      <c r="C343" s="238" t="s">
        <v>491</v>
      </c>
      <c r="D343" s="126">
        <v>2</v>
      </c>
      <c r="E343" s="126">
        <v>20</v>
      </c>
      <c r="F343" s="180" t="s">
        <v>1448</v>
      </c>
    </row>
    <row r="344" spans="1:6" ht="75" x14ac:dyDescent="0.25">
      <c r="A344" s="342">
        <v>45627</v>
      </c>
      <c r="B344" s="319" t="s">
        <v>1411</v>
      </c>
      <c r="C344" s="238" t="s">
        <v>489</v>
      </c>
      <c r="D344" s="126">
        <v>4</v>
      </c>
      <c r="E344" s="126">
        <v>170</v>
      </c>
      <c r="F344" s="180" t="s">
        <v>1449</v>
      </c>
    </row>
    <row r="345" spans="1:6" ht="37.5" x14ac:dyDescent="0.25">
      <c r="A345" s="342">
        <v>45627</v>
      </c>
      <c r="B345" s="319" t="s">
        <v>1411</v>
      </c>
      <c r="C345" s="238" t="s">
        <v>490</v>
      </c>
      <c r="D345" s="126">
        <v>2</v>
      </c>
      <c r="E345" s="126">
        <v>23</v>
      </c>
      <c r="F345" s="180" t="s">
        <v>1450</v>
      </c>
    </row>
    <row r="346" spans="1:6" ht="37.5" x14ac:dyDescent="0.25">
      <c r="A346" s="342">
        <v>45627</v>
      </c>
      <c r="B346" s="319" t="s">
        <v>1411</v>
      </c>
      <c r="C346" s="238" t="s">
        <v>491</v>
      </c>
      <c r="D346" s="126">
        <v>2</v>
      </c>
      <c r="E346" s="126">
        <v>23</v>
      </c>
      <c r="F346" s="180" t="s">
        <v>1451</v>
      </c>
    </row>
    <row r="347" spans="1:6" ht="75" x14ac:dyDescent="0.25">
      <c r="A347" s="342">
        <v>45627</v>
      </c>
      <c r="B347" s="319" t="s">
        <v>1452</v>
      </c>
      <c r="C347" s="238" t="s">
        <v>489</v>
      </c>
      <c r="D347" s="126">
        <v>4</v>
      </c>
      <c r="E347" s="126">
        <v>155</v>
      </c>
      <c r="F347" s="180" t="s">
        <v>1453</v>
      </c>
    </row>
    <row r="348" spans="1:6" ht="37.5" x14ac:dyDescent="0.25">
      <c r="A348" s="342">
        <v>45627</v>
      </c>
      <c r="B348" s="319" t="s">
        <v>1452</v>
      </c>
      <c r="C348" s="238" t="s">
        <v>490</v>
      </c>
      <c r="D348" s="126">
        <v>2</v>
      </c>
      <c r="E348" s="126">
        <v>262</v>
      </c>
      <c r="F348" s="180" t="s">
        <v>1454</v>
      </c>
    </row>
    <row r="349" spans="1:6" ht="75" x14ac:dyDescent="0.25">
      <c r="A349" s="342">
        <v>45627</v>
      </c>
      <c r="B349" s="319" t="s">
        <v>1452</v>
      </c>
      <c r="C349" s="238" t="s">
        <v>491</v>
      </c>
      <c r="D349" s="126">
        <v>3</v>
      </c>
      <c r="E349" s="126">
        <v>900</v>
      </c>
      <c r="F349" s="180" t="s">
        <v>1455</v>
      </c>
    </row>
    <row r="350" spans="1:6" ht="75" x14ac:dyDescent="0.25">
      <c r="A350" s="342">
        <v>45627</v>
      </c>
      <c r="B350" s="319" t="s">
        <v>1413</v>
      </c>
      <c r="C350" s="238" t="s">
        <v>489</v>
      </c>
      <c r="D350" s="126">
        <v>4</v>
      </c>
      <c r="E350" s="126">
        <v>455</v>
      </c>
      <c r="F350" s="180" t="s">
        <v>1456</v>
      </c>
    </row>
    <row r="351" spans="1:6" ht="187.5" x14ac:dyDescent="0.25">
      <c r="A351" s="342">
        <v>45627</v>
      </c>
      <c r="B351" s="319" t="s">
        <v>1413</v>
      </c>
      <c r="C351" s="238" t="s">
        <v>490</v>
      </c>
      <c r="D351" s="126">
        <v>9</v>
      </c>
      <c r="E351" s="126">
        <v>337</v>
      </c>
      <c r="F351" s="180" t="s">
        <v>1457</v>
      </c>
    </row>
    <row r="352" spans="1:6" x14ac:dyDescent="0.25">
      <c r="A352" s="342">
        <v>45627</v>
      </c>
      <c r="B352" s="319" t="s">
        <v>1413</v>
      </c>
      <c r="C352" s="238" t="s">
        <v>491</v>
      </c>
      <c r="D352" s="126">
        <v>1</v>
      </c>
      <c r="E352" s="126">
        <v>4</v>
      </c>
      <c r="F352" s="193" t="s">
        <v>1458</v>
      </c>
    </row>
    <row r="353" spans="1:6" ht="38.25" x14ac:dyDescent="0.25">
      <c r="A353" s="326">
        <v>45658</v>
      </c>
      <c r="B353" s="324" t="s">
        <v>1401</v>
      </c>
      <c r="C353" s="320" t="s">
        <v>1414</v>
      </c>
      <c r="D353" s="126">
        <v>3</v>
      </c>
      <c r="E353" s="126">
        <v>600</v>
      </c>
      <c r="F353" s="193" t="s">
        <v>962</v>
      </c>
    </row>
    <row r="354" spans="1:6" x14ac:dyDescent="0.25">
      <c r="A354" s="326">
        <v>45658</v>
      </c>
      <c r="B354" s="324" t="s">
        <v>1401</v>
      </c>
      <c r="C354" s="320" t="s">
        <v>490</v>
      </c>
      <c r="D354" s="126">
        <v>1</v>
      </c>
      <c r="E354" s="126">
        <v>5</v>
      </c>
      <c r="F354" s="193" t="s">
        <v>963</v>
      </c>
    </row>
    <row r="355" spans="1:6" ht="51" x14ac:dyDescent="0.25">
      <c r="A355" s="326">
        <v>45658</v>
      </c>
      <c r="B355" s="324" t="s">
        <v>1401</v>
      </c>
      <c r="C355" s="320" t="s">
        <v>491</v>
      </c>
      <c r="D355" s="126">
        <v>3</v>
      </c>
      <c r="E355" s="126">
        <v>345</v>
      </c>
      <c r="F355" s="193" t="s">
        <v>964</v>
      </c>
    </row>
    <row r="356" spans="1:6" ht="63.75" x14ac:dyDescent="0.25">
      <c r="A356" s="326">
        <v>45658</v>
      </c>
      <c r="B356" s="324" t="s">
        <v>1402</v>
      </c>
      <c r="C356" s="320" t="s">
        <v>1414</v>
      </c>
      <c r="D356" s="194">
        <v>5</v>
      </c>
      <c r="E356" s="194">
        <v>415</v>
      </c>
      <c r="F356" s="193" t="s">
        <v>966</v>
      </c>
    </row>
    <row r="357" spans="1:6" ht="25.5" x14ac:dyDescent="0.25">
      <c r="A357" s="326">
        <v>45658</v>
      </c>
      <c r="B357" s="324" t="s">
        <v>1402</v>
      </c>
      <c r="C357" s="320" t="s">
        <v>490</v>
      </c>
      <c r="D357" s="126">
        <v>2</v>
      </c>
      <c r="E357" s="126">
        <v>30</v>
      </c>
      <c r="F357" s="193" t="s">
        <v>967</v>
      </c>
    </row>
    <row r="358" spans="1:6" x14ac:dyDescent="0.25">
      <c r="A358" s="326">
        <v>45658</v>
      </c>
      <c r="B358" s="324" t="s">
        <v>1402</v>
      </c>
      <c r="C358" s="320" t="s">
        <v>491</v>
      </c>
      <c r="D358" s="126"/>
      <c r="E358" s="126"/>
      <c r="F358" s="193"/>
    </row>
    <row r="359" spans="1:6" ht="102" x14ac:dyDescent="0.25">
      <c r="A359" s="326">
        <v>45658</v>
      </c>
      <c r="B359" s="324" t="s">
        <v>1403</v>
      </c>
      <c r="C359" s="320" t="s">
        <v>1414</v>
      </c>
      <c r="D359" s="126">
        <v>8</v>
      </c>
      <c r="E359" s="126">
        <v>565</v>
      </c>
      <c r="F359" s="193" t="s">
        <v>839</v>
      </c>
    </row>
    <row r="360" spans="1:6" ht="51" x14ac:dyDescent="0.25">
      <c r="A360" s="326">
        <v>45658</v>
      </c>
      <c r="B360" s="324" t="s">
        <v>1403</v>
      </c>
      <c r="C360" s="320" t="s">
        <v>490</v>
      </c>
      <c r="D360" s="126">
        <v>4</v>
      </c>
      <c r="E360" s="126">
        <v>540</v>
      </c>
      <c r="F360" s="193" t="s">
        <v>840</v>
      </c>
    </row>
    <row r="361" spans="1:6" x14ac:dyDescent="0.25">
      <c r="A361" s="326">
        <v>45658</v>
      </c>
      <c r="B361" s="324" t="s">
        <v>1403</v>
      </c>
      <c r="C361" s="320" t="s">
        <v>491</v>
      </c>
      <c r="D361" s="126">
        <v>1</v>
      </c>
      <c r="E361" s="126">
        <v>150</v>
      </c>
      <c r="F361" s="193" t="s">
        <v>841</v>
      </c>
    </row>
    <row r="362" spans="1:6" ht="76.5" x14ac:dyDescent="0.25">
      <c r="A362" s="326">
        <v>45658</v>
      </c>
      <c r="B362" s="324" t="s">
        <v>1404</v>
      </c>
      <c r="C362" s="320" t="s">
        <v>1414</v>
      </c>
      <c r="D362" s="126">
        <v>6</v>
      </c>
      <c r="E362" s="126">
        <v>210</v>
      </c>
      <c r="F362" s="193" t="s">
        <v>865</v>
      </c>
    </row>
    <row r="363" spans="1:6" ht="114.75" x14ac:dyDescent="0.25">
      <c r="A363" s="326">
        <v>45658</v>
      </c>
      <c r="B363" s="324" t="s">
        <v>1404</v>
      </c>
      <c r="C363" s="320" t="s">
        <v>490</v>
      </c>
      <c r="D363" s="126">
        <v>8</v>
      </c>
      <c r="E363" s="126">
        <v>319</v>
      </c>
      <c r="F363" s="193" t="s">
        <v>866</v>
      </c>
    </row>
    <row r="364" spans="1:6" ht="89.25" x14ac:dyDescent="0.25">
      <c r="A364" s="326">
        <v>45658</v>
      </c>
      <c r="B364" s="324" t="s">
        <v>1404</v>
      </c>
      <c r="C364" s="320" t="s">
        <v>491</v>
      </c>
      <c r="D364" s="126">
        <v>7</v>
      </c>
      <c r="E364" s="126">
        <v>201</v>
      </c>
      <c r="F364" s="193" t="s">
        <v>867</v>
      </c>
    </row>
    <row r="365" spans="1:6" ht="38.25" x14ac:dyDescent="0.25">
      <c r="A365" s="326">
        <v>45658</v>
      </c>
      <c r="B365" s="324" t="s">
        <v>1405</v>
      </c>
      <c r="C365" s="320" t="s">
        <v>1414</v>
      </c>
      <c r="D365" s="126">
        <v>3</v>
      </c>
      <c r="E365" s="126">
        <v>85</v>
      </c>
      <c r="F365" s="193" t="s">
        <v>814</v>
      </c>
    </row>
    <row r="366" spans="1:6" ht="38.25" x14ac:dyDescent="0.25">
      <c r="A366" s="326">
        <v>45658</v>
      </c>
      <c r="B366" s="324" t="s">
        <v>1405</v>
      </c>
      <c r="C366" s="320" t="s">
        <v>490</v>
      </c>
      <c r="D366" s="126">
        <v>2</v>
      </c>
      <c r="E366" s="126">
        <v>290</v>
      </c>
      <c r="F366" s="193" t="s">
        <v>816</v>
      </c>
    </row>
    <row r="367" spans="1:6" ht="63.75" x14ac:dyDescent="0.25">
      <c r="A367" s="326">
        <v>45658</v>
      </c>
      <c r="B367" s="324" t="s">
        <v>1405</v>
      </c>
      <c r="C367" s="320" t="s">
        <v>491</v>
      </c>
      <c r="D367" s="126">
        <v>5</v>
      </c>
      <c r="E367" s="126">
        <v>155</v>
      </c>
      <c r="F367" s="193" t="s">
        <v>815</v>
      </c>
    </row>
    <row r="368" spans="1:6" ht="204" x14ac:dyDescent="0.25">
      <c r="A368" s="326">
        <v>45658</v>
      </c>
      <c r="B368" s="324" t="s">
        <v>1406</v>
      </c>
      <c r="C368" s="320" t="s">
        <v>1414</v>
      </c>
      <c r="D368" s="126">
        <v>15</v>
      </c>
      <c r="E368" s="126">
        <v>963</v>
      </c>
      <c r="F368" s="193" t="s">
        <v>927</v>
      </c>
    </row>
    <row r="369" spans="1:6" ht="38.25" x14ac:dyDescent="0.25">
      <c r="A369" s="326">
        <v>45658</v>
      </c>
      <c r="B369" s="324" t="s">
        <v>1406</v>
      </c>
      <c r="C369" s="320" t="s">
        <v>490</v>
      </c>
      <c r="D369" s="126">
        <v>3</v>
      </c>
      <c r="E369" s="126">
        <v>137</v>
      </c>
      <c r="F369" s="193" t="s">
        <v>928</v>
      </c>
    </row>
    <row r="370" spans="1:6" ht="63.75" x14ac:dyDescent="0.25">
      <c r="A370" s="326">
        <v>45658</v>
      </c>
      <c r="B370" s="324" t="s">
        <v>1406</v>
      </c>
      <c r="C370" s="320" t="s">
        <v>491</v>
      </c>
      <c r="D370" s="126">
        <v>5</v>
      </c>
      <c r="E370" s="126">
        <v>858</v>
      </c>
      <c r="F370" s="193" t="s">
        <v>929</v>
      </c>
    </row>
    <row r="371" spans="1:6" ht="114.75" x14ac:dyDescent="0.25">
      <c r="A371" s="326">
        <v>45658</v>
      </c>
      <c r="B371" s="324" t="s">
        <v>1407</v>
      </c>
      <c r="C371" s="320" t="s">
        <v>1414</v>
      </c>
      <c r="D371" s="126">
        <v>9</v>
      </c>
      <c r="E371" s="126">
        <v>517</v>
      </c>
      <c r="F371" s="193" t="s">
        <v>889</v>
      </c>
    </row>
    <row r="372" spans="1:6" ht="102" x14ac:dyDescent="0.25">
      <c r="A372" s="326">
        <v>45658</v>
      </c>
      <c r="B372" s="324" t="s">
        <v>1407</v>
      </c>
      <c r="C372" s="320" t="s">
        <v>490</v>
      </c>
      <c r="D372" s="126">
        <v>8</v>
      </c>
      <c r="E372" s="126">
        <v>199</v>
      </c>
      <c r="F372" s="193" t="s">
        <v>884</v>
      </c>
    </row>
    <row r="373" spans="1:6" ht="216.75" x14ac:dyDescent="0.25">
      <c r="A373" s="326">
        <v>45658</v>
      </c>
      <c r="B373" s="324" t="s">
        <v>1407</v>
      </c>
      <c r="C373" s="320" t="s">
        <v>491</v>
      </c>
      <c r="D373" s="126">
        <v>17</v>
      </c>
      <c r="E373" s="126">
        <v>367</v>
      </c>
      <c r="F373" s="193" t="s">
        <v>876</v>
      </c>
    </row>
    <row r="374" spans="1:6" x14ac:dyDescent="0.25">
      <c r="A374" s="326">
        <v>45658</v>
      </c>
      <c r="B374" s="324" t="s">
        <v>1408</v>
      </c>
      <c r="C374" s="320" t="s">
        <v>1414</v>
      </c>
      <c r="D374" s="126">
        <v>1</v>
      </c>
      <c r="E374" s="126">
        <v>100</v>
      </c>
      <c r="F374" s="193" t="s">
        <v>935</v>
      </c>
    </row>
    <row r="375" spans="1:6" ht="280.5" x14ac:dyDescent="0.25">
      <c r="A375" s="326">
        <v>45658</v>
      </c>
      <c r="B375" s="324" t="s">
        <v>1408</v>
      </c>
      <c r="C375" s="320" t="s">
        <v>490</v>
      </c>
      <c r="D375" s="126">
        <v>22</v>
      </c>
      <c r="E375" s="126">
        <v>475</v>
      </c>
      <c r="F375" s="193" t="s">
        <v>934</v>
      </c>
    </row>
    <row r="376" spans="1:6" x14ac:dyDescent="0.25">
      <c r="A376" s="326">
        <v>45658</v>
      </c>
      <c r="B376" s="324" t="s">
        <v>1408</v>
      </c>
      <c r="C376" s="320" t="s">
        <v>491</v>
      </c>
      <c r="D376" s="126"/>
      <c r="E376" s="126"/>
      <c r="F376" s="193"/>
    </row>
    <row r="377" spans="1:6" ht="51" x14ac:dyDescent="0.25">
      <c r="A377" s="326">
        <v>45658</v>
      </c>
      <c r="B377" s="324" t="s">
        <v>1409</v>
      </c>
      <c r="C377" s="320" t="s">
        <v>1414</v>
      </c>
      <c r="D377" s="126">
        <v>4</v>
      </c>
      <c r="E377" s="126">
        <v>278</v>
      </c>
      <c r="F377" s="193" t="s">
        <v>950</v>
      </c>
    </row>
    <row r="378" spans="1:6" ht="38.25" x14ac:dyDescent="0.25">
      <c r="A378" s="326">
        <v>45658</v>
      </c>
      <c r="B378" s="324" t="s">
        <v>1409</v>
      </c>
      <c r="C378" s="320" t="s">
        <v>490</v>
      </c>
      <c r="D378" s="126">
        <v>2</v>
      </c>
      <c r="E378" s="126">
        <v>280</v>
      </c>
      <c r="F378" s="193" t="s">
        <v>951</v>
      </c>
    </row>
    <row r="379" spans="1:6" x14ac:dyDescent="0.25">
      <c r="A379" s="326">
        <v>45658</v>
      </c>
      <c r="B379" s="324" t="s">
        <v>1409</v>
      </c>
      <c r="C379" s="320" t="s">
        <v>491</v>
      </c>
      <c r="D379" s="126"/>
      <c r="E379" s="126"/>
      <c r="F379" s="193"/>
    </row>
    <row r="380" spans="1:6" ht="102" x14ac:dyDescent="0.25">
      <c r="A380" s="326">
        <v>45658</v>
      </c>
      <c r="B380" s="324" t="s">
        <v>1410</v>
      </c>
      <c r="C380" s="320" t="s">
        <v>1414</v>
      </c>
      <c r="D380" s="126">
        <v>7</v>
      </c>
      <c r="E380" s="126">
        <v>604</v>
      </c>
      <c r="F380" s="193" t="s">
        <v>908</v>
      </c>
    </row>
    <row r="381" spans="1:6" ht="25.5" x14ac:dyDescent="0.25">
      <c r="A381" s="326">
        <v>45658</v>
      </c>
      <c r="B381" s="324" t="s">
        <v>1410</v>
      </c>
      <c r="C381" s="320" t="s">
        <v>490</v>
      </c>
      <c r="D381" s="126">
        <v>2</v>
      </c>
      <c r="E381" s="126">
        <v>147</v>
      </c>
      <c r="F381" s="193" t="s">
        <v>906</v>
      </c>
    </row>
    <row r="382" spans="1:6" ht="76.5" x14ac:dyDescent="0.25">
      <c r="A382" s="326">
        <v>45658</v>
      </c>
      <c r="B382" s="324" t="s">
        <v>1410</v>
      </c>
      <c r="C382" s="320" t="s">
        <v>491</v>
      </c>
      <c r="D382" s="126">
        <v>6</v>
      </c>
      <c r="E382" s="126">
        <v>93</v>
      </c>
      <c r="F382" s="193" t="s">
        <v>907</v>
      </c>
    </row>
    <row r="383" spans="1:6" ht="25.5" x14ac:dyDescent="0.25">
      <c r="A383" s="326">
        <v>45658</v>
      </c>
      <c r="B383" s="324" t="s">
        <v>1411</v>
      </c>
      <c r="C383" s="320" t="s">
        <v>1414</v>
      </c>
      <c r="D383" s="246">
        <v>2</v>
      </c>
      <c r="E383" s="246">
        <v>180</v>
      </c>
      <c r="F383" s="193" t="s">
        <v>983</v>
      </c>
    </row>
    <row r="384" spans="1:6" x14ac:dyDescent="0.25">
      <c r="A384" s="326">
        <v>45658</v>
      </c>
      <c r="B384" s="324" t="s">
        <v>1411</v>
      </c>
      <c r="C384" s="320" t="s">
        <v>490</v>
      </c>
      <c r="D384" s="246">
        <v>1</v>
      </c>
      <c r="E384" s="246">
        <v>20</v>
      </c>
      <c r="F384" s="193" t="s">
        <v>985</v>
      </c>
    </row>
    <row r="385" spans="1:6" ht="38.25" x14ac:dyDescent="0.25">
      <c r="A385" s="326">
        <v>45658</v>
      </c>
      <c r="B385" s="324" t="s">
        <v>1411</v>
      </c>
      <c r="C385" s="320" t="s">
        <v>491</v>
      </c>
      <c r="D385" s="126">
        <v>3</v>
      </c>
      <c r="E385" s="126">
        <v>47</v>
      </c>
      <c r="F385" s="193" t="s">
        <v>984</v>
      </c>
    </row>
    <row r="386" spans="1:6" ht="76.5" x14ac:dyDescent="0.25">
      <c r="A386" s="326">
        <v>45658</v>
      </c>
      <c r="B386" s="324" t="s">
        <v>1412</v>
      </c>
      <c r="C386" s="320" t="s">
        <v>1414</v>
      </c>
      <c r="D386" s="126">
        <v>6</v>
      </c>
      <c r="E386" s="126">
        <v>368</v>
      </c>
      <c r="F386" s="193" t="s">
        <v>992</v>
      </c>
    </row>
    <row r="387" spans="1:6" ht="140.25" x14ac:dyDescent="0.25">
      <c r="A387" s="326">
        <v>45658</v>
      </c>
      <c r="B387" s="324" t="s">
        <v>1412</v>
      </c>
      <c r="C387" s="320" t="s">
        <v>490</v>
      </c>
      <c r="D387" s="126">
        <v>2</v>
      </c>
      <c r="E387" s="126">
        <v>140</v>
      </c>
      <c r="F387" s="193" t="s">
        <v>996</v>
      </c>
    </row>
    <row r="388" spans="1:6" x14ac:dyDescent="0.25">
      <c r="A388" s="326">
        <v>45658</v>
      </c>
      <c r="B388" s="324" t="s">
        <v>1412</v>
      </c>
      <c r="C388" s="320" t="s">
        <v>491</v>
      </c>
      <c r="D388" s="126">
        <v>1</v>
      </c>
      <c r="E388" s="126">
        <v>60</v>
      </c>
      <c r="F388" s="193" t="s">
        <v>989</v>
      </c>
    </row>
    <row r="389" spans="1:6" x14ac:dyDescent="0.25">
      <c r="A389" s="326">
        <v>45658</v>
      </c>
      <c r="B389" s="324" t="s">
        <v>1413</v>
      </c>
      <c r="C389" s="320" t="s">
        <v>1414</v>
      </c>
      <c r="D389" s="126"/>
      <c r="E389" s="126"/>
      <c r="F389" s="180"/>
    </row>
    <row r="390" spans="1:6" x14ac:dyDescent="0.25">
      <c r="A390" s="326">
        <v>45658</v>
      </c>
      <c r="B390" s="324" t="s">
        <v>1413</v>
      </c>
      <c r="C390" s="320" t="s">
        <v>490</v>
      </c>
      <c r="D390" s="126"/>
      <c r="E390" s="126"/>
      <c r="F390" s="180"/>
    </row>
    <row r="391" spans="1:6" x14ac:dyDescent="0.25">
      <c r="A391" s="326">
        <v>45658</v>
      </c>
      <c r="B391" s="324" t="s">
        <v>1413</v>
      </c>
      <c r="C391" s="320" t="s">
        <v>491</v>
      </c>
      <c r="D391" s="126"/>
      <c r="E391" s="126"/>
      <c r="F391" s="180"/>
    </row>
    <row r="392" spans="1:6" x14ac:dyDescent="0.25">
      <c r="A392" s="326">
        <v>45689</v>
      </c>
      <c r="B392" s="324" t="s">
        <v>1401</v>
      </c>
      <c r="C392" s="320" t="s">
        <v>1414</v>
      </c>
      <c r="D392" s="126"/>
      <c r="E392" s="126"/>
      <c r="F392" s="180"/>
    </row>
    <row r="393" spans="1:6" x14ac:dyDescent="0.25">
      <c r="A393" s="326">
        <v>45689</v>
      </c>
      <c r="B393" s="324" t="s">
        <v>1401</v>
      </c>
      <c r="C393" s="320" t="s">
        <v>490</v>
      </c>
      <c r="D393" s="126"/>
      <c r="E393" s="126"/>
      <c r="F393" s="180"/>
    </row>
    <row r="394" spans="1:6" ht="38.25" x14ac:dyDescent="0.25">
      <c r="A394" s="326">
        <v>45689</v>
      </c>
      <c r="B394" s="324" t="s">
        <v>1401</v>
      </c>
      <c r="C394" s="320" t="s">
        <v>491</v>
      </c>
      <c r="D394" s="126">
        <v>3</v>
      </c>
      <c r="E394" s="126">
        <v>330</v>
      </c>
      <c r="F394" s="193" t="s">
        <v>1179</v>
      </c>
    </row>
    <row r="395" spans="1:6" ht="38.25" x14ac:dyDescent="0.25">
      <c r="A395" s="326">
        <v>45689</v>
      </c>
      <c r="B395" s="324" t="s">
        <v>1402</v>
      </c>
      <c r="C395" s="320" t="s">
        <v>1414</v>
      </c>
      <c r="D395" s="194">
        <v>2</v>
      </c>
      <c r="E395" s="194">
        <v>400</v>
      </c>
      <c r="F395" s="193" t="s">
        <v>1151</v>
      </c>
    </row>
    <row r="396" spans="1:6" ht="45" x14ac:dyDescent="0.25">
      <c r="A396" s="326">
        <v>45689</v>
      </c>
      <c r="B396" s="324" t="s">
        <v>1402</v>
      </c>
      <c r="C396" s="320" t="s">
        <v>490</v>
      </c>
      <c r="D396" s="126">
        <v>3</v>
      </c>
      <c r="E396" s="126">
        <v>175</v>
      </c>
      <c r="F396" s="314" t="s">
        <v>1152</v>
      </c>
    </row>
    <row r="397" spans="1:6" x14ac:dyDescent="0.25">
      <c r="A397" s="326">
        <v>45689</v>
      </c>
      <c r="B397" s="324" t="s">
        <v>1402</v>
      </c>
      <c r="C397" s="320" t="s">
        <v>491</v>
      </c>
      <c r="D397" s="126"/>
      <c r="E397" s="126"/>
      <c r="F397" s="180"/>
    </row>
    <row r="398" spans="1:6" ht="51" x14ac:dyDescent="0.25">
      <c r="A398" s="326">
        <v>45689</v>
      </c>
      <c r="B398" s="324" t="s">
        <v>1403</v>
      </c>
      <c r="C398" s="320" t="s">
        <v>1414</v>
      </c>
      <c r="D398" s="126">
        <v>3</v>
      </c>
      <c r="E398" s="126">
        <v>170</v>
      </c>
      <c r="F398" s="193" t="s">
        <v>1183</v>
      </c>
    </row>
    <row r="399" spans="1:6" ht="51" x14ac:dyDescent="0.25">
      <c r="A399" s="326">
        <v>45689</v>
      </c>
      <c r="B399" s="324" t="s">
        <v>1403</v>
      </c>
      <c r="C399" s="320" t="s">
        <v>490</v>
      </c>
      <c r="D399" s="126">
        <v>4</v>
      </c>
      <c r="E399" s="126">
        <v>320</v>
      </c>
      <c r="F399" s="193" t="s">
        <v>1184</v>
      </c>
    </row>
    <row r="400" spans="1:6" x14ac:dyDescent="0.25">
      <c r="A400" s="326">
        <v>45689</v>
      </c>
      <c r="B400" s="324" t="s">
        <v>1403</v>
      </c>
      <c r="C400" s="320" t="s">
        <v>491</v>
      </c>
      <c r="D400" s="126"/>
      <c r="E400" s="126"/>
      <c r="F400" s="180"/>
    </row>
    <row r="401" spans="1:6" ht="38.25" x14ac:dyDescent="0.25">
      <c r="A401" s="326">
        <v>45689</v>
      </c>
      <c r="B401" s="324" t="s">
        <v>1404</v>
      </c>
      <c r="C401" s="320" t="s">
        <v>1414</v>
      </c>
      <c r="D401" s="126">
        <v>3</v>
      </c>
      <c r="E401" s="126">
        <v>1250</v>
      </c>
      <c r="F401" s="193" t="s">
        <v>1189</v>
      </c>
    </row>
    <row r="402" spans="1:6" x14ac:dyDescent="0.25">
      <c r="A402" s="326">
        <v>45689</v>
      </c>
      <c r="B402" s="324" t="s">
        <v>1404</v>
      </c>
      <c r="C402" s="320" t="s">
        <v>490</v>
      </c>
      <c r="D402" s="126">
        <v>1</v>
      </c>
      <c r="E402" s="126">
        <v>20</v>
      </c>
      <c r="F402" s="193" t="s">
        <v>1191</v>
      </c>
    </row>
    <row r="403" spans="1:6" ht="38.25" x14ac:dyDescent="0.25">
      <c r="A403" s="326">
        <v>45689</v>
      </c>
      <c r="B403" s="324" t="s">
        <v>1404</v>
      </c>
      <c r="C403" s="320" t="s">
        <v>491</v>
      </c>
      <c r="D403" s="126">
        <v>3</v>
      </c>
      <c r="E403" s="126">
        <v>45</v>
      </c>
      <c r="F403" s="193" t="s">
        <v>1190</v>
      </c>
    </row>
    <row r="404" spans="1:6" ht="69" x14ac:dyDescent="0.25">
      <c r="A404" s="326">
        <v>45689</v>
      </c>
      <c r="B404" s="324" t="s">
        <v>1405</v>
      </c>
      <c r="C404" s="320" t="s">
        <v>1414</v>
      </c>
      <c r="D404" s="126">
        <v>4</v>
      </c>
      <c r="E404" s="126">
        <v>510</v>
      </c>
      <c r="F404" s="180" t="s">
        <v>1395</v>
      </c>
    </row>
    <row r="405" spans="1:6" x14ac:dyDescent="0.25">
      <c r="A405" s="326">
        <v>45689</v>
      </c>
      <c r="B405" s="324" t="s">
        <v>1405</v>
      </c>
      <c r="C405" s="320" t="s">
        <v>490</v>
      </c>
      <c r="D405" s="126">
        <v>1</v>
      </c>
      <c r="E405" s="126">
        <v>50</v>
      </c>
      <c r="F405" s="193" t="s">
        <v>1216</v>
      </c>
    </row>
    <row r="406" spans="1:6" ht="38.25" x14ac:dyDescent="0.25">
      <c r="A406" s="326">
        <v>45689</v>
      </c>
      <c r="B406" s="324" t="s">
        <v>1405</v>
      </c>
      <c r="C406" s="320" t="s">
        <v>491</v>
      </c>
      <c r="D406" s="126">
        <v>2</v>
      </c>
      <c r="E406" s="126">
        <v>35</v>
      </c>
      <c r="F406" s="193" t="s">
        <v>1217</v>
      </c>
    </row>
    <row r="407" spans="1:6" ht="204" x14ac:dyDescent="0.25">
      <c r="A407" s="326">
        <v>45689</v>
      </c>
      <c r="B407" s="324" t="s">
        <v>1406</v>
      </c>
      <c r="C407" s="320" t="s">
        <v>1414</v>
      </c>
      <c r="D407" s="126">
        <v>13</v>
      </c>
      <c r="E407" s="126">
        <v>937</v>
      </c>
      <c r="F407" s="193" t="s">
        <v>1099</v>
      </c>
    </row>
    <row r="408" spans="1:6" ht="51" x14ac:dyDescent="0.25">
      <c r="A408" s="326">
        <v>45689</v>
      </c>
      <c r="B408" s="324" t="s">
        <v>1406</v>
      </c>
      <c r="C408" s="320" t="s">
        <v>490</v>
      </c>
      <c r="D408" s="126">
        <v>3</v>
      </c>
      <c r="E408" s="126">
        <v>961</v>
      </c>
      <c r="F408" s="193" t="s">
        <v>1100</v>
      </c>
    </row>
    <row r="409" spans="1:6" ht="63.75" x14ac:dyDescent="0.25">
      <c r="A409" s="326">
        <v>45689</v>
      </c>
      <c r="B409" s="324" t="s">
        <v>1406</v>
      </c>
      <c r="C409" s="320" t="s">
        <v>491</v>
      </c>
      <c r="D409" s="126">
        <v>4</v>
      </c>
      <c r="E409" s="126">
        <v>257</v>
      </c>
      <c r="F409" s="193" t="s">
        <v>1101</v>
      </c>
    </row>
    <row r="410" spans="1:6" ht="204" x14ac:dyDescent="0.25">
      <c r="A410" s="326">
        <v>45689</v>
      </c>
      <c r="B410" s="324" t="s">
        <v>1407</v>
      </c>
      <c r="C410" s="320" t="s">
        <v>1414</v>
      </c>
      <c r="D410" s="126">
        <v>16</v>
      </c>
      <c r="E410" s="126">
        <v>1451</v>
      </c>
      <c r="F410" s="193" t="s">
        <v>1173</v>
      </c>
    </row>
    <row r="411" spans="1:6" x14ac:dyDescent="0.25">
      <c r="A411" s="326">
        <v>45689</v>
      </c>
      <c r="B411" s="324" t="s">
        <v>1407</v>
      </c>
      <c r="C411" s="320" t="s">
        <v>490</v>
      </c>
      <c r="D411" s="126"/>
      <c r="E411" s="126"/>
      <c r="F411" s="180"/>
    </row>
    <row r="412" spans="1:6" ht="293.25" x14ac:dyDescent="0.25">
      <c r="A412" s="326">
        <v>45689</v>
      </c>
      <c r="B412" s="324" t="s">
        <v>1407</v>
      </c>
      <c r="C412" s="320" t="s">
        <v>491</v>
      </c>
      <c r="D412" s="126">
        <v>22</v>
      </c>
      <c r="E412" s="126">
        <v>834</v>
      </c>
      <c r="F412" s="193" t="s">
        <v>1174</v>
      </c>
    </row>
    <row r="413" spans="1:6" ht="25.5" x14ac:dyDescent="0.25">
      <c r="A413" s="326">
        <v>45689</v>
      </c>
      <c r="B413" s="324" t="s">
        <v>1408</v>
      </c>
      <c r="C413" s="320" t="s">
        <v>1414</v>
      </c>
      <c r="D413" s="126">
        <v>2</v>
      </c>
      <c r="E413" s="126">
        <v>175</v>
      </c>
      <c r="F413" s="193" t="s">
        <v>1196</v>
      </c>
    </row>
    <row r="414" spans="1:6" ht="216.75" x14ac:dyDescent="0.25">
      <c r="A414" s="326">
        <v>45689</v>
      </c>
      <c r="B414" s="324" t="s">
        <v>1408</v>
      </c>
      <c r="C414" s="320" t="s">
        <v>490</v>
      </c>
      <c r="D414" s="126">
        <v>17</v>
      </c>
      <c r="E414" s="126">
        <v>330</v>
      </c>
      <c r="F414" s="193" t="s">
        <v>1195</v>
      </c>
    </row>
    <row r="415" spans="1:6" x14ac:dyDescent="0.25">
      <c r="A415" s="326">
        <v>45689</v>
      </c>
      <c r="B415" s="324" t="s">
        <v>1408</v>
      </c>
      <c r="C415" s="320" t="s">
        <v>491</v>
      </c>
      <c r="D415" s="126"/>
      <c r="E415" s="126"/>
      <c r="F415" s="180"/>
    </row>
    <row r="416" spans="1:6" ht="267.75" x14ac:dyDescent="0.25">
      <c r="A416" s="326">
        <v>45689</v>
      </c>
      <c r="B416" s="324" t="s">
        <v>1409</v>
      </c>
      <c r="C416" s="320" t="s">
        <v>1414</v>
      </c>
      <c r="D416" s="126">
        <v>19</v>
      </c>
      <c r="E416" s="126">
        <v>500</v>
      </c>
      <c r="F416" s="193" t="s">
        <v>1160</v>
      </c>
    </row>
    <row r="417" spans="1:6" x14ac:dyDescent="0.25">
      <c r="A417" s="326">
        <v>45689</v>
      </c>
      <c r="B417" s="324" t="s">
        <v>1409</v>
      </c>
      <c r="C417" s="320" t="s">
        <v>490</v>
      </c>
      <c r="D417" s="126"/>
      <c r="E417" s="126"/>
      <c r="F417" s="180"/>
    </row>
    <row r="418" spans="1:6" x14ac:dyDescent="0.25">
      <c r="A418" s="326">
        <v>45689</v>
      </c>
      <c r="B418" s="324" t="s">
        <v>1409</v>
      </c>
      <c r="C418" s="320" t="s">
        <v>491</v>
      </c>
      <c r="D418" s="126"/>
      <c r="E418" s="126"/>
      <c r="F418" s="180"/>
    </row>
    <row r="419" spans="1:6" ht="51" x14ac:dyDescent="0.25">
      <c r="A419" s="326">
        <v>45689</v>
      </c>
      <c r="B419" s="324" t="s">
        <v>1410</v>
      </c>
      <c r="C419" s="320" t="s">
        <v>1414</v>
      </c>
      <c r="D419" s="126">
        <v>4</v>
      </c>
      <c r="E419" s="126">
        <v>356</v>
      </c>
      <c r="F419" s="193" t="s">
        <v>1207</v>
      </c>
    </row>
    <row r="420" spans="1:6" ht="38.25" x14ac:dyDescent="0.25">
      <c r="A420" s="326">
        <v>45689</v>
      </c>
      <c r="B420" s="324" t="s">
        <v>1410</v>
      </c>
      <c r="C420" s="320" t="s">
        <v>490</v>
      </c>
      <c r="D420" s="126">
        <v>3</v>
      </c>
      <c r="E420" s="126">
        <v>167</v>
      </c>
      <c r="F420" s="193" t="s">
        <v>1208</v>
      </c>
    </row>
    <row r="421" spans="1:6" ht="51" x14ac:dyDescent="0.25">
      <c r="A421" s="326">
        <v>45689</v>
      </c>
      <c r="B421" s="324" t="s">
        <v>1410</v>
      </c>
      <c r="C421" s="320" t="s">
        <v>491</v>
      </c>
      <c r="D421" s="126">
        <v>4</v>
      </c>
      <c r="E421" s="126">
        <v>600</v>
      </c>
      <c r="F421" s="193" t="s">
        <v>1209</v>
      </c>
    </row>
    <row r="422" spans="1:6" x14ac:dyDescent="0.25">
      <c r="A422" s="326">
        <v>45689</v>
      </c>
      <c r="B422" s="324" t="s">
        <v>1411</v>
      </c>
      <c r="C422" s="320" t="s">
        <v>1414</v>
      </c>
      <c r="D422" s="246">
        <v>1</v>
      </c>
      <c r="E422" s="246">
        <v>120</v>
      </c>
      <c r="F422" s="193" t="s">
        <v>1224</v>
      </c>
    </row>
    <row r="423" spans="1:6" x14ac:dyDescent="0.25">
      <c r="A423" s="326">
        <v>45689</v>
      </c>
      <c r="B423" s="324" t="s">
        <v>1411</v>
      </c>
      <c r="C423" s="320" t="s">
        <v>490</v>
      </c>
      <c r="D423" s="246"/>
      <c r="E423" s="246"/>
      <c r="F423" s="180"/>
    </row>
    <row r="424" spans="1:6" x14ac:dyDescent="0.25">
      <c r="A424" s="326">
        <v>45689</v>
      </c>
      <c r="B424" s="324" t="s">
        <v>1411</v>
      </c>
      <c r="C424" s="320" t="s">
        <v>491</v>
      </c>
      <c r="D424" s="126">
        <v>1</v>
      </c>
      <c r="E424" s="126">
        <v>10</v>
      </c>
      <c r="F424" s="193" t="s">
        <v>1225</v>
      </c>
    </row>
    <row r="425" spans="1:6" ht="63.75" x14ac:dyDescent="0.25">
      <c r="A425" s="326">
        <v>45689</v>
      </c>
      <c r="B425" s="324" t="s">
        <v>1412</v>
      </c>
      <c r="C425" s="320" t="s">
        <v>1414</v>
      </c>
      <c r="D425" s="126">
        <v>4</v>
      </c>
      <c r="E425" s="126">
        <v>266</v>
      </c>
      <c r="F425" s="193" t="s">
        <v>1397</v>
      </c>
    </row>
    <row r="426" spans="1:6" ht="156" x14ac:dyDescent="0.25">
      <c r="A426" s="326">
        <v>45689</v>
      </c>
      <c r="B426" s="324" t="s">
        <v>1412</v>
      </c>
      <c r="C426" s="320" t="s">
        <v>490</v>
      </c>
      <c r="D426" s="126">
        <v>11</v>
      </c>
      <c r="E426" s="126">
        <v>447</v>
      </c>
      <c r="F426" s="201" t="s">
        <v>1396</v>
      </c>
    </row>
    <row r="427" spans="1:6" ht="38.25" x14ac:dyDescent="0.25">
      <c r="A427" s="326">
        <v>45689</v>
      </c>
      <c r="B427" s="324" t="s">
        <v>1412</v>
      </c>
      <c r="C427" s="320" t="s">
        <v>491</v>
      </c>
      <c r="D427" s="126">
        <v>2</v>
      </c>
      <c r="E427" s="126">
        <v>80</v>
      </c>
      <c r="F427" s="193" t="s">
        <v>1116</v>
      </c>
    </row>
    <row r="428" spans="1:6" ht="89.25" x14ac:dyDescent="0.25">
      <c r="A428" s="326">
        <v>45689</v>
      </c>
      <c r="B428" s="324" t="s">
        <v>1413</v>
      </c>
      <c r="C428" s="320" t="s">
        <v>1414</v>
      </c>
      <c r="D428" s="126">
        <v>6</v>
      </c>
      <c r="E428" s="126">
        <v>500</v>
      </c>
      <c r="F428" s="193" t="s">
        <v>1145</v>
      </c>
    </row>
    <row r="429" spans="1:6" x14ac:dyDescent="0.25">
      <c r="A429" s="326">
        <v>45689</v>
      </c>
      <c r="B429" s="324" t="s">
        <v>1413</v>
      </c>
      <c r="C429" s="320" t="s">
        <v>490</v>
      </c>
      <c r="D429" s="126"/>
      <c r="E429" s="126"/>
      <c r="F429" s="180"/>
    </row>
    <row r="430" spans="1:6" ht="25.5" x14ac:dyDescent="0.25">
      <c r="A430" s="326">
        <v>45689</v>
      </c>
      <c r="B430" s="324" t="s">
        <v>1413</v>
      </c>
      <c r="C430" s="320" t="s">
        <v>491</v>
      </c>
      <c r="D430" s="126">
        <v>2</v>
      </c>
      <c r="E430" s="126">
        <v>55</v>
      </c>
      <c r="F430" s="193" t="s">
        <v>1144</v>
      </c>
    </row>
    <row r="431" spans="1:6" x14ac:dyDescent="0.25">
      <c r="A431" s="326">
        <v>45717</v>
      </c>
      <c r="B431" s="324" t="s">
        <v>1401</v>
      </c>
      <c r="C431" s="320" t="s">
        <v>1414</v>
      </c>
      <c r="D431" s="126"/>
      <c r="E431" s="126"/>
      <c r="F431" s="180"/>
    </row>
    <row r="432" spans="1:6" ht="25.5" x14ac:dyDescent="0.25">
      <c r="A432" s="326">
        <v>45717</v>
      </c>
      <c r="B432" s="324" t="s">
        <v>1401</v>
      </c>
      <c r="C432" s="320" t="s">
        <v>490</v>
      </c>
      <c r="D432" s="126">
        <v>2</v>
      </c>
      <c r="E432" s="126">
        <v>160</v>
      </c>
      <c r="F432" s="193" t="s">
        <v>1337</v>
      </c>
    </row>
    <row r="433" spans="1:6" ht="89.25" x14ac:dyDescent="0.25">
      <c r="A433" s="326">
        <v>45717</v>
      </c>
      <c r="B433" s="324" t="s">
        <v>1401</v>
      </c>
      <c r="C433" s="320" t="s">
        <v>491</v>
      </c>
      <c r="D433" s="126">
        <v>7</v>
      </c>
      <c r="E433" s="126">
        <v>182</v>
      </c>
      <c r="F433" s="193" t="s">
        <v>1336</v>
      </c>
    </row>
    <row r="434" spans="1:6" ht="20.25" x14ac:dyDescent="0.25">
      <c r="A434" s="326">
        <v>45717</v>
      </c>
      <c r="B434" s="324" t="s">
        <v>1402</v>
      </c>
      <c r="C434" s="320" t="s">
        <v>1414</v>
      </c>
      <c r="D434" s="194"/>
      <c r="E434" s="194"/>
      <c r="F434" s="40"/>
    </row>
    <row r="435" spans="1:6" ht="89.25" x14ac:dyDescent="0.25">
      <c r="A435" s="326">
        <v>45717</v>
      </c>
      <c r="B435" s="324" t="s">
        <v>1402</v>
      </c>
      <c r="C435" s="320" t="s">
        <v>490</v>
      </c>
      <c r="D435" s="126">
        <v>7</v>
      </c>
      <c r="E435" s="126">
        <v>56</v>
      </c>
      <c r="F435" s="193" t="s">
        <v>1274</v>
      </c>
    </row>
    <row r="436" spans="1:6" x14ac:dyDescent="0.25">
      <c r="A436" s="326">
        <v>45717</v>
      </c>
      <c r="B436" s="324" t="s">
        <v>1402</v>
      </c>
      <c r="C436" s="320" t="s">
        <v>491</v>
      </c>
      <c r="D436" s="126"/>
      <c r="E436" s="126"/>
      <c r="F436" s="180"/>
    </row>
    <row r="437" spans="1:6" ht="51" x14ac:dyDescent="0.25">
      <c r="A437" s="326">
        <v>45717</v>
      </c>
      <c r="B437" s="324" t="s">
        <v>1403</v>
      </c>
      <c r="C437" s="320" t="s">
        <v>1414</v>
      </c>
      <c r="D437" s="126">
        <v>4</v>
      </c>
      <c r="E437" s="126">
        <v>770</v>
      </c>
      <c r="F437" s="193" t="s">
        <v>1303</v>
      </c>
    </row>
    <row r="438" spans="1:6" ht="63.75" x14ac:dyDescent="0.25">
      <c r="A438" s="326">
        <v>45717</v>
      </c>
      <c r="B438" s="324" t="s">
        <v>1403</v>
      </c>
      <c r="C438" s="320" t="s">
        <v>490</v>
      </c>
      <c r="D438" s="126">
        <v>5</v>
      </c>
      <c r="E438" s="126">
        <v>815</v>
      </c>
      <c r="F438" s="193" t="s">
        <v>1304</v>
      </c>
    </row>
    <row r="439" spans="1:6" ht="63.75" x14ac:dyDescent="0.25">
      <c r="A439" s="326">
        <v>45717</v>
      </c>
      <c r="B439" s="324" t="s">
        <v>1403</v>
      </c>
      <c r="C439" s="320" t="s">
        <v>491</v>
      </c>
      <c r="D439" s="126">
        <v>4</v>
      </c>
      <c r="E439" s="126">
        <v>75</v>
      </c>
      <c r="F439" s="193" t="s">
        <v>1305</v>
      </c>
    </row>
    <row r="440" spans="1:6" ht="63.75" x14ac:dyDescent="0.25">
      <c r="A440" s="326">
        <v>45717</v>
      </c>
      <c r="B440" s="324" t="s">
        <v>1404</v>
      </c>
      <c r="C440" s="320" t="s">
        <v>1414</v>
      </c>
      <c r="D440" s="126">
        <v>4</v>
      </c>
      <c r="E440" s="126">
        <v>385</v>
      </c>
      <c r="F440" s="193" t="s">
        <v>1315</v>
      </c>
    </row>
    <row r="441" spans="1:6" ht="76.5" x14ac:dyDescent="0.25">
      <c r="A441" s="326">
        <v>45717</v>
      </c>
      <c r="B441" s="324" t="s">
        <v>1404</v>
      </c>
      <c r="C441" s="320" t="s">
        <v>490</v>
      </c>
      <c r="D441" s="126">
        <v>6</v>
      </c>
      <c r="E441" s="126">
        <v>340</v>
      </c>
      <c r="F441" s="193" t="s">
        <v>1316</v>
      </c>
    </row>
    <row r="442" spans="1:6" ht="280.5" x14ac:dyDescent="0.25">
      <c r="A442" s="326">
        <v>45717</v>
      </c>
      <c r="B442" s="324" t="s">
        <v>1404</v>
      </c>
      <c r="C442" s="320" t="s">
        <v>491</v>
      </c>
      <c r="D442" s="126">
        <v>21</v>
      </c>
      <c r="E442" s="126">
        <v>910</v>
      </c>
      <c r="F442" s="193" t="s">
        <v>1317</v>
      </c>
    </row>
    <row r="443" spans="1:6" ht="63.75" x14ac:dyDescent="0.25">
      <c r="A443" s="326">
        <v>45717</v>
      </c>
      <c r="B443" s="324" t="s">
        <v>1405</v>
      </c>
      <c r="C443" s="320" t="s">
        <v>1414</v>
      </c>
      <c r="D443" s="126">
        <v>5</v>
      </c>
      <c r="E443" s="126">
        <v>185</v>
      </c>
      <c r="F443" s="193" t="s">
        <v>1347</v>
      </c>
    </row>
    <row r="444" spans="1:6" ht="25.5" x14ac:dyDescent="0.25">
      <c r="A444" s="326">
        <v>45717</v>
      </c>
      <c r="B444" s="324" t="s">
        <v>1405</v>
      </c>
      <c r="C444" s="320" t="s">
        <v>490</v>
      </c>
      <c r="D444" s="126">
        <v>2</v>
      </c>
      <c r="E444" s="126">
        <v>200</v>
      </c>
      <c r="F444" s="193" t="s">
        <v>1348</v>
      </c>
    </row>
    <row r="445" spans="1:6" x14ac:dyDescent="0.25">
      <c r="A445" s="326">
        <v>45717</v>
      </c>
      <c r="B445" s="324" t="s">
        <v>1405</v>
      </c>
      <c r="C445" s="320" t="s">
        <v>491</v>
      </c>
      <c r="D445" s="126">
        <v>1</v>
      </c>
      <c r="E445" s="126">
        <v>35</v>
      </c>
      <c r="F445" s="193" t="s">
        <v>1349</v>
      </c>
    </row>
    <row r="446" spans="1:6" ht="114.75" x14ac:dyDescent="0.25">
      <c r="A446" s="326">
        <v>45717</v>
      </c>
      <c r="B446" s="324" t="s">
        <v>1406</v>
      </c>
      <c r="C446" s="320" t="s">
        <v>1414</v>
      </c>
      <c r="D446" s="126">
        <v>9</v>
      </c>
      <c r="E446" s="126">
        <v>580</v>
      </c>
      <c r="F446" s="193" t="s">
        <v>1385</v>
      </c>
    </row>
    <row r="447" spans="1:6" ht="51" x14ac:dyDescent="0.25">
      <c r="A447" s="326">
        <v>45717</v>
      </c>
      <c r="B447" s="324" t="s">
        <v>1406</v>
      </c>
      <c r="C447" s="320" t="s">
        <v>490</v>
      </c>
      <c r="D447" s="126">
        <v>4</v>
      </c>
      <c r="E447" s="126">
        <v>221</v>
      </c>
      <c r="F447" s="193" t="s">
        <v>1386</v>
      </c>
    </row>
    <row r="448" spans="1:6" ht="114.75" x14ac:dyDescent="0.25">
      <c r="A448" s="326">
        <v>45717</v>
      </c>
      <c r="B448" s="324" t="s">
        <v>1406</v>
      </c>
      <c r="C448" s="320" t="s">
        <v>491</v>
      </c>
      <c r="D448" s="126">
        <v>8</v>
      </c>
      <c r="E448" s="126">
        <v>426</v>
      </c>
      <c r="F448" s="193" t="s">
        <v>1387</v>
      </c>
    </row>
    <row r="449" spans="1:6" ht="216.75" x14ac:dyDescent="0.25">
      <c r="A449" s="326">
        <v>45717</v>
      </c>
      <c r="B449" s="324" t="s">
        <v>1407</v>
      </c>
      <c r="C449" s="320" t="s">
        <v>1414</v>
      </c>
      <c r="D449" s="126">
        <v>15</v>
      </c>
      <c r="E449" s="126">
        <v>2675</v>
      </c>
      <c r="F449" s="193" t="s">
        <v>1266</v>
      </c>
    </row>
    <row r="450" spans="1:6" ht="63.75" x14ac:dyDescent="0.25">
      <c r="A450" s="326">
        <v>45717</v>
      </c>
      <c r="B450" s="324" t="s">
        <v>1407</v>
      </c>
      <c r="C450" s="320" t="s">
        <v>490</v>
      </c>
      <c r="D450" s="126">
        <v>5</v>
      </c>
      <c r="E450" s="126">
        <v>208</v>
      </c>
      <c r="F450" s="286" t="s">
        <v>1268</v>
      </c>
    </row>
    <row r="451" spans="1:6" ht="369.75" x14ac:dyDescent="0.25">
      <c r="A451" s="326">
        <v>45717</v>
      </c>
      <c r="B451" s="324" t="s">
        <v>1407</v>
      </c>
      <c r="C451" s="320" t="s">
        <v>491</v>
      </c>
      <c r="D451" s="126">
        <v>29</v>
      </c>
      <c r="E451" s="126">
        <v>2008</v>
      </c>
      <c r="F451" s="286" t="s">
        <v>1267</v>
      </c>
    </row>
    <row r="452" spans="1:6" x14ac:dyDescent="0.25">
      <c r="A452" s="326">
        <v>45717</v>
      </c>
      <c r="B452" s="324" t="s">
        <v>1408</v>
      </c>
      <c r="C452" s="320" t="s">
        <v>1414</v>
      </c>
      <c r="D452" s="126">
        <v>1</v>
      </c>
      <c r="E452" s="126">
        <v>100</v>
      </c>
      <c r="F452" s="193" t="s">
        <v>1389</v>
      </c>
    </row>
    <row r="453" spans="1:6" ht="114.75" x14ac:dyDescent="0.25">
      <c r="A453" s="326">
        <v>45717</v>
      </c>
      <c r="B453" s="324" t="s">
        <v>1408</v>
      </c>
      <c r="C453" s="320" t="s">
        <v>490</v>
      </c>
      <c r="D453" s="126">
        <v>9</v>
      </c>
      <c r="E453" s="126">
        <v>195</v>
      </c>
      <c r="F453" s="193" t="s">
        <v>1388</v>
      </c>
    </row>
    <row r="454" spans="1:6" x14ac:dyDescent="0.25">
      <c r="A454" s="326">
        <v>45717</v>
      </c>
      <c r="B454" s="324" t="s">
        <v>1408</v>
      </c>
      <c r="C454" s="320" t="s">
        <v>491</v>
      </c>
      <c r="D454" s="126"/>
      <c r="E454" s="126"/>
      <c r="F454" s="180"/>
    </row>
    <row r="455" spans="1:6" ht="76.5" x14ac:dyDescent="0.25">
      <c r="A455" s="326">
        <v>45717</v>
      </c>
      <c r="B455" s="324" t="s">
        <v>1409</v>
      </c>
      <c r="C455" s="320" t="s">
        <v>1414</v>
      </c>
      <c r="D455" s="126">
        <v>5</v>
      </c>
      <c r="E455" s="126">
        <v>370</v>
      </c>
      <c r="F455" s="193" t="s">
        <v>1330</v>
      </c>
    </row>
    <row r="456" spans="1:6" ht="89.25" x14ac:dyDescent="0.25">
      <c r="A456" s="326">
        <v>45717</v>
      </c>
      <c r="B456" s="324" t="s">
        <v>1409</v>
      </c>
      <c r="C456" s="320" t="s">
        <v>490</v>
      </c>
      <c r="D456" s="126">
        <v>6</v>
      </c>
      <c r="E456" s="126">
        <v>280</v>
      </c>
      <c r="F456" s="193" t="s">
        <v>1331</v>
      </c>
    </row>
    <row r="457" spans="1:6" x14ac:dyDescent="0.25">
      <c r="A457" s="326">
        <v>45717</v>
      </c>
      <c r="B457" s="324" t="s">
        <v>1409</v>
      </c>
      <c r="C457" s="320" t="s">
        <v>491</v>
      </c>
      <c r="D457" s="126"/>
      <c r="E457" s="126"/>
      <c r="F457" s="180"/>
    </row>
    <row r="458" spans="1:6" ht="63.75" x14ac:dyDescent="0.25">
      <c r="A458" s="326">
        <v>45717</v>
      </c>
      <c r="B458" s="324" t="s">
        <v>1410</v>
      </c>
      <c r="C458" s="320" t="s">
        <v>1414</v>
      </c>
      <c r="D458" s="126">
        <v>5</v>
      </c>
      <c r="E458" s="126">
        <v>1015</v>
      </c>
      <c r="F458" s="193" t="s">
        <v>1298</v>
      </c>
    </row>
    <row r="459" spans="1:6" ht="204" x14ac:dyDescent="0.25">
      <c r="A459" s="326">
        <v>45717</v>
      </c>
      <c r="B459" s="324" t="s">
        <v>1410</v>
      </c>
      <c r="C459" s="320" t="s">
        <v>490</v>
      </c>
      <c r="D459" s="126">
        <v>11</v>
      </c>
      <c r="E459" s="126">
        <v>1220</v>
      </c>
      <c r="F459" s="193" t="s">
        <v>1299</v>
      </c>
    </row>
    <row r="460" spans="1:6" ht="51" x14ac:dyDescent="0.25">
      <c r="A460" s="326">
        <v>45717</v>
      </c>
      <c r="B460" s="324" t="s">
        <v>1410</v>
      </c>
      <c r="C460" s="320" t="s">
        <v>491</v>
      </c>
      <c r="D460" s="126">
        <v>3</v>
      </c>
      <c r="E460" s="126">
        <v>92</v>
      </c>
      <c r="F460" s="193" t="s">
        <v>1300</v>
      </c>
    </row>
    <row r="461" spans="1:6" ht="63.75" x14ac:dyDescent="0.25">
      <c r="A461" s="326">
        <v>45717</v>
      </c>
      <c r="B461" s="324" t="s">
        <v>1411</v>
      </c>
      <c r="C461" s="320" t="s">
        <v>1414</v>
      </c>
      <c r="D461" s="194">
        <v>4</v>
      </c>
      <c r="E461" s="194">
        <v>490</v>
      </c>
      <c r="F461" s="193" t="s">
        <v>1323</v>
      </c>
    </row>
    <row r="462" spans="1:6" ht="25.5" x14ac:dyDescent="0.25">
      <c r="A462" s="326">
        <v>45717</v>
      </c>
      <c r="B462" s="324" t="s">
        <v>1411</v>
      </c>
      <c r="C462" s="320" t="s">
        <v>490</v>
      </c>
      <c r="D462" s="194">
        <v>2</v>
      </c>
      <c r="E462" s="194">
        <v>190</v>
      </c>
      <c r="F462" s="193" t="s">
        <v>1324</v>
      </c>
    </row>
    <row r="463" spans="1:6" x14ac:dyDescent="0.25">
      <c r="A463" s="326">
        <v>45717</v>
      </c>
      <c r="B463" s="324" t="s">
        <v>1411</v>
      </c>
      <c r="C463" s="320" t="s">
        <v>491</v>
      </c>
      <c r="D463" s="126">
        <v>1</v>
      </c>
      <c r="E463" s="126">
        <v>5</v>
      </c>
      <c r="F463" s="193" t="s">
        <v>1325</v>
      </c>
    </row>
    <row r="464" spans="1:6" ht="51" x14ac:dyDescent="0.25">
      <c r="A464" s="326">
        <v>45717</v>
      </c>
      <c r="B464" s="324" t="s">
        <v>1412</v>
      </c>
      <c r="C464" s="320" t="s">
        <v>1414</v>
      </c>
      <c r="D464" s="126">
        <v>4</v>
      </c>
      <c r="E464" s="126">
        <v>165</v>
      </c>
      <c r="F464" s="193" t="s">
        <v>1360</v>
      </c>
    </row>
    <row r="465" spans="1:6" ht="242.25" x14ac:dyDescent="0.25">
      <c r="A465" s="326">
        <v>45717</v>
      </c>
      <c r="B465" s="324" t="s">
        <v>1412</v>
      </c>
      <c r="C465" s="320" t="s">
        <v>490</v>
      </c>
      <c r="D465" s="126">
        <v>18</v>
      </c>
      <c r="E465" s="126">
        <v>410</v>
      </c>
      <c r="F465" s="193" t="s">
        <v>1361</v>
      </c>
    </row>
    <row r="466" spans="1:6" x14ac:dyDescent="0.25">
      <c r="A466" s="326">
        <v>45717</v>
      </c>
      <c r="B466" s="324" t="s">
        <v>1412</v>
      </c>
      <c r="C466" s="320" t="s">
        <v>491</v>
      </c>
      <c r="D466" s="126"/>
      <c r="E466" s="126"/>
      <c r="F466" s="180"/>
    </row>
    <row r="467" spans="1:6" ht="127.5" x14ac:dyDescent="0.25">
      <c r="A467" s="340">
        <v>45717</v>
      </c>
      <c r="B467" s="341" t="s">
        <v>1413</v>
      </c>
      <c r="C467" s="320" t="s">
        <v>1414</v>
      </c>
      <c r="D467" s="126">
        <v>9</v>
      </c>
      <c r="E467" s="126">
        <v>1530</v>
      </c>
      <c r="F467" s="193" t="s">
        <v>1289</v>
      </c>
    </row>
    <row r="468" spans="1:6" ht="63.75" x14ac:dyDescent="0.25">
      <c r="A468" s="340">
        <v>45717</v>
      </c>
      <c r="B468" s="341" t="s">
        <v>1413</v>
      </c>
      <c r="C468" s="320" t="s">
        <v>490</v>
      </c>
      <c r="D468" s="126">
        <v>5</v>
      </c>
      <c r="E468" s="126">
        <v>185</v>
      </c>
      <c r="F468" s="193" t="s">
        <v>1291</v>
      </c>
    </row>
    <row r="469" spans="1:6" x14ac:dyDescent="0.25">
      <c r="A469" s="340">
        <v>45717</v>
      </c>
      <c r="B469" s="341" t="s">
        <v>1413</v>
      </c>
      <c r="C469" s="320" t="s">
        <v>491</v>
      </c>
      <c r="D469" s="126">
        <v>1</v>
      </c>
      <c r="E469" s="126">
        <v>5</v>
      </c>
      <c r="F469" s="193" t="s">
        <v>1290</v>
      </c>
    </row>
    <row r="470" spans="1:6" x14ac:dyDescent="0.25">
      <c r="A470" s="332"/>
      <c r="B470" s="330" t="s">
        <v>1413</v>
      </c>
      <c r="C470" s="238" t="s">
        <v>491</v>
      </c>
      <c r="D470" s="126">
        <v>1</v>
      </c>
      <c r="E470" s="126">
        <v>4</v>
      </c>
      <c r="F470" s="180" t="s">
        <v>756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filterMode="1"/>
  <dimension ref="A1:F587"/>
  <sheetViews>
    <sheetView workbookViewId="0">
      <selection activeCell="E476" sqref="E476:E554"/>
    </sheetView>
  </sheetViews>
  <sheetFormatPr defaultRowHeight="18.75" x14ac:dyDescent="0.25"/>
  <cols>
    <col min="1" max="1" width="10.85546875" style="339" bestFit="1" customWidth="1"/>
    <col min="2" max="2" width="14.85546875" style="174" bestFit="1" customWidth="1"/>
    <col min="3" max="3" width="23.85546875" style="174" customWidth="1"/>
    <col min="4" max="4" width="18.140625" style="6" customWidth="1"/>
    <col min="5" max="5" width="13.42578125" style="6" customWidth="1"/>
    <col min="6" max="6" width="81" style="163" customWidth="1"/>
  </cols>
  <sheetData>
    <row r="1" spans="1:6" ht="56.25" x14ac:dyDescent="0.25">
      <c r="A1" s="329" t="s">
        <v>1421</v>
      </c>
      <c r="B1" s="329" t="s">
        <v>1422</v>
      </c>
      <c r="C1" s="329" t="s">
        <v>1423</v>
      </c>
      <c r="D1" s="329" t="s">
        <v>1417</v>
      </c>
      <c r="E1" s="329" t="s">
        <v>1424</v>
      </c>
      <c r="F1" s="329" t="s">
        <v>1419</v>
      </c>
    </row>
    <row r="2" spans="1:6" hidden="1" x14ac:dyDescent="0.25">
      <c r="A2" s="343">
        <v>45292</v>
      </c>
      <c r="B2" s="346" t="s">
        <v>1401</v>
      </c>
      <c r="C2" s="175" t="s">
        <v>489</v>
      </c>
      <c r="D2" s="93"/>
      <c r="E2" s="93"/>
      <c r="F2" s="161"/>
    </row>
    <row r="3" spans="1:6" hidden="1" x14ac:dyDescent="0.25">
      <c r="A3" s="343">
        <v>45292</v>
      </c>
      <c r="B3" s="337" t="s">
        <v>1401</v>
      </c>
      <c r="C3" s="175" t="s">
        <v>490</v>
      </c>
      <c r="D3" s="93"/>
      <c r="E3" s="93"/>
      <c r="F3" s="161"/>
    </row>
    <row r="4" spans="1:6" ht="75" hidden="1" x14ac:dyDescent="0.25">
      <c r="A4" s="343">
        <v>45292</v>
      </c>
      <c r="B4" s="337" t="s">
        <v>1401</v>
      </c>
      <c r="C4" s="175" t="s">
        <v>491</v>
      </c>
      <c r="D4" s="93">
        <v>4</v>
      </c>
      <c r="E4" s="93">
        <v>510</v>
      </c>
      <c r="F4" s="161" t="s">
        <v>393</v>
      </c>
    </row>
    <row r="5" spans="1:6" hidden="1" x14ac:dyDescent="0.25">
      <c r="A5" s="343">
        <v>45292</v>
      </c>
      <c r="B5" s="337" t="s">
        <v>1402</v>
      </c>
      <c r="C5" s="175" t="s">
        <v>489</v>
      </c>
      <c r="D5" s="93"/>
      <c r="E5" s="93"/>
      <c r="F5" s="161"/>
    </row>
    <row r="6" spans="1:6" hidden="1" x14ac:dyDescent="0.25">
      <c r="A6" s="343">
        <v>45292</v>
      </c>
      <c r="B6" s="337" t="s">
        <v>1402</v>
      </c>
      <c r="C6" s="175" t="s">
        <v>490</v>
      </c>
      <c r="D6" s="93"/>
      <c r="E6" s="93"/>
      <c r="F6" s="161"/>
    </row>
    <row r="7" spans="1:6" hidden="1" x14ac:dyDescent="0.25">
      <c r="A7" s="343">
        <v>45292</v>
      </c>
      <c r="B7" s="337" t="s">
        <v>1402</v>
      </c>
      <c r="C7" s="175" t="s">
        <v>491</v>
      </c>
      <c r="D7" s="93"/>
      <c r="E7" s="93"/>
      <c r="F7" s="161"/>
    </row>
    <row r="8" spans="1:6" ht="37.5" hidden="1" x14ac:dyDescent="0.25">
      <c r="A8" s="343">
        <v>45292</v>
      </c>
      <c r="B8" s="337" t="s">
        <v>1403</v>
      </c>
      <c r="C8" s="175" t="s">
        <v>489</v>
      </c>
      <c r="D8" s="93">
        <v>2</v>
      </c>
      <c r="E8" s="93">
        <v>78</v>
      </c>
      <c r="F8" s="161" t="s">
        <v>387</v>
      </c>
    </row>
    <row r="9" spans="1:6" ht="37.5" hidden="1" x14ac:dyDescent="0.25">
      <c r="A9" s="343">
        <v>45292</v>
      </c>
      <c r="B9" s="337" t="s">
        <v>1403</v>
      </c>
      <c r="C9" s="175" t="s">
        <v>490</v>
      </c>
      <c r="D9" s="93">
        <v>2</v>
      </c>
      <c r="E9" s="93">
        <v>24</v>
      </c>
      <c r="F9" s="161" t="s">
        <v>388</v>
      </c>
    </row>
    <row r="10" spans="1:6" hidden="1" x14ac:dyDescent="0.25">
      <c r="A10" s="343">
        <v>45292</v>
      </c>
      <c r="B10" s="337" t="s">
        <v>1403</v>
      </c>
      <c r="C10" s="175" t="s">
        <v>491</v>
      </c>
      <c r="D10" s="93"/>
      <c r="E10" s="93"/>
      <c r="F10" s="161"/>
    </row>
    <row r="11" spans="1:6" hidden="1" x14ac:dyDescent="0.25">
      <c r="A11" s="343">
        <v>45292</v>
      </c>
      <c r="B11" s="337" t="s">
        <v>1404</v>
      </c>
      <c r="C11" s="175" t="s">
        <v>489</v>
      </c>
      <c r="D11" s="93">
        <v>1</v>
      </c>
      <c r="E11" s="93">
        <v>70</v>
      </c>
      <c r="F11" s="161" t="s">
        <v>389</v>
      </c>
    </row>
    <row r="12" spans="1:6" hidden="1" x14ac:dyDescent="0.25">
      <c r="A12" s="343">
        <v>45292</v>
      </c>
      <c r="B12" s="337" t="s">
        <v>1404</v>
      </c>
      <c r="C12" s="175" t="s">
        <v>490</v>
      </c>
      <c r="D12" s="93"/>
      <c r="E12" s="93"/>
      <c r="F12" s="161"/>
    </row>
    <row r="13" spans="1:6" hidden="1" x14ac:dyDescent="0.25">
      <c r="A13" s="343">
        <v>45292</v>
      </c>
      <c r="B13" s="337" t="s">
        <v>1404</v>
      </c>
      <c r="C13" s="175" t="s">
        <v>491</v>
      </c>
      <c r="D13" s="93"/>
      <c r="E13" s="93"/>
      <c r="F13" s="161"/>
    </row>
    <row r="14" spans="1:6" ht="37.5" hidden="1" x14ac:dyDescent="0.25">
      <c r="A14" s="343">
        <v>45292</v>
      </c>
      <c r="B14" s="337" t="s">
        <v>1405</v>
      </c>
      <c r="C14" s="175" t="s">
        <v>489</v>
      </c>
      <c r="D14" s="93">
        <v>2</v>
      </c>
      <c r="E14" s="93">
        <v>205</v>
      </c>
      <c r="F14" s="161" t="s">
        <v>390</v>
      </c>
    </row>
    <row r="15" spans="1:6" hidden="1" x14ac:dyDescent="0.25">
      <c r="A15" s="343">
        <v>45292</v>
      </c>
      <c r="B15" s="337" t="s">
        <v>1405</v>
      </c>
      <c r="C15" s="175" t="s">
        <v>490</v>
      </c>
      <c r="D15" s="93">
        <v>1</v>
      </c>
      <c r="E15" s="93">
        <v>150</v>
      </c>
      <c r="F15" s="161" t="s">
        <v>391</v>
      </c>
    </row>
    <row r="16" spans="1:6" ht="56.25" hidden="1" x14ac:dyDescent="0.25">
      <c r="A16" s="343">
        <v>45292</v>
      </c>
      <c r="B16" s="337" t="s">
        <v>1405</v>
      </c>
      <c r="C16" s="175" t="s">
        <v>491</v>
      </c>
      <c r="D16" s="93">
        <v>3</v>
      </c>
      <c r="E16" s="93">
        <v>15</v>
      </c>
      <c r="F16" s="161" t="s">
        <v>392</v>
      </c>
    </row>
    <row r="17" spans="1:6" ht="37.5" hidden="1" x14ac:dyDescent="0.25">
      <c r="A17" s="343">
        <v>45292</v>
      </c>
      <c r="B17" s="337" t="s">
        <v>1406</v>
      </c>
      <c r="C17" s="175" t="s">
        <v>489</v>
      </c>
      <c r="D17" s="93">
        <v>5</v>
      </c>
      <c r="E17" s="93">
        <v>335</v>
      </c>
      <c r="F17" s="161" t="s">
        <v>397</v>
      </c>
    </row>
    <row r="18" spans="1:6" hidden="1" x14ac:dyDescent="0.25">
      <c r="A18" s="343">
        <v>45292</v>
      </c>
      <c r="B18" s="337" t="s">
        <v>1406</v>
      </c>
      <c r="C18" s="175" t="s">
        <v>490</v>
      </c>
      <c r="D18" s="93"/>
      <c r="E18" s="93"/>
      <c r="F18" s="161"/>
    </row>
    <row r="19" spans="1:6" hidden="1" x14ac:dyDescent="0.25">
      <c r="A19" s="343">
        <v>45292</v>
      </c>
      <c r="B19" s="337" t="s">
        <v>1406</v>
      </c>
      <c r="C19" s="175" t="s">
        <v>491</v>
      </c>
      <c r="D19" s="93"/>
      <c r="E19" s="93"/>
      <c r="F19" s="161"/>
    </row>
    <row r="20" spans="1:6" ht="93.75" hidden="1" x14ac:dyDescent="0.25">
      <c r="A20" s="343">
        <v>45292</v>
      </c>
      <c r="B20" s="337" t="s">
        <v>1438</v>
      </c>
      <c r="C20" s="175" t="s">
        <v>489</v>
      </c>
      <c r="D20" s="93">
        <v>5</v>
      </c>
      <c r="E20" s="93">
        <v>360</v>
      </c>
      <c r="F20" s="161" t="s">
        <v>396</v>
      </c>
    </row>
    <row r="21" spans="1:6" ht="206.25" hidden="1" x14ac:dyDescent="0.25">
      <c r="A21" s="343">
        <v>45292</v>
      </c>
      <c r="B21" s="337" t="s">
        <v>1438</v>
      </c>
      <c r="C21" s="175" t="s">
        <v>490</v>
      </c>
      <c r="D21" s="93">
        <v>11</v>
      </c>
      <c r="E21" s="93">
        <v>433</v>
      </c>
      <c r="F21" s="161" t="s">
        <v>394</v>
      </c>
    </row>
    <row r="22" spans="1:6" ht="93.75" hidden="1" x14ac:dyDescent="0.25">
      <c r="A22" s="343">
        <v>45292</v>
      </c>
      <c r="B22" s="337" t="s">
        <v>1438</v>
      </c>
      <c r="C22" s="175" t="s">
        <v>491</v>
      </c>
      <c r="D22" s="93">
        <v>11</v>
      </c>
      <c r="E22" s="93">
        <v>360</v>
      </c>
      <c r="F22" s="161" t="s">
        <v>395</v>
      </c>
    </row>
    <row r="23" spans="1:6" hidden="1" x14ac:dyDescent="0.25">
      <c r="A23" s="343">
        <v>45292</v>
      </c>
      <c r="B23" s="337" t="s">
        <v>1408</v>
      </c>
      <c r="C23" s="175" t="s">
        <v>489</v>
      </c>
      <c r="D23" s="93">
        <v>1</v>
      </c>
      <c r="E23" s="93">
        <v>190</v>
      </c>
      <c r="F23" s="164" t="s">
        <v>400</v>
      </c>
    </row>
    <row r="24" spans="1:6" hidden="1" x14ac:dyDescent="0.25">
      <c r="A24" s="343">
        <v>45292</v>
      </c>
      <c r="B24" s="337" t="s">
        <v>1408</v>
      </c>
      <c r="C24" s="175" t="s">
        <v>490</v>
      </c>
      <c r="D24" s="93">
        <v>2</v>
      </c>
      <c r="E24" s="93">
        <v>59</v>
      </c>
      <c r="F24" s="162" t="s">
        <v>399</v>
      </c>
    </row>
    <row r="25" spans="1:6" hidden="1" x14ac:dyDescent="0.25">
      <c r="A25" s="343">
        <v>45292</v>
      </c>
      <c r="B25" s="337" t="s">
        <v>1408</v>
      </c>
      <c r="C25" s="175" t="s">
        <v>491</v>
      </c>
      <c r="D25" s="93"/>
      <c r="E25" s="93"/>
      <c r="F25" s="162"/>
    </row>
    <row r="26" spans="1:6" hidden="1" x14ac:dyDescent="0.25">
      <c r="A26" s="343">
        <v>45292</v>
      </c>
      <c r="B26" s="337" t="s">
        <v>1409</v>
      </c>
      <c r="C26" s="175" t="s">
        <v>489</v>
      </c>
      <c r="D26" s="93"/>
      <c r="E26" s="93"/>
      <c r="F26" s="161"/>
    </row>
    <row r="27" spans="1:6" hidden="1" x14ac:dyDescent="0.25">
      <c r="A27" s="343">
        <v>45292</v>
      </c>
      <c r="B27" s="337" t="s">
        <v>1409</v>
      </c>
      <c r="C27" s="175" t="s">
        <v>490</v>
      </c>
      <c r="D27" s="93">
        <v>3</v>
      </c>
      <c r="E27" s="93">
        <v>615</v>
      </c>
      <c r="F27" s="161" t="s">
        <v>398</v>
      </c>
    </row>
    <row r="28" spans="1:6" hidden="1" x14ac:dyDescent="0.25">
      <c r="A28" s="343">
        <v>45292</v>
      </c>
      <c r="B28" s="337" t="s">
        <v>1409</v>
      </c>
      <c r="C28" s="175" t="s">
        <v>491</v>
      </c>
      <c r="D28" s="93"/>
      <c r="E28" s="93"/>
      <c r="F28" s="161"/>
    </row>
    <row r="29" spans="1:6" hidden="1" x14ac:dyDescent="0.25">
      <c r="A29" s="343">
        <v>45292</v>
      </c>
      <c r="B29" s="337" t="s">
        <v>1410</v>
      </c>
      <c r="C29" s="175" t="s">
        <v>489</v>
      </c>
      <c r="D29" s="93">
        <v>1</v>
      </c>
      <c r="E29" s="93">
        <v>30</v>
      </c>
      <c r="F29" s="161" t="s">
        <v>401</v>
      </c>
    </row>
    <row r="30" spans="1:6" hidden="1" x14ac:dyDescent="0.25">
      <c r="A30" s="343">
        <v>45292</v>
      </c>
      <c r="B30" s="337" t="s">
        <v>1410</v>
      </c>
      <c r="C30" s="175" t="s">
        <v>490</v>
      </c>
      <c r="D30" s="93"/>
      <c r="E30" s="93"/>
      <c r="F30" s="161"/>
    </row>
    <row r="31" spans="1:6" hidden="1" x14ac:dyDescent="0.25">
      <c r="A31" s="343">
        <v>45292</v>
      </c>
      <c r="B31" s="337" t="s">
        <v>1410</v>
      </c>
      <c r="C31" s="175" t="s">
        <v>491</v>
      </c>
      <c r="D31" s="93"/>
      <c r="E31" s="93"/>
      <c r="F31" s="161"/>
    </row>
    <row r="32" spans="1:6" hidden="1" x14ac:dyDescent="0.25">
      <c r="A32" s="343">
        <v>45292</v>
      </c>
      <c r="B32" s="337" t="s">
        <v>1411</v>
      </c>
      <c r="C32" s="175" t="s">
        <v>489</v>
      </c>
      <c r="D32" s="93">
        <v>1</v>
      </c>
      <c r="E32" s="93">
        <v>10</v>
      </c>
      <c r="F32" s="161" t="s">
        <v>412</v>
      </c>
    </row>
    <row r="33" spans="1:6" hidden="1" x14ac:dyDescent="0.25">
      <c r="A33" s="343">
        <v>45292</v>
      </c>
      <c r="B33" s="337" t="s">
        <v>1411</v>
      </c>
      <c r="C33" s="175" t="s">
        <v>490</v>
      </c>
      <c r="D33" s="93">
        <v>1</v>
      </c>
      <c r="E33" s="93">
        <v>15</v>
      </c>
      <c r="F33" s="161" t="s">
        <v>413</v>
      </c>
    </row>
    <row r="34" spans="1:6" ht="37.5" hidden="1" x14ac:dyDescent="0.25">
      <c r="A34" s="343">
        <v>45292</v>
      </c>
      <c r="B34" s="337" t="s">
        <v>1411</v>
      </c>
      <c r="C34" s="175" t="s">
        <v>491</v>
      </c>
      <c r="D34" s="93">
        <v>2</v>
      </c>
      <c r="E34" s="93">
        <v>25</v>
      </c>
      <c r="F34" s="161" t="s">
        <v>414</v>
      </c>
    </row>
    <row r="35" spans="1:6" ht="56.25" hidden="1" x14ac:dyDescent="0.25">
      <c r="A35" s="343">
        <v>45292</v>
      </c>
      <c r="B35" s="337" t="s">
        <v>1452</v>
      </c>
      <c r="C35" s="175" t="s">
        <v>489</v>
      </c>
      <c r="D35" s="93">
        <v>3</v>
      </c>
      <c r="E35" s="93">
        <v>355</v>
      </c>
      <c r="F35" s="161" t="s">
        <v>406</v>
      </c>
    </row>
    <row r="36" spans="1:6" ht="131.25" hidden="1" x14ac:dyDescent="0.25">
      <c r="A36" s="343">
        <v>45292</v>
      </c>
      <c r="B36" s="337" t="s">
        <v>1452</v>
      </c>
      <c r="C36" s="175" t="s">
        <v>490</v>
      </c>
      <c r="D36" s="93">
        <v>9</v>
      </c>
      <c r="E36" s="93">
        <v>889</v>
      </c>
      <c r="F36" s="161" t="s">
        <v>407</v>
      </c>
    </row>
    <row r="37" spans="1:6" hidden="1" x14ac:dyDescent="0.25">
      <c r="A37" s="343">
        <v>45292</v>
      </c>
      <c r="B37" s="337" t="s">
        <v>1452</v>
      </c>
      <c r="C37" s="175" t="s">
        <v>491</v>
      </c>
      <c r="D37" s="93">
        <v>1</v>
      </c>
      <c r="E37" s="93">
        <v>250</v>
      </c>
      <c r="F37" s="161" t="s">
        <v>405</v>
      </c>
    </row>
    <row r="38" spans="1:6" hidden="1" x14ac:dyDescent="0.25">
      <c r="A38" s="343">
        <v>45292</v>
      </c>
      <c r="B38" s="337" t="s">
        <v>1413</v>
      </c>
      <c r="C38" s="175" t="s">
        <v>489</v>
      </c>
      <c r="D38" s="93">
        <v>3</v>
      </c>
      <c r="E38" s="93">
        <v>510</v>
      </c>
      <c r="F38" s="161" t="s">
        <v>402</v>
      </c>
    </row>
    <row r="39" spans="1:6" ht="37.5" hidden="1" x14ac:dyDescent="0.25">
      <c r="A39" s="343">
        <v>45292</v>
      </c>
      <c r="B39" s="337" t="s">
        <v>1413</v>
      </c>
      <c r="C39" s="175" t="s">
        <v>490</v>
      </c>
      <c r="D39" s="93">
        <v>2</v>
      </c>
      <c r="E39" s="93">
        <v>39</v>
      </c>
      <c r="F39" s="161" t="s">
        <v>404</v>
      </c>
    </row>
    <row r="40" spans="1:6" ht="150" hidden="1" x14ac:dyDescent="0.25">
      <c r="A40" s="343">
        <v>45292</v>
      </c>
      <c r="B40" s="337" t="s">
        <v>1413</v>
      </c>
      <c r="C40" s="175" t="s">
        <v>491</v>
      </c>
      <c r="D40" s="93">
        <v>10</v>
      </c>
      <c r="E40" s="93">
        <v>308</v>
      </c>
      <c r="F40" s="161" t="s">
        <v>403</v>
      </c>
    </row>
    <row r="41" spans="1:6" hidden="1" x14ac:dyDescent="0.25">
      <c r="A41" s="343">
        <v>45323</v>
      </c>
      <c r="B41" s="337" t="s">
        <v>1401</v>
      </c>
      <c r="C41" s="175" t="s">
        <v>489</v>
      </c>
      <c r="D41" s="93"/>
      <c r="E41" s="93"/>
      <c r="F41" s="161"/>
    </row>
    <row r="42" spans="1:6" hidden="1" x14ac:dyDescent="0.25">
      <c r="A42" s="343">
        <v>45323</v>
      </c>
      <c r="B42" s="337" t="s">
        <v>1401</v>
      </c>
      <c r="C42" s="175" t="s">
        <v>490</v>
      </c>
      <c r="D42" s="93"/>
      <c r="E42" s="93"/>
      <c r="F42" s="161"/>
    </row>
    <row r="43" spans="1:6" ht="37.5" hidden="1" x14ac:dyDescent="0.25">
      <c r="A43" s="343">
        <v>45323</v>
      </c>
      <c r="B43" s="337" t="s">
        <v>1401</v>
      </c>
      <c r="C43" s="175" t="s">
        <v>491</v>
      </c>
      <c r="D43" s="93">
        <v>1</v>
      </c>
      <c r="E43" s="93">
        <v>30</v>
      </c>
      <c r="F43" s="161" t="s">
        <v>436</v>
      </c>
    </row>
    <row r="44" spans="1:6" hidden="1" x14ac:dyDescent="0.25">
      <c r="A44" s="343">
        <v>45323</v>
      </c>
      <c r="B44" s="337" t="s">
        <v>1402</v>
      </c>
      <c r="C44" s="175" t="s">
        <v>489</v>
      </c>
      <c r="D44" s="93"/>
      <c r="E44" s="93"/>
      <c r="F44" s="161"/>
    </row>
    <row r="45" spans="1:6" hidden="1" x14ac:dyDescent="0.25">
      <c r="A45" s="343">
        <v>45323</v>
      </c>
      <c r="B45" s="337" t="s">
        <v>1402</v>
      </c>
      <c r="C45" s="175" t="s">
        <v>490</v>
      </c>
      <c r="D45" s="93"/>
      <c r="E45" s="93"/>
      <c r="F45" s="161"/>
    </row>
    <row r="46" spans="1:6" hidden="1" x14ac:dyDescent="0.25">
      <c r="A46" s="343">
        <v>45323</v>
      </c>
      <c r="B46" s="337" t="s">
        <v>1402</v>
      </c>
      <c r="C46" s="175" t="s">
        <v>491</v>
      </c>
      <c r="D46" s="93"/>
      <c r="E46" s="93"/>
      <c r="F46" s="161"/>
    </row>
    <row r="47" spans="1:6" ht="37.5" hidden="1" x14ac:dyDescent="0.25">
      <c r="A47" s="343">
        <v>45323</v>
      </c>
      <c r="B47" s="337" t="s">
        <v>1403</v>
      </c>
      <c r="C47" s="175" t="s">
        <v>489</v>
      </c>
      <c r="D47" s="93">
        <v>2</v>
      </c>
      <c r="E47" s="93">
        <v>71</v>
      </c>
      <c r="F47" s="161" t="s">
        <v>418</v>
      </c>
    </row>
    <row r="48" spans="1:6" ht="112.5" hidden="1" x14ac:dyDescent="0.25">
      <c r="A48" s="343">
        <v>45323</v>
      </c>
      <c r="B48" s="337" t="s">
        <v>1403</v>
      </c>
      <c r="C48" s="175" t="s">
        <v>490</v>
      </c>
      <c r="D48" s="93">
        <v>4</v>
      </c>
      <c r="E48" s="93">
        <v>180</v>
      </c>
      <c r="F48" s="161" t="s">
        <v>419</v>
      </c>
    </row>
    <row r="49" spans="1:6" hidden="1" x14ac:dyDescent="0.25">
      <c r="A49" s="343">
        <v>45323</v>
      </c>
      <c r="B49" s="337" t="s">
        <v>1403</v>
      </c>
      <c r="C49" s="175" t="s">
        <v>491</v>
      </c>
      <c r="D49" s="93"/>
      <c r="E49" s="93"/>
      <c r="F49" s="161"/>
    </row>
    <row r="50" spans="1:6" hidden="1" x14ac:dyDescent="0.25">
      <c r="A50" s="343">
        <v>45323</v>
      </c>
      <c r="B50" s="337" t="s">
        <v>1404</v>
      </c>
      <c r="C50" s="175" t="s">
        <v>489</v>
      </c>
      <c r="D50" s="93">
        <v>1</v>
      </c>
      <c r="E50" s="93">
        <v>80</v>
      </c>
      <c r="F50" s="161" t="s">
        <v>420</v>
      </c>
    </row>
    <row r="51" spans="1:6" hidden="1" x14ac:dyDescent="0.25">
      <c r="A51" s="343">
        <v>45323</v>
      </c>
      <c r="B51" s="337" t="s">
        <v>1404</v>
      </c>
      <c r="C51" s="175" t="s">
        <v>490</v>
      </c>
      <c r="D51" s="93"/>
      <c r="E51" s="93"/>
      <c r="F51" s="161"/>
    </row>
    <row r="52" spans="1:6" ht="37.5" hidden="1" x14ac:dyDescent="0.25">
      <c r="A52" s="343">
        <v>45323</v>
      </c>
      <c r="B52" s="337" t="s">
        <v>1404</v>
      </c>
      <c r="C52" s="175" t="s">
        <v>491</v>
      </c>
      <c r="D52" s="93">
        <v>2</v>
      </c>
      <c r="E52" s="93">
        <v>80</v>
      </c>
      <c r="F52" s="161" t="s">
        <v>421</v>
      </c>
    </row>
    <row r="53" spans="1:6" ht="37.5" hidden="1" x14ac:dyDescent="0.25">
      <c r="A53" s="343">
        <v>45323</v>
      </c>
      <c r="B53" s="337" t="s">
        <v>1405</v>
      </c>
      <c r="C53" s="175" t="s">
        <v>489</v>
      </c>
      <c r="D53" s="93">
        <v>2</v>
      </c>
      <c r="E53" s="93">
        <v>185</v>
      </c>
      <c r="F53" s="161" t="s">
        <v>416</v>
      </c>
    </row>
    <row r="54" spans="1:6" hidden="1" x14ac:dyDescent="0.25">
      <c r="A54" s="343">
        <v>45323</v>
      </c>
      <c r="B54" s="337" t="s">
        <v>1405</v>
      </c>
      <c r="C54" s="175" t="s">
        <v>490</v>
      </c>
      <c r="D54" s="93">
        <v>7</v>
      </c>
      <c r="E54" s="93">
        <v>870</v>
      </c>
      <c r="F54" s="161"/>
    </row>
    <row r="55" spans="1:6" ht="75" hidden="1" x14ac:dyDescent="0.25">
      <c r="A55" s="343">
        <v>45323</v>
      </c>
      <c r="B55" s="337" t="s">
        <v>1405</v>
      </c>
      <c r="C55" s="175" t="s">
        <v>491</v>
      </c>
      <c r="D55" s="93">
        <v>4</v>
      </c>
      <c r="E55" s="93">
        <v>16</v>
      </c>
      <c r="F55" s="161" t="s">
        <v>417</v>
      </c>
    </row>
    <row r="56" spans="1:6" ht="75" hidden="1" x14ac:dyDescent="0.25">
      <c r="A56" s="343">
        <v>45323</v>
      </c>
      <c r="B56" s="337" t="s">
        <v>1406</v>
      </c>
      <c r="C56" s="175" t="s">
        <v>489</v>
      </c>
      <c r="D56" s="93">
        <v>4</v>
      </c>
      <c r="E56" s="93">
        <v>420</v>
      </c>
      <c r="F56" s="161" t="s">
        <v>424</v>
      </c>
    </row>
    <row r="57" spans="1:6" ht="206.25" hidden="1" x14ac:dyDescent="0.25">
      <c r="A57" s="343">
        <v>45323</v>
      </c>
      <c r="B57" s="337" t="s">
        <v>1406</v>
      </c>
      <c r="C57" s="175" t="s">
        <v>490</v>
      </c>
      <c r="D57" s="93">
        <v>14</v>
      </c>
      <c r="E57" s="93">
        <v>1770</v>
      </c>
      <c r="F57" s="161" t="s">
        <v>425</v>
      </c>
    </row>
    <row r="58" spans="1:6" hidden="1" x14ac:dyDescent="0.25">
      <c r="A58" s="343">
        <v>45323</v>
      </c>
      <c r="B58" s="337" t="s">
        <v>1406</v>
      </c>
      <c r="C58" s="175" t="s">
        <v>491</v>
      </c>
      <c r="D58" s="93"/>
      <c r="E58" s="93"/>
      <c r="F58" s="161"/>
    </row>
    <row r="59" spans="1:6" ht="75" hidden="1" x14ac:dyDescent="0.25">
      <c r="A59" s="343">
        <v>45323</v>
      </c>
      <c r="B59" s="337" t="s">
        <v>1438</v>
      </c>
      <c r="C59" s="175" t="s">
        <v>489</v>
      </c>
      <c r="D59" s="93">
        <v>4</v>
      </c>
      <c r="E59" s="93">
        <v>310</v>
      </c>
      <c r="F59" s="161" t="s">
        <v>426</v>
      </c>
    </row>
    <row r="60" spans="1:6" ht="93.75" hidden="1" x14ac:dyDescent="0.25">
      <c r="A60" s="343">
        <v>45323</v>
      </c>
      <c r="B60" s="337" t="s">
        <v>1438</v>
      </c>
      <c r="C60" s="175" t="s">
        <v>490</v>
      </c>
      <c r="D60" s="93">
        <v>5</v>
      </c>
      <c r="E60" s="93">
        <v>320</v>
      </c>
      <c r="F60" s="161" t="s">
        <v>428</v>
      </c>
    </row>
    <row r="61" spans="1:6" ht="187.5" hidden="1" x14ac:dyDescent="0.25">
      <c r="A61" s="343">
        <v>45323</v>
      </c>
      <c r="B61" s="337" t="s">
        <v>1438</v>
      </c>
      <c r="C61" s="175" t="s">
        <v>491</v>
      </c>
      <c r="D61" s="93">
        <v>11</v>
      </c>
      <c r="E61" s="93">
        <v>231</v>
      </c>
      <c r="F61" s="161" t="s">
        <v>427</v>
      </c>
    </row>
    <row r="62" spans="1:6" ht="37.5" hidden="1" x14ac:dyDescent="0.25">
      <c r="A62" s="343">
        <v>45323</v>
      </c>
      <c r="B62" s="337" t="s">
        <v>1408</v>
      </c>
      <c r="C62" s="175" t="s">
        <v>489</v>
      </c>
      <c r="D62" s="93">
        <v>2</v>
      </c>
      <c r="E62" s="93">
        <v>200</v>
      </c>
      <c r="F62" s="166" t="s">
        <v>429</v>
      </c>
    </row>
    <row r="63" spans="1:6" ht="56.25" hidden="1" x14ac:dyDescent="0.25">
      <c r="A63" s="343">
        <v>45323</v>
      </c>
      <c r="B63" s="337" t="s">
        <v>1408</v>
      </c>
      <c r="C63" s="175" t="s">
        <v>490</v>
      </c>
      <c r="D63" s="93">
        <v>3</v>
      </c>
      <c r="E63" s="93">
        <v>60</v>
      </c>
      <c r="F63" s="161" t="s">
        <v>430</v>
      </c>
    </row>
    <row r="64" spans="1:6" hidden="1" x14ac:dyDescent="0.25">
      <c r="A64" s="343">
        <v>45323</v>
      </c>
      <c r="B64" s="337" t="s">
        <v>1408</v>
      </c>
      <c r="C64" s="175" t="s">
        <v>491</v>
      </c>
      <c r="D64" s="93"/>
      <c r="E64" s="93"/>
      <c r="F64" s="161"/>
    </row>
    <row r="65" spans="1:6" hidden="1" x14ac:dyDescent="0.25">
      <c r="A65" s="343">
        <v>45323</v>
      </c>
      <c r="B65" s="337" t="s">
        <v>1409</v>
      </c>
      <c r="C65" s="175" t="s">
        <v>489</v>
      </c>
      <c r="D65" s="93">
        <v>1</v>
      </c>
      <c r="E65" s="93">
        <v>85</v>
      </c>
      <c r="F65" s="161" t="s">
        <v>431</v>
      </c>
    </row>
    <row r="66" spans="1:6" hidden="1" x14ac:dyDescent="0.25">
      <c r="A66" s="343">
        <v>45323</v>
      </c>
      <c r="B66" s="337" t="s">
        <v>1409</v>
      </c>
      <c r="C66" s="175" t="s">
        <v>490</v>
      </c>
      <c r="D66" s="93">
        <v>1</v>
      </c>
      <c r="E66" s="93">
        <v>8</v>
      </c>
      <c r="F66" s="161" t="s">
        <v>432</v>
      </c>
    </row>
    <row r="67" spans="1:6" hidden="1" x14ac:dyDescent="0.25">
      <c r="A67" s="343">
        <v>45323</v>
      </c>
      <c r="B67" s="337" t="s">
        <v>1409</v>
      </c>
      <c r="C67" s="175" t="s">
        <v>491</v>
      </c>
      <c r="D67" s="93"/>
      <c r="E67" s="93"/>
      <c r="F67" s="161"/>
    </row>
    <row r="68" spans="1:6" hidden="1" x14ac:dyDescent="0.25">
      <c r="A68" s="343">
        <v>45323</v>
      </c>
      <c r="B68" s="337" t="s">
        <v>1410</v>
      </c>
      <c r="C68" s="175" t="s">
        <v>489</v>
      </c>
      <c r="D68" s="93"/>
      <c r="E68" s="93"/>
      <c r="F68" s="161"/>
    </row>
    <row r="69" spans="1:6" hidden="1" x14ac:dyDescent="0.25">
      <c r="A69" s="343">
        <v>45323</v>
      </c>
      <c r="B69" s="337" t="s">
        <v>1410</v>
      </c>
      <c r="C69" s="175" t="s">
        <v>490</v>
      </c>
      <c r="D69" s="93"/>
      <c r="E69" s="93"/>
      <c r="F69" s="161"/>
    </row>
    <row r="70" spans="1:6" hidden="1" x14ac:dyDescent="0.25">
      <c r="A70" s="343">
        <v>45323</v>
      </c>
      <c r="B70" s="337" t="s">
        <v>1410</v>
      </c>
      <c r="C70" s="175" t="s">
        <v>491</v>
      </c>
      <c r="D70" s="93"/>
      <c r="E70" s="93"/>
      <c r="F70" s="161"/>
    </row>
    <row r="71" spans="1:6" hidden="1" x14ac:dyDescent="0.25">
      <c r="A71" s="343">
        <v>45323</v>
      </c>
      <c r="B71" s="337" t="s">
        <v>1411</v>
      </c>
      <c r="C71" s="175" t="s">
        <v>489</v>
      </c>
      <c r="D71" s="93">
        <v>1</v>
      </c>
      <c r="E71" s="93">
        <v>60</v>
      </c>
      <c r="F71" s="161" t="s">
        <v>437</v>
      </c>
    </row>
    <row r="72" spans="1:6" hidden="1" x14ac:dyDescent="0.25">
      <c r="A72" s="343">
        <v>45323</v>
      </c>
      <c r="B72" s="337" t="s">
        <v>1411</v>
      </c>
      <c r="C72" s="175" t="s">
        <v>490</v>
      </c>
      <c r="D72" s="93">
        <v>1</v>
      </c>
      <c r="E72" s="93">
        <v>15</v>
      </c>
      <c r="F72" s="161" t="s">
        <v>438</v>
      </c>
    </row>
    <row r="73" spans="1:6" ht="37.5" hidden="1" x14ac:dyDescent="0.25">
      <c r="A73" s="343">
        <v>45323</v>
      </c>
      <c r="B73" s="337" t="s">
        <v>1411</v>
      </c>
      <c r="C73" s="175" t="s">
        <v>491</v>
      </c>
      <c r="D73" s="93">
        <v>2</v>
      </c>
      <c r="E73" s="93">
        <v>25</v>
      </c>
      <c r="F73" s="161" t="s">
        <v>439</v>
      </c>
    </row>
    <row r="74" spans="1:6" ht="37.5" hidden="1" x14ac:dyDescent="0.25">
      <c r="A74" s="343">
        <v>45323</v>
      </c>
      <c r="B74" s="337" t="s">
        <v>1452</v>
      </c>
      <c r="C74" s="175" t="s">
        <v>489</v>
      </c>
      <c r="D74" s="93">
        <v>2</v>
      </c>
      <c r="E74" s="93">
        <v>405</v>
      </c>
      <c r="F74" s="161" t="s">
        <v>434</v>
      </c>
    </row>
    <row r="75" spans="1:6" ht="131.25" hidden="1" x14ac:dyDescent="0.25">
      <c r="A75" s="343">
        <v>45323</v>
      </c>
      <c r="B75" s="337" t="s">
        <v>1452</v>
      </c>
      <c r="C75" s="175" t="s">
        <v>490</v>
      </c>
      <c r="D75" s="93">
        <v>7</v>
      </c>
      <c r="E75" s="93">
        <v>603</v>
      </c>
      <c r="F75" s="161" t="s">
        <v>435</v>
      </c>
    </row>
    <row r="76" spans="1:6" hidden="1" x14ac:dyDescent="0.25">
      <c r="A76" s="343">
        <v>45323</v>
      </c>
      <c r="B76" s="337" t="s">
        <v>1452</v>
      </c>
      <c r="C76" s="175" t="s">
        <v>491</v>
      </c>
      <c r="D76" s="93"/>
      <c r="E76" s="93"/>
      <c r="F76" s="161"/>
    </row>
    <row r="77" spans="1:6" ht="112.5" hidden="1" x14ac:dyDescent="0.25">
      <c r="A77" s="343">
        <v>45323</v>
      </c>
      <c r="B77" s="337" t="s">
        <v>1413</v>
      </c>
      <c r="C77" s="175" t="s">
        <v>489</v>
      </c>
      <c r="D77" s="93">
        <v>6</v>
      </c>
      <c r="E77" s="93">
        <v>1105</v>
      </c>
      <c r="F77" s="161" t="s">
        <v>433</v>
      </c>
    </row>
    <row r="78" spans="1:6" ht="75" hidden="1" x14ac:dyDescent="0.25">
      <c r="A78" s="343">
        <v>45323</v>
      </c>
      <c r="B78" s="337" t="s">
        <v>1413</v>
      </c>
      <c r="C78" s="175" t="s">
        <v>490</v>
      </c>
      <c r="D78" s="93">
        <v>4</v>
      </c>
      <c r="E78" s="93">
        <v>159</v>
      </c>
      <c r="F78" s="161" t="s">
        <v>422</v>
      </c>
    </row>
    <row r="79" spans="1:6" ht="75" hidden="1" x14ac:dyDescent="0.25">
      <c r="A79" s="343">
        <v>45323</v>
      </c>
      <c r="B79" s="337" t="s">
        <v>1413</v>
      </c>
      <c r="C79" s="175" t="s">
        <v>491</v>
      </c>
      <c r="D79" s="93">
        <v>4</v>
      </c>
      <c r="E79" s="93">
        <v>176</v>
      </c>
      <c r="F79" s="161" t="s">
        <v>423</v>
      </c>
    </row>
    <row r="80" spans="1:6" hidden="1" x14ac:dyDescent="0.25">
      <c r="A80" s="343">
        <v>45352</v>
      </c>
      <c r="B80" s="337" t="s">
        <v>1401</v>
      </c>
      <c r="C80" s="175" t="s">
        <v>489</v>
      </c>
      <c r="D80" s="93"/>
      <c r="E80" s="93"/>
      <c r="F80" s="161"/>
    </row>
    <row r="81" spans="1:6" hidden="1" x14ac:dyDescent="0.25">
      <c r="A81" s="343">
        <v>45352</v>
      </c>
      <c r="B81" s="337" t="s">
        <v>1401</v>
      </c>
      <c r="C81" s="175" t="s">
        <v>490</v>
      </c>
      <c r="D81" s="93"/>
      <c r="E81" s="93"/>
      <c r="F81" s="161"/>
    </row>
    <row r="82" spans="1:6" hidden="1" x14ac:dyDescent="0.25">
      <c r="A82" s="343">
        <v>45352</v>
      </c>
      <c r="B82" s="337" t="s">
        <v>1401</v>
      </c>
      <c r="C82" s="175" t="s">
        <v>491</v>
      </c>
      <c r="D82" s="93">
        <v>1</v>
      </c>
      <c r="E82" s="93">
        <v>20</v>
      </c>
      <c r="F82" s="161" t="s">
        <v>464</v>
      </c>
    </row>
    <row r="83" spans="1:6" hidden="1" x14ac:dyDescent="0.25">
      <c r="A83" s="343">
        <v>45352</v>
      </c>
      <c r="B83" s="337" t="s">
        <v>1402</v>
      </c>
      <c r="C83" s="175" t="s">
        <v>489</v>
      </c>
      <c r="D83" s="93">
        <v>1</v>
      </c>
      <c r="E83" s="93">
        <v>50</v>
      </c>
      <c r="F83" s="161" t="s">
        <v>461</v>
      </c>
    </row>
    <row r="84" spans="1:6" hidden="1" x14ac:dyDescent="0.25">
      <c r="A84" s="343">
        <v>45352</v>
      </c>
      <c r="B84" s="337" t="s">
        <v>1402</v>
      </c>
      <c r="C84" s="175" t="s">
        <v>490</v>
      </c>
      <c r="D84" s="93"/>
      <c r="E84" s="93"/>
      <c r="F84" s="161"/>
    </row>
    <row r="85" spans="1:6" hidden="1" x14ac:dyDescent="0.25">
      <c r="A85" s="343">
        <v>45352</v>
      </c>
      <c r="B85" s="337" t="s">
        <v>1402</v>
      </c>
      <c r="C85" s="175" t="s">
        <v>491</v>
      </c>
      <c r="D85" s="93"/>
      <c r="E85" s="93"/>
      <c r="F85" s="161"/>
    </row>
    <row r="86" spans="1:6" hidden="1" x14ac:dyDescent="0.25">
      <c r="A86" s="343">
        <v>45352</v>
      </c>
      <c r="B86" s="337" t="s">
        <v>1403</v>
      </c>
      <c r="C86" s="175" t="s">
        <v>489</v>
      </c>
      <c r="D86" s="93">
        <v>1</v>
      </c>
      <c r="E86" s="93">
        <v>155</v>
      </c>
      <c r="F86" s="161" t="s">
        <v>459</v>
      </c>
    </row>
    <row r="87" spans="1:6" hidden="1" x14ac:dyDescent="0.25">
      <c r="A87" s="343">
        <v>45352</v>
      </c>
      <c r="B87" s="337" t="s">
        <v>1403</v>
      </c>
      <c r="C87" s="175" t="s">
        <v>490</v>
      </c>
      <c r="D87" s="93">
        <v>1</v>
      </c>
      <c r="E87" s="93">
        <v>300</v>
      </c>
      <c r="F87" s="161" t="s">
        <v>460</v>
      </c>
    </row>
    <row r="88" spans="1:6" hidden="1" x14ac:dyDescent="0.25">
      <c r="A88" s="343">
        <v>45352</v>
      </c>
      <c r="B88" s="337" t="s">
        <v>1403</v>
      </c>
      <c r="C88" s="175" t="s">
        <v>491</v>
      </c>
      <c r="D88" s="93"/>
      <c r="E88" s="93"/>
      <c r="F88" s="161"/>
    </row>
    <row r="89" spans="1:6" ht="37.5" hidden="1" x14ac:dyDescent="0.25">
      <c r="A89" s="343">
        <v>45352</v>
      </c>
      <c r="B89" s="337" t="s">
        <v>1404</v>
      </c>
      <c r="C89" s="175" t="s">
        <v>489</v>
      </c>
      <c r="D89" s="93">
        <v>1</v>
      </c>
      <c r="E89" s="93">
        <v>80</v>
      </c>
      <c r="F89" s="161" t="s">
        <v>444</v>
      </c>
    </row>
    <row r="90" spans="1:6" ht="37.5" hidden="1" x14ac:dyDescent="0.25">
      <c r="A90" s="343">
        <v>45352</v>
      </c>
      <c r="B90" s="337" t="s">
        <v>1404</v>
      </c>
      <c r="C90" s="175" t="s">
        <v>490</v>
      </c>
      <c r="D90" s="93">
        <v>2</v>
      </c>
      <c r="E90" s="93">
        <v>145</v>
      </c>
      <c r="F90" s="161" t="s">
        <v>445</v>
      </c>
    </row>
    <row r="91" spans="1:6" hidden="1" x14ac:dyDescent="0.25">
      <c r="A91" s="343">
        <v>45352</v>
      </c>
      <c r="B91" s="337" t="s">
        <v>1404</v>
      </c>
      <c r="C91" s="175" t="s">
        <v>491</v>
      </c>
      <c r="D91" s="93"/>
      <c r="E91" s="93"/>
      <c r="F91" s="161"/>
    </row>
    <row r="92" spans="1:6" ht="37.5" hidden="1" x14ac:dyDescent="0.25">
      <c r="A92" s="343">
        <v>45352</v>
      </c>
      <c r="B92" s="337" t="s">
        <v>1405</v>
      </c>
      <c r="C92" s="175" t="s">
        <v>489</v>
      </c>
      <c r="D92" s="93">
        <v>2</v>
      </c>
      <c r="E92" s="93">
        <v>175</v>
      </c>
      <c r="F92" s="161" t="s">
        <v>446</v>
      </c>
    </row>
    <row r="93" spans="1:6" ht="37.5" hidden="1" x14ac:dyDescent="0.25">
      <c r="A93" s="343">
        <v>45352</v>
      </c>
      <c r="B93" s="337" t="s">
        <v>1405</v>
      </c>
      <c r="C93" s="175" t="s">
        <v>490</v>
      </c>
      <c r="D93" s="93">
        <v>2</v>
      </c>
      <c r="E93" s="93">
        <v>150</v>
      </c>
      <c r="F93" s="161" t="s">
        <v>447</v>
      </c>
    </row>
    <row r="94" spans="1:6" ht="75" hidden="1" x14ac:dyDescent="0.25">
      <c r="A94" s="343">
        <v>45352</v>
      </c>
      <c r="B94" s="337" t="s">
        <v>1405</v>
      </c>
      <c r="C94" s="175" t="s">
        <v>491</v>
      </c>
      <c r="D94" s="93">
        <v>4</v>
      </c>
      <c r="E94" s="93">
        <v>119</v>
      </c>
      <c r="F94" s="161" t="s">
        <v>448</v>
      </c>
    </row>
    <row r="95" spans="1:6" ht="206.25" hidden="1" x14ac:dyDescent="0.25">
      <c r="A95" s="343">
        <v>45352</v>
      </c>
      <c r="B95" s="338" t="s">
        <v>1406</v>
      </c>
      <c r="C95" s="175" t="s">
        <v>489</v>
      </c>
      <c r="D95" s="93">
        <v>11</v>
      </c>
      <c r="E95" s="93">
        <v>1676</v>
      </c>
      <c r="F95" s="161" t="s">
        <v>441</v>
      </c>
    </row>
    <row r="96" spans="1:6" hidden="1" x14ac:dyDescent="0.25">
      <c r="A96" s="343">
        <v>45352</v>
      </c>
      <c r="B96" s="338" t="s">
        <v>1406</v>
      </c>
      <c r="C96" s="175" t="s">
        <v>490</v>
      </c>
      <c r="D96" s="93">
        <v>1</v>
      </c>
      <c r="E96" s="93">
        <v>105</v>
      </c>
      <c r="F96" s="161" t="s">
        <v>442</v>
      </c>
    </row>
    <row r="97" spans="1:6" hidden="1" x14ac:dyDescent="0.25">
      <c r="A97" s="343">
        <v>45352</v>
      </c>
      <c r="B97" s="338" t="s">
        <v>1406</v>
      </c>
      <c r="C97" s="175" t="s">
        <v>491</v>
      </c>
      <c r="D97" s="93">
        <v>1</v>
      </c>
      <c r="E97" s="93">
        <v>70</v>
      </c>
      <c r="F97" s="161" t="s">
        <v>443</v>
      </c>
    </row>
    <row r="98" spans="1:6" ht="75" hidden="1" x14ac:dyDescent="0.25">
      <c r="A98" s="343">
        <v>45352</v>
      </c>
      <c r="B98" s="337" t="s">
        <v>1438</v>
      </c>
      <c r="C98" s="175" t="s">
        <v>489</v>
      </c>
      <c r="D98" s="93">
        <v>4</v>
      </c>
      <c r="E98" s="93">
        <v>120</v>
      </c>
      <c r="F98" s="161" t="s">
        <v>451</v>
      </c>
    </row>
    <row r="99" spans="1:6" ht="112.5" hidden="1" x14ac:dyDescent="0.25">
      <c r="A99" s="343">
        <v>45352</v>
      </c>
      <c r="B99" s="337" t="s">
        <v>1438</v>
      </c>
      <c r="C99" s="175" t="s">
        <v>490</v>
      </c>
      <c r="D99" s="93">
        <v>6</v>
      </c>
      <c r="E99" s="93">
        <v>285</v>
      </c>
      <c r="F99" s="161" t="s">
        <v>450</v>
      </c>
    </row>
    <row r="100" spans="1:6" ht="75" hidden="1" x14ac:dyDescent="0.25">
      <c r="A100" s="343">
        <v>45352</v>
      </c>
      <c r="B100" s="337" t="s">
        <v>1438</v>
      </c>
      <c r="C100" s="175" t="s">
        <v>491</v>
      </c>
      <c r="D100" s="93">
        <v>4</v>
      </c>
      <c r="E100" s="93">
        <v>81</v>
      </c>
      <c r="F100" s="171" t="s">
        <v>449</v>
      </c>
    </row>
    <row r="101" spans="1:6" hidden="1" x14ac:dyDescent="0.25">
      <c r="A101" s="343">
        <v>45352</v>
      </c>
      <c r="B101" s="337" t="s">
        <v>1408</v>
      </c>
      <c r="C101" s="175" t="s">
        <v>489</v>
      </c>
      <c r="D101" s="93">
        <v>1</v>
      </c>
      <c r="E101" s="93">
        <v>30</v>
      </c>
      <c r="F101" s="166" t="s">
        <v>457</v>
      </c>
    </row>
    <row r="102" spans="1:6" ht="56.25" hidden="1" x14ac:dyDescent="0.25">
      <c r="A102" s="343">
        <v>45352</v>
      </c>
      <c r="B102" s="337" t="s">
        <v>1408</v>
      </c>
      <c r="C102" s="175" t="s">
        <v>490</v>
      </c>
      <c r="D102" s="93">
        <v>3</v>
      </c>
      <c r="E102" s="93">
        <v>50</v>
      </c>
      <c r="F102" s="161" t="s">
        <v>458</v>
      </c>
    </row>
    <row r="103" spans="1:6" hidden="1" x14ac:dyDescent="0.25">
      <c r="A103" s="343">
        <v>45352</v>
      </c>
      <c r="B103" s="337" t="s">
        <v>1408</v>
      </c>
      <c r="C103" s="175" t="s">
        <v>491</v>
      </c>
      <c r="D103" s="93"/>
      <c r="E103" s="93"/>
      <c r="F103" s="161"/>
    </row>
    <row r="104" spans="1:6" hidden="1" x14ac:dyDescent="0.25">
      <c r="A104" s="343">
        <v>45352</v>
      </c>
      <c r="B104" s="337" t="s">
        <v>1409</v>
      </c>
      <c r="C104" s="175" t="s">
        <v>489</v>
      </c>
      <c r="D104" s="93"/>
      <c r="E104" s="93"/>
      <c r="F104" s="161"/>
    </row>
    <row r="105" spans="1:6" ht="56.25" hidden="1" x14ac:dyDescent="0.25">
      <c r="A105" s="343">
        <v>45352</v>
      </c>
      <c r="B105" s="337" t="s">
        <v>1409</v>
      </c>
      <c r="C105" s="175" t="s">
        <v>490</v>
      </c>
      <c r="D105" s="93">
        <v>4</v>
      </c>
      <c r="E105" s="93">
        <v>420</v>
      </c>
      <c r="F105" s="161" t="s">
        <v>466</v>
      </c>
    </row>
    <row r="106" spans="1:6" hidden="1" x14ac:dyDescent="0.25">
      <c r="A106" s="343">
        <v>45352</v>
      </c>
      <c r="B106" s="337" t="s">
        <v>1409</v>
      </c>
      <c r="C106" s="175" t="s">
        <v>491</v>
      </c>
      <c r="D106" s="93"/>
      <c r="E106" s="93"/>
      <c r="F106" s="161"/>
    </row>
    <row r="107" spans="1:6" ht="37.5" hidden="1" x14ac:dyDescent="0.25">
      <c r="A107" s="343">
        <v>45352</v>
      </c>
      <c r="B107" s="337" t="s">
        <v>1410</v>
      </c>
      <c r="C107" s="175" t="s">
        <v>489</v>
      </c>
      <c r="D107" s="93">
        <v>2</v>
      </c>
      <c r="E107" s="93">
        <v>335</v>
      </c>
      <c r="F107" s="161" t="s">
        <v>455</v>
      </c>
    </row>
    <row r="108" spans="1:6" hidden="1" x14ac:dyDescent="0.25">
      <c r="A108" s="343">
        <v>45352</v>
      </c>
      <c r="B108" s="337" t="s">
        <v>1410</v>
      </c>
      <c r="C108" s="175" t="s">
        <v>490</v>
      </c>
      <c r="D108" s="93"/>
      <c r="E108" s="93"/>
      <c r="F108" s="161"/>
    </row>
    <row r="109" spans="1:6" hidden="1" x14ac:dyDescent="0.25">
      <c r="A109" s="343">
        <v>45352</v>
      </c>
      <c r="B109" s="337" t="s">
        <v>1410</v>
      </c>
      <c r="C109" s="175" t="s">
        <v>491</v>
      </c>
      <c r="D109" s="93"/>
      <c r="E109" s="93"/>
      <c r="F109" s="161"/>
    </row>
    <row r="110" spans="1:6" hidden="1" x14ac:dyDescent="0.25">
      <c r="A110" s="343">
        <v>45352</v>
      </c>
      <c r="B110" s="337" t="s">
        <v>1411</v>
      </c>
      <c r="C110" s="175" t="s">
        <v>489</v>
      </c>
      <c r="D110" s="93">
        <v>1</v>
      </c>
      <c r="E110" s="93">
        <v>60</v>
      </c>
      <c r="F110" s="161" t="s">
        <v>465</v>
      </c>
    </row>
    <row r="111" spans="1:6" hidden="1" x14ac:dyDescent="0.25">
      <c r="A111" s="343">
        <v>45352</v>
      </c>
      <c r="B111" s="337" t="s">
        <v>1411</v>
      </c>
      <c r="C111" s="175" t="s">
        <v>490</v>
      </c>
      <c r="D111" s="93"/>
      <c r="E111" s="93"/>
      <c r="F111" s="161"/>
    </row>
    <row r="112" spans="1:6" hidden="1" x14ac:dyDescent="0.25">
      <c r="A112" s="343">
        <v>45352</v>
      </c>
      <c r="B112" s="337" t="s">
        <v>1411</v>
      </c>
      <c r="C112" s="175" t="s">
        <v>491</v>
      </c>
      <c r="D112" s="93"/>
      <c r="E112" s="93"/>
      <c r="F112" s="161"/>
    </row>
    <row r="113" spans="1:6" ht="75" hidden="1" x14ac:dyDescent="0.25">
      <c r="A113" s="343">
        <v>45352</v>
      </c>
      <c r="B113" s="337" t="s">
        <v>1452</v>
      </c>
      <c r="C113" s="175" t="s">
        <v>489</v>
      </c>
      <c r="D113" s="93">
        <v>4</v>
      </c>
      <c r="E113" s="93">
        <v>355</v>
      </c>
      <c r="F113" s="161" t="s">
        <v>462</v>
      </c>
    </row>
    <row r="114" spans="1:6" ht="112.5" hidden="1" x14ac:dyDescent="0.25">
      <c r="A114" s="343">
        <v>45352</v>
      </c>
      <c r="B114" s="337" t="s">
        <v>1452</v>
      </c>
      <c r="C114" s="175" t="s">
        <v>490</v>
      </c>
      <c r="D114" s="93">
        <v>6</v>
      </c>
      <c r="E114" s="93">
        <v>498</v>
      </c>
      <c r="F114" s="161" t="s">
        <v>463</v>
      </c>
    </row>
    <row r="115" spans="1:6" hidden="1" x14ac:dyDescent="0.25">
      <c r="A115" s="343">
        <v>45352</v>
      </c>
      <c r="B115" s="337" t="s">
        <v>1452</v>
      </c>
      <c r="C115" s="175" t="s">
        <v>491</v>
      </c>
      <c r="D115" s="93"/>
      <c r="E115" s="93"/>
      <c r="F115" s="161"/>
    </row>
    <row r="116" spans="1:6" ht="93.75" hidden="1" x14ac:dyDescent="0.25">
      <c r="A116" s="343">
        <v>45352</v>
      </c>
      <c r="B116" s="337" t="s">
        <v>1413</v>
      </c>
      <c r="C116" s="175" t="s">
        <v>489</v>
      </c>
      <c r="D116" s="93">
        <v>4</v>
      </c>
      <c r="E116" s="93">
        <v>650</v>
      </c>
      <c r="F116" s="161" t="s">
        <v>452</v>
      </c>
    </row>
    <row r="117" spans="1:6" ht="75" hidden="1" x14ac:dyDescent="0.25">
      <c r="A117" s="343">
        <v>45352</v>
      </c>
      <c r="B117" s="337" t="s">
        <v>1413</v>
      </c>
      <c r="C117" s="175" t="s">
        <v>490</v>
      </c>
      <c r="D117" s="93">
        <v>4</v>
      </c>
      <c r="E117" s="93">
        <v>204</v>
      </c>
      <c r="F117" s="161" t="s">
        <v>453</v>
      </c>
    </row>
    <row r="118" spans="1:6" ht="93.75" hidden="1" x14ac:dyDescent="0.25">
      <c r="A118" s="343">
        <v>45352</v>
      </c>
      <c r="B118" s="337" t="s">
        <v>1413</v>
      </c>
      <c r="C118" s="175" t="s">
        <v>491</v>
      </c>
      <c r="D118" s="93">
        <v>5</v>
      </c>
      <c r="E118" s="93">
        <v>218</v>
      </c>
      <c r="F118" s="161" t="s">
        <v>454</v>
      </c>
    </row>
    <row r="119" spans="1:6" ht="20.25" hidden="1" x14ac:dyDescent="0.25">
      <c r="A119" s="344">
        <v>45383</v>
      </c>
      <c r="B119" s="336" t="s">
        <v>1401</v>
      </c>
      <c r="C119" s="240" t="s">
        <v>489</v>
      </c>
      <c r="D119" s="34">
        <v>1</v>
      </c>
      <c r="E119" s="34">
        <v>30</v>
      </c>
      <c r="F119" s="177" t="s">
        <v>506</v>
      </c>
    </row>
    <row r="120" spans="1:6" ht="20.25" hidden="1" x14ac:dyDescent="0.25">
      <c r="A120" s="344">
        <v>45383</v>
      </c>
      <c r="B120" s="336" t="s">
        <v>1401</v>
      </c>
      <c r="C120" s="240" t="s">
        <v>490</v>
      </c>
      <c r="D120" s="34">
        <v>1</v>
      </c>
      <c r="E120" s="34">
        <v>150</v>
      </c>
      <c r="F120" s="177" t="s">
        <v>472</v>
      </c>
    </row>
    <row r="121" spans="1:6" ht="121.5" hidden="1" x14ac:dyDescent="0.25">
      <c r="A121" s="344">
        <v>45383</v>
      </c>
      <c r="B121" s="336" t="s">
        <v>1401</v>
      </c>
      <c r="C121" s="240" t="s">
        <v>491</v>
      </c>
      <c r="D121" s="34">
        <v>6</v>
      </c>
      <c r="E121" s="34">
        <v>353</v>
      </c>
      <c r="F121" s="177" t="s">
        <v>473</v>
      </c>
    </row>
    <row r="122" spans="1:6" ht="20.25" hidden="1" x14ac:dyDescent="0.25">
      <c r="A122" s="344">
        <v>45383</v>
      </c>
      <c r="B122" s="336" t="s">
        <v>1402</v>
      </c>
      <c r="C122" s="240" t="s">
        <v>489</v>
      </c>
      <c r="D122" s="34">
        <v>1</v>
      </c>
      <c r="E122" s="34">
        <v>500</v>
      </c>
      <c r="F122" s="177" t="s">
        <v>503</v>
      </c>
    </row>
    <row r="123" spans="1:6" ht="20.25" hidden="1" x14ac:dyDescent="0.25">
      <c r="A123" s="344">
        <v>45383</v>
      </c>
      <c r="B123" s="336" t="s">
        <v>1402</v>
      </c>
      <c r="C123" s="240" t="s">
        <v>490</v>
      </c>
      <c r="D123" s="34"/>
      <c r="E123" s="34"/>
      <c r="F123" s="177"/>
    </row>
    <row r="124" spans="1:6" ht="40.5" hidden="1" x14ac:dyDescent="0.25">
      <c r="A124" s="344">
        <v>45383</v>
      </c>
      <c r="B124" s="336" t="s">
        <v>1402</v>
      </c>
      <c r="C124" s="240" t="s">
        <v>491</v>
      </c>
      <c r="D124" s="34">
        <v>2</v>
      </c>
      <c r="E124" s="34">
        <v>350</v>
      </c>
      <c r="F124" s="177" t="s">
        <v>474</v>
      </c>
    </row>
    <row r="125" spans="1:6" ht="20.25" hidden="1" x14ac:dyDescent="0.25">
      <c r="A125" s="344">
        <v>45383</v>
      </c>
      <c r="B125" s="336" t="s">
        <v>1403</v>
      </c>
      <c r="C125" s="240" t="s">
        <v>489</v>
      </c>
      <c r="D125" s="34">
        <v>1</v>
      </c>
      <c r="E125" s="34">
        <v>55</v>
      </c>
      <c r="F125" s="177" t="s">
        <v>480</v>
      </c>
    </row>
    <row r="126" spans="1:6" ht="60.75" hidden="1" x14ac:dyDescent="0.25">
      <c r="A126" s="344">
        <v>45383</v>
      </c>
      <c r="B126" s="336" t="s">
        <v>1403</v>
      </c>
      <c r="C126" s="240" t="s">
        <v>490</v>
      </c>
      <c r="D126" s="34">
        <v>2</v>
      </c>
      <c r="E126" s="34">
        <v>550</v>
      </c>
      <c r="F126" s="177" t="s">
        <v>481</v>
      </c>
    </row>
    <row r="127" spans="1:6" ht="20.25" hidden="1" x14ac:dyDescent="0.25">
      <c r="A127" s="344">
        <v>45383</v>
      </c>
      <c r="B127" s="336" t="s">
        <v>1403</v>
      </c>
      <c r="C127" s="240" t="s">
        <v>491</v>
      </c>
      <c r="D127" s="34"/>
      <c r="E127" s="34"/>
      <c r="F127" s="177"/>
    </row>
    <row r="128" spans="1:6" ht="60.75" hidden="1" x14ac:dyDescent="0.25">
      <c r="A128" s="344">
        <v>45383</v>
      </c>
      <c r="B128" s="336" t="s">
        <v>1404</v>
      </c>
      <c r="C128" s="240" t="s">
        <v>489</v>
      </c>
      <c r="D128" s="34">
        <v>3</v>
      </c>
      <c r="E128" s="34">
        <v>460</v>
      </c>
      <c r="F128" s="177" t="s">
        <v>475</v>
      </c>
    </row>
    <row r="129" spans="1:6" ht="101.25" hidden="1" x14ac:dyDescent="0.25">
      <c r="A129" s="344">
        <v>45383</v>
      </c>
      <c r="B129" s="336" t="s">
        <v>1404</v>
      </c>
      <c r="C129" s="240" t="s">
        <v>490</v>
      </c>
      <c r="D129" s="34">
        <v>5</v>
      </c>
      <c r="E129" s="34">
        <v>118</v>
      </c>
      <c r="F129" s="177" t="s">
        <v>476</v>
      </c>
    </row>
    <row r="130" spans="1:6" ht="101.25" hidden="1" x14ac:dyDescent="0.25">
      <c r="A130" s="344">
        <v>45383</v>
      </c>
      <c r="B130" s="336" t="s">
        <v>1404</v>
      </c>
      <c r="C130" s="240" t="s">
        <v>491</v>
      </c>
      <c r="D130" s="34">
        <v>5</v>
      </c>
      <c r="E130" s="34">
        <v>238</v>
      </c>
      <c r="F130" s="177" t="s">
        <v>477</v>
      </c>
    </row>
    <row r="131" spans="1:6" ht="20.25" hidden="1" x14ac:dyDescent="0.25">
      <c r="A131" s="344">
        <v>45383</v>
      </c>
      <c r="B131" s="336" t="s">
        <v>1405</v>
      </c>
      <c r="C131" s="240" t="s">
        <v>489</v>
      </c>
      <c r="D131" s="34"/>
      <c r="E131" s="34"/>
      <c r="F131" s="177"/>
    </row>
    <row r="132" spans="1:6" ht="40.5" hidden="1" x14ac:dyDescent="0.25">
      <c r="A132" s="344">
        <v>45383</v>
      </c>
      <c r="B132" s="336" t="s">
        <v>1405</v>
      </c>
      <c r="C132" s="240" t="s">
        <v>490</v>
      </c>
      <c r="D132" s="34">
        <v>2</v>
      </c>
      <c r="E132" s="34">
        <v>150</v>
      </c>
      <c r="F132" s="177" t="s">
        <v>482</v>
      </c>
    </row>
    <row r="133" spans="1:6" ht="60.75" hidden="1" x14ac:dyDescent="0.25">
      <c r="A133" s="344">
        <v>45383</v>
      </c>
      <c r="B133" s="336" t="s">
        <v>1405</v>
      </c>
      <c r="C133" s="240" t="s">
        <v>491</v>
      </c>
      <c r="D133" s="34">
        <v>3</v>
      </c>
      <c r="E133" s="34">
        <v>204</v>
      </c>
      <c r="F133" s="177" t="s">
        <v>483</v>
      </c>
    </row>
    <row r="134" spans="1:6" ht="409.5" hidden="1" x14ac:dyDescent="0.25">
      <c r="A134" s="344">
        <v>45383</v>
      </c>
      <c r="B134" s="336" t="s">
        <v>1406</v>
      </c>
      <c r="C134" s="240" t="s">
        <v>489</v>
      </c>
      <c r="D134" s="34">
        <v>22</v>
      </c>
      <c r="E134" s="34">
        <v>1685</v>
      </c>
      <c r="F134" s="177" t="s">
        <v>499</v>
      </c>
    </row>
    <row r="135" spans="1:6" ht="121.5" hidden="1" x14ac:dyDescent="0.25">
      <c r="A135" s="344">
        <v>45383</v>
      </c>
      <c r="B135" s="336" t="s">
        <v>1406</v>
      </c>
      <c r="C135" s="240" t="s">
        <v>490</v>
      </c>
      <c r="D135" s="34">
        <v>2</v>
      </c>
      <c r="E135" s="34">
        <v>400</v>
      </c>
      <c r="F135" s="177" t="s">
        <v>497</v>
      </c>
    </row>
    <row r="136" spans="1:6" ht="81" hidden="1" x14ac:dyDescent="0.25">
      <c r="A136" s="344">
        <v>45383</v>
      </c>
      <c r="B136" s="336" t="s">
        <v>1406</v>
      </c>
      <c r="C136" s="240" t="s">
        <v>491</v>
      </c>
      <c r="D136" s="34">
        <v>2</v>
      </c>
      <c r="E136" s="34">
        <v>270</v>
      </c>
      <c r="F136" s="177" t="s">
        <v>498</v>
      </c>
    </row>
    <row r="137" spans="1:6" ht="162" hidden="1" x14ac:dyDescent="0.25">
      <c r="A137" s="344">
        <v>45383</v>
      </c>
      <c r="B137" s="336" t="s">
        <v>1438</v>
      </c>
      <c r="C137" s="240" t="s">
        <v>489</v>
      </c>
      <c r="D137" s="34">
        <v>7</v>
      </c>
      <c r="E137" s="34">
        <v>1662</v>
      </c>
      <c r="F137" s="177" t="s">
        <v>484</v>
      </c>
    </row>
    <row r="138" spans="1:6" ht="222.75" hidden="1" x14ac:dyDescent="0.25">
      <c r="A138" s="344">
        <v>45383</v>
      </c>
      <c r="B138" s="336" t="s">
        <v>1438</v>
      </c>
      <c r="C138" s="240" t="s">
        <v>490</v>
      </c>
      <c r="D138" s="34">
        <v>8</v>
      </c>
      <c r="E138" s="34">
        <v>3601</v>
      </c>
      <c r="F138" s="177" t="s">
        <v>485</v>
      </c>
    </row>
    <row r="139" spans="1:6" ht="409.5" hidden="1" x14ac:dyDescent="0.25">
      <c r="A139" s="344">
        <v>45383</v>
      </c>
      <c r="B139" s="336" t="s">
        <v>1438</v>
      </c>
      <c r="C139" s="240" t="s">
        <v>491</v>
      </c>
      <c r="D139" s="34">
        <v>23</v>
      </c>
      <c r="E139" s="34">
        <v>553</v>
      </c>
      <c r="F139" s="178" t="s">
        <v>486</v>
      </c>
    </row>
    <row r="140" spans="1:6" ht="40.5" hidden="1" x14ac:dyDescent="0.25">
      <c r="A140" s="344">
        <v>45383</v>
      </c>
      <c r="B140" s="336" t="s">
        <v>1408</v>
      </c>
      <c r="C140" s="240" t="s">
        <v>489</v>
      </c>
      <c r="D140" s="34">
        <v>2</v>
      </c>
      <c r="E140" s="34">
        <v>275</v>
      </c>
      <c r="F140" s="179" t="s">
        <v>479</v>
      </c>
    </row>
    <row r="141" spans="1:6" ht="81" hidden="1" x14ac:dyDescent="0.25">
      <c r="A141" s="344">
        <v>45383</v>
      </c>
      <c r="B141" s="336" t="s">
        <v>1408</v>
      </c>
      <c r="C141" s="240" t="s">
        <v>490</v>
      </c>
      <c r="D141" s="34">
        <v>4</v>
      </c>
      <c r="E141" s="34">
        <v>115</v>
      </c>
      <c r="F141" s="177" t="s">
        <v>478</v>
      </c>
    </row>
    <row r="142" spans="1:6" ht="20.25" hidden="1" x14ac:dyDescent="0.25">
      <c r="A142" s="344">
        <v>45383</v>
      </c>
      <c r="B142" s="336" t="s">
        <v>1408</v>
      </c>
      <c r="C142" s="240" t="s">
        <v>491</v>
      </c>
      <c r="D142" s="34"/>
      <c r="E142" s="34"/>
      <c r="F142" s="177"/>
    </row>
    <row r="143" spans="1:6" ht="60.75" hidden="1" x14ac:dyDescent="0.25">
      <c r="A143" s="344">
        <v>45383</v>
      </c>
      <c r="B143" s="336" t="s">
        <v>1409</v>
      </c>
      <c r="C143" s="240" t="s">
        <v>489</v>
      </c>
      <c r="D143" s="34">
        <v>3</v>
      </c>
      <c r="E143" s="34">
        <v>540</v>
      </c>
      <c r="F143" s="177" t="s">
        <v>500</v>
      </c>
    </row>
    <row r="144" spans="1:6" ht="40.5" hidden="1" x14ac:dyDescent="0.25">
      <c r="A144" s="344">
        <v>45383</v>
      </c>
      <c r="B144" s="336" t="s">
        <v>1409</v>
      </c>
      <c r="C144" s="240" t="s">
        <v>490</v>
      </c>
      <c r="D144" s="34">
        <v>2</v>
      </c>
      <c r="E144" s="34">
        <v>33</v>
      </c>
      <c r="F144" s="177" t="s">
        <v>501</v>
      </c>
    </row>
    <row r="145" spans="1:6" ht="20.25" hidden="1" x14ac:dyDescent="0.25">
      <c r="A145" s="344">
        <v>45383</v>
      </c>
      <c r="B145" s="336" t="s">
        <v>1409</v>
      </c>
      <c r="C145" s="240" t="s">
        <v>491</v>
      </c>
      <c r="D145" s="34"/>
      <c r="E145" s="34"/>
      <c r="F145" s="177"/>
    </row>
    <row r="146" spans="1:6" ht="40.5" hidden="1" x14ac:dyDescent="0.25">
      <c r="A146" s="344">
        <v>45383</v>
      </c>
      <c r="B146" s="336" t="s">
        <v>1410</v>
      </c>
      <c r="C146" s="240" t="s">
        <v>489</v>
      </c>
      <c r="D146" s="34">
        <v>2</v>
      </c>
      <c r="E146" s="34">
        <v>245</v>
      </c>
      <c r="F146" s="177" t="s">
        <v>487</v>
      </c>
    </row>
    <row r="147" spans="1:6" ht="20.25" hidden="1" x14ac:dyDescent="0.25">
      <c r="A147" s="344">
        <v>45383</v>
      </c>
      <c r="B147" s="336" t="s">
        <v>1410</v>
      </c>
      <c r="C147" s="240" t="s">
        <v>490</v>
      </c>
      <c r="D147" s="34">
        <v>1</v>
      </c>
      <c r="E147" s="34">
        <v>126</v>
      </c>
      <c r="F147" s="177" t="s">
        <v>488</v>
      </c>
    </row>
    <row r="148" spans="1:6" ht="20.25" hidden="1" x14ac:dyDescent="0.25">
      <c r="A148" s="344">
        <v>45383</v>
      </c>
      <c r="B148" s="336" t="s">
        <v>1410</v>
      </c>
      <c r="C148" s="240" t="s">
        <v>491</v>
      </c>
      <c r="D148" s="34"/>
      <c r="E148" s="34"/>
      <c r="F148" s="177"/>
    </row>
    <row r="149" spans="1:6" ht="20.25" hidden="1" x14ac:dyDescent="0.25">
      <c r="A149" s="344">
        <v>45383</v>
      </c>
      <c r="B149" s="336" t="s">
        <v>1411</v>
      </c>
      <c r="C149" s="240" t="s">
        <v>489</v>
      </c>
      <c r="D149" s="34">
        <v>1</v>
      </c>
      <c r="E149" s="34">
        <v>35</v>
      </c>
      <c r="F149" s="177" t="s">
        <v>471</v>
      </c>
    </row>
    <row r="150" spans="1:6" ht="20.25" hidden="1" x14ac:dyDescent="0.25">
      <c r="A150" s="344">
        <v>45383</v>
      </c>
      <c r="B150" s="336" t="s">
        <v>1411</v>
      </c>
      <c r="C150" s="240" t="s">
        <v>490</v>
      </c>
      <c r="D150" s="34">
        <v>1</v>
      </c>
      <c r="E150" s="34">
        <v>150</v>
      </c>
      <c r="F150" s="177" t="s">
        <v>470</v>
      </c>
    </row>
    <row r="151" spans="1:6" ht="20.25" hidden="1" x14ac:dyDescent="0.25">
      <c r="A151" s="344">
        <v>45383</v>
      </c>
      <c r="B151" s="336" t="s">
        <v>1411</v>
      </c>
      <c r="C151" s="240" t="s">
        <v>491</v>
      </c>
      <c r="D151" s="34"/>
      <c r="E151" s="34"/>
      <c r="F151" s="177"/>
    </row>
    <row r="152" spans="1:6" ht="101.25" hidden="1" x14ac:dyDescent="0.25">
      <c r="A152" s="344">
        <v>45383</v>
      </c>
      <c r="B152" s="336" t="s">
        <v>1452</v>
      </c>
      <c r="C152" s="240" t="s">
        <v>489</v>
      </c>
      <c r="D152" s="34">
        <v>4</v>
      </c>
      <c r="E152" s="34">
        <v>430</v>
      </c>
      <c r="F152" s="177" t="s">
        <v>492</v>
      </c>
    </row>
    <row r="153" spans="1:6" ht="409.5" hidden="1" x14ac:dyDescent="0.25">
      <c r="A153" s="344">
        <v>45383</v>
      </c>
      <c r="B153" s="336" t="s">
        <v>1452</v>
      </c>
      <c r="C153" s="240" t="s">
        <v>490</v>
      </c>
      <c r="D153" s="34">
        <v>21</v>
      </c>
      <c r="E153" s="34">
        <v>1435</v>
      </c>
      <c r="F153" s="177" t="s">
        <v>493</v>
      </c>
    </row>
    <row r="154" spans="1:6" ht="20.25" hidden="1" x14ac:dyDescent="0.25">
      <c r="A154" s="344">
        <v>45383</v>
      </c>
      <c r="B154" s="336" t="s">
        <v>1452</v>
      </c>
      <c r="C154" s="240" t="s">
        <v>491</v>
      </c>
      <c r="D154" s="34"/>
      <c r="E154" s="34"/>
      <c r="F154" s="177"/>
    </row>
    <row r="155" spans="1:6" ht="162" hidden="1" x14ac:dyDescent="0.25">
      <c r="A155" s="344">
        <v>45383</v>
      </c>
      <c r="B155" s="336" t="s">
        <v>1413</v>
      </c>
      <c r="C155" s="240" t="s">
        <v>489</v>
      </c>
      <c r="D155" s="34">
        <v>8</v>
      </c>
      <c r="E155" s="34">
        <v>1010</v>
      </c>
      <c r="F155" s="177" t="s">
        <v>494</v>
      </c>
    </row>
    <row r="156" spans="1:6" ht="222.75" hidden="1" x14ac:dyDescent="0.25">
      <c r="A156" s="344">
        <v>45383</v>
      </c>
      <c r="B156" s="336" t="s">
        <v>1413</v>
      </c>
      <c r="C156" s="240" t="s">
        <v>490</v>
      </c>
      <c r="D156" s="34">
        <v>17</v>
      </c>
      <c r="E156" s="34">
        <v>984</v>
      </c>
      <c r="F156" s="177" t="s">
        <v>495</v>
      </c>
    </row>
    <row r="157" spans="1:6" ht="162" hidden="1" x14ac:dyDescent="0.25">
      <c r="A157" s="344">
        <v>45383</v>
      </c>
      <c r="B157" s="336" t="s">
        <v>1413</v>
      </c>
      <c r="C157" s="240" t="s">
        <v>491</v>
      </c>
      <c r="D157" s="34">
        <v>7</v>
      </c>
      <c r="E157" s="34">
        <v>278</v>
      </c>
      <c r="F157" s="177" t="s">
        <v>496</v>
      </c>
    </row>
    <row r="158" spans="1:6" ht="101.25" hidden="1" x14ac:dyDescent="0.25">
      <c r="A158" s="345">
        <v>45413</v>
      </c>
      <c r="B158" s="335" t="s">
        <v>1401</v>
      </c>
      <c r="C158" s="191" t="s">
        <v>489</v>
      </c>
      <c r="D158" s="35">
        <v>3</v>
      </c>
      <c r="E158" s="35">
        <v>281</v>
      </c>
      <c r="F158" s="40" t="s">
        <v>602</v>
      </c>
    </row>
    <row r="159" spans="1:6" ht="40.5" hidden="1" x14ac:dyDescent="0.25">
      <c r="A159" s="345">
        <v>45413</v>
      </c>
      <c r="B159" s="335" t="s">
        <v>1401</v>
      </c>
      <c r="C159" s="191" t="s">
        <v>490</v>
      </c>
      <c r="D159" s="35">
        <v>2</v>
      </c>
      <c r="E159" s="35">
        <v>390</v>
      </c>
      <c r="F159" s="40" t="s">
        <v>583</v>
      </c>
    </row>
    <row r="160" spans="1:6" ht="20.25" hidden="1" x14ac:dyDescent="0.25">
      <c r="A160" s="345">
        <v>45413</v>
      </c>
      <c r="B160" s="335" t="s">
        <v>1401</v>
      </c>
      <c r="C160" s="191" t="s">
        <v>491</v>
      </c>
      <c r="D160" s="35"/>
      <c r="E160" s="35"/>
      <c r="F160" s="40"/>
    </row>
    <row r="161" spans="1:6" ht="20.25" hidden="1" x14ac:dyDescent="0.25">
      <c r="A161" s="345">
        <v>45413</v>
      </c>
      <c r="B161" s="335" t="s">
        <v>1402</v>
      </c>
      <c r="C161" s="191" t="s">
        <v>489</v>
      </c>
      <c r="D161" s="35"/>
      <c r="E161" s="35"/>
      <c r="F161" s="40"/>
    </row>
    <row r="162" spans="1:6" ht="20.25" hidden="1" x14ac:dyDescent="0.25">
      <c r="A162" s="345">
        <v>45413</v>
      </c>
      <c r="B162" s="335" t="s">
        <v>1402</v>
      </c>
      <c r="C162" s="191" t="s">
        <v>490</v>
      </c>
      <c r="D162" s="35"/>
      <c r="E162" s="35"/>
      <c r="F162" s="40"/>
    </row>
    <row r="163" spans="1:6" ht="20.25" hidden="1" x14ac:dyDescent="0.25">
      <c r="A163" s="345">
        <v>45413</v>
      </c>
      <c r="B163" s="335" t="s">
        <v>1402</v>
      </c>
      <c r="C163" s="191" t="s">
        <v>491</v>
      </c>
      <c r="D163" s="35"/>
      <c r="E163" s="35"/>
      <c r="F163" s="40"/>
    </row>
    <row r="164" spans="1:6" ht="20.25" hidden="1" x14ac:dyDescent="0.25">
      <c r="A164" s="345">
        <v>45413</v>
      </c>
      <c r="B164" s="335" t="s">
        <v>1403</v>
      </c>
      <c r="C164" s="191" t="s">
        <v>489</v>
      </c>
      <c r="D164" s="35"/>
      <c r="E164" s="35"/>
      <c r="F164" s="40"/>
    </row>
    <row r="165" spans="1:6" ht="60.75" hidden="1" x14ac:dyDescent="0.25">
      <c r="A165" s="345">
        <v>45413</v>
      </c>
      <c r="B165" s="335" t="s">
        <v>1403</v>
      </c>
      <c r="C165" s="191" t="s">
        <v>490</v>
      </c>
      <c r="D165" s="35">
        <v>3</v>
      </c>
      <c r="E165" s="35">
        <v>107</v>
      </c>
      <c r="F165" s="40" t="s">
        <v>584</v>
      </c>
    </row>
    <row r="166" spans="1:6" ht="20.25" hidden="1" x14ac:dyDescent="0.25">
      <c r="A166" s="345">
        <v>45413</v>
      </c>
      <c r="B166" s="335" t="s">
        <v>1403</v>
      </c>
      <c r="C166" s="191" t="s">
        <v>491</v>
      </c>
      <c r="D166" s="35"/>
      <c r="E166" s="35"/>
      <c r="F166" s="40"/>
    </row>
    <row r="167" spans="1:6" ht="20.25" hidden="1" x14ac:dyDescent="0.25">
      <c r="A167" s="345">
        <v>45413</v>
      </c>
      <c r="B167" s="335" t="s">
        <v>1404</v>
      </c>
      <c r="C167" s="191" t="s">
        <v>489</v>
      </c>
      <c r="D167" s="35">
        <v>1</v>
      </c>
      <c r="E167" s="35">
        <v>80</v>
      </c>
      <c r="F167" s="40" t="s">
        <v>592</v>
      </c>
    </row>
    <row r="168" spans="1:6" ht="20.25" hidden="1" x14ac:dyDescent="0.25">
      <c r="A168" s="345">
        <v>45413</v>
      </c>
      <c r="B168" s="335" t="s">
        <v>1404</v>
      </c>
      <c r="C168" s="191" t="s">
        <v>490</v>
      </c>
      <c r="D168" s="35"/>
      <c r="E168" s="35"/>
      <c r="F168" s="40"/>
    </row>
    <row r="169" spans="1:6" ht="20.25" hidden="1" x14ac:dyDescent="0.25">
      <c r="A169" s="345">
        <v>45413</v>
      </c>
      <c r="B169" s="335" t="s">
        <v>1404</v>
      </c>
      <c r="C169" s="191" t="s">
        <v>491</v>
      </c>
      <c r="D169" s="35"/>
      <c r="E169" s="35"/>
      <c r="F169" s="40"/>
    </row>
    <row r="170" spans="1:6" ht="20.25" hidden="1" x14ac:dyDescent="0.25">
      <c r="A170" s="345">
        <v>45413</v>
      </c>
      <c r="B170" s="335" t="s">
        <v>1405</v>
      </c>
      <c r="C170" s="191" t="s">
        <v>489</v>
      </c>
      <c r="D170" s="35">
        <v>2</v>
      </c>
      <c r="E170" s="35">
        <v>22</v>
      </c>
      <c r="F170" s="40" t="s">
        <v>585</v>
      </c>
    </row>
    <row r="171" spans="1:6" ht="40.5" hidden="1" x14ac:dyDescent="0.25">
      <c r="A171" s="345">
        <v>45413</v>
      </c>
      <c r="B171" s="335" t="s">
        <v>1405</v>
      </c>
      <c r="C171" s="191" t="s">
        <v>490</v>
      </c>
      <c r="D171" s="35">
        <v>2</v>
      </c>
      <c r="E171" s="35">
        <v>260</v>
      </c>
      <c r="F171" s="40" t="s">
        <v>586</v>
      </c>
    </row>
    <row r="172" spans="1:6" ht="60.75" hidden="1" x14ac:dyDescent="0.25">
      <c r="A172" s="345">
        <v>45413</v>
      </c>
      <c r="B172" s="335" t="s">
        <v>1405</v>
      </c>
      <c r="C172" s="191" t="s">
        <v>491</v>
      </c>
      <c r="D172" s="35">
        <v>3</v>
      </c>
      <c r="E172" s="35">
        <v>41</v>
      </c>
      <c r="F172" s="40" t="s">
        <v>587</v>
      </c>
    </row>
    <row r="173" spans="1:6" ht="222.75" hidden="1" x14ac:dyDescent="0.25">
      <c r="A173" s="345">
        <v>45413</v>
      </c>
      <c r="B173" s="335" t="s">
        <v>1406</v>
      </c>
      <c r="C173" s="191" t="s">
        <v>489</v>
      </c>
      <c r="D173" s="35">
        <v>11</v>
      </c>
      <c r="E173" s="35">
        <v>1055</v>
      </c>
      <c r="F173" s="40" t="s">
        <v>598</v>
      </c>
    </row>
    <row r="174" spans="1:6" ht="40.5" hidden="1" x14ac:dyDescent="0.25">
      <c r="A174" s="345">
        <v>45413</v>
      </c>
      <c r="B174" s="335" t="s">
        <v>1406</v>
      </c>
      <c r="C174" s="191" t="s">
        <v>490</v>
      </c>
      <c r="D174" s="35">
        <v>2</v>
      </c>
      <c r="E174" s="35">
        <v>400</v>
      </c>
      <c r="F174" s="40" t="s">
        <v>599</v>
      </c>
    </row>
    <row r="175" spans="1:6" ht="20.25" hidden="1" x14ac:dyDescent="0.25">
      <c r="A175" s="345">
        <v>45413</v>
      </c>
      <c r="B175" s="335" t="s">
        <v>1406</v>
      </c>
      <c r="C175" s="191" t="s">
        <v>491</v>
      </c>
      <c r="D175" s="35"/>
      <c r="E175" s="35"/>
      <c r="F175" s="40"/>
    </row>
    <row r="176" spans="1:6" ht="141.75" hidden="1" x14ac:dyDescent="0.25">
      <c r="A176" s="345">
        <v>45413</v>
      </c>
      <c r="B176" s="335" t="s">
        <v>1438</v>
      </c>
      <c r="C176" s="191" t="s">
        <v>489</v>
      </c>
      <c r="D176" s="35">
        <v>7</v>
      </c>
      <c r="E176" s="35">
        <v>1227</v>
      </c>
      <c r="F176" s="40" t="s">
        <v>595</v>
      </c>
    </row>
    <row r="177" spans="1:6" ht="40.5" hidden="1" x14ac:dyDescent="0.25">
      <c r="A177" s="345">
        <v>45413</v>
      </c>
      <c r="B177" s="335" t="s">
        <v>1438</v>
      </c>
      <c r="C177" s="191" t="s">
        <v>490</v>
      </c>
      <c r="D177" s="35">
        <v>2</v>
      </c>
      <c r="E177" s="35">
        <v>300</v>
      </c>
      <c r="F177" s="40" t="s">
        <v>593</v>
      </c>
    </row>
    <row r="178" spans="1:6" ht="409.5" hidden="1" x14ac:dyDescent="0.25">
      <c r="A178" s="345">
        <v>45413</v>
      </c>
      <c r="B178" s="335" t="s">
        <v>1438</v>
      </c>
      <c r="C178" s="191" t="s">
        <v>491</v>
      </c>
      <c r="D178" s="35">
        <v>4</v>
      </c>
      <c r="E178" s="35">
        <v>32</v>
      </c>
      <c r="F178" s="189" t="s">
        <v>594</v>
      </c>
    </row>
    <row r="179" spans="1:6" ht="81" hidden="1" x14ac:dyDescent="0.25">
      <c r="A179" s="345">
        <v>45413</v>
      </c>
      <c r="B179" s="335" t="s">
        <v>1408</v>
      </c>
      <c r="C179" s="191" t="s">
        <v>489</v>
      </c>
      <c r="D179" s="35">
        <v>4</v>
      </c>
      <c r="E179" s="35">
        <v>260</v>
      </c>
      <c r="F179" s="1" t="s">
        <v>588</v>
      </c>
    </row>
    <row r="180" spans="1:6" ht="20.25" hidden="1" x14ac:dyDescent="0.25">
      <c r="A180" s="345">
        <v>45413</v>
      </c>
      <c r="B180" s="335" t="s">
        <v>1408</v>
      </c>
      <c r="C180" s="191" t="s">
        <v>490</v>
      </c>
      <c r="D180" s="35"/>
      <c r="E180" s="35"/>
      <c r="F180" s="40"/>
    </row>
    <row r="181" spans="1:6" ht="20.25" hidden="1" x14ac:dyDescent="0.25">
      <c r="A181" s="345">
        <v>45413</v>
      </c>
      <c r="B181" s="335" t="s">
        <v>1408</v>
      </c>
      <c r="C181" s="191" t="s">
        <v>491</v>
      </c>
      <c r="D181" s="35"/>
      <c r="E181" s="35"/>
      <c r="F181" s="40"/>
    </row>
    <row r="182" spans="1:6" ht="20.25" hidden="1" x14ac:dyDescent="0.25">
      <c r="A182" s="345">
        <v>45413</v>
      </c>
      <c r="B182" s="335" t="s">
        <v>1409</v>
      </c>
      <c r="C182" s="191" t="s">
        <v>489</v>
      </c>
      <c r="D182" s="35">
        <v>1</v>
      </c>
      <c r="E182" s="35">
        <v>425</v>
      </c>
      <c r="F182" s="40" t="s">
        <v>600</v>
      </c>
    </row>
    <row r="183" spans="1:6" ht="20.25" hidden="1" x14ac:dyDescent="0.25">
      <c r="A183" s="345">
        <v>45413</v>
      </c>
      <c r="B183" s="335" t="s">
        <v>1409</v>
      </c>
      <c r="C183" s="191" t="s">
        <v>490</v>
      </c>
      <c r="D183" s="35"/>
      <c r="E183" s="35"/>
      <c r="F183" s="40"/>
    </row>
    <row r="184" spans="1:6" ht="20.25" hidden="1" x14ac:dyDescent="0.25">
      <c r="A184" s="345">
        <v>45413</v>
      </c>
      <c r="B184" s="335" t="s">
        <v>1409</v>
      </c>
      <c r="C184" s="191" t="s">
        <v>491</v>
      </c>
      <c r="D184" s="35"/>
      <c r="E184" s="35"/>
      <c r="F184" s="40"/>
    </row>
    <row r="185" spans="1:6" ht="60.75" hidden="1" x14ac:dyDescent="0.25">
      <c r="A185" s="345">
        <v>45413</v>
      </c>
      <c r="B185" s="335" t="s">
        <v>1410</v>
      </c>
      <c r="C185" s="191" t="s">
        <v>489</v>
      </c>
      <c r="D185" s="35">
        <v>2</v>
      </c>
      <c r="E185" s="35">
        <v>317</v>
      </c>
      <c r="F185" s="40" t="s">
        <v>582</v>
      </c>
    </row>
    <row r="186" spans="1:6" ht="40.5" hidden="1" x14ac:dyDescent="0.25">
      <c r="A186" s="345">
        <v>45413</v>
      </c>
      <c r="B186" s="335" t="s">
        <v>1410</v>
      </c>
      <c r="C186" s="191" t="s">
        <v>490</v>
      </c>
      <c r="D186" s="35">
        <v>2</v>
      </c>
      <c r="E186" s="35">
        <v>180</v>
      </c>
      <c r="F186" s="40" t="s">
        <v>581</v>
      </c>
    </row>
    <row r="187" spans="1:6" ht="20.25" hidden="1" x14ac:dyDescent="0.25">
      <c r="A187" s="345">
        <v>45413</v>
      </c>
      <c r="B187" s="335" t="s">
        <v>1410</v>
      </c>
      <c r="C187" s="191" t="s">
        <v>491</v>
      </c>
      <c r="D187" s="35"/>
      <c r="E187" s="35"/>
      <c r="F187" s="40"/>
    </row>
    <row r="188" spans="1:6" ht="20.25" hidden="1" x14ac:dyDescent="0.25">
      <c r="A188" s="345">
        <v>45413</v>
      </c>
      <c r="B188" s="335" t="s">
        <v>1411</v>
      </c>
      <c r="C188" s="191" t="s">
        <v>489</v>
      </c>
      <c r="D188" s="190"/>
      <c r="E188" s="190"/>
      <c r="F188" s="40"/>
    </row>
    <row r="189" spans="1:6" ht="20.25" hidden="1" x14ac:dyDescent="0.25">
      <c r="A189" s="345">
        <v>45413</v>
      </c>
      <c r="B189" s="335" t="s">
        <v>1411</v>
      </c>
      <c r="C189" s="191" t="s">
        <v>490</v>
      </c>
      <c r="D189" s="35">
        <v>1</v>
      </c>
      <c r="E189" s="35">
        <v>300</v>
      </c>
      <c r="F189" s="40" t="s">
        <v>580</v>
      </c>
    </row>
    <row r="190" spans="1:6" ht="20.25" hidden="1" x14ac:dyDescent="0.25">
      <c r="A190" s="345">
        <v>45413</v>
      </c>
      <c r="B190" s="335" t="s">
        <v>1411</v>
      </c>
      <c r="C190" s="191" t="s">
        <v>491</v>
      </c>
      <c r="D190" s="35"/>
      <c r="E190" s="35"/>
      <c r="F190" s="40"/>
    </row>
    <row r="191" spans="1:6" ht="121.5" hidden="1" x14ac:dyDescent="0.25">
      <c r="A191" s="345">
        <v>45413</v>
      </c>
      <c r="B191" s="335" t="s">
        <v>1452</v>
      </c>
      <c r="C191" s="191" t="s">
        <v>489</v>
      </c>
      <c r="D191" s="35">
        <v>6</v>
      </c>
      <c r="E191" s="35">
        <v>382</v>
      </c>
      <c r="F191" s="40" t="s">
        <v>590</v>
      </c>
    </row>
    <row r="192" spans="1:6" ht="243" hidden="1" x14ac:dyDescent="0.25">
      <c r="A192" s="345">
        <v>45413</v>
      </c>
      <c r="B192" s="335" t="s">
        <v>1452</v>
      </c>
      <c r="C192" s="191" t="s">
        <v>490</v>
      </c>
      <c r="D192" s="35">
        <v>11</v>
      </c>
      <c r="E192" s="35">
        <v>882</v>
      </c>
      <c r="F192" s="40" t="s">
        <v>591</v>
      </c>
    </row>
    <row r="193" spans="1:6" ht="40.5" hidden="1" x14ac:dyDescent="0.25">
      <c r="A193" s="345">
        <v>45413</v>
      </c>
      <c r="B193" s="335" t="s">
        <v>1452</v>
      </c>
      <c r="C193" s="191" t="s">
        <v>491</v>
      </c>
      <c r="D193" s="35">
        <v>2</v>
      </c>
      <c r="E193" s="35">
        <v>30</v>
      </c>
      <c r="F193" s="40" t="s">
        <v>589</v>
      </c>
    </row>
    <row r="194" spans="1:6" ht="60.75" hidden="1" x14ac:dyDescent="0.25">
      <c r="A194" s="345">
        <v>45413</v>
      </c>
      <c r="B194" s="335" t="s">
        <v>1413</v>
      </c>
      <c r="C194" s="191" t="s">
        <v>489</v>
      </c>
      <c r="D194" s="35">
        <v>3</v>
      </c>
      <c r="E194" s="35">
        <v>207</v>
      </c>
      <c r="F194" s="40" t="s">
        <v>596</v>
      </c>
    </row>
    <row r="195" spans="1:6" ht="81" hidden="1" x14ac:dyDescent="0.25">
      <c r="A195" s="345">
        <v>45413</v>
      </c>
      <c r="B195" s="335" t="s">
        <v>1413</v>
      </c>
      <c r="C195" s="191" t="s">
        <v>490</v>
      </c>
      <c r="D195" s="35">
        <v>3</v>
      </c>
      <c r="E195" s="35">
        <v>129</v>
      </c>
      <c r="F195" s="40" t="s">
        <v>597</v>
      </c>
    </row>
    <row r="196" spans="1:6" ht="162" hidden="1" x14ac:dyDescent="0.25">
      <c r="A196" s="345">
        <v>45413</v>
      </c>
      <c r="B196" s="335" t="s">
        <v>1413</v>
      </c>
      <c r="C196" s="191" t="s">
        <v>491</v>
      </c>
      <c r="D196" s="35">
        <v>6</v>
      </c>
      <c r="E196" s="35">
        <v>38</v>
      </c>
      <c r="F196" s="40" t="s">
        <v>601</v>
      </c>
    </row>
    <row r="197" spans="1:6" ht="20.25" hidden="1" x14ac:dyDescent="0.25">
      <c r="A197" s="345">
        <v>45444</v>
      </c>
      <c r="B197" s="335" t="s">
        <v>1401</v>
      </c>
      <c r="C197" s="191" t="s">
        <v>489</v>
      </c>
      <c r="D197" s="35"/>
      <c r="E197" s="35"/>
      <c r="F197" s="40"/>
    </row>
    <row r="198" spans="1:6" ht="20.25" hidden="1" x14ac:dyDescent="0.25">
      <c r="A198" s="334">
        <v>45444</v>
      </c>
      <c r="B198" s="335" t="s">
        <v>1401</v>
      </c>
      <c r="C198" s="191" t="s">
        <v>490</v>
      </c>
      <c r="D198" s="35"/>
      <c r="E198" s="35"/>
      <c r="F198" s="40"/>
    </row>
    <row r="199" spans="1:6" ht="364.5" hidden="1" x14ac:dyDescent="0.25">
      <c r="A199" s="334">
        <v>45444</v>
      </c>
      <c r="B199" s="335" t="s">
        <v>1401</v>
      </c>
      <c r="C199" s="191" t="s">
        <v>491</v>
      </c>
      <c r="D199" s="35">
        <v>20</v>
      </c>
      <c r="E199" s="35">
        <v>338</v>
      </c>
      <c r="F199" s="40" t="s">
        <v>629</v>
      </c>
    </row>
    <row r="200" spans="1:6" ht="20.25" hidden="1" x14ac:dyDescent="0.25">
      <c r="A200" s="334">
        <v>45444</v>
      </c>
      <c r="B200" s="335" t="s">
        <v>1402</v>
      </c>
      <c r="C200" s="191" t="s">
        <v>489</v>
      </c>
      <c r="D200" s="35">
        <v>1</v>
      </c>
      <c r="E200" s="35">
        <v>80</v>
      </c>
      <c r="F200" s="40" t="s">
        <v>625</v>
      </c>
    </row>
    <row r="201" spans="1:6" ht="20.25" hidden="1" x14ac:dyDescent="0.25">
      <c r="A201" s="334">
        <v>45444</v>
      </c>
      <c r="B201" s="335" t="s">
        <v>1402</v>
      </c>
      <c r="C201" s="191" t="s">
        <v>490</v>
      </c>
      <c r="D201" s="35">
        <v>1</v>
      </c>
      <c r="E201" s="35">
        <v>30</v>
      </c>
      <c r="F201" s="40" t="s">
        <v>624</v>
      </c>
    </row>
    <row r="202" spans="1:6" ht="20.25" hidden="1" x14ac:dyDescent="0.25">
      <c r="A202" s="334">
        <v>45444</v>
      </c>
      <c r="B202" s="335" t="s">
        <v>1402</v>
      </c>
      <c r="C202" s="191" t="s">
        <v>491</v>
      </c>
      <c r="D202" s="35"/>
      <c r="E202" s="35"/>
      <c r="F202" s="40"/>
    </row>
    <row r="203" spans="1:6" ht="121.5" hidden="1" x14ac:dyDescent="0.25">
      <c r="A203" s="334">
        <v>45444</v>
      </c>
      <c r="B203" s="335" t="s">
        <v>1403</v>
      </c>
      <c r="C203" s="191" t="s">
        <v>489</v>
      </c>
      <c r="D203" s="35">
        <v>6</v>
      </c>
      <c r="E203" s="35">
        <v>290</v>
      </c>
      <c r="F203" s="40" t="s">
        <v>616</v>
      </c>
    </row>
    <row r="204" spans="1:6" ht="20.25" hidden="1" x14ac:dyDescent="0.25">
      <c r="A204" s="334">
        <v>45444</v>
      </c>
      <c r="B204" s="335" t="s">
        <v>1403</v>
      </c>
      <c r="C204" s="191" t="s">
        <v>490</v>
      </c>
      <c r="D204" s="35"/>
      <c r="E204" s="35"/>
      <c r="F204" s="40"/>
    </row>
    <row r="205" spans="1:6" ht="20.25" hidden="1" x14ac:dyDescent="0.25">
      <c r="A205" s="334">
        <v>45444</v>
      </c>
      <c r="B205" s="335" t="s">
        <v>1403</v>
      </c>
      <c r="C205" s="191" t="s">
        <v>491</v>
      </c>
      <c r="D205" s="35"/>
      <c r="E205" s="35"/>
      <c r="F205" s="40"/>
    </row>
    <row r="206" spans="1:6" ht="60.75" hidden="1" x14ac:dyDescent="0.25">
      <c r="A206" s="334">
        <v>45444</v>
      </c>
      <c r="B206" s="335" t="s">
        <v>1404</v>
      </c>
      <c r="C206" s="191" t="s">
        <v>489</v>
      </c>
      <c r="D206" s="35">
        <v>3</v>
      </c>
      <c r="E206" s="35">
        <v>111</v>
      </c>
      <c r="F206" s="40" t="s">
        <v>618</v>
      </c>
    </row>
    <row r="207" spans="1:6" ht="20.25" hidden="1" x14ac:dyDescent="0.25">
      <c r="A207" s="334">
        <v>45444</v>
      </c>
      <c r="B207" s="335" t="s">
        <v>1404</v>
      </c>
      <c r="C207" s="191" t="s">
        <v>490</v>
      </c>
      <c r="D207" s="35"/>
      <c r="E207" s="35"/>
      <c r="F207" s="40"/>
    </row>
    <row r="208" spans="1:6" ht="101.25" hidden="1" x14ac:dyDescent="0.25">
      <c r="A208" s="334">
        <v>45444</v>
      </c>
      <c r="B208" s="335" t="s">
        <v>1404</v>
      </c>
      <c r="C208" s="191" t="s">
        <v>491</v>
      </c>
      <c r="D208" s="35">
        <v>5</v>
      </c>
      <c r="E208" s="35">
        <v>122</v>
      </c>
      <c r="F208" s="40" t="s">
        <v>617</v>
      </c>
    </row>
    <row r="209" spans="1:6" ht="40.5" hidden="1" x14ac:dyDescent="0.25">
      <c r="A209" s="334">
        <v>45444</v>
      </c>
      <c r="B209" s="335" t="s">
        <v>1405</v>
      </c>
      <c r="C209" s="191" t="s">
        <v>489</v>
      </c>
      <c r="D209" s="35">
        <v>2</v>
      </c>
      <c r="E209" s="35">
        <v>94</v>
      </c>
      <c r="F209" s="40" t="s">
        <v>608</v>
      </c>
    </row>
    <row r="210" spans="1:6" ht="20.25" hidden="1" x14ac:dyDescent="0.25">
      <c r="A210" s="334">
        <v>45444</v>
      </c>
      <c r="B210" s="335" t="s">
        <v>1405</v>
      </c>
      <c r="C210" s="191" t="s">
        <v>490</v>
      </c>
      <c r="D210" s="35">
        <v>1</v>
      </c>
      <c r="E210" s="35">
        <v>150</v>
      </c>
      <c r="F210" s="40" t="s">
        <v>609</v>
      </c>
    </row>
    <row r="211" spans="1:6" ht="20.25" hidden="1" x14ac:dyDescent="0.25">
      <c r="A211" s="334">
        <v>45444</v>
      </c>
      <c r="B211" s="335" t="s">
        <v>1405</v>
      </c>
      <c r="C211" s="191" t="s">
        <v>491</v>
      </c>
      <c r="D211" s="35">
        <v>1</v>
      </c>
      <c r="E211" s="35">
        <v>10</v>
      </c>
      <c r="F211" s="40" t="s">
        <v>610</v>
      </c>
    </row>
    <row r="212" spans="1:6" ht="306" hidden="1" x14ac:dyDescent="0.25">
      <c r="A212" s="334">
        <v>45444</v>
      </c>
      <c r="B212" s="335" t="s">
        <v>1406</v>
      </c>
      <c r="C212" s="191" t="s">
        <v>489</v>
      </c>
      <c r="D212" s="35">
        <v>20</v>
      </c>
      <c r="E212" s="35">
        <v>1504</v>
      </c>
      <c r="F212" s="193" t="s">
        <v>619</v>
      </c>
    </row>
    <row r="213" spans="1:6" ht="20.25" hidden="1" x14ac:dyDescent="0.25">
      <c r="A213" s="334">
        <v>45444</v>
      </c>
      <c r="B213" s="335" t="s">
        <v>1406</v>
      </c>
      <c r="C213" s="191" t="s">
        <v>490</v>
      </c>
      <c r="D213" s="35"/>
      <c r="E213" s="35"/>
      <c r="F213" s="40"/>
    </row>
    <row r="214" spans="1:6" ht="20.25" hidden="1" x14ac:dyDescent="0.25">
      <c r="A214" s="334">
        <v>45444</v>
      </c>
      <c r="B214" s="335" t="s">
        <v>1406</v>
      </c>
      <c r="C214" s="191" t="s">
        <v>491</v>
      </c>
      <c r="D214" s="35">
        <v>1</v>
      </c>
      <c r="E214" s="35">
        <v>600</v>
      </c>
      <c r="F214" s="40" t="s">
        <v>620</v>
      </c>
    </row>
    <row r="215" spans="1:6" ht="81" hidden="1" x14ac:dyDescent="0.25">
      <c r="A215" s="334">
        <v>45444</v>
      </c>
      <c r="B215" s="335" t="s">
        <v>1438</v>
      </c>
      <c r="C215" s="191" t="s">
        <v>489</v>
      </c>
      <c r="D215" s="35">
        <v>4</v>
      </c>
      <c r="E215" s="35">
        <v>1225</v>
      </c>
      <c r="F215" s="40" t="s">
        <v>605</v>
      </c>
    </row>
    <row r="216" spans="1:6" ht="263.25" hidden="1" x14ac:dyDescent="0.25">
      <c r="A216" s="334">
        <v>45444</v>
      </c>
      <c r="B216" s="335" t="s">
        <v>1438</v>
      </c>
      <c r="C216" s="191" t="s">
        <v>490</v>
      </c>
      <c r="D216" s="35">
        <v>14</v>
      </c>
      <c r="E216" s="35">
        <v>269</v>
      </c>
      <c r="F216" s="40" t="s">
        <v>606</v>
      </c>
    </row>
    <row r="217" spans="1:6" ht="409.5" hidden="1" x14ac:dyDescent="0.25">
      <c r="A217" s="334">
        <v>45444</v>
      </c>
      <c r="B217" s="335" t="s">
        <v>1438</v>
      </c>
      <c r="C217" s="191" t="s">
        <v>491</v>
      </c>
      <c r="D217" s="35">
        <v>25</v>
      </c>
      <c r="E217" s="35">
        <v>374</v>
      </c>
      <c r="F217" s="189" t="s">
        <v>607</v>
      </c>
    </row>
    <row r="218" spans="1:6" ht="40.5" hidden="1" x14ac:dyDescent="0.25">
      <c r="A218" s="334">
        <v>45444</v>
      </c>
      <c r="B218" s="335" t="s">
        <v>1408</v>
      </c>
      <c r="C218" s="191" t="s">
        <v>489</v>
      </c>
      <c r="D218" s="35">
        <v>2</v>
      </c>
      <c r="E218" s="35">
        <v>170</v>
      </c>
      <c r="F218" s="1" t="s">
        <v>615</v>
      </c>
    </row>
    <row r="219" spans="1:6" ht="60.75" hidden="1" x14ac:dyDescent="0.25">
      <c r="A219" s="334">
        <v>45444</v>
      </c>
      <c r="B219" s="335" t="s">
        <v>1408</v>
      </c>
      <c r="C219" s="191" t="s">
        <v>490</v>
      </c>
      <c r="D219" s="35">
        <v>3</v>
      </c>
      <c r="E219" s="35">
        <v>70</v>
      </c>
      <c r="F219" s="40" t="s">
        <v>614</v>
      </c>
    </row>
    <row r="220" spans="1:6" ht="20.25" hidden="1" x14ac:dyDescent="0.25">
      <c r="A220" s="334">
        <v>45444</v>
      </c>
      <c r="B220" s="335" t="s">
        <v>1408</v>
      </c>
      <c r="C220" s="191" t="s">
        <v>491</v>
      </c>
      <c r="D220" s="35"/>
      <c r="E220" s="35"/>
      <c r="F220" s="40"/>
    </row>
    <row r="221" spans="1:6" ht="20.25" hidden="1" x14ac:dyDescent="0.25">
      <c r="A221" s="334">
        <v>45444</v>
      </c>
      <c r="B221" s="335" t="s">
        <v>1409</v>
      </c>
      <c r="C221" s="191" t="s">
        <v>489</v>
      </c>
      <c r="D221" s="35"/>
      <c r="E221" s="35"/>
      <c r="F221" s="40"/>
    </row>
    <row r="222" spans="1:6" ht="20.25" hidden="1" x14ac:dyDescent="0.25">
      <c r="A222" s="334">
        <v>45444</v>
      </c>
      <c r="B222" s="335" t="s">
        <v>1409</v>
      </c>
      <c r="C222" s="191" t="s">
        <v>490</v>
      </c>
      <c r="D222" s="35"/>
      <c r="E222" s="35"/>
      <c r="F222" s="40"/>
    </row>
    <row r="223" spans="1:6" ht="20.25" hidden="1" x14ac:dyDescent="0.25">
      <c r="A223" s="334">
        <v>45444</v>
      </c>
      <c r="B223" s="335" t="s">
        <v>1409</v>
      </c>
      <c r="C223" s="191" t="s">
        <v>491</v>
      </c>
      <c r="D223" s="35">
        <v>1</v>
      </c>
      <c r="E223" s="35">
        <v>10</v>
      </c>
      <c r="F223" s="40" t="s">
        <v>630</v>
      </c>
    </row>
    <row r="224" spans="1:6" ht="20.25" hidden="1" x14ac:dyDescent="0.25">
      <c r="A224" s="334">
        <v>45444</v>
      </c>
      <c r="B224" s="335" t="s">
        <v>1410</v>
      </c>
      <c r="C224" s="191" t="s">
        <v>489</v>
      </c>
      <c r="D224" s="35">
        <v>1</v>
      </c>
      <c r="E224" s="35">
        <v>150</v>
      </c>
      <c r="F224" s="40" t="s">
        <v>621</v>
      </c>
    </row>
    <row r="225" spans="1:6" ht="20.25" hidden="1" x14ac:dyDescent="0.25">
      <c r="A225" s="334">
        <v>45444</v>
      </c>
      <c r="B225" s="335" t="s">
        <v>1410</v>
      </c>
      <c r="C225" s="191" t="s">
        <v>490</v>
      </c>
      <c r="D225" s="35"/>
      <c r="E225" s="35"/>
      <c r="F225" s="40"/>
    </row>
    <row r="226" spans="1:6" ht="20.25" hidden="1" x14ac:dyDescent="0.25">
      <c r="A226" s="334">
        <v>45444</v>
      </c>
      <c r="B226" s="335" t="s">
        <v>1410</v>
      </c>
      <c r="C226" s="191" t="s">
        <v>491</v>
      </c>
      <c r="D226" s="35"/>
      <c r="E226" s="35"/>
      <c r="F226" s="40"/>
    </row>
    <row r="227" spans="1:6" ht="20.25" hidden="1" x14ac:dyDescent="0.25">
      <c r="A227" s="334">
        <v>45444</v>
      </c>
      <c r="B227" s="335" t="s">
        <v>1411</v>
      </c>
      <c r="C227" s="191" t="s">
        <v>489</v>
      </c>
      <c r="D227" s="190"/>
      <c r="E227" s="190"/>
      <c r="F227" s="40"/>
    </row>
    <row r="228" spans="1:6" ht="20.25" hidden="1" x14ac:dyDescent="0.25">
      <c r="A228" s="334">
        <v>45444</v>
      </c>
      <c r="B228" s="335" t="s">
        <v>1411</v>
      </c>
      <c r="C228" s="191" t="s">
        <v>490</v>
      </c>
      <c r="D228" s="35"/>
      <c r="E228" s="35"/>
      <c r="F228" s="40"/>
    </row>
    <row r="229" spans="1:6" ht="20.25" hidden="1" x14ac:dyDescent="0.25">
      <c r="A229" s="334">
        <v>45444</v>
      </c>
      <c r="B229" s="335" t="s">
        <v>1411</v>
      </c>
      <c r="C229" s="191" t="s">
        <v>491</v>
      </c>
      <c r="D229" s="35"/>
      <c r="E229" s="35"/>
      <c r="F229" s="40"/>
    </row>
    <row r="230" spans="1:6" ht="121.5" hidden="1" x14ac:dyDescent="0.25">
      <c r="A230" s="334">
        <v>45444</v>
      </c>
      <c r="B230" s="335" t="s">
        <v>1452</v>
      </c>
      <c r="C230" s="191" t="s">
        <v>489</v>
      </c>
      <c r="D230" s="35">
        <v>6</v>
      </c>
      <c r="E230" s="35">
        <v>205</v>
      </c>
      <c r="F230" s="40" t="s">
        <v>622</v>
      </c>
    </row>
    <row r="231" spans="1:6" ht="141.75" hidden="1" x14ac:dyDescent="0.25">
      <c r="A231" s="334">
        <v>45444</v>
      </c>
      <c r="B231" s="335" t="s">
        <v>1452</v>
      </c>
      <c r="C231" s="191" t="s">
        <v>490</v>
      </c>
      <c r="D231" s="35">
        <v>7</v>
      </c>
      <c r="E231" s="35">
        <v>143</v>
      </c>
      <c r="F231" s="40" t="s">
        <v>623</v>
      </c>
    </row>
    <row r="232" spans="1:6" ht="20.25" hidden="1" x14ac:dyDescent="0.25">
      <c r="A232" s="334">
        <v>45444</v>
      </c>
      <c r="B232" s="335" t="s">
        <v>1452</v>
      </c>
      <c r="C232" s="191" t="s">
        <v>491</v>
      </c>
      <c r="D232" s="35"/>
      <c r="E232" s="35"/>
      <c r="F232" s="40"/>
    </row>
    <row r="233" spans="1:6" ht="81" hidden="1" x14ac:dyDescent="0.25">
      <c r="A233" s="334">
        <v>45444</v>
      </c>
      <c r="B233" s="335" t="s">
        <v>1413</v>
      </c>
      <c r="C233" s="191" t="s">
        <v>489</v>
      </c>
      <c r="D233" s="194">
        <v>4</v>
      </c>
      <c r="E233" s="194">
        <v>368</v>
      </c>
      <c r="F233" s="40" t="s">
        <v>626</v>
      </c>
    </row>
    <row r="234" spans="1:6" ht="81" hidden="1" x14ac:dyDescent="0.25">
      <c r="A234" s="334">
        <v>45444</v>
      </c>
      <c r="B234" s="335" t="s">
        <v>1413</v>
      </c>
      <c r="C234" s="191" t="s">
        <v>490</v>
      </c>
      <c r="D234" s="35">
        <v>4</v>
      </c>
      <c r="E234" s="35">
        <v>109</v>
      </c>
      <c r="F234" s="40" t="s">
        <v>627</v>
      </c>
    </row>
    <row r="235" spans="1:6" ht="81" hidden="1" x14ac:dyDescent="0.25">
      <c r="A235" s="334">
        <v>45444</v>
      </c>
      <c r="B235" s="335" t="s">
        <v>1413</v>
      </c>
      <c r="C235" s="191" t="s">
        <v>491</v>
      </c>
      <c r="D235" s="35">
        <v>3</v>
      </c>
      <c r="E235" s="35">
        <v>18</v>
      </c>
      <c r="F235" s="40" t="s">
        <v>628</v>
      </c>
    </row>
    <row r="236" spans="1:6" ht="20.25" hidden="1" x14ac:dyDescent="0.25">
      <c r="A236" s="334">
        <v>45474</v>
      </c>
      <c r="B236" s="335" t="s">
        <v>1401</v>
      </c>
      <c r="C236" s="191" t="s">
        <v>489</v>
      </c>
      <c r="D236" s="35"/>
      <c r="E236" s="35"/>
      <c r="F236" s="40"/>
    </row>
    <row r="237" spans="1:6" ht="20.25" hidden="1" x14ac:dyDescent="0.25">
      <c r="A237" s="334">
        <v>45474</v>
      </c>
      <c r="B237" s="335" t="s">
        <v>1401</v>
      </c>
      <c r="C237" s="191" t="s">
        <v>490</v>
      </c>
      <c r="D237" s="35"/>
      <c r="E237" s="35"/>
      <c r="F237" s="40"/>
    </row>
    <row r="238" spans="1:6" ht="20.25" hidden="1" x14ac:dyDescent="0.25">
      <c r="A238" s="334">
        <v>45474</v>
      </c>
      <c r="B238" s="335" t="s">
        <v>1401</v>
      </c>
      <c r="C238" s="191" t="s">
        <v>491</v>
      </c>
      <c r="D238" s="35">
        <v>1</v>
      </c>
      <c r="E238" s="35">
        <v>25</v>
      </c>
      <c r="F238" s="40" t="s">
        <v>632</v>
      </c>
    </row>
    <row r="239" spans="1:6" ht="20.25" hidden="1" x14ac:dyDescent="0.25">
      <c r="A239" s="334">
        <v>45474</v>
      </c>
      <c r="B239" s="335" t="s">
        <v>1402</v>
      </c>
      <c r="C239" s="191" t="s">
        <v>489</v>
      </c>
      <c r="D239" s="147"/>
      <c r="E239" s="147"/>
      <c r="F239" s="200"/>
    </row>
    <row r="240" spans="1:6" ht="20.25" hidden="1" x14ac:dyDescent="0.25">
      <c r="A240" s="334">
        <v>45474</v>
      </c>
      <c r="B240" s="335" t="s">
        <v>1402</v>
      </c>
      <c r="C240" s="191" t="s">
        <v>490</v>
      </c>
      <c r="D240" s="35"/>
      <c r="E240" s="35"/>
      <c r="F240" s="40"/>
    </row>
    <row r="241" spans="1:6" ht="20.25" hidden="1" x14ac:dyDescent="0.25">
      <c r="A241" s="334">
        <v>45474</v>
      </c>
      <c r="B241" s="335" t="s">
        <v>1402</v>
      </c>
      <c r="C241" s="191" t="s">
        <v>491</v>
      </c>
      <c r="D241" s="35"/>
      <c r="E241" s="35"/>
      <c r="F241" s="40"/>
    </row>
    <row r="242" spans="1:6" ht="20.25" hidden="1" x14ac:dyDescent="0.25">
      <c r="A242" s="334">
        <v>45474</v>
      </c>
      <c r="B242" s="335" t="s">
        <v>1403</v>
      </c>
      <c r="C242" s="191" t="s">
        <v>489</v>
      </c>
      <c r="D242" s="35">
        <v>4</v>
      </c>
      <c r="E242" s="35">
        <v>1050</v>
      </c>
      <c r="F242" s="40"/>
    </row>
    <row r="243" spans="1:6" ht="20.25" hidden="1" x14ac:dyDescent="0.25">
      <c r="A243" s="334">
        <v>45474</v>
      </c>
      <c r="B243" s="335" t="s">
        <v>1403</v>
      </c>
      <c r="C243" s="191" t="s">
        <v>490</v>
      </c>
      <c r="D243" s="35"/>
      <c r="E243" s="35"/>
      <c r="F243" s="40"/>
    </row>
    <row r="244" spans="1:6" ht="20.25" hidden="1" x14ac:dyDescent="0.25">
      <c r="A244" s="334">
        <v>45474</v>
      </c>
      <c r="B244" s="335" t="s">
        <v>1403</v>
      </c>
      <c r="C244" s="191" t="s">
        <v>491</v>
      </c>
      <c r="D244" s="35"/>
      <c r="E244" s="35"/>
      <c r="F244" s="40"/>
    </row>
    <row r="245" spans="1:6" ht="20.25" hidden="1" x14ac:dyDescent="0.25">
      <c r="A245" s="334">
        <v>45474</v>
      </c>
      <c r="B245" s="335" t="s">
        <v>1404</v>
      </c>
      <c r="C245" s="191" t="s">
        <v>489</v>
      </c>
      <c r="D245" s="35">
        <v>1</v>
      </c>
      <c r="E245" s="35">
        <v>300</v>
      </c>
      <c r="F245" s="40" t="s">
        <v>646</v>
      </c>
    </row>
    <row r="246" spans="1:6" ht="20.25" hidden="1" x14ac:dyDescent="0.25">
      <c r="A246" s="334">
        <v>45474</v>
      </c>
      <c r="B246" s="335" t="s">
        <v>1404</v>
      </c>
      <c r="C246" s="191" t="s">
        <v>490</v>
      </c>
      <c r="D246" s="35">
        <v>1</v>
      </c>
      <c r="E246" s="35">
        <v>300</v>
      </c>
      <c r="F246" s="40" t="s">
        <v>646</v>
      </c>
    </row>
    <row r="247" spans="1:6" ht="81" hidden="1" x14ac:dyDescent="0.25">
      <c r="A247" s="334">
        <v>45474</v>
      </c>
      <c r="B247" s="335" t="s">
        <v>1404</v>
      </c>
      <c r="C247" s="191" t="s">
        <v>491</v>
      </c>
      <c r="D247" s="35">
        <v>4</v>
      </c>
      <c r="E247" s="35">
        <v>630</v>
      </c>
      <c r="F247" s="40" t="s">
        <v>647</v>
      </c>
    </row>
    <row r="248" spans="1:6" ht="20.25" hidden="1" x14ac:dyDescent="0.25">
      <c r="A248" s="334">
        <v>45474</v>
      </c>
      <c r="B248" s="335" t="s">
        <v>1405</v>
      </c>
      <c r="C248" s="191" t="s">
        <v>489</v>
      </c>
      <c r="D248" s="35">
        <v>1</v>
      </c>
      <c r="E248" s="35">
        <v>35</v>
      </c>
      <c r="F248" s="40" t="s">
        <v>638</v>
      </c>
    </row>
    <row r="249" spans="1:6" ht="60.75" hidden="1" x14ac:dyDescent="0.25">
      <c r="A249" s="334">
        <v>45474</v>
      </c>
      <c r="B249" s="335" t="s">
        <v>1405</v>
      </c>
      <c r="C249" s="191" t="s">
        <v>490</v>
      </c>
      <c r="D249" s="35">
        <v>3</v>
      </c>
      <c r="E249" s="35">
        <v>400</v>
      </c>
      <c r="F249" s="40" t="s">
        <v>637</v>
      </c>
    </row>
    <row r="250" spans="1:6" ht="263.25" hidden="1" x14ac:dyDescent="0.25">
      <c r="A250" s="334">
        <v>45474</v>
      </c>
      <c r="B250" s="335" t="s">
        <v>1405</v>
      </c>
      <c r="C250" s="191" t="s">
        <v>491</v>
      </c>
      <c r="D250" s="35">
        <v>13</v>
      </c>
      <c r="E250" s="35">
        <v>163</v>
      </c>
      <c r="F250" s="40" t="s">
        <v>639</v>
      </c>
    </row>
    <row r="251" spans="1:6" ht="252" hidden="1" x14ac:dyDescent="0.25">
      <c r="A251" s="334">
        <v>45474</v>
      </c>
      <c r="B251" s="335" t="s">
        <v>1406</v>
      </c>
      <c r="C251" s="191" t="s">
        <v>489</v>
      </c>
      <c r="D251" s="35">
        <v>21</v>
      </c>
      <c r="E251" s="35">
        <v>3465</v>
      </c>
      <c r="F251" s="201" t="s">
        <v>642</v>
      </c>
    </row>
    <row r="252" spans="1:6" ht="20.25" hidden="1" x14ac:dyDescent="0.25">
      <c r="A252" s="334">
        <v>45474</v>
      </c>
      <c r="B252" s="335" t="s">
        <v>1406</v>
      </c>
      <c r="C252" s="191" t="s">
        <v>490</v>
      </c>
      <c r="D252" s="35"/>
      <c r="E252" s="35"/>
      <c r="F252" s="40"/>
    </row>
    <row r="253" spans="1:6" ht="20.25" hidden="1" x14ac:dyDescent="0.25">
      <c r="A253" s="334">
        <v>45474</v>
      </c>
      <c r="B253" s="335" t="s">
        <v>1406</v>
      </c>
      <c r="C253" s="191" t="s">
        <v>491</v>
      </c>
      <c r="D253" s="35">
        <v>1</v>
      </c>
      <c r="E253" s="35">
        <v>15</v>
      </c>
      <c r="F253" s="40" t="s">
        <v>641</v>
      </c>
    </row>
    <row r="254" spans="1:6" ht="81" hidden="1" x14ac:dyDescent="0.25">
      <c r="A254" s="334">
        <v>45474</v>
      </c>
      <c r="B254" s="335" t="s">
        <v>1438</v>
      </c>
      <c r="C254" s="191" t="s">
        <v>489</v>
      </c>
      <c r="D254" s="35">
        <v>4</v>
      </c>
      <c r="E254" s="35">
        <v>651</v>
      </c>
      <c r="F254" s="40" t="s">
        <v>634</v>
      </c>
    </row>
    <row r="255" spans="1:6" ht="40.5" hidden="1" x14ac:dyDescent="0.25">
      <c r="A255" s="334">
        <v>45474</v>
      </c>
      <c r="B255" s="335" t="s">
        <v>1438</v>
      </c>
      <c r="C255" s="191" t="s">
        <v>490</v>
      </c>
      <c r="D255" s="35">
        <v>2</v>
      </c>
      <c r="E255" s="35">
        <v>55</v>
      </c>
      <c r="F255" s="40" t="s">
        <v>633</v>
      </c>
    </row>
    <row r="256" spans="1:6" ht="409.5" hidden="1" x14ac:dyDescent="0.25">
      <c r="A256" s="334">
        <v>45474</v>
      </c>
      <c r="B256" s="335" t="s">
        <v>1438</v>
      </c>
      <c r="C256" s="191" t="s">
        <v>491</v>
      </c>
      <c r="D256" s="35">
        <v>25</v>
      </c>
      <c r="E256" s="35">
        <v>78</v>
      </c>
      <c r="F256" s="189" t="s">
        <v>636</v>
      </c>
    </row>
    <row r="257" spans="1:6" ht="121.5" hidden="1" x14ac:dyDescent="0.25">
      <c r="A257" s="334">
        <v>45474</v>
      </c>
      <c r="B257" s="335" t="s">
        <v>1408</v>
      </c>
      <c r="C257" s="191" t="s">
        <v>489</v>
      </c>
      <c r="D257" s="35">
        <v>5</v>
      </c>
      <c r="E257" s="35">
        <v>95</v>
      </c>
      <c r="F257" s="40" t="s">
        <v>635</v>
      </c>
    </row>
    <row r="258" spans="1:6" ht="20.25" hidden="1" x14ac:dyDescent="0.25">
      <c r="A258" s="334">
        <v>45474</v>
      </c>
      <c r="B258" s="335" t="s">
        <v>1408</v>
      </c>
      <c r="C258" s="191" t="s">
        <v>490</v>
      </c>
      <c r="D258" s="35"/>
      <c r="E258" s="35"/>
      <c r="F258" s="40"/>
    </row>
    <row r="259" spans="1:6" ht="20.25" hidden="1" x14ac:dyDescent="0.25">
      <c r="A259" s="334">
        <v>45474</v>
      </c>
      <c r="B259" s="335" t="s">
        <v>1408</v>
      </c>
      <c r="C259" s="191" t="s">
        <v>491</v>
      </c>
      <c r="D259" s="35"/>
      <c r="E259" s="35"/>
      <c r="F259" s="40"/>
    </row>
    <row r="260" spans="1:6" ht="40.5" hidden="1" x14ac:dyDescent="0.25">
      <c r="A260" s="334">
        <v>45474</v>
      </c>
      <c r="B260" s="335" t="s">
        <v>1409</v>
      </c>
      <c r="C260" s="191" t="s">
        <v>489</v>
      </c>
      <c r="D260" s="35">
        <v>2</v>
      </c>
      <c r="E260" s="35">
        <v>568</v>
      </c>
      <c r="F260" s="40" t="s">
        <v>643</v>
      </c>
    </row>
    <row r="261" spans="1:6" ht="20.25" hidden="1" x14ac:dyDescent="0.25">
      <c r="A261" s="334">
        <v>45474</v>
      </c>
      <c r="B261" s="335" t="s">
        <v>1409</v>
      </c>
      <c r="C261" s="191" t="s">
        <v>490</v>
      </c>
      <c r="D261" s="35">
        <v>1</v>
      </c>
      <c r="E261" s="35">
        <v>10</v>
      </c>
      <c r="F261" s="40" t="s">
        <v>644</v>
      </c>
    </row>
    <row r="262" spans="1:6" ht="20.25" hidden="1" x14ac:dyDescent="0.25">
      <c r="A262" s="334">
        <v>45474</v>
      </c>
      <c r="B262" s="335" t="s">
        <v>1409</v>
      </c>
      <c r="C262" s="191" t="s">
        <v>491</v>
      </c>
      <c r="D262" s="35"/>
      <c r="E262" s="35"/>
      <c r="F262" s="40"/>
    </row>
    <row r="263" spans="1:6" ht="40.5" hidden="1" x14ac:dyDescent="0.25">
      <c r="A263" s="334">
        <v>45474</v>
      </c>
      <c r="B263" s="335" t="s">
        <v>1410</v>
      </c>
      <c r="C263" s="191" t="s">
        <v>489</v>
      </c>
      <c r="D263" s="35">
        <v>2</v>
      </c>
      <c r="E263" s="35">
        <v>274</v>
      </c>
      <c r="F263" s="40" t="s">
        <v>645</v>
      </c>
    </row>
    <row r="264" spans="1:6" ht="20.25" hidden="1" x14ac:dyDescent="0.25">
      <c r="A264" s="334">
        <v>45474</v>
      </c>
      <c r="B264" s="335" t="s">
        <v>1410</v>
      </c>
      <c r="C264" s="191" t="s">
        <v>490</v>
      </c>
      <c r="D264" s="35"/>
      <c r="E264" s="35"/>
      <c r="F264" s="40"/>
    </row>
    <row r="265" spans="1:6" ht="20.25" hidden="1" x14ac:dyDescent="0.25">
      <c r="A265" s="334">
        <v>45474</v>
      </c>
      <c r="B265" s="335" t="s">
        <v>1410</v>
      </c>
      <c r="C265" s="191" t="s">
        <v>491</v>
      </c>
      <c r="D265" s="35"/>
      <c r="E265" s="35"/>
      <c r="F265" s="40"/>
    </row>
    <row r="266" spans="1:6" ht="20.25" hidden="1" x14ac:dyDescent="0.25">
      <c r="A266" s="334">
        <v>45474</v>
      </c>
      <c r="B266" s="335" t="s">
        <v>1411</v>
      </c>
      <c r="C266" s="191" t="s">
        <v>489</v>
      </c>
      <c r="D266" s="35">
        <v>1</v>
      </c>
      <c r="E266" s="35">
        <v>80</v>
      </c>
      <c r="F266" s="40" t="s">
        <v>640</v>
      </c>
    </row>
    <row r="267" spans="1:6" ht="20.25" hidden="1" x14ac:dyDescent="0.25">
      <c r="A267" s="334">
        <v>45474</v>
      </c>
      <c r="B267" s="335" t="s">
        <v>1411</v>
      </c>
      <c r="C267" s="191" t="s">
        <v>490</v>
      </c>
      <c r="D267" s="35"/>
      <c r="E267" s="35"/>
      <c r="F267" s="40"/>
    </row>
    <row r="268" spans="1:6" ht="20.25" hidden="1" x14ac:dyDescent="0.25">
      <c r="A268" s="334">
        <v>45474</v>
      </c>
      <c r="B268" s="335" t="s">
        <v>1411</v>
      </c>
      <c r="C268" s="191" t="s">
        <v>491</v>
      </c>
      <c r="D268" s="35"/>
      <c r="E268" s="35"/>
      <c r="F268" s="40"/>
    </row>
    <row r="269" spans="1:6" ht="324" hidden="1" x14ac:dyDescent="0.25">
      <c r="A269" s="334">
        <v>45474</v>
      </c>
      <c r="B269" s="335" t="s">
        <v>1452</v>
      </c>
      <c r="C269" s="191" t="s">
        <v>489</v>
      </c>
      <c r="D269" s="35">
        <v>16</v>
      </c>
      <c r="E269" s="35">
        <v>1364</v>
      </c>
      <c r="F269" s="40" t="s">
        <v>650</v>
      </c>
    </row>
    <row r="270" spans="1:6" ht="20.25" hidden="1" x14ac:dyDescent="0.25">
      <c r="A270" s="334">
        <v>45474</v>
      </c>
      <c r="B270" s="335" t="s">
        <v>1452</v>
      </c>
      <c r="C270" s="191" t="s">
        <v>490</v>
      </c>
      <c r="D270" s="35"/>
      <c r="E270" s="35"/>
      <c r="F270" s="40"/>
    </row>
    <row r="271" spans="1:6" ht="20.25" hidden="1" x14ac:dyDescent="0.25">
      <c r="A271" s="334">
        <v>45474</v>
      </c>
      <c r="B271" s="335" t="s">
        <v>1452</v>
      </c>
      <c r="C271" s="191" t="s">
        <v>491</v>
      </c>
      <c r="D271" s="35"/>
      <c r="E271" s="35"/>
      <c r="F271" s="40"/>
    </row>
    <row r="272" spans="1:6" ht="141.75" hidden="1" x14ac:dyDescent="0.25">
      <c r="A272" s="334">
        <v>45474</v>
      </c>
      <c r="B272" s="335" t="s">
        <v>1413</v>
      </c>
      <c r="C272" s="191" t="s">
        <v>489</v>
      </c>
      <c r="D272" s="194">
        <v>5</v>
      </c>
      <c r="E272" s="194">
        <v>399</v>
      </c>
      <c r="F272" s="40" t="s">
        <v>648</v>
      </c>
    </row>
    <row r="273" spans="1:6" ht="20.25" hidden="1" x14ac:dyDescent="0.25">
      <c r="A273" s="334">
        <v>45474</v>
      </c>
      <c r="B273" s="335" t="s">
        <v>1413</v>
      </c>
      <c r="C273" s="191" t="s">
        <v>490</v>
      </c>
      <c r="D273" s="35"/>
      <c r="E273" s="35"/>
      <c r="F273" s="40"/>
    </row>
    <row r="274" spans="1:6" ht="101.25" hidden="1" x14ac:dyDescent="0.25">
      <c r="A274" s="334">
        <v>45474</v>
      </c>
      <c r="B274" s="335" t="s">
        <v>1413</v>
      </c>
      <c r="C274" s="191" t="s">
        <v>491</v>
      </c>
      <c r="D274" s="35">
        <v>5</v>
      </c>
      <c r="E274" s="35">
        <v>98</v>
      </c>
      <c r="F274" s="40" t="s">
        <v>649</v>
      </c>
    </row>
    <row r="275" spans="1:6" hidden="1" x14ac:dyDescent="0.25">
      <c r="A275" s="342">
        <v>45505</v>
      </c>
      <c r="B275" s="333" t="s">
        <v>1401</v>
      </c>
      <c r="C275" s="239" t="s">
        <v>489</v>
      </c>
      <c r="D275" s="233">
        <v>1</v>
      </c>
      <c r="E275" s="233">
        <v>100</v>
      </c>
      <c r="F275" s="232" t="s">
        <v>656</v>
      </c>
    </row>
    <row r="276" spans="1:6" hidden="1" x14ac:dyDescent="0.25">
      <c r="A276" s="342">
        <v>45505</v>
      </c>
      <c r="B276" s="333" t="s">
        <v>1401</v>
      </c>
      <c r="C276" s="239" t="s">
        <v>490</v>
      </c>
      <c r="D276" s="233"/>
      <c r="E276" s="233"/>
      <c r="F276" s="232"/>
    </row>
    <row r="277" spans="1:6" hidden="1" x14ac:dyDescent="0.25">
      <c r="A277" s="342">
        <v>45505</v>
      </c>
      <c r="B277" s="333" t="s">
        <v>1401</v>
      </c>
      <c r="C277" s="239" t="s">
        <v>491</v>
      </c>
      <c r="D277" s="233"/>
      <c r="E277" s="233"/>
      <c r="F277" s="232"/>
    </row>
    <row r="278" spans="1:6" hidden="1" x14ac:dyDescent="0.3">
      <c r="A278" s="342">
        <v>45505</v>
      </c>
      <c r="B278" s="333" t="s">
        <v>1402</v>
      </c>
      <c r="C278" s="239" t="s">
        <v>489</v>
      </c>
      <c r="D278" s="211"/>
      <c r="E278" s="211"/>
      <c r="F278" s="207"/>
    </row>
    <row r="279" spans="1:6" hidden="1" x14ac:dyDescent="0.25">
      <c r="A279" s="342">
        <v>45505</v>
      </c>
      <c r="B279" s="333" t="s">
        <v>1402</v>
      </c>
      <c r="C279" s="239" t="s">
        <v>490</v>
      </c>
      <c r="D279" s="233">
        <v>1</v>
      </c>
      <c r="E279" s="233">
        <v>35</v>
      </c>
      <c r="F279" s="232" t="s">
        <v>1461</v>
      </c>
    </row>
    <row r="280" spans="1:6" hidden="1" x14ac:dyDescent="0.25">
      <c r="A280" s="342">
        <v>45505</v>
      </c>
      <c r="B280" s="333" t="s">
        <v>1402</v>
      </c>
      <c r="C280" s="239" t="s">
        <v>491</v>
      </c>
      <c r="D280" s="233"/>
      <c r="E280" s="233"/>
      <c r="F280" s="232"/>
    </row>
    <row r="281" spans="1:6" hidden="1" x14ac:dyDescent="0.25">
      <c r="A281" s="342">
        <v>45505</v>
      </c>
      <c r="B281" s="333" t="s">
        <v>1403</v>
      </c>
      <c r="C281" s="239" t="s">
        <v>489</v>
      </c>
      <c r="D281" s="233">
        <v>1</v>
      </c>
      <c r="E281" s="233">
        <v>110</v>
      </c>
      <c r="F281" s="232" t="s">
        <v>660</v>
      </c>
    </row>
    <row r="282" spans="1:6" hidden="1" x14ac:dyDescent="0.25">
      <c r="A282" s="342">
        <v>45505</v>
      </c>
      <c r="B282" s="333" t="s">
        <v>1403</v>
      </c>
      <c r="C282" s="239" t="s">
        <v>490</v>
      </c>
      <c r="D282" s="233">
        <v>1</v>
      </c>
      <c r="E282" s="233">
        <v>25</v>
      </c>
      <c r="F282" s="232" t="s">
        <v>661</v>
      </c>
    </row>
    <row r="283" spans="1:6" hidden="1" x14ac:dyDescent="0.25">
      <c r="A283" s="342">
        <v>45505</v>
      </c>
      <c r="B283" s="333" t="s">
        <v>1403</v>
      </c>
      <c r="C283" s="239" t="s">
        <v>491</v>
      </c>
      <c r="D283" s="233"/>
      <c r="E283" s="233"/>
      <c r="F283" s="232"/>
    </row>
    <row r="284" spans="1:6" hidden="1" x14ac:dyDescent="0.25">
      <c r="A284" s="342">
        <v>45505</v>
      </c>
      <c r="B284" s="333" t="s">
        <v>1404</v>
      </c>
      <c r="C284" s="239" t="s">
        <v>489</v>
      </c>
      <c r="D284" s="233"/>
      <c r="E284" s="233"/>
      <c r="F284" s="232"/>
    </row>
    <row r="285" spans="1:6" hidden="1" x14ac:dyDescent="0.25">
      <c r="A285" s="342">
        <v>45505</v>
      </c>
      <c r="B285" s="333" t="s">
        <v>1404</v>
      </c>
      <c r="C285" s="239" t="s">
        <v>490</v>
      </c>
      <c r="D285" s="233">
        <v>1</v>
      </c>
      <c r="E285" s="233">
        <v>410</v>
      </c>
      <c r="F285" s="232" t="s">
        <v>655</v>
      </c>
    </row>
    <row r="286" spans="1:6" hidden="1" x14ac:dyDescent="0.25">
      <c r="A286" s="342">
        <v>45505</v>
      </c>
      <c r="B286" s="333" t="s">
        <v>1404</v>
      </c>
      <c r="C286" s="239" t="s">
        <v>491</v>
      </c>
      <c r="D286" s="233"/>
      <c r="E286" s="233"/>
      <c r="F286" s="232"/>
    </row>
    <row r="287" spans="1:6" ht="37.5" hidden="1" x14ac:dyDescent="0.25">
      <c r="A287" s="342">
        <v>45505</v>
      </c>
      <c r="B287" s="333" t="s">
        <v>1405</v>
      </c>
      <c r="C287" s="239" t="s">
        <v>489</v>
      </c>
      <c r="D287" s="233">
        <v>2</v>
      </c>
      <c r="E287" s="233">
        <v>405</v>
      </c>
      <c r="F287" s="232" t="s">
        <v>662</v>
      </c>
    </row>
    <row r="288" spans="1:6" ht="37.5" hidden="1" x14ac:dyDescent="0.25">
      <c r="A288" s="342">
        <v>45505</v>
      </c>
      <c r="B288" s="333" t="s">
        <v>1405</v>
      </c>
      <c r="C288" s="239" t="s">
        <v>490</v>
      </c>
      <c r="D288" s="233">
        <v>2</v>
      </c>
      <c r="E288" s="233">
        <v>190</v>
      </c>
      <c r="F288" s="232" t="s">
        <v>663</v>
      </c>
    </row>
    <row r="289" spans="1:6" ht="150" hidden="1" x14ac:dyDescent="0.25">
      <c r="A289" s="342">
        <v>45505</v>
      </c>
      <c r="B289" s="333" t="s">
        <v>1405</v>
      </c>
      <c r="C289" s="239" t="s">
        <v>491</v>
      </c>
      <c r="D289" s="233">
        <v>7</v>
      </c>
      <c r="E289" s="233">
        <v>75</v>
      </c>
      <c r="F289" s="232" t="s">
        <v>664</v>
      </c>
    </row>
    <row r="290" spans="1:6" ht="243.75" hidden="1" x14ac:dyDescent="0.25">
      <c r="A290" s="342">
        <v>45505</v>
      </c>
      <c r="B290" s="333" t="s">
        <v>1406</v>
      </c>
      <c r="C290" s="239" t="s">
        <v>489</v>
      </c>
      <c r="D290" s="233">
        <v>13</v>
      </c>
      <c r="E290" s="233">
        <v>996</v>
      </c>
      <c r="F290" s="232" t="s">
        <v>657</v>
      </c>
    </row>
    <row r="291" spans="1:6" ht="37.5" hidden="1" x14ac:dyDescent="0.25">
      <c r="A291" s="342">
        <v>45505</v>
      </c>
      <c r="B291" s="333" t="s">
        <v>1406</v>
      </c>
      <c r="C291" s="239" t="s">
        <v>490</v>
      </c>
      <c r="D291" s="233">
        <v>2</v>
      </c>
      <c r="E291" s="233">
        <v>300</v>
      </c>
      <c r="F291" s="232" t="s">
        <v>658</v>
      </c>
    </row>
    <row r="292" spans="1:6" hidden="1" x14ac:dyDescent="0.25">
      <c r="A292" s="342">
        <v>45505</v>
      </c>
      <c r="B292" s="333" t="s">
        <v>1406</v>
      </c>
      <c r="C292" s="239" t="s">
        <v>491</v>
      </c>
      <c r="D292" s="233">
        <v>1</v>
      </c>
      <c r="E292" s="233">
        <v>55</v>
      </c>
      <c r="F292" s="232" t="s">
        <v>659</v>
      </c>
    </row>
    <row r="293" spans="1:6" ht="150" hidden="1" x14ac:dyDescent="0.25">
      <c r="A293" s="342">
        <v>45505</v>
      </c>
      <c r="B293" s="333" t="s">
        <v>1438</v>
      </c>
      <c r="C293" s="239" t="s">
        <v>489</v>
      </c>
      <c r="D293" s="233">
        <v>8</v>
      </c>
      <c r="E293" s="233">
        <v>2405</v>
      </c>
      <c r="F293" s="232" t="s">
        <v>672</v>
      </c>
    </row>
    <row r="294" spans="1:6" ht="262.5" hidden="1" x14ac:dyDescent="0.25">
      <c r="A294" s="342">
        <v>45505</v>
      </c>
      <c r="B294" s="333" t="s">
        <v>1438</v>
      </c>
      <c r="C294" s="239" t="s">
        <v>490</v>
      </c>
      <c r="D294" s="233">
        <v>14</v>
      </c>
      <c r="E294" s="233">
        <v>625</v>
      </c>
      <c r="F294" s="232" t="s">
        <v>673</v>
      </c>
    </row>
    <row r="295" spans="1:6" ht="243.75" hidden="1" x14ac:dyDescent="0.25">
      <c r="A295" s="342">
        <v>45505</v>
      </c>
      <c r="B295" s="333" t="s">
        <v>1438</v>
      </c>
      <c r="C295" s="239" t="s">
        <v>491</v>
      </c>
      <c r="D295" s="233">
        <v>13</v>
      </c>
      <c r="E295" s="233">
        <v>284</v>
      </c>
      <c r="F295" s="232" t="s">
        <v>674</v>
      </c>
    </row>
    <row r="296" spans="1:6" ht="37.5" hidden="1" x14ac:dyDescent="0.25">
      <c r="A296" s="342">
        <v>45505</v>
      </c>
      <c r="B296" s="333" t="s">
        <v>1408</v>
      </c>
      <c r="C296" s="239" t="s">
        <v>489</v>
      </c>
      <c r="D296" s="233">
        <v>2</v>
      </c>
      <c r="E296" s="233">
        <v>165</v>
      </c>
      <c r="F296" s="232" t="s">
        <v>668</v>
      </c>
    </row>
    <row r="297" spans="1:6" ht="37.5" hidden="1" x14ac:dyDescent="0.25">
      <c r="A297" s="342">
        <v>45505</v>
      </c>
      <c r="B297" s="333" t="s">
        <v>1408</v>
      </c>
      <c r="C297" s="239" t="s">
        <v>490</v>
      </c>
      <c r="D297" s="233">
        <v>2</v>
      </c>
      <c r="E297" s="233">
        <v>35</v>
      </c>
      <c r="F297" s="232" t="s">
        <v>667</v>
      </c>
    </row>
    <row r="298" spans="1:6" hidden="1" x14ac:dyDescent="0.25">
      <c r="A298" s="342">
        <v>45505</v>
      </c>
      <c r="B298" s="333" t="s">
        <v>1408</v>
      </c>
      <c r="C298" s="239" t="s">
        <v>491</v>
      </c>
      <c r="D298" s="233"/>
      <c r="E298" s="233"/>
      <c r="F298" s="232"/>
    </row>
    <row r="299" spans="1:6" ht="56.25" hidden="1" x14ac:dyDescent="0.25">
      <c r="A299" s="342">
        <v>45505</v>
      </c>
      <c r="B299" s="333" t="s">
        <v>1409</v>
      </c>
      <c r="C299" s="239" t="s">
        <v>489</v>
      </c>
      <c r="D299" s="233">
        <v>3</v>
      </c>
      <c r="E299" s="233">
        <v>603</v>
      </c>
      <c r="F299" s="232" t="s">
        <v>679</v>
      </c>
    </row>
    <row r="300" spans="1:6" hidden="1" x14ac:dyDescent="0.25">
      <c r="A300" s="342">
        <v>45505</v>
      </c>
      <c r="B300" s="333" t="s">
        <v>1409</v>
      </c>
      <c r="C300" s="239" t="s">
        <v>490</v>
      </c>
      <c r="D300" s="233"/>
      <c r="E300" s="233"/>
      <c r="F300" s="232"/>
    </row>
    <row r="301" spans="1:6" hidden="1" x14ac:dyDescent="0.25">
      <c r="A301" s="342">
        <v>45505</v>
      </c>
      <c r="B301" s="333" t="s">
        <v>1409</v>
      </c>
      <c r="C301" s="239" t="s">
        <v>491</v>
      </c>
      <c r="D301" s="233"/>
      <c r="E301" s="233"/>
      <c r="F301" s="232"/>
    </row>
    <row r="302" spans="1:6" ht="56.25" hidden="1" x14ac:dyDescent="0.25">
      <c r="A302" s="342">
        <v>45505</v>
      </c>
      <c r="B302" s="333" t="s">
        <v>1410</v>
      </c>
      <c r="C302" s="239" t="s">
        <v>489</v>
      </c>
      <c r="D302" s="233">
        <v>2</v>
      </c>
      <c r="E302" s="233">
        <v>120</v>
      </c>
      <c r="F302" s="232" t="s">
        <v>665</v>
      </c>
    </row>
    <row r="303" spans="1:6" ht="93.75" hidden="1" x14ac:dyDescent="0.25">
      <c r="A303" s="342">
        <v>45505</v>
      </c>
      <c r="B303" s="333" t="s">
        <v>1410</v>
      </c>
      <c r="C303" s="239" t="s">
        <v>490</v>
      </c>
      <c r="D303" s="233">
        <v>4</v>
      </c>
      <c r="E303" s="233">
        <v>91</v>
      </c>
      <c r="F303" s="232" t="s">
        <v>666</v>
      </c>
    </row>
    <row r="304" spans="1:6" hidden="1" x14ac:dyDescent="0.25">
      <c r="A304" s="342">
        <v>45505</v>
      </c>
      <c r="B304" s="333" t="s">
        <v>1410</v>
      </c>
      <c r="C304" s="239" t="s">
        <v>491</v>
      </c>
      <c r="D304" s="233"/>
      <c r="E304" s="233"/>
      <c r="F304" s="232"/>
    </row>
    <row r="305" spans="1:6" hidden="1" x14ac:dyDescent="0.25">
      <c r="A305" s="342">
        <v>45505</v>
      </c>
      <c r="B305" s="333" t="s">
        <v>1411</v>
      </c>
      <c r="C305" s="239" t="s">
        <v>489</v>
      </c>
      <c r="D305" s="233">
        <v>1</v>
      </c>
      <c r="E305" s="233">
        <v>350</v>
      </c>
      <c r="F305" s="232" t="s">
        <v>678</v>
      </c>
    </row>
    <row r="306" spans="1:6" hidden="1" x14ac:dyDescent="0.25">
      <c r="A306" s="342">
        <v>45505</v>
      </c>
      <c r="B306" s="333" t="s">
        <v>1411</v>
      </c>
      <c r="C306" s="239" t="s">
        <v>490</v>
      </c>
      <c r="D306" s="233">
        <v>1</v>
      </c>
      <c r="E306" s="233">
        <v>60</v>
      </c>
      <c r="F306" s="232" t="s">
        <v>677</v>
      </c>
    </row>
    <row r="307" spans="1:6" hidden="1" x14ac:dyDescent="0.25">
      <c r="A307" s="342">
        <v>45505</v>
      </c>
      <c r="B307" s="333" t="s">
        <v>1411</v>
      </c>
      <c r="C307" s="239" t="s">
        <v>491</v>
      </c>
      <c r="D307" s="233"/>
      <c r="E307" s="233"/>
      <c r="F307" s="232"/>
    </row>
    <row r="308" spans="1:6" ht="75" hidden="1" x14ac:dyDescent="0.25">
      <c r="A308" s="342">
        <v>45505</v>
      </c>
      <c r="B308" s="333" t="s">
        <v>1452</v>
      </c>
      <c r="C308" s="239" t="s">
        <v>489</v>
      </c>
      <c r="D308" s="233">
        <v>5</v>
      </c>
      <c r="E308" s="233">
        <v>497</v>
      </c>
      <c r="F308" s="232" t="s">
        <v>675</v>
      </c>
    </row>
    <row r="309" spans="1:6" ht="225" hidden="1" x14ac:dyDescent="0.25">
      <c r="A309" s="342">
        <v>45505</v>
      </c>
      <c r="B309" s="333" t="s">
        <v>1452</v>
      </c>
      <c r="C309" s="239" t="s">
        <v>490</v>
      </c>
      <c r="D309" s="233">
        <v>12</v>
      </c>
      <c r="E309" s="233">
        <v>1923</v>
      </c>
      <c r="F309" s="232" t="s">
        <v>676</v>
      </c>
    </row>
    <row r="310" spans="1:6" hidden="1" x14ac:dyDescent="0.25">
      <c r="A310" s="342">
        <v>45505</v>
      </c>
      <c r="B310" s="333" t="s">
        <v>1452</v>
      </c>
      <c r="C310" s="239" t="s">
        <v>491</v>
      </c>
      <c r="D310" s="233"/>
      <c r="E310" s="233"/>
      <c r="F310" s="232"/>
    </row>
    <row r="311" spans="1:6" ht="56.25" hidden="1" x14ac:dyDescent="0.25">
      <c r="A311" s="342">
        <v>45505</v>
      </c>
      <c r="B311" s="333" t="s">
        <v>1413</v>
      </c>
      <c r="C311" s="239" t="s">
        <v>489</v>
      </c>
      <c r="D311" s="212">
        <v>3</v>
      </c>
      <c r="E311" s="212">
        <v>490</v>
      </c>
      <c r="F311" s="232" t="s">
        <v>669</v>
      </c>
    </row>
    <row r="312" spans="1:6" ht="75" hidden="1" x14ac:dyDescent="0.25">
      <c r="A312" s="342">
        <v>45505</v>
      </c>
      <c r="B312" s="333" t="s">
        <v>1413</v>
      </c>
      <c r="C312" s="239" t="s">
        <v>490</v>
      </c>
      <c r="D312" s="233">
        <v>3</v>
      </c>
      <c r="E312" s="233">
        <v>1020</v>
      </c>
      <c r="F312" s="232" t="s">
        <v>671</v>
      </c>
    </row>
    <row r="313" spans="1:6" ht="93.75" hidden="1" x14ac:dyDescent="0.25">
      <c r="A313" s="342">
        <v>45505</v>
      </c>
      <c r="B313" s="333" t="s">
        <v>1413</v>
      </c>
      <c r="C313" s="239" t="s">
        <v>491</v>
      </c>
      <c r="D313" s="233">
        <v>5</v>
      </c>
      <c r="E313" s="233">
        <v>50</v>
      </c>
      <c r="F313" s="232" t="s">
        <v>670</v>
      </c>
    </row>
    <row r="314" spans="1:6" ht="37.5" hidden="1" x14ac:dyDescent="0.25">
      <c r="A314" s="342">
        <v>45536</v>
      </c>
      <c r="B314" s="319" t="s">
        <v>1401</v>
      </c>
      <c r="C314" s="238" t="s">
        <v>489</v>
      </c>
      <c r="D314" s="126">
        <v>2</v>
      </c>
      <c r="E314" s="126">
        <v>140</v>
      </c>
      <c r="F314" s="180" t="s">
        <v>699</v>
      </c>
    </row>
    <row r="315" spans="1:6" ht="93.75" hidden="1" x14ac:dyDescent="0.25">
      <c r="A315" s="342">
        <v>45536</v>
      </c>
      <c r="B315" s="319" t="s">
        <v>1401</v>
      </c>
      <c r="C315" s="238" t="s">
        <v>490</v>
      </c>
      <c r="D315" s="126">
        <v>4</v>
      </c>
      <c r="E315" s="126">
        <v>550</v>
      </c>
      <c r="F315" s="180" t="s">
        <v>700</v>
      </c>
    </row>
    <row r="316" spans="1:6" hidden="1" x14ac:dyDescent="0.25">
      <c r="A316" s="342">
        <v>45536</v>
      </c>
      <c r="B316" s="319" t="s">
        <v>1401</v>
      </c>
      <c r="C316" s="238" t="s">
        <v>491</v>
      </c>
      <c r="D316" s="126"/>
      <c r="E316" s="126"/>
      <c r="F316" s="180"/>
    </row>
    <row r="317" spans="1:6" hidden="1" x14ac:dyDescent="0.25">
      <c r="A317" s="342">
        <v>45536</v>
      </c>
      <c r="B317" s="319" t="s">
        <v>1402</v>
      </c>
      <c r="C317" s="238" t="s">
        <v>489</v>
      </c>
      <c r="D317" s="147"/>
      <c r="E317" s="147"/>
      <c r="F317" s="147"/>
    </row>
    <row r="318" spans="1:6" hidden="1" x14ac:dyDescent="0.25">
      <c r="A318" s="342">
        <v>45536</v>
      </c>
      <c r="B318" s="319" t="s">
        <v>1402</v>
      </c>
      <c r="C318" s="238" t="s">
        <v>490</v>
      </c>
      <c r="D318" s="126">
        <v>1</v>
      </c>
      <c r="E318" s="126">
        <v>100</v>
      </c>
      <c r="F318" s="180" t="s">
        <v>705</v>
      </c>
    </row>
    <row r="319" spans="1:6" hidden="1" x14ac:dyDescent="0.25">
      <c r="A319" s="342">
        <v>45536</v>
      </c>
      <c r="B319" s="319" t="s">
        <v>1402</v>
      </c>
      <c r="C319" s="238" t="s">
        <v>491</v>
      </c>
      <c r="D319" s="126"/>
      <c r="E319" s="126"/>
      <c r="F319" s="180"/>
    </row>
    <row r="320" spans="1:6" hidden="1" x14ac:dyDescent="0.25">
      <c r="A320" s="342">
        <v>45536</v>
      </c>
      <c r="B320" s="319" t="s">
        <v>1403</v>
      </c>
      <c r="C320" s="238" t="s">
        <v>489</v>
      </c>
      <c r="D320" s="126">
        <v>3</v>
      </c>
      <c r="E320" s="126">
        <v>1480</v>
      </c>
      <c r="F320" s="180" t="s">
        <v>686</v>
      </c>
    </row>
    <row r="321" spans="1:6" ht="56.25" hidden="1" x14ac:dyDescent="0.25">
      <c r="A321" s="342">
        <v>45536</v>
      </c>
      <c r="B321" s="319" t="s">
        <v>1403</v>
      </c>
      <c r="C321" s="238" t="s">
        <v>490</v>
      </c>
      <c r="D321" s="126">
        <v>3</v>
      </c>
      <c r="E321" s="126">
        <v>1010</v>
      </c>
      <c r="F321" s="180" t="s">
        <v>687</v>
      </c>
    </row>
    <row r="322" spans="1:6" hidden="1" x14ac:dyDescent="0.25">
      <c r="A322" s="342">
        <v>45536</v>
      </c>
      <c r="B322" s="319" t="s">
        <v>1403</v>
      </c>
      <c r="C322" s="238" t="s">
        <v>491</v>
      </c>
      <c r="D322" s="126"/>
      <c r="E322" s="126"/>
      <c r="F322" s="180"/>
    </row>
    <row r="323" spans="1:6" hidden="1" x14ac:dyDescent="0.25">
      <c r="A323" s="342">
        <v>45536</v>
      </c>
      <c r="B323" s="319" t="s">
        <v>1404</v>
      </c>
      <c r="C323" s="238" t="s">
        <v>489</v>
      </c>
      <c r="D323" s="126"/>
      <c r="E323" s="126"/>
      <c r="F323" s="180"/>
    </row>
    <row r="324" spans="1:6" hidden="1" x14ac:dyDescent="0.25">
      <c r="A324" s="342">
        <v>45536</v>
      </c>
      <c r="B324" s="319" t="s">
        <v>1404</v>
      </c>
      <c r="C324" s="238" t="s">
        <v>490</v>
      </c>
      <c r="D324" s="126"/>
      <c r="E324" s="126"/>
      <c r="F324" s="180"/>
    </row>
    <row r="325" spans="1:6" ht="37.5" hidden="1" x14ac:dyDescent="0.25">
      <c r="A325" s="342">
        <v>45536</v>
      </c>
      <c r="B325" s="319" t="s">
        <v>1404</v>
      </c>
      <c r="C325" s="238" t="s">
        <v>491</v>
      </c>
      <c r="D325" s="126">
        <v>2</v>
      </c>
      <c r="E325" s="126">
        <v>7</v>
      </c>
      <c r="F325" s="180" t="s">
        <v>701</v>
      </c>
    </row>
    <row r="326" spans="1:6" ht="37.5" hidden="1" x14ac:dyDescent="0.25">
      <c r="A326" s="342">
        <v>45536</v>
      </c>
      <c r="B326" s="319" t="s">
        <v>1405</v>
      </c>
      <c r="C326" s="238" t="s">
        <v>489</v>
      </c>
      <c r="D326" s="126">
        <v>2</v>
      </c>
      <c r="E326" s="126">
        <v>200</v>
      </c>
      <c r="F326" s="180" t="s">
        <v>682</v>
      </c>
    </row>
    <row r="327" spans="1:6" ht="37.5" hidden="1" x14ac:dyDescent="0.25">
      <c r="A327" s="342">
        <v>45536</v>
      </c>
      <c r="B327" s="319" t="s">
        <v>1405</v>
      </c>
      <c r="C327" s="238" t="s">
        <v>490</v>
      </c>
      <c r="D327" s="126">
        <v>1</v>
      </c>
      <c r="E327" s="126">
        <v>165</v>
      </c>
      <c r="F327" s="180" t="s">
        <v>683</v>
      </c>
    </row>
    <row r="328" spans="1:6" ht="37.5" hidden="1" x14ac:dyDescent="0.25">
      <c r="A328" s="342">
        <v>45536</v>
      </c>
      <c r="B328" s="319" t="s">
        <v>1405</v>
      </c>
      <c r="C328" s="238" t="s">
        <v>491</v>
      </c>
      <c r="D328" s="126">
        <v>2</v>
      </c>
      <c r="E328" s="126">
        <v>9</v>
      </c>
      <c r="F328" s="180" t="s">
        <v>684</v>
      </c>
    </row>
    <row r="329" spans="1:6" ht="300" hidden="1" x14ac:dyDescent="0.25">
      <c r="A329" s="342">
        <v>45536</v>
      </c>
      <c r="B329" s="319" t="s">
        <v>1406</v>
      </c>
      <c r="C329" s="238" t="s">
        <v>489</v>
      </c>
      <c r="D329" s="126">
        <v>15</v>
      </c>
      <c r="E329" s="126">
        <v>1040</v>
      </c>
      <c r="F329" s="180" t="s">
        <v>708</v>
      </c>
    </row>
    <row r="330" spans="1:6" ht="37.5" hidden="1" x14ac:dyDescent="0.25">
      <c r="A330" s="342">
        <v>45536</v>
      </c>
      <c r="B330" s="319" t="s">
        <v>1406</v>
      </c>
      <c r="C330" s="238" t="s">
        <v>490</v>
      </c>
      <c r="D330" s="126">
        <v>2</v>
      </c>
      <c r="E330" s="126">
        <v>229</v>
      </c>
      <c r="F330" s="180" t="s">
        <v>709</v>
      </c>
    </row>
    <row r="331" spans="1:6" hidden="1" x14ac:dyDescent="0.25">
      <c r="A331" s="342">
        <v>45536</v>
      </c>
      <c r="B331" s="319" t="s">
        <v>1406</v>
      </c>
      <c r="C331" s="238" t="s">
        <v>491</v>
      </c>
      <c r="D331" s="126"/>
      <c r="E331" s="126"/>
      <c r="F331" s="180"/>
    </row>
    <row r="332" spans="1:6" ht="131.25" hidden="1" x14ac:dyDescent="0.25">
      <c r="A332" s="342">
        <v>45536</v>
      </c>
      <c r="B332" s="319" t="s">
        <v>1438</v>
      </c>
      <c r="C332" s="238" t="s">
        <v>489</v>
      </c>
      <c r="D332" s="126">
        <v>7</v>
      </c>
      <c r="E332" s="126">
        <v>715</v>
      </c>
      <c r="F332" s="180" t="s">
        <v>691</v>
      </c>
    </row>
    <row r="333" spans="1:6" ht="206.25" hidden="1" x14ac:dyDescent="0.25">
      <c r="A333" s="342">
        <v>45536</v>
      </c>
      <c r="B333" s="319" t="s">
        <v>1438</v>
      </c>
      <c r="C333" s="238" t="s">
        <v>490</v>
      </c>
      <c r="D333" s="126">
        <v>10</v>
      </c>
      <c r="E333" s="126">
        <v>258</v>
      </c>
      <c r="F333" s="180" t="s">
        <v>692</v>
      </c>
    </row>
    <row r="334" spans="1:6" ht="243.75" hidden="1" x14ac:dyDescent="0.25">
      <c r="A334" s="342">
        <v>45536</v>
      </c>
      <c r="B334" s="319" t="s">
        <v>1438</v>
      </c>
      <c r="C334" s="238" t="s">
        <v>491</v>
      </c>
      <c r="D334" s="126">
        <v>12</v>
      </c>
      <c r="E334" s="126">
        <v>242</v>
      </c>
      <c r="F334" s="180" t="s">
        <v>693</v>
      </c>
    </row>
    <row r="335" spans="1:6" ht="56.25" hidden="1" x14ac:dyDescent="0.25">
      <c r="A335" s="342">
        <v>45536</v>
      </c>
      <c r="B335" s="319" t="s">
        <v>1408</v>
      </c>
      <c r="C335" s="238" t="s">
        <v>489</v>
      </c>
      <c r="D335" s="126">
        <v>2</v>
      </c>
      <c r="E335" s="126">
        <v>210</v>
      </c>
      <c r="F335" s="180" t="s">
        <v>695</v>
      </c>
    </row>
    <row r="336" spans="1:6" ht="56.25" hidden="1" x14ac:dyDescent="0.25">
      <c r="A336" s="342">
        <v>45536</v>
      </c>
      <c r="B336" s="319" t="s">
        <v>1408</v>
      </c>
      <c r="C336" s="238" t="s">
        <v>490</v>
      </c>
      <c r="D336" s="126">
        <v>3</v>
      </c>
      <c r="E336" s="126">
        <v>50</v>
      </c>
      <c r="F336" s="180" t="s">
        <v>694</v>
      </c>
    </row>
    <row r="337" spans="1:6" hidden="1" x14ac:dyDescent="0.25">
      <c r="A337" s="342">
        <v>45536</v>
      </c>
      <c r="B337" s="319" t="s">
        <v>1408</v>
      </c>
      <c r="C337" s="238" t="s">
        <v>491</v>
      </c>
      <c r="D337" s="126"/>
      <c r="E337" s="126"/>
      <c r="F337" s="180"/>
    </row>
    <row r="338" spans="1:6" hidden="1" x14ac:dyDescent="0.25">
      <c r="A338" s="342">
        <v>45536</v>
      </c>
      <c r="B338" s="319" t="s">
        <v>1409</v>
      </c>
      <c r="C338" s="238" t="s">
        <v>489</v>
      </c>
      <c r="D338" s="126"/>
      <c r="E338" s="126"/>
      <c r="F338" s="180"/>
    </row>
    <row r="339" spans="1:6" ht="75" hidden="1" x14ac:dyDescent="0.25">
      <c r="A339" s="342">
        <v>45536</v>
      </c>
      <c r="B339" s="319" t="s">
        <v>1409</v>
      </c>
      <c r="C339" s="238" t="s">
        <v>490</v>
      </c>
      <c r="D339" s="126">
        <v>4</v>
      </c>
      <c r="E339" s="126">
        <v>1003</v>
      </c>
      <c r="F339" s="180" t="s">
        <v>704</v>
      </c>
    </row>
    <row r="340" spans="1:6" hidden="1" x14ac:dyDescent="0.25">
      <c r="A340" s="342">
        <v>45536</v>
      </c>
      <c r="B340" s="319" t="s">
        <v>1409</v>
      </c>
      <c r="C340" s="238" t="s">
        <v>491</v>
      </c>
      <c r="D340" s="126"/>
      <c r="E340" s="126"/>
      <c r="F340" s="180"/>
    </row>
    <row r="341" spans="1:6" ht="37.5" hidden="1" x14ac:dyDescent="0.25">
      <c r="A341" s="342">
        <v>45536</v>
      </c>
      <c r="B341" s="319" t="s">
        <v>1410</v>
      </c>
      <c r="C341" s="238" t="s">
        <v>489</v>
      </c>
      <c r="D341" s="126">
        <v>2</v>
      </c>
      <c r="E341" s="126">
        <v>700</v>
      </c>
      <c r="F341" s="180" t="s">
        <v>689</v>
      </c>
    </row>
    <row r="342" spans="1:6" hidden="1" x14ac:dyDescent="0.25">
      <c r="A342" s="342">
        <v>45536</v>
      </c>
      <c r="B342" s="319" t="s">
        <v>1410</v>
      </c>
      <c r="C342" s="238" t="s">
        <v>490</v>
      </c>
      <c r="D342" s="126"/>
      <c r="E342" s="126"/>
      <c r="F342" s="180"/>
    </row>
    <row r="343" spans="1:6" ht="37.5" hidden="1" x14ac:dyDescent="0.25">
      <c r="A343" s="342">
        <v>45536</v>
      </c>
      <c r="B343" s="319" t="s">
        <v>1410</v>
      </c>
      <c r="C343" s="238" t="s">
        <v>491</v>
      </c>
      <c r="D343" s="126">
        <v>1</v>
      </c>
      <c r="E343" s="126">
        <v>150</v>
      </c>
      <c r="F343" s="180" t="s">
        <v>688</v>
      </c>
    </row>
    <row r="344" spans="1:6" hidden="1" x14ac:dyDescent="0.25">
      <c r="A344" s="342">
        <v>45536</v>
      </c>
      <c r="B344" s="319" t="s">
        <v>1411</v>
      </c>
      <c r="C344" s="238" t="s">
        <v>489</v>
      </c>
      <c r="D344" s="126">
        <v>1</v>
      </c>
      <c r="E344" s="126">
        <v>350</v>
      </c>
      <c r="F344" s="180" t="s">
        <v>706</v>
      </c>
    </row>
    <row r="345" spans="1:6" hidden="1" x14ac:dyDescent="0.25">
      <c r="A345" s="342">
        <v>45536</v>
      </c>
      <c r="B345" s="319" t="s">
        <v>1411</v>
      </c>
      <c r="C345" s="238" t="s">
        <v>490</v>
      </c>
      <c r="D345" s="126"/>
      <c r="E345" s="126"/>
      <c r="F345" s="180"/>
    </row>
    <row r="346" spans="1:6" hidden="1" x14ac:dyDescent="0.25">
      <c r="A346" s="342">
        <v>45536</v>
      </c>
      <c r="B346" s="319" t="s">
        <v>1411</v>
      </c>
      <c r="C346" s="238" t="s">
        <v>491</v>
      </c>
      <c r="D346" s="126"/>
      <c r="E346" s="126"/>
      <c r="F346" s="180"/>
    </row>
    <row r="347" spans="1:6" ht="56.25" hidden="1" x14ac:dyDescent="0.25">
      <c r="A347" s="342">
        <v>45536</v>
      </c>
      <c r="B347" s="319" t="s">
        <v>1452</v>
      </c>
      <c r="C347" s="238" t="s">
        <v>489</v>
      </c>
      <c r="D347" s="126">
        <v>3</v>
      </c>
      <c r="E347" s="126">
        <v>425</v>
      </c>
      <c r="F347" s="180" t="s">
        <v>702</v>
      </c>
    </row>
    <row r="348" spans="1:6" ht="150" hidden="1" x14ac:dyDescent="0.25">
      <c r="A348" s="342">
        <v>45536</v>
      </c>
      <c r="B348" s="319" t="s">
        <v>1452</v>
      </c>
      <c r="C348" s="238" t="s">
        <v>490</v>
      </c>
      <c r="D348" s="126">
        <v>8</v>
      </c>
      <c r="E348" s="126">
        <v>1048</v>
      </c>
      <c r="F348" s="180" t="s">
        <v>703</v>
      </c>
    </row>
    <row r="349" spans="1:6" hidden="1" x14ac:dyDescent="0.25">
      <c r="A349" s="342">
        <v>45536</v>
      </c>
      <c r="B349" s="319" t="s">
        <v>1452</v>
      </c>
      <c r="C349" s="238" t="s">
        <v>491</v>
      </c>
      <c r="D349" s="126"/>
      <c r="E349" s="126"/>
      <c r="F349" s="180"/>
    </row>
    <row r="350" spans="1:6" ht="93.75" hidden="1" x14ac:dyDescent="0.25">
      <c r="A350" s="342">
        <v>45536</v>
      </c>
      <c r="B350" s="319" t="s">
        <v>1413</v>
      </c>
      <c r="C350" s="238" t="s">
        <v>489</v>
      </c>
      <c r="D350" s="214">
        <v>5</v>
      </c>
      <c r="E350" s="214">
        <v>274</v>
      </c>
      <c r="F350" s="180" t="s">
        <v>711</v>
      </c>
    </row>
    <row r="351" spans="1:6" hidden="1" x14ac:dyDescent="0.25">
      <c r="A351" s="342">
        <v>45536</v>
      </c>
      <c r="B351" s="319" t="s">
        <v>1413</v>
      </c>
      <c r="C351" s="238" t="s">
        <v>490</v>
      </c>
      <c r="D351" s="126">
        <v>1</v>
      </c>
      <c r="E351" s="126">
        <v>600</v>
      </c>
      <c r="F351" s="180" t="s">
        <v>710</v>
      </c>
    </row>
    <row r="352" spans="1:6" ht="75" hidden="1" x14ac:dyDescent="0.25">
      <c r="A352" s="342">
        <v>45536</v>
      </c>
      <c r="B352" s="319" t="s">
        <v>1413</v>
      </c>
      <c r="C352" s="238" t="s">
        <v>491</v>
      </c>
      <c r="D352" s="126">
        <v>4</v>
      </c>
      <c r="E352" s="126">
        <v>65</v>
      </c>
      <c r="F352" s="215" t="s">
        <v>712</v>
      </c>
    </row>
    <row r="353" spans="1:6" hidden="1" x14ac:dyDescent="0.25">
      <c r="A353" s="342">
        <v>45566</v>
      </c>
      <c r="B353" s="319" t="s">
        <v>1401</v>
      </c>
      <c r="C353" s="238" t="s">
        <v>489</v>
      </c>
      <c r="D353" s="126">
        <v>1</v>
      </c>
      <c r="E353" s="126">
        <v>10</v>
      </c>
      <c r="F353" s="180" t="s">
        <v>716</v>
      </c>
    </row>
    <row r="354" spans="1:6" ht="75" hidden="1" x14ac:dyDescent="0.25">
      <c r="A354" s="342">
        <v>45566</v>
      </c>
      <c r="B354" s="319" t="s">
        <v>1401</v>
      </c>
      <c r="C354" s="238" t="s">
        <v>490</v>
      </c>
      <c r="D354" s="126">
        <v>4</v>
      </c>
      <c r="E354" s="126">
        <v>180</v>
      </c>
      <c r="F354" s="180" t="s">
        <v>717</v>
      </c>
    </row>
    <row r="355" spans="1:6" ht="75" hidden="1" x14ac:dyDescent="0.25">
      <c r="A355" s="342">
        <v>45566</v>
      </c>
      <c r="B355" s="319" t="s">
        <v>1401</v>
      </c>
      <c r="C355" s="238" t="s">
        <v>491</v>
      </c>
      <c r="D355" s="126">
        <v>4</v>
      </c>
      <c r="E355" s="126">
        <v>403</v>
      </c>
      <c r="F355" s="180" t="s">
        <v>718</v>
      </c>
    </row>
    <row r="356" spans="1:6" hidden="1" x14ac:dyDescent="0.25">
      <c r="A356" s="342">
        <v>45566</v>
      </c>
      <c r="B356" s="319" t="s">
        <v>1402</v>
      </c>
      <c r="C356" s="238" t="s">
        <v>489</v>
      </c>
      <c r="D356" s="147"/>
      <c r="E356" s="147"/>
      <c r="F356" s="147"/>
    </row>
    <row r="357" spans="1:6" hidden="1" x14ac:dyDescent="0.25">
      <c r="A357" s="342">
        <v>45566</v>
      </c>
      <c r="B357" s="319" t="s">
        <v>1402</v>
      </c>
      <c r="C357" s="238" t="s">
        <v>490</v>
      </c>
      <c r="D357" s="126">
        <v>1</v>
      </c>
      <c r="E357" s="126">
        <v>20</v>
      </c>
      <c r="F357" s="180" t="s">
        <v>1460</v>
      </c>
    </row>
    <row r="358" spans="1:6" hidden="1" x14ac:dyDescent="0.25">
      <c r="A358" s="342">
        <v>45566</v>
      </c>
      <c r="B358" s="319" t="s">
        <v>1402</v>
      </c>
      <c r="C358" s="238" t="s">
        <v>491</v>
      </c>
      <c r="D358" s="126"/>
      <c r="E358" s="126"/>
      <c r="F358" s="180"/>
    </row>
    <row r="359" spans="1:6" hidden="1" x14ac:dyDescent="0.25">
      <c r="A359" s="342">
        <v>45566</v>
      </c>
      <c r="B359" s="319" t="s">
        <v>1403</v>
      </c>
      <c r="C359" s="238" t="s">
        <v>489</v>
      </c>
      <c r="D359" s="126">
        <v>4</v>
      </c>
      <c r="E359" s="126">
        <v>1620</v>
      </c>
      <c r="F359" s="180"/>
    </row>
    <row r="360" spans="1:6" hidden="1" x14ac:dyDescent="0.25">
      <c r="A360" s="342">
        <v>45566</v>
      </c>
      <c r="B360" s="319" t="s">
        <v>1403</v>
      </c>
      <c r="C360" s="238" t="s">
        <v>490</v>
      </c>
      <c r="D360" s="126">
        <v>1</v>
      </c>
      <c r="E360" s="126">
        <v>115</v>
      </c>
      <c r="F360" s="180" t="s">
        <v>713</v>
      </c>
    </row>
    <row r="361" spans="1:6" hidden="1" x14ac:dyDescent="0.25">
      <c r="A361" s="342">
        <v>45566</v>
      </c>
      <c r="B361" s="319" t="s">
        <v>1403</v>
      </c>
      <c r="C361" s="238" t="s">
        <v>491</v>
      </c>
      <c r="D361" s="126"/>
      <c r="E361" s="126"/>
      <c r="F361" s="180"/>
    </row>
    <row r="362" spans="1:6" ht="37.5" hidden="1" x14ac:dyDescent="0.25">
      <c r="A362" s="342">
        <v>45566</v>
      </c>
      <c r="B362" s="319" t="s">
        <v>1404</v>
      </c>
      <c r="C362" s="238" t="s">
        <v>489</v>
      </c>
      <c r="D362" s="126">
        <v>2</v>
      </c>
      <c r="E362" s="126">
        <v>966</v>
      </c>
      <c r="F362" s="180" t="s">
        <v>715</v>
      </c>
    </row>
    <row r="363" spans="1:6" ht="37.5" hidden="1" x14ac:dyDescent="0.25">
      <c r="A363" s="342">
        <v>45566</v>
      </c>
      <c r="B363" s="319" t="s">
        <v>1404</v>
      </c>
      <c r="C363" s="238" t="s">
        <v>490</v>
      </c>
      <c r="D363" s="126">
        <v>2</v>
      </c>
      <c r="E363" s="126">
        <v>100</v>
      </c>
      <c r="F363" s="180" t="s">
        <v>714</v>
      </c>
    </row>
    <row r="364" spans="1:6" hidden="1" x14ac:dyDescent="0.25">
      <c r="A364" s="342">
        <v>45566</v>
      </c>
      <c r="B364" s="319" t="s">
        <v>1404</v>
      </c>
      <c r="C364" s="238" t="s">
        <v>491</v>
      </c>
      <c r="D364" s="126"/>
      <c r="E364" s="126"/>
      <c r="F364" s="180"/>
    </row>
    <row r="365" spans="1:6" hidden="1" x14ac:dyDescent="0.25">
      <c r="A365" s="342">
        <v>45566</v>
      </c>
      <c r="B365" s="319" t="s">
        <v>1405</v>
      </c>
      <c r="C365" s="238" t="s">
        <v>489</v>
      </c>
      <c r="D365" s="126"/>
      <c r="E365" s="126"/>
      <c r="F365" s="180"/>
    </row>
    <row r="366" spans="1:6" hidden="1" x14ac:dyDescent="0.25">
      <c r="A366" s="342">
        <v>45566</v>
      </c>
      <c r="B366" s="319" t="s">
        <v>1405</v>
      </c>
      <c r="C366" s="238" t="s">
        <v>490</v>
      </c>
      <c r="D366" s="126"/>
      <c r="E366" s="126"/>
      <c r="F366" s="180"/>
    </row>
    <row r="367" spans="1:6" hidden="1" x14ac:dyDescent="0.25">
      <c r="A367" s="342">
        <v>45566</v>
      </c>
      <c r="B367" s="319" t="s">
        <v>1405</v>
      </c>
      <c r="C367" s="238" t="s">
        <v>491</v>
      </c>
      <c r="D367" s="126"/>
      <c r="E367" s="126"/>
      <c r="F367" s="180"/>
    </row>
    <row r="368" spans="1:6" ht="225" hidden="1" x14ac:dyDescent="0.25">
      <c r="A368" s="342">
        <v>45566</v>
      </c>
      <c r="B368" s="319" t="s">
        <v>1406</v>
      </c>
      <c r="C368" s="238" t="s">
        <v>489</v>
      </c>
      <c r="D368" s="126">
        <v>14</v>
      </c>
      <c r="E368" s="126">
        <v>1398</v>
      </c>
      <c r="F368" s="180" t="s">
        <v>720</v>
      </c>
    </row>
    <row r="369" spans="1:6" ht="112.5" hidden="1" x14ac:dyDescent="0.25">
      <c r="A369" s="342">
        <v>45566</v>
      </c>
      <c r="B369" s="319" t="s">
        <v>1406</v>
      </c>
      <c r="C369" s="238" t="s">
        <v>490</v>
      </c>
      <c r="D369" s="126">
        <v>7</v>
      </c>
      <c r="E369" s="126">
        <v>1211</v>
      </c>
      <c r="F369" s="180" t="s">
        <v>721</v>
      </c>
    </row>
    <row r="370" spans="1:6" ht="37.5" hidden="1" x14ac:dyDescent="0.25">
      <c r="A370" s="342">
        <v>45566</v>
      </c>
      <c r="B370" s="319" t="s">
        <v>1406</v>
      </c>
      <c r="C370" s="238" t="s">
        <v>491</v>
      </c>
      <c r="D370" s="126">
        <v>2</v>
      </c>
      <c r="E370" s="126">
        <v>450</v>
      </c>
      <c r="F370" s="180" t="s">
        <v>722</v>
      </c>
    </row>
    <row r="371" spans="1:6" ht="131.25" hidden="1" x14ac:dyDescent="0.25">
      <c r="A371" s="342">
        <v>45566</v>
      </c>
      <c r="B371" s="319" t="s">
        <v>1438</v>
      </c>
      <c r="C371" s="238" t="s">
        <v>489</v>
      </c>
      <c r="D371" s="126">
        <v>7</v>
      </c>
      <c r="E371" s="126">
        <v>1687</v>
      </c>
      <c r="F371" s="180" t="s">
        <v>726</v>
      </c>
    </row>
    <row r="372" spans="1:6" ht="150" hidden="1" x14ac:dyDescent="0.25">
      <c r="A372" s="342">
        <v>45566</v>
      </c>
      <c r="B372" s="319" t="s">
        <v>1438</v>
      </c>
      <c r="C372" s="238" t="s">
        <v>490</v>
      </c>
      <c r="D372" s="126">
        <v>8</v>
      </c>
      <c r="E372" s="126">
        <v>212</v>
      </c>
      <c r="F372" s="180" t="s">
        <v>724</v>
      </c>
    </row>
    <row r="373" spans="1:6" ht="243.75" hidden="1" x14ac:dyDescent="0.25">
      <c r="A373" s="342">
        <v>45566</v>
      </c>
      <c r="B373" s="319" t="s">
        <v>1438</v>
      </c>
      <c r="C373" s="238" t="s">
        <v>491</v>
      </c>
      <c r="D373" s="126">
        <v>14</v>
      </c>
      <c r="E373" s="126">
        <v>212</v>
      </c>
      <c r="F373" s="180" t="s">
        <v>725</v>
      </c>
    </row>
    <row r="374" spans="1:6" ht="37.5" hidden="1" x14ac:dyDescent="0.25">
      <c r="A374" s="342">
        <v>45566</v>
      </c>
      <c r="B374" s="319" t="s">
        <v>1408</v>
      </c>
      <c r="C374" s="238" t="s">
        <v>489</v>
      </c>
      <c r="D374" s="126">
        <v>2</v>
      </c>
      <c r="E374" s="126">
        <v>340</v>
      </c>
      <c r="F374" s="180" t="s">
        <v>728</v>
      </c>
    </row>
    <row r="375" spans="1:6" ht="37.5" hidden="1" x14ac:dyDescent="0.25">
      <c r="A375" s="342">
        <v>45566</v>
      </c>
      <c r="B375" s="319" t="s">
        <v>1408</v>
      </c>
      <c r="C375" s="238" t="s">
        <v>490</v>
      </c>
      <c r="D375" s="126">
        <v>2</v>
      </c>
      <c r="E375" s="126">
        <v>35</v>
      </c>
      <c r="F375" s="180" t="s">
        <v>727</v>
      </c>
    </row>
    <row r="376" spans="1:6" hidden="1" x14ac:dyDescent="0.25">
      <c r="A376" s="342">
        <v>45566</v>
      </c>
      <c r="B376" s="319" t="s">
        <v>1408</v>
      </c>
      <c r="C376" s="238" t="s">
        <v>491</v>
      </c>
      <c r="D376" s="126"/>
      <c r="E376" s="126"/>
      <c r="F376" s="180"/>
    </row>
    <row r="377" spans="1:6" ht="37.5" hidden="1" x14ac:dyDescent="0.25">
      <c r="A377" s="342">
        <v>45566</v>
      </c>
      <c r="B377" s="319" t="s">
        <v>1409</v>
      </c>
      <c r="C377" s="238" t="s">
        <v>489</v>
      </c>
      <c r="D377" s="126">
        <v>2</v>
      </c>
      <c r="E377" s="126">
        <v>210</v>
      </c>
      <c r="F377" s="180" t="s">
        <v>729</v>
      </c>
    </row>
    <row r="378" spans="1:6" ht="75" hidden="1" x14ac:dyDescent="0.25">
      <c r="A378" s="342">
        <v>45566</v>
      </c>
      <c r="B378" s="319" t="s">
        <v>1409</v>
      </c>
      <c r="C378" s="238" t="s">
        <v>490</v>
      </c>
      <c r="D378" s="126">
        <v>3</v>
      </c>
      <c r="E378" s="126">
        <v>130</v>
      </c>
      <c r="F378" s="180" t="s">
        <v>730</v>
      </c>
    </row>
    <row r="379" spans="1:6" hidden="1" x14ac:dyDescent="0.25">
      <c r="A379" s="342">
        <v>45566</v>
      </c>
      <c r="B379" s="319" t="s">
        <v>1409</v>
      </c>
      <c r="C379" s="238" t="s">
        <v>491</v>
      </c>
      <c r="D379" s="126"/>
      <c r="E379" s="126"/>
      <c r="F379" s="180"/>
    </row>
    <row r="380" spans="1:6" hidden="1" x14ac:dyDescent="0.25">
      <c r="A380" s="342">
        <v>45566</v>
      </c>
      <c r="B380" s="319" t="s">
        <v>1410</v>
      </c>
      <c r="C380" s="238" t="s">
        <v>489</v>
      </c>
      <c r="D380" s="126">
        <v>1</v>
      </c>
      <c r="E380" s="126">
        <v>200</v>
      </c>
      <c r="F380" s="180" t="s">
        <v>731</v>
      </c>
    </row>
    <row r="381" spans="1:6" hidden="1" x14ac:dyDescent="0.25">
      <c r="A381" s="342">
        <v>45566</v>
      </c>
      <c r="B381" s="319" t="s">
        <v>1410</v>
      </c>
      <c r="C381" s="238" t="s">
        <v>490</v>
      </c>
      <c r="D381" s="126"/>
      <c r="E381" s="126"/>
      <c r="F381" s="180"/>
    </row>
    <row r="382" spans="1:6" hidden="1" x14ac:dyDescent="0.25">
      <c r="A382" s="342">
        <v>45566</v>
      </c>
      <c r="B382" s="319" t="s">
        <v>1410</v>
      </c>
      <c r="C382" s="238" t="s">
        <v>491</v>
      </c>
      <c r="D382" s="126"/>
      <c r="E382" s="126"/>
      <c r="F382" s="180"/>
    </row>
    <row r="383" spans="1:6" hidden="1" x14ac:dyDescent="0.25">
      <c r="A383" s="342">
        <v>45566</v>
      </c>
      <c r="B383" s="319" t="s">
        <v>1411</v>
      </c>
      <c r="C383" s="238" t="s">
        <v>489</v>
      </c>
      <c r="D383" s="126"/>
      <c r="E383" s="126"/>
      <c r="F383" s="180"/>
    </row>
    <row r="384" spans="1:6" hidden="1" x14ac:dyDescent="0.25">
      <c r="A384" s="342">
        <v>45566</v>
      </c>
      <c r="B384" s="319" t="s">
        <v>1411</v>
      </c>
      <c r="C384" s="238" t="s">
        <v>490</v>
      </c>
      <c r="D384" s="126"/>
      <c r="E384" s="126"/>
      <c r="F384" s="180"/>
    </row>
    <row r="385" spans="1:6" hidden="1" x14ac:dyDescent="0.25">
      <c r="A385" s="342">
        <v>45566</v>
      </c>
      <c r="B385" s="319" t="s">
        <v>1411</v>
      </c>
      <c r="C385" s="238" t="s">
        <v>491</v>
      </c>
      <c r="D385" s="126">
        <v>1</v>
      </c>
      <c r="E385" s="126">
        <v>5</v>
      </c>
      <c r="F385" s="180" t="s">
        <v>738</v>
      </c>
    </row>
    <row r="386" spans="1:6" ht="93.75" hidden="1" x14ac:dyDescent="0.25">
      <c r="A386" s="342">
        <v>45566</v>
      </c>
      <c r="B386" s="319" t="s">
        <v>1452</v>
      </c>
      <c r="C386" s="238" t="s">
        <v>489</v>
      </c>
      <c r="D386" s="126">
        <v>5</v>
      </c>
      <c r="E386" s="126">
        <v>529</v>
      </c>
      <c r="F386" s="180" t="s">
        <v>737</v>
      </c>
    </row>
    <row r="387" spans="1:6" ht="75" hidden="1" x14ac:dyDescent="0.25">
      <c r="A387" s="342">
        <v>45566</v>
      </c>
      <c r="B387" s="319" t="s">
        <v>1452</v>
      </c>
      <c r="C387" s="238" t="s">
        <v>490</v>
      </c>
      <c r="D387" s="126">
        <v>4</v>
      </c>
      <c r="E387" s="126">
        <v>485</v>
      </c>
      <c r="F387" s="180" t="s">
        <v>736</v>
      </c>
    </row>
    <row r="388" spans="1:6" hidden="1" x14ac:dyDescent="0.25">
      <c r="A388" s="342">
        <v>45566</v>
      </c>
      <c r="B388" s="319" t="s">
        <v>1452</v>
      </c>
      <c r="C388" s="238" t="s">
        <v>491</v>
      </c>
      <c r="D388" s="126">
        <v>1</v>
      </c>
      <c r="E388" s="126">
        <v>400</v>
      </c>
      <c r="F388" s="180" t="s">
        <v>735</v>
      </c>
    </row>
    <row r="389" spans="1:6" ht="37.5" hidden="1" x14ac:dyDescent="0.25">
      <c r="A389" s="342">
        <v>45566</v>
      </c>
      <c r="B389" s="319" t="s">
        <v>1413</v>
      </c>
      <c r="C389" s="238" t="s">
        <v>489</v>
      </c>
      <c r="D389" s="126">
        <v>2</v>
      </c>
      <c r="E389" s="126">
        <v>160</v>
      </c>
      <c r="F389" s="180" t="s">
        <v>732</v>
      </c>
    </row>
    <row r="390" spans="1:6" ht="168.75" hidden="1" x14ac:dyDescent="0.25">
      <c r="A390" s="342">
        <v>45566</v>
      </c>
      <c r="B390" s="319" t="s">
        <v>1413</v>
      </c>
      <c r="C390" s="238" t="s">
        <v>490</v>
      </c>
      <c r="D390" s="126">
        <v>9</v>
      </c>
      <c r="E390" s="126">
        <v>866</v>
      </c>
      <c r="F390" s="180" t="s">
        <v>734</v>
      </c>
    </row>
    <row r="391" spans="1:6" ht="37.5" hidden="1" x14ac:dyDescent="0.25">
      <c r="A391" s="342">
        <v>45566</v>
      </c>
      <c r="B391" s="319" t="s">
        <v>1413</v>
      </c>
      <c r="C391" s="238" t="s">
        <v>491</v>
      </c>
      <c r="D391" s="126">
        <v>2</v>
      </c>
      <c r="E391" s="126">
        <v>11</v>
      </c>
      <c r="F391" s="180" t="s">
        <v>733</v>
      </c>
    </row>
    <row r="392" spans="1:6" hidden="1" x14ac:dyDescent="0.25">
      <c r="A392" s="342">
        <v>45597</v>
      </c>
      <c r="B392" s="319" t="s">
        <v>1401</v>
      </c>
      <c r="C392" s="238" t="s">
        <v>489</v>
      </c>
      <c r="D392" s="126">
        <v>1</v>
      </c>
      <c r="E392" s="126">
        <v>300</v>
      </c>
      <c r="F392" s="180" t="s">
        <v>741</v>
      </c>
    </row>
    <row r="393" spans="1:6" hidden="1" x14ac:dyDescent="0.25">
      <c r="A393" s="342">
        <v>45597</v>
      </c>
      <c r="B393" s="319" t="s">
        <v>1401</v>
      </c>
      <c r="C393" s="238" t="s">
        <v>490</v>
      </c>
      <c r="D393" s="126"/>
      <c r="E393" s="126"/>
      <c r="F393" s="180"/>
    </row>
    <row r="394" spans="1:6" ht="56.25" hidden="1" x14ac:dyDescent="0.25">
      <c r="A394" s="342">
        <v>45597</v>
      </c>
      <c r="B394" s="319" t="s">
        <v>1401</v>
      </c>
      <c r="C394" s="238" t="s">
        <v>491</v>
      </c>
      <c r="D394" s="126">
        <v>3</v>
      </c>
      <c r="E394" s="126">
        <v>85</v>
      </c>
      <c r="F394" s="180" t="s">
        <v>740</v>
      </c>
    </row>
    <row r="395" spans="1:6" hidden="1" x14ac:dyDescent="0.25">
      <c r="A395" s="342">
        <v>45597</v>
      </c>
      <c r="B395" s="319" t="s">
        <v>1402</v>
      </c>
      <c r="C395" s="238" t="s">
        <v>489</v>
      </c>
      <c r="D395" s="147"/>
      <c r="E395" s="147"/>
      <c r="F395" s="147"/>
    </row>
    <row r="396" spans="1:6" hidden="1" x14ac:dyDescent="0.25">
      <c r="A396" s="342">
        <v>45597</v>
      </c>
      <c r="B396" s="319" t="s">
        <v>1402</v>
      </c>
      <c r="C396" s="238" t="s">
        <v>490</v>
      </c>
      <c r="D396" s="126">
        <v>1</v>
      </c>
      <c r="E396" s="126">
        <v>300</v>
      </c>
      <c r="F396" s="180" t="s">
        <v>1459</v>
      </c>
    </row>
    <row r="397" spans="1:6" hidden="1" x14ac:dyDescent="0.25">
      <c r="A397" s="342">
        <v>45597</v>
      </c>
      <c r="B397" s="319" t="s">
        <v>1402</v>
      </c>
      <c r="C397" s="238" t="s">
        <v>491</v>
      </c>
      <c r="D397" s="126"/>
      <c r="E397" s="126"/>
      <c r="F397" s="180"/>
    </row>
    <row r="398" spans="1:6" hidden="1" x14ac:dyDescent="0.25">
      <c r="A398" s="342">
        <v>45597</v>
      </c>
      <c r="B398" s="319" t="s">
        <v>1403</v>
      </c>
      <c r="C398" s="238" t="s">
        <v>489</v>
      </c>
      <c r="D398" s="126"/>
      <c r="E398" s="126"/>
      <c r="F398" s="180"/>
    </row>
    <row r="399" spans="1:6" hidden="1" x14ac:dyDescent="0.25">
      <c r="A399" s="342">
        <v>45597</v>
      </c>
      <c r="B399" s="319" t="s">
        <v>1403</v>
      </c>
      <c r="C399" s="238" t="s">
        <v>490</v>
      </c>
      <c r="D399" s="126"/>
      <c r="E399" s="126"/>
      <c r="F399" s="180"/>
    </row>
    <row r="400" spans="1:6" hidden="1" x14ac:dyDescent="0.25">
      <c r="A400" s="342">
        <v>45597</v>
      </c>
      <c r="B400" s="319" t="s">
        <v>1403</v>
      </c>
      <c r="C400" s="238" t="s">
        <v>491</v>
      </c>
      <c r="D400" s="126"/>
      <c r="E400" s="126"/>
      <c r="F400" s="180"/>
    </row>
    <row r="401" spans="1:6" hidden="1" x14ac:dyDescent="0.25">
      <c r="A401" s="342">
        <v>45597</v>
      </c>
      <c r="B401" s="319" t="s">
        <v>1404</v>
      </c>
      <c r="C401" s="238" t="s">
        <v>489</v>
      </c>
      <c r="D401" s="126">
        <v>1</v>
      </c>
      <c r="E401" s="126">
        <v>15</v>
      </c>
      <c r="F401" s="180" t="s">
        <v>742</v>
      </c>
    </row>
    <row r="402" spans="1:6" hidden="1" x14ac:dyDescent="0.25">
      <c r="A402" s="342">
        <v>45597</v>
      </c>
      <c r="B402" s="319" t="s">
        <v>1404</v>
      </c>
      <c r="C402" s="238" t="s">
        <v>490</v>
      </c>
      <c r="D402" s="126"/>
      <c r="E402" s="126"/>
      <c r="F402" s="180"/>
    </row>
    <row r="403" spans="1:6" hidden="1" x14ac:dyDescent="0.25">
      <c r="A403" s="342">
        <v>45597</v>
      </c>
      <c r="B403" s="319" t="s">
        <v>1404</v>
      </c>
      <c r="C403" s="238" t="s">
        <v>491</v>
      </c>
      <c r="D403" s="126"/>
      <c r="E403" s="126"/>
      <c r="F403" s="180"/>
    </row>
    <row r="404" spans="1:6" ht="56.25" hidden="1" x14ac:dyDescent="0.25">
      <c r="A404" s="342">
        <v>45597</v>
      </c>
      <c r="B404" s="319" t="s">
        <v>1405</v>
      </c>
      <c r="C404" s="238" t="s">
        <v>489</v>
      </c>
      <c r="D404" s="126">
        <v>3</v>
      </c>
      <c r="E404" s="126">
        <v>65</v>
      </c>
      <c r="F404" s="180" t="s">
        <v>760</v>
      </c>
    </row>
    <row r="405" spans="1:6" ht="93.75" hidden="1" x14ac:dyDescent="0.25">
      <c r="A405" s="342">
        <v>45597</v>
      </c>
      <c r="B405" s="319" t="s">
        <v>1405</v>
      </c>
      <c r="C405" s="238" t="s">
        <v>490</v>
      </c>
      <c r="D405" s="126">
        <v>5</v>
      </c>
      <c r="E405" s="126">
        <v>375</v>
      </c>
      <c r="F405" s="180" t="s">
        <v>761</v>
      </c>
    </row>
    <row r="406" spans="1:6" ht="56.25" hidden="1" x14ac:dyDescent="0.25">
      <c r="A406" s="342">
        <v>45597</v>
      </c>
      <c r="B406" s="319" t="s">
        <v>1405</v>
      </c>
      <c r="C406" s="238" t="s">
        <v>491</v>
      </c>
      <c r="D406" s="126">
        <v>2</v>
      </c>
      <c r="E406" s="126">
        <v>12</v>
      </c>
      <c r="F406" s="180" t="s">
        <v>762</v>
      </c>
    </row>
    <row r="407" spans="1:6" ht="150" hidden="1" x14ac:dyDescent="0.25">
      <c r="A407" s="342">
        <v>45597</v>
      </c>
      <c r="B407" s="319" t="s">
        <v>1406</v>
      </c>
      <c r="C407" s="238" t="s">
        <v>489</v>
      </c>
      <c r="D407" s="126">
        <v>8</v>
      </c>
      <c r="E407" s="126">
        <v>510</v>
      </c>
      <c r="F407" s="180" t="s">
        <v>743</v>
      </c>
    </row>
    <row r="408" spans="1:6" ht="187.5" hidden="1" x14ac:dyDescent="0.25">
      <c r="A408" s="342">
        <v>45597</v>
      </c>
      <c r="B408" s="319" t="s">
        <v>1406</v>
      </c>
      <c r="C408" s="238" t="s">
        <v>490</v>
      </c>
      <c r="D408" s="126">
        <v>10</v>
      </c>
      <c r="E408" s="126">
        <v>1412</v>
      </c>
      <c r="F408" s="180" t="s">
        <v>744</v>
      </c>
    </row>
    <row r="409" spans="1:6" ht="56.25" hidden="1" x14ac:dyDescent="0.25">
      <c r="A409" s="342">
        <v>45597</v>
      </c>
      <c r="B409" s="319" t="s">
        <v>1406</v>
      </c>
      <c r="C409" s="238" t="s">
        <v>491</v>
      </c>
      <c r="D409" s="126">
        <v>3</v>
      </c>
      <c r="E409" s="126">
        <v>211</v>
      </c>
      <c r="F409" s="180" t="s">
        <v>745</v>
      </c>
    </row>
    <row r="410" spans="1:6" ht="131.25" hidden="1" x14ac:dyDescent="0.25">
      <c r="A410" s="342">
        <v>45597</v>
      </c>
      <c r="B410" s="319" t="s">
        <v>1438</v>
      </c>
      <c r="C410" s="238" t="s">
        <v>489</v>
      </c>
      <c r="D410" s="126">
        <v>7</v>
      </c>
      <c r="E410" s="126">
        <v>1170</v>
      </c>
      <c r="F410" s="180" t="s">
        <v>753</v>
      </c>
    </row>
    <row r="411" spans="1:6" ht="168.75" hidden="1" x14ac:dyDescent="0.25">
      <c r="A411" s="342">
        <v>45597</v>
      </c>
      <c r="B411" s="319" t="s">
        <v>1438</v>
      </c>
      <c r="C411" s="238" t="s">
        <v>490</v>
      </c>
      <c r="D411" s="126">
        <v>9</v>
      </c>
      <c r="E411" s="126">
        <v>640</v>
      </c>
      <c r="F411" s="180" t="s">
        <v>751</v>
      </c>
    </row>
    <row r="412" spans="1:6" ht="243.75" hidden="1" x14ac:dyDescent="0.25">
      <c r="A412" s="342">
        <v>45597</v>
      </c>
      <c r="B412" s="319" t="s">
        <v>1438</v>
      </c>
      <c r="C412" s="238" t="s">
        <v>491</v>
      </c>
      <c r="D412" s="126">
        <v>13</v>
      </c>
      <c r="E412" s="126">
        <v>174</v>
      </c>
      <c r="F412" s="180" t="s">
        <v>752</v>
      </c>
    </row>
    <row r="413" spans="1:6" hidden="1" x14ac:dyDescent="0.25">
      <c r="A413" s="342">
        <v>45597</v>
      </c>
      <c r="B413" s="319" t="s">
        <v>1408</v>
      </c>
      <c r="C413" s="238" t="s">
        <v>489</v>
      </c>
      <c r="D413" s="126">
        <v>1</v>
      </c>
      <c r="E413" s="126">
        <v>150</v>
      </c>
      <c r="F413" s="180" t="s">
        <v>746</v>
      </c>
    </row>
    <row r="414" spans="1:6" ht="56.25" hidden="1" x14ac:dyDescent="0.25">
      <c r="A414" s="342">
        <v>45597</v>
      </c>
      <c r="B414" s="319" t="s">
        <v>1408</v>
      </c>
      <c r="C414" s="238" t="s">
        <v>490</v>
      </c>
      <c r="D414" s="126">
        <v>3</v>
      </c>
      <c r="E414" s="126">
        <v>72</v>
      </c>
      <c r="F414" s="180" t="s">
        <v>770</v>
      </c>
    </row>
    <row r="415" spans="1:6" hidden="1" x14ac:dyDescent="0.25">
      <c r="A415" s="342">
        <v>45597</v>
      </c>
      <c r="B415" s="319" t="s">
        <v>1408</v>
      </c>
      <c r="C415" s="238" t="s">
        <v>491</v>
      </c>
      <c r="D415" s="126"/>
      <c r="E415" s="126"/>
      <c r="F415" s="180"/>
    </row>
    <row r="416" spans="1:6" hidden="1" x14ac:dyDescent="0.25">
      <c r="A416" s="342">
        <v>45597</v>
      </c>
      <c r="B416" s="319" t="s">
        <v>1409</v>
      </c>
      <c r="C416" s="238" t="s">
        <v>489</v>
      </c>
      <c r="D416" s="126"/>
      <c r="E416" s="126"/>
      <c r="F416" s="180"/>
    </row>
    <row r="417" spans="1:6" ht="131.25" hidden="1" x14ac:dyDescent="0.25">
      <c r="A417" s="342">
        <v>45597</v>
      </c>
      <c r="B417" s="319" t="s">
        <v>1409</v>
      </c>
      <c r="C417" s="238" t="s">
        <v>490</v>
      </c>
      <c r="D417" s="126">
        <v>6</v>
      </c>
      <c r="E417" s="126">
        <v>1980</v>
      </c>
      <c r="F417" s="180" t="s">
        <v>763</v>
      </c>
    </row>
    <row r="418" spans="1:6" hidden="1" x14ac:dyDescent="0.25">
      <c r="A418" s="342">
        <v>45597</v>
      </c>
      <c r="B418" s="319" t="s">
        <v>1409</v>
      </c>
      <c r="C418" s="238" t="s">
        <v>491</v>
      </c>
      <c r="D418" s="126"/>
      <c r="E418" s="126"/>
      <c r="F418" s="180"/>
    </row>
    <row r="419" spans="1:6" ht="187.5" hidden="1" x14ac:dyDescent="0.25">
      <c r="A419" s="342">
        <v>45597</v>
      </c>
      <c r="B419" s="319" t="s">
        <v>1410</v>
      </c>
      <c r="C419" s="238" t="s">
        <v>489</v>
      </c>
      <c r="D419" s="126">
        <v>9</v>
      </c>
      <c r="E419" s="126">
        <v>950</v>
      </c>
      <c r="F419" s="180" t="s">
        <v>747</v>
      </c>
    </row>
    <row r="420" spans="1:6" ht="75" hidden="1" x14ac:dyDescent="0.25">
      <c r="A420" s="342">
        <v>45597</v>
      </c>
      <c r="B420" s="319" t="s">
        <v>1410</v>
      </c>
      <c r="C420" s="238" t="s">
        <v>490</v>
      </c>
      <c r="D420" s="126">
        <v>4</v>
      </c>
      <c r="E420" s="126">
        <v>345</v>
      </c>
      <c r="F420" s="180" t="s">
        <v>748</v>
      </c>
    </row>
    <row r="421" spans="1:6" hidden="1" x14ac:dyDescent="0.25">
      <c r="A421" s="342">
        <v>45597</v>
      </c>
      <c r="B421" s="319" t="s">
        <v>1410</v>
      </c>
      <c r="C421" s="238" t="s">
        <v>491</v>
      </c>
      <c r="D421" s="126"/>
      <c r="E421" s="126"/>
      <c r="F421" s="180"/>
    </row>
    <row r="422" spans="1:6" ht="37.5" hidden="1" x14ac:dyDescent="0.25">
      <c r="A422" s="342">
        <v>45597</v>
      </c>
      <c r="B422" s="319" t="s">
        <v>1411</v>
      </c>
      <c r="C422" s="238" t="s">
        <v>489</v>
      </c>
      <c r="D422" s="126">
        <v>2</v>
      </c>
      <c r="E422" s="126">
        <v>250</v>
      </c>
      <c r="F422" s="180" t="s">
        <v>758</v>
      </c>
    </row>
    <row r="423" spans="1:6" hidden="1" x14ac:dyDescent="0.25">
      <c r="A423" s="342">
        <v>45597</v>
      </c>
      <c r="B423" s="319" t="s">
        <v>1411</v>
      </c>
      <c r="C423" s="238" t="s">
        <v>490</v>
      </c>
      <c r="D423" s="126"/>
      <c r="E423" s="126"/>
      <c r="F423" s="180"/>
    </row>
    <row r="424" spans="1:6" ht="37.5" hidden="1" x14ac:dyDescent="0.25">
      <c r="A424" s="342">
        <v>45597</v>
      </c>
      <c r="B424" s="319" t="s">
        <v>1411</v>
      </c>
      <c r="C424" s="238" t="s">
        <v>491</v>
      </c>
      <c r="D424" s="126">
        <v>2</v>
      </c>
      <c r="E424" s="126">
        <v>35</v>
      </c>
      <c r="F424" s="180" t="s">
        <v>757</v>
      </c>
    </row>
    <row r="425" spans="1:6" ht="37.5" hidden="1" x14ac:dyDescent="0.25">
      <c r="A425" s="342">
        <v>45597</v>
      </c>
      <c r="B425" s="319" t="s">
        <v>1452</v>
      </c>
      <c r="C425" s="238" t="s">
        <v>489</v>
      </c>
      <c r="D425" s="126">
        <v>2</v>
      </c>
      <c r="E425" s="126">
        <v>258</v>
      </c>
      <c r="F425" s="180" t="s">
        <v>749</v>
      </c>
    </row>
    <row r="426" spans="1:6" ht="75" hidden="1" x14ac:dyDescent="0.25">
      <c r="A426" s="342">
        <v>45597</v>
      </c>
      <c r="B426" s="319" t="s">
        <v>1452</v>
      </c>
      <c r="C426" s="238" t="s">
        <v>490</v>
      </c>
      <c r="D426" s="126">
        <v>4</v>
      </c>
      <c r="E426" s="126">
        <v>115</v>
      </c>
      <c r="F426" s="180" t="s">
        <v>750</v>
      </c>
    </row>
    <row r="427" spans="1:6" hidden="1" x14ac:dyDescent="0.25">
      <c r="A427" s="342">
        <v>45597</v>
      </c>
      <c r="B427" s="319" t="s">
        <v>1452</v>
      </c>
      <c r="C427" s="238" t="s">
        <v>491</v>
      </c>
      <c r="D427" s="126"/>
      <c r="E427" s="126"/>
      <c r="F427" s="180"/>
    </row>
    <row r="428" spans="1:6" ht="93.75" hidden="1" x14ac:dyDescent="0.25">
      <c r="A428" s="342">
        <v>45597</v>
      </c>
      <c r="B428" s="319" t="s">
        <v>1413</v>
      </c>
      <c r="C428" s="238" t="s">
        <v>489</v>
      </c>
      <c r="D428" s="126">
        <v>5</v>
      </c>
      <c r="E428" s="126">
        <v>210</v>
      </c>
      <c r="F428" s="180" t="s">
        <v>754</v>
      </c>
    </row>
    <row r="429" spans="1:6" ht="131.25" hidden="1" x14ac:dyDescent="0.25">
      <c r="A429" s="342">
        <v>45597</v>
      </c>
      <c r="B429" s="319" t="s">
        <v>1413</v>
      </c>
      <c r="C429" s="238" t="s">
        <v>490</v>
      </c>
      <c r="D429" s="126">
        <v>7</v>
      </c>
      <c r="E429" s="126">
        <v>490</v>
      </c>
      <c r="F429" s="180" t="s">
        <v>755</v>
      </c>
    </row>
    <row r="430" spans="1:6" ht="93.75" hidden="1" x14ac:dyDescent="0.25">
      <c r="A430" s="342">
        <v>45627</v>
      </c>
      <c r="B430" s="319" t="s">
        <v>1401</v>
      </c>
      <c r="C430" s="238" t="s">
        <v>489</v>
      </c>
      <c r="D430" s="126">
        <v>5</v>
      </c>
      <c r="E430" s="126">
        <v>790</v>
      </c>
      <c r="F430" s="180" t="s">
        <v>1425</v>
      </c>
    </row>
    <row r="431" spans="1:6" ht="93.75" hidden="1" x14ac:dyDescent="0.25">
      <c r="A431" s="342">
        <v>45627</v>
      </c>
      <c r="B431" s="319" t="s">
        <v>1401</v>
      </c>
      <c r="C431" s="238" t="s">
        <v>490</v>
      </c>
      <c r="D431" s="126">
        <v>5</v>
      </c>
      <c r="E431" s="126">
        <v>587</v>
      </c>
      <c r="F431" s="180" t="s">
        <v>1426</v>
      </c>
    </row>
    <row r="432" spans="1:6" hidden="1" x14ac:dyDescent="0.25">
      <c r="A432" s="342">
        <v>45627</v>
      </c>
      <c r="B432" s="319" t="s">
        <v>1401</v>
      </c>
      <c r="C432" s="238" t="s">
        <v>491</v>
      </c>
      <c r="D432" s="126"/>
      <c r="E432" s="126"/>
      <c r="F432" s="180"/>
    </row>
    <row r="433" spans="1:6" hidden="1" x14ac:dyDescent="0.25">
      <c r="A433" s="342">
        <v>45627</v>
      </c>
      <c r="B433" s="319" t="s">
        <v>1402</v>
      </c>
      <c r="C433" s="238" t="s">
        <v>489</v>
      </c>
      <c r="D433" s="331">
        <v>1</v>
      </c>
      <c r="E433" s="331">
        <v>35</v>
      </c>
      <c r="F433" s="180" t="s">
        <v>1427</v>
      </c>
    </row>
    <row r="434" spans="1:6" ht="131.25" hidden="1" x14ac:dyDescent="0.25">
      <c r="A434" s="342">
        <v>45627</v>
      </c>
      <c r="B434" s="319" t="s">
        <v>1402</v>
      </c>
      <c r="C434" s="238" t="s">
        <v>490</v>
      </c>
      <c r="D434" s="126">
        <v>7</v>
      </c>
      <c r="E434" s="126">
        <v>810</v>
      </c>
      <c r="F434" s="180" t="s">
        <v>1428</v>
      </c>
    </row>
    <row r="435" spans="1:6" hidden="1" x14ac:dyDescent="0.25">
      <c r="A435" s="342">
        <v>45627</v>
      </c>
      <c r="B435" s="319" t="s">
        <v>1402</v>
      </c>
      <c r="C435" s="238" t="s">
        <v>491</v>
      </c>
      <c r="D435" s="126"/>
      <c r="E435" s="126"/>
      <c r="F435" s="180"/>
    </row>
    <row r="436" spans="1:6" hidden="1" x14ac:dyDescent="0.25">
      <c r="A436" s="342">
        <v>45627</v>
      </c>
      <c r="B436" s="319" t="s">
        <v>1403</v>
      </c>
      <c r="C436" s="238" t="s">
        <v>489</v>
      </c>
      <c r="D436" s="126"/>
      <c r="E436" s="126"/>
      <c r="F436" s="180"/>
    </row>
    <row r="437" spans="1:6" hidden="1" x14ac:dyDescent="0.25">
      <c r="A437" s="342">
        <v>45627</v>
      </c>
      <c r="B437" s="319" t="s">
        <v>1403</v>
      </c>
      <c r="C437" s="238" t="s">
        <v>490</v>
      </c>
      <c r="D437" s="126"/>
      <c r="E437" s="126"/>
      <c r="F437" s="180"/>
    </row>
    <row r="438" spans="1:6" hidden="1" x14ac:dyDescent="0.25">
      <c r="A438" s="342">
        <v>45627</v>
      </c>
      <c r="B438" s="319" t="s">
        <v>1403</v>
      </c>
      <c r="C438" s="238" t="s">
        <v>491</v>
      </c>
      <c r="D438" s="126"/>
      <c r="E438" s="126"/>
      <c r="F438" s="180"/>
    </row>
    <row r="439" spans="1:6" ht="75" hidden="1" x14ac:dyDescent="0.25">
      <c r="A439" s="342">
        <v>45627</v>
      </c>
      <c r="B439" s="319" t="s">
        <v>1404</v>
      </c>
      <c r="C439" s="238" t="s">
        <v>489</v>
      </c>
      <c r="D439" s="126">
        <v>3</v>
      </c>
      <c r="E439" s="126">
        <v>330</v>
      </c>
      <c r="F439" s="180" t="s">
        <v>1429</v>
      </c>
    </row>
    <row r="440" spans="1:6" ht="56.25" hidden="1" x14ac:dyDescent="0.25">
      <c r="A440" s="342">
        <v>45627</v>
      </c>
      <c r="B440" s="319" t="s">
        <v>1404</v>
      </c>
      <c r="C440" s="238" t="s">
        <v>490</v>
      </c>
      <c r="D440" s="126">
        <v>3</v>
      </c>
      <c r="E440" s="126">
        <v>70</v>
      </c>
      <c r="F440" s="180" t="s">
        <v>1430</v>
      </c>
    </row>
    <row r="441" spans="1:6" ht="206.25" hidden="1" x14ac:dyDescent="0.25">
      <c r="A441" s="342">
        <v>45627</v>
      </c>
      <c r="B441" s="319" t="s">
        <v>1404</v>
      </c>
      <c r="C441" s="238" t="s">
        <v>491</v>
      </c>
      <c r="D441" s="126">
        <v>11</v>
      </c>
      <c r="E441" s="126">
        <v>275</v>
      </c>
      <c r="F441" s="180" t="s">
        <v>1431</v>
      </c>
    </row>
    <row r="442" spans="1:6" ht="150" hidden="1" x14ac:dyDescent="0.25">
      <c r="A442" s="342">
        <v>45627</v>
      </c>
      <c r="B442" s="319" t="s">
        <v>1405</v>
      </c>
      <c r="C442" s="238" t="s">
        <v>489</v>
      </c>
      <c r="D442" s="126">
        <v>8</v>
      </c>
      <c r="E442" s="126">
        <v>217</v>
      </c>
      <c r="F442" s="180" t="s">
        <v>1432</v>
      </c>
    </row>
    <row r="443" spans="1:6" ht="56.25" hidden="1" x14ac:dyDescent="0.25">
      <c r="A443" s="342">
        <v>45627</v>
      </c>
      <c r="B443" s="319" t="s">
        <v>1405</v>
      </c>
      <c r="C443" s="238" t="s">
        <v>490</v>
      </c>
      <c r="D443" s="126">
        <v>3</v>
      </c>
      <c r="E443" s="126">
        <v>415</v>
      </c>
      <c r="F443" s="180" t="s">
        <v>1433</v>
      </c>
    </row>
    <row r="444" spans="1:6" ht="262.5" hidden="1" x14ac:dyDescent="0.25">
      <c r="A444" s="342">
        <v>45627</v>
      </c>
      <c r="B444" s="319" t="s">
        <v>1405</v>
      </c>
      <c r="C444" s="238" t="s">
        <v>491</v>
      </c>
      <c r="D444" s="126"/>
      <c r="E444" s="126">
        <v>487</v>
      </c>
      <c r="F444" s="180" t="s">
        <v>1434</v>
      </c>
    </row>
    <row r="445" spans="1:6" ht="281.25" hidden="1" x14ac:dyDescent="0.25">
      <c r="A445" s="342">
        <v>45627</v>
      </c>
      <c r="B445" s="319" t="s">
        <v>1406</v>
      </c>
      <c r="C445" s="238" t="s">
        <v>489</v>
      </c>
      <c r="D445" s="126">
        <v>13</v>
      </c>
      <c r="E445" s="126">
        <v>1821</v>
      </c>
      <c r="F445" s="180" t="s">
        <v>1435</v>
      </c>
    </row>
    <row r="446" spans="1:6" ht="168.75" hidden="1" x14ac:dyDescent="0.25">
      <c r="A446" s="342">
        <v>45627</v>
      </c>
      <c r="B446" s="319" t="s">
        <v>1406</v>
      </c>
      <c r="C446" s="238" t="s">
        <v>490</v>
      </c>
      <c r="D446" s="126">
        <v>6</v>
      </c>
      <c r="E446" s="126">
        <v>1454</v>
      </c>
      <c r="F446" s="180" t="s">
        <v>1436</v>
      </c>
    </row>
    <row r="447" spans="1:6" ht="56.25" hidden="1" x14ac:dyDescent="0.25">
      <c r="A447" s="342">
        <v>45627</v>
      </c>
      <c r="B447" s="319" t="s">
        <v>1406</v>
      </c>
      <c r="C447" s="238" t="s">
        <v>491</v>
      </c>
      <c r="D447" s="126">
        <v>3</v>
      </c>
      <c r="E447" s="126">
        <v>824</v>
      </c>
      <c r="F447" s="180" t="s">
        <v>1437</v>
      </c>
    </row>
    <row r="448" spans="1:6" ht="75" hidden="1" x14ac:dyDescent="0.25">
      <c r="A448" s="342">
        <v>45627</v>
      </c>
      <c r="B448" s="319" t="s">
        <v>1438</v>
      </c>
      <c r="C448" s="238" t="s">
        <v>489</v>
      </c>
      <c r="D448" s="126">
        <v>3</v>
      </c>
      <c r="E448" s="126">
        <v>860</v>
      </c>
      <c r="F448" s="180" t="s">
        <v>1439</v>
      </c>
    </row>
    <row r="449" spans="1:6" ht="112.5" hidden="1" x14ac:dyDescent="0.25">
      <c r="A449" s="342">
        <v>45627</v>
      </c>
      <c r="B449" s="319" t="s">
        <v>1438</v>
      </c>
      <c r="C449" s="238" t="s">
        <v>490</v>
      </c>
      <c r="D449" s="126">
        <v>6</v>
      </c>
      <c r="E449" s="126">
        <v>175</v>
      </c>
      <c r="F449" s="180" t="s">
        <v>1440</v>
      </c>
    </row>
    <row r="450" spans="1:6" ht="337.5" hidden="1" x14ac:dyDescent="0.25">
      <c r="A450" s="342">
        <v>45627</v>
      </c>
      <c r="B450" s="319" t="s">
        <v>1438</v>
      </c>
      <c r="C450" s="238" t="s">
        <v>491</v>
      </c>
      <c r="D450" s="126">
        <v>40</v>
      </c>
      <c r="E450" s="126">
        <v>841</v>
      </c>
      <c r="F450" s="180" t="s">
        <v>1441</v>
      </c>
    </row>
    <row r="451" spans="1:6" ht="375" hidden="1" x14ac:dyDescent="0.25">
      <c r="A451" s="342">
        <v>45627</v>
      </c>
      <c r="B451" s="319" t="s">
        <v>1438</v>
      </c>
      <c r="C451" s="238"/>
      <c r="D451" s="126"/>
      <c r="E451" s="126"/>
      <c r="F451" s="180" t="s">
        <v>1442</v>
      </c>
    </row>
    <row r="452" spans="1:6" hidden="1" x14ac:dyDescent="0.25">
      <c r="A452" s="342">
        <v>45627</v>
      </c>
      <c r="B452" s="319" t="s">
        <v>1408</v>
      </c>
      <c r="C452" s="238" t="s">
        <v>489</v>
      </c>
      <c r="D452" s="126">
        <v>1</v>
      </c>
      <c r="E452" s="126">
        <v>100</v>
      </c>
      <c r="F452" s="347" t="s">
        <v>1443</v>
      </c>
    </row>
    <row r="453" spans="1:6" ht="110.25" hidden="1" x14ac:dyDescent="0.25">
      <c r="A453" s="342">
        <v>45627</v>
      </c>
      <c r="B453" s="319" t="s">
        <v>1408</v>
      </c>
      <c r="C453" s="238" t="s">
        <v>490</v>
      </c>
      <c r="D453" s="126">
        <v>7</v>
      </c>
      <c r="E453" s="126">
        <v>215</v>
      </c>
      <c r="F453" s="348" t="s">
        <v>1444</v>
      </c>
    </row>
    <row r="454" spans="1:6" hidden="1" x14ac:dyDescent="0.25">
      <c r="A454" s="342">
        <v>45627</v>
      </c>
      <c r="B454" s="319" t="s">
        <v>1408</v>
      </c>
      <c r="C454" s="238" t="s">
        <v>491</v>
      </c>
      <c r="D454" s="126"/>
      <c r="E454" s="126"/>
      <c r="F454" s="180"/>
    </row>
    <row r="455" spans="1:6" hidden="1" x14ac:dyDescent="0.25">
      <c r="A455" s="342">
        <v>45627</v>
      </c>
      <c r="B455" s="319" t="s">
        <v>1409</v>
      </c>
      <c r="C455" s="238" t="s">
        <v>489</v>
      </c>
      <c r="D455" s="126"/>
      <c r="E455" s="126"/>
      <c r="F455" s="180"/>
    </row>
    <row r="456" spans="1:6" ht="225" hidden="1" x14ac:dyDescent="0.25">
      <c r="A456" s="342">
        <v>45627</v>
      </c>
      <c r="B456" s="319" t="s">
        <v>1409</v>
      </c>
      <c r="C456" s="238" t="s">
        <v>490</v>
      </c>
      <c r="D456" s="126">
        <v>9</v>
      </c>
      <c r="E456" s="126">
        <v>787</v>
      </c>
      <c r="F456" s="180" t="s">
        <v>1445</v>
      </c>
    </row>
    <row r="457" spans="1:6" hidden="1" x14ac:dyDescent="0.25">
      <c r="A457" s="342">
        <v>45627</v>
      </c>
      <c r="B457" s="319" t="s">
        <v>1409</v>
      </c>
      <c r="C457" s="238" t="s">
        <v>491</v>
      </c>
      <c r="D457" s="126"/>
      <c r="E457" s="126"/>
      <c r="F457" s="180"/>
    </row>
    <row r="458" spans="1:6" ht="131.25" hidden="1" x14ac:dyDescent="0.25">
      <c r="A458" s="342">
        <v>45627</v>
      </c>
      <c r="B458" s="319" t="s">
        <v>1410</v>
      </c>
      <c r="C458" s="238" t="s">
        <v>489</v>
      </c>
      <c r="D458" s="126">
        <v>8</v>
      </c>
      <c r="E458" s="126">
        <v>1501</v>
      </c>
      <c r="F458" s="180" t="s">
        <v>1446</v>
      </c>
    </row>
    <row r="459" spans="1:6" ht="93.75" hidden="1" x14ac:dyDescent="0.25">
      <c r="A459" s="342">
        <v>45627</v>
      </c>
      <c r="B459" s="319" t="s">
        <v>1410</v>
      </c>
      <c r="C459" s="238" t="s">
        <v>490</v>
      </c>
      <c r="D459" s="126">
        <v>5</v>
      </c>
      <c r="E459" s="126">
        <v>365</v>
      </c>
      <c r="F459" s="180" t="s">
        <v>1447</v>
      </c>
    </row>
    <row r="460" spans="1:6" ht="37.5" hidden="1" x14ac:dyDescent="0.25">
      <c r="A460" s="342">
        <v>45627</v>
      </c>
      <c r="B460" s="319" t="s">
        <v>1410</v>
      </c>
      <c r="C460" s="238" t="s">
        <v>491</v>
      </c>
      <c r="D460" s="126">
        <v>2</v>
      </c>
      <c r="E460" s="126">
        <v>20</v>
      </c>
      <c r="F460" s="180" t="s">
        <v>1448</v>
      </c>
    </row>
    <row r="461" spans="1:6" ht="75" hidden="1" x14ac:dyDescent="0.25">
      <c r="A461" s="342">
        <v>45627</v>
      </c>
      <c r="B461" s="319" t="s">
        <v>1411</v>
      </c>
      <c r="C461" s="238" t="s">
        <v>489</v>
      </c>
      <c r="D461" s="126">
        <v>4</v>
      </c>
      <c r="E461" s="126">
        <v>170</v>
      </c>
      <c r="F461" s="180" t="s">
        <v>1449</v>
      </c>
    </row>
    <row r="462" spans="1:6" ht="37.5" hidden="1" x14ac:dyDescent="0.25">
      <c r="A462" s="342">
        <v>45627</v>
      </c>
      <c r="B462" s="319" t="s">
        <v>1411</v>
      </c>
      <c r="C462" s="238" t="s">
        <v>490</v>
      </c>
      <c r="D462" s="126">
        <v>2</v>
      </c>
      <c r="E462" s="126">
        <v>23</v>
      </c>
      <c r="F462" s="180" t="s">
        <v>1450</v>
      </c>
    </row>
    <row r="463" spans="1:6" ht="37.5" hidden="1" x14ac:dyDescent="0.25">
      <c r="A463" s="342">
        <v>45627</v>
      </c>
      <c r="B463" s="319" t="s">
        <v>1411</v>
      </c>
      <c r="C463" s="238" t="s">
        <v>491</v>
      </c>
      <c r="D463" s="126">
        <v>2</v>
      </c>
      <c r="E463" s="126">
        <v>23</v>
      </c>
      <c r="F463" s="180" t="s">
        <v>1451</v>
      </c>
    </row>
    <row r="464" spans="1:6" ht="75" hidden="1" x14ac:dyDescent="0.25">
      <c r="A464" s="342">
        <v>45627</v>
      </c>
      <c r="B464" s="319" t="s">
        <v>1452</v>
      </c>
      <c r="C464" s="238" t="s">
        <v>489</v>
      </c>
      <c r="D464" s="126">
        <v>4</v>
      </c>
      <c r="E464" s="126">
        <v>155</v>
      </c>
      <c r="F464" s="180" t="s">
        <v>1453</v>
      </c>
    </row>
    <row r="465" spans="1:6" ht="37.5" hidden="1" x14ac:dyDescent="0.25">
      <c r="A465" s="342">
        <v>45627</v>
      </c>
      <c r="B465" s="319" t="s">
        <v>1452</v>
      </c>
      <c r="C465" s="238" t="s">
        <v>490</v>
      </c>
      <c r="D465" s="126">
        <v>2</v>
      </c>
      <c r="E465" s="126">
        <v>262</v>
      </c>
      <c r="F465" s="180" t="s">
        <v>1454</v>
      </c>
    </row>
    <row r="466" spans="1:6" ht="75" hidden="1" x14ac:dyDescent="0.25">
      <c r="A466" s="342">
        <v>45627</v>
      </c>
      <c r="B466" s="319" t="s">
        <v>1452</v>
      </c>
      <c r="C466" s="238" t="s">
        <v>491</v>
      </c>
      <c r="D466" s="126">
        <v>3</v>
      </c>
      <c r="E466" s="126">
        <v>900</v>
      </c>
      <c r="F466" s="180" t="s">
        <v>1455</v>
      </c>
    </row>
    <row r="467" spans="1:6" ht="75" hidden="1" x14ac:dyDescent="0.25">
      <c r="A467" s="342">
        <v>45627</v>
      </c>
      <c r="B467" s="319" t="s">
        <v>1413</v>
      </c>
      <c r="C467" s="238" t="s">
        <v>489</v>
      </c>
      <c r="D467" s="126">
        <v>4</v>
      </c>
      <c r="E467" s="126">
        <v>455</v>
      </c>
      <c r="F467" s="180" t="s">
        <v>1456</v>
      </c>
    </row>
    <row r="468" spans="1:6" ht="187.5" hidden="1" x14ac:dyDescent="0.25">
      <c r="A468" s="342">
        <v>45627</v>
      </c>
      <c r="B468" s="319" t="s">
        <v>1413</v>
      </c>
      <c r="C468" s="238" t="s">
        <v>490</v>
      </c>
      <c r="D468" s="126">
        <v>9</v>
      </c>
      <c r="E468" s="126">
        <v>337</v>
      </c>
      <c r="F468" s="180" t="s">
        <v>1457</v>
      </c>
    </row>
    <row r="469" spans="1:6" hidden="1" x14ac:dyDescent="0.25">
      <c r="A469" s="342">
        <v>45627</v>
      </c>
      <c r="B469" s="319" t="s">
        <v>1413</v>
      </c>
      <c r="C469" s="238" t="s">
        <v>491</v>
      </c>
      <c r="D469" s="126">
        <v>1</v>
      </c>
      <c r="E469" s="126">
        <v>4</v>
      </c>
      <c r="F469" s="193" t="s">
        <v>1458</v>
      </c>
    </row>
    <row r="470" spans="1:6" ht="38.25" hidden="1" x14ac:dyDescent="0.25">
      <c r="A470" s="326">
        <v>45658</v>
      </c>
      <c r="B470" s="324" t="s">
        <v>1401</v>
      </c>
      <c r="C470" s="320" t="s">
        <v>1414</v>
      </c>
      <c r="D470" s="126">
        <v>3</v>
      </c>
      <c r="E470" s="126">
        <v>600</v>
      </c>
      <c r="F470" s="193" t="s">
        <v>962</v>
      </c>
    </row>
    <row r="471" spans="1:6" hidden="1" x14ac:dyDescent="0.25">
      <c r="A471" s="326">
        <v>45658</v>
      </c>
      <c r="B471" s="324" t="s">
        <v>1401</v>
      </c>
      <c r="C471" s="320" t="s">
        <v>490</v>
      </c>
      <c r="D471" s="126">
        <v>1</v>
      </c>
      <c r="E471" s="126">
        <v>5</v>
      </c>
      <c r="F471" s="193" t="s">
        <v>963</v>
      </c>
    </row>
    <row r="472" spans="1:6" ht="51" hidden="1" x14ac:dyDescent="0.25">
      <c r="A472" s="326">
        <v>45658</v>
      </c>
      <c r="B472" s="324" t="s">
        <v>1401</v>
      </c>
      <c r="C472" s="320" t="s">
        <v>491</v>
      </c>
      <c r="D472" s="126">
        <v>3</v>
      </c>
      <c r="E472" s="126">
        <v>345</v>
      </c>
      <c r="F472" s="193" t="s">
        <v>964</v>
      </c>
    </row>
    <row r="473" spans="1:6" ht="63.75" hidden="1" x14ac:dyDescent="0.25">
      <c r="A473" s="326">
        <v>45658</v>
      </c>
      <c r="B473" s="324" t="s">
        <v>1402</v>
      </c>
      <c r="C473" s="320" t="s">
        <v>1414</v>
      </c>
      <c r="D473" s="194">
        <v>5</v>
      </c>
      <c r="E473" s="194">
        <v>415</v>
      </c>
      <c r="F473" s="193" t="s">
        <v>966</v>
      </c>
    </row>
    <row r="474" spans="1:6" ht="25.5" hidden="1" x14ac:dyDescent="0.25">
      <c r="A474" s="326">
        <v>45658</v>
      </c>
      <c r="B474" s="324" t="s">
        <v>1402</v>
      </c>
      <c r="C474" s="320" t="s">
        <v>490</v>
      </c>
      <c r="D474" s="126">
        <v>2</v>
      </c>
      <c r="E474" s="126">
        <v>30</v>
      </c>
      <c r="F474" s="193" t="s">
        <v>967</v>
      </c>
    </row>
    <row r="475" spans="1:6" hidden="1" x14ac:dyDescent="0.25">
      <c r="A475" s="326">
        <v>45658</v>
      </c>
      <c r="B475" s="324" t="s">
        <v>1402</v>
      </c>
      <c r="C475" s="320" t="s">
        <v>491</v>
      </c>
      <c r="D475" s="126"/>
      <c r="E475" s="126"/>
      <c r="F475" s="193"/>
    </row>
    <row r="476" spans="1:6" ht="102" x14ac:dyDescent="0.25">
      <c r="A476" s="326">
        <v>45658</v>
      </c>
      <c r="B476" s="324" t="s">
        <v>1403</v>
      </c>
      <c r="C476" s="320" t="s">
        <v>1414</v>
      </c>
      <c r="D476" s="126">
        <v>8</v>
      </c>
      <c r="E476" s="126">
        <v>565</v>
      </c>
      <c r="F476" s="193" t="s">
        <v>839</v>
      </c>
    </row>
    <row r="477" spans="1:6" ht="51" hidden="1" x14ac:dyDescent="0.25">
      <c r="A477" s="326">
        <v>45658</v>
      </c>
      <c r="B477" s="324" t="s">
        <v>1403</v>
      </c>
      <c r="C477" s="320" t="s">
        <v>490</v>
      </c>
      <c r="D477" s="126">
        <v>4</v>
      </c>
      <c r="E477" s="126">
        <v>540</v>
      </c>
      <c r="F477" s="193" t="s">
        <v>840</v>
      </c>
    </row>
    <row r="478" spans="1:6" hidden="1" x14ac:dyDescent="0.25">
      <c r="A478" s="326">
        <v>45658</v>
      </c>
      <c r="B478" s="324" t="s">
        <v>1403</v>
      </c>
      <c r="C478" s="320" t="s">
        <v>491</v>
      </c>
      <c r="D478" s="126">
        <v>1</v>
      </c>
      <c r="E478" s="126">
        <v>150</v>
      </c>
      <c r="F478" s="193" t="s">
        <v>841</v>
      </c>
    </row>
    <row r="479" spans="1:6" ht="76.5" hidden="1" x14ac:dyDescent="0.25">
      <c r="A479" s="326">
        <v>45658</v>
      </c>
      <c r="B479" s="324" t="s">
        <v>1404</v>
      </c>
      <c r="C479" s="320" t="s">
        <v>1414</v>
      </c>
      <c r="D479" s="126">
        <v>6</v>
      </c>
      <c r="E479" s="126">
        <v>210</v>
      </c>
      <c r="F479" s="193" t="s">
        <v>865</v>
      </c>
    </row>
    <row r="480" spans="1:6" ht="114.75" hidden="1" x14ac:dyDescent="0.25">
      <c r="A480" s="326">
        <v>45658</v>
      </c>
      <c r="B480" s="324" t="s">
        <v>1404</v>
      </c>
      <c r="C480" s="320" t="s">
        <v>490</v>
      </c>
      <c r="D480" s="126">
        <v>8</v>
      </c>
      <c r="E480" s="126">
        <v>319</v>
      </c>
      <c r="F480" s="193" t="s">
        <v>866</v>
      </c>
    </row>
    <row r="481" spans="1:6" ht="89.25" hidden="1" x14ac:dyDescent="0.25">
      <c r="A481" s="326">
        <v>45658</v>
      </c>
      <c r="B481" s="324" t="s">
        <v>1404</v>
      </c>
      <c r="C481" s="320" t="s">
        <v>491</v>
      </c>
      <c r="D481" s="126">
        <v>7</v>
      </c>
      <c r="E481" s="126">
        <v>201</v>
      </c>
      <c r="F481" s="193" t="s">
        <v>867</v>
      </c>
    </row>
    <row r="482" spans="1:6" ht="38.25" hidden="1" x14ac:dyDescent="0.25">
      <c r="A482" s="326">
        <v>45658</v>
      </c>
      <c r="B482" s="324" t="s">
        <v>1405</v>
      </c>
      <c r="C482" s="320" t="s">
        <v>1414</v>
      </c>
      <c r="D482" s="126">
        <v>3</v>
      </c>
      <c r="E482" s="126">
        <v>85</v>
      </c>
      <c r="F482" s="193" t="s">
        <v>814</v>
      </c>
    </row>
    <row r="483" spans="1:6" ht="38.25" hidden="1" x14ac:dyDescent="0.25">
      <c r="A483" s="326">
        <v>45658</v>
      </c>
      <c r="B483" s="324" t="s">
        <v>1405</v>
      </c>
      <c r="C483" s="320" t="s">
        <v>490</v>
      </c>
      <c r="D483" s="126">
        <v>2</v>
      </c>
      <c r="E483" s="126">
        <v>290</v>
      </c>
      <c r="F483" s="193" t="s">
        <v>816</v>
      </c>
    </row>
    <row r="484" spans="1:6" ht="63.75" hidden="1" x14ac:dyDescent="0.25">
      <c r="A484" s="326">
        <v>45658</v>
      </c>
      <c r="B484" s="324" t="s">
        <v>1405</v>
      </c>
      <c r="C484" s="320" t="s">
        <v>491</v>
      </c>
      <c r="D484" s="126">
        <v>5</v>
      </c>
      <c r="E484" s="126">
        <v>155</v>
      </c>
      <c r="F484" s="193" t="s">
        <v>815</v>
      </c>
    </row>
    <row r="485" spans="1:6" ht="204" hidden="1" x14ac:dyDescent="0.25">
      <c r="A485" s="326">
        <v>45658</v>
      </c>
      <c r="B485" s="324" t="s">
        <v>1406</v>
      </c>
      <c r="C485" s="320" t="s">
        <v>1414</v>
      </c>
      <c r="D485" s="126">
        <v>15</v>
      </c>
      <c r="E485" s="126">
        <v>963</v>
      </c>
      <c r="F485" s="193" t="s">
        <v>927</v>
      </c>
    </row>
    <row r="486" spans="1:6" ht="38.25" hidden="1" x14ac:dyDescent="0.25">
      <c r="A486" s="326">
        <v>45658</v>
      </c>
      <c r="B486" s="324" t="s">
        <v>1406</v>
      </c>
      <c r="C486" s="320" t="s">
        <v>490</v>
      </c>
      <c r="D486" s="126">
        <v>3</v>
      </c>
      <c r="E486" s="126">
        <v>137</v>
      </c>
      <c r="F486" s="193" t="s">
        <v>928</v>
      </c>
    </row>
    <row r="487" spans="1:6" ht="63.75" hidden="1" x14ac:dyDescent="0.25">
      <c r="A487" s="326">
        <v>45658</v>
      </c>
      <c r="B487" s="324" t="s">
        <v>1406</v>
      </c>
      <c r="C487" s="320" t="s">
        <v>491</v>
      </c>
      <c r="D487" s="126">
        <v>5</v>
      </c>
      <c r="E487" s="126">
        <v>858</v>
      </c>
      <c r="F487" s="193" t="s">
        <v>929</v>
      </c>
    </row>
    <row r="488" spans="1:6" ht="114.75" hidden="1" x14ac:dyDescent="0.25">
      <c r="A488" s="326">
        <v>45658</v>
      </c>
      <c r="B488" s="324" t="s">
        <v>1407</v>
      </c>
      <c r="C488" s="320" t="s">
        <v>1414</v>
      </c>
      <c r="D488" s="126">
        <v>9</v>
      </c>
      <c r="E488" s="126">
        <v>517</v>
      </c>
      <c r="F488" s="193" t="s">
        <v>889</v>
      </c>
    </row>
    <row r="489" spans="1:6" ht="102" hidden="1" x14ac:dyDescent="0.25">
      <c r="A489" s="326">
        <v>45658</v>
      </c>
      <c r="B489" s="324" t="s">
        <v>1407</v>
      </c>
      <c r="C489" s="320" t="s">
        <v>490</v>
      </c>
      <c r="D489" s="126">
        <v>8</v>
      </c>
      <c r="E489" s="126">
        <v>199</v>
      </c>
      <c r="F489" s="193" t="s">
        <v>884</v>
      </c>
    </row>
    <row r="490" spans="1:6" ht="216.75" hidden="1" x14ac:dyDescent="0.25">
      <c r="A490" s="326">
        <v>45658</v>
      </c>
      <c r="B490" s="324" t="s">
        <v>1407</v>
      </c>
      <c r="C490" s="320" t="s">
        <v>491</v>
      </c>
      <c r="D490" s="126">
        <v>17</v>
      </c>
      <c r="E490" s="126">
        <v>367</v>
      </c>
      <c r="F490" s="193" t="s">
        <v>876</v>
      </c>
    </row>
    <row r="491" spans="1:6" hidden="1" x14ac:dyDescent="0.25">
      <c r="A491" s="326">
        <v>45658</v>
      </c>
      <c r="B491" s="324" t="s">
        <v>1408</v>
      </c>
      <c r="C491" s="320" t="s">
        <v>1414</v>
      </c>
      <c r="D491" s="126">
        <v>1</v>
      </c>
      <c r="E491" s="126">
        <v>100</v>
      </c>
      <c r="F491" s="193" t="s">
        <v>935</v>
      </c>
    </row>
    <row r="492" spans="1:6" ht="280.5" hidden="1" x14ac:dyDescent="0.25">
      <c r="A492" s="326">
        <v>45658</v>
      </c>
      <c r="B492" s="324" t="s">
        <v>1408</v>
      </c>
      <c r="C492" s="320" t="s">
        <v>490</v>
      </c>
      <c r="D492" s="126">
        <v>22</v>
      </c>
      <c r="E492" s="126">
        <v>475</v>
      </c>
      <c r="F492" s="193" t="s">
        <v>934</v>
      </c>
    </row>
    <row r="493" spans="1:6" hidden="1" x14ac:dyDescent="0.25">
      <c r="A493" s="326">
        <v>45658</v>
      </c>
      <c r="B493" s="324" t="s">
        <v>1408</v>
      </c>
      <c r="C493" s="320" t="s">
        <v>491</v>
      </c>
      <c r="D493" s="126"/>
      <c r="E493" s="126"/>
      <c r="F493" s="193"/>
    </row>
    <row r="494" spans="1:6" ht="51" hidden="1" x14ac:dyDescent="0.25">
      <c r="A494" s="326">
        <v>45658</v>
      </c>
      <c r="B494" s="324" t="s">
        <v>1409</v>
      </c>
      <c r="C494" s="320" t="s">
        <v>1414</v>
      </c>
      <c r="D494" s="126">
        <v>4</v>
      </c>
      <c r="E494" s="126">
        <v>278</v>
      </c>
      <c r="F494" s="193" t="s">
        <v>950</v>
      </c>
    </row>
    <row r="495" spans="1:6" ht="38.25" hidden="1" x14ac:dyDescent="0.25">
      <c r="A495" s="326">
        <v>45658</v>
      </c>
      <c r="B495" s="324" t="s">
        <v>1409</v>
      </c>
      <c r="C495" s="320" t="s">
        <v>490</v>
      </c>
      <c r="D495" s="126">
        <v>2</v>
      </c>
      <c r="E495" s="126">
        <v>280</v>
      </c>
      <c r="F495" s="193" t="s">
        <v>951</v>
      </c>
    </row>
    <row r="496" spans="1:6" hidden="1" x14ac:dyDescent="0.25">
      <c r="A496" s="326">
        <v>45658</v>
      </c>
      <c r="B496" s="324" t="s">
        <v>1409</v>
      </c>
      <c r="C496" s="320" t="s">
        <v>491</v>
      </c>
      <c r="D496" s="126"/>
      <c r="E496" s="126"/>
      <c r="F496" s="193"/>
    </row>
    <row r="497" spans="1:6" ht="102" hidden="1" x14ac:dyDescent="0.25">
      <c r="A497" s="326">
        <v>45658</v>
      </c>
      <c r="B497" s="324" t="s">
        <v>1410</v>
      </c>
      <c r="C497" s="320" t="s">
        <v>1414</v>
      </c>
      <c r="D497" s="126">
        <v>7</v>
      </c>
      <c r="E497" s="126">
        <v>604</v>
      </c>
      <c r="F497" s="193" t="s">
        <v>908</v>
      </c>
    </row>
    <row r="498" spans="1:6" ht="25.5" hidden="1" x14ac:dyDescent="0.25">
      <c r="A498" s="326">
        <v>45658</v>
      </c>
      <c r="B498" s="324" t="s">
        <v>1410</v>
      </c>
      <c r="C498" s="320" t="s">
        <v>490</v>
      </c>
      <c r="D498" s="126">
        <v>2</v>
      </c>
      <c r="E498" s="126">
        <v>147</v>
      </c>
      <c r="F498" s="193" t="s">
        <v>906</v>
      </c>
    </row>
    <row r="499" spans="1:6" ht="76.5" hidden="1" x14ac:dyDescent="0.25">
      <c r="A499" s="326">
        <v>45658</v>
      </c>
      <c r="B499" s="324" t="s">
        <v>1410</v>
      </c>
      <c r="C499" s="320" t="s">
        <v>491</v>
      </c>
      <c r="D499" s="126">
        <v>6</v>
      </c>
      <c r="E499" s="126">
        <v>93</v>
      </c>
      <c r="F499" s="193" t="s">
        <v>907</v>
      </c>
    </row>
    <row r="500" spans="1:6" ht="25.5" hidden="1" x14ac:dyDescent="0.25">
      <c r="A500" s="326">
        <v>45658</v>
      </c>
      <c r="B500" s="324" t="s">
        <v>1411</v>
      </c>
      <c r="C500" s="320" t="s">
        <v>1414</v>
      </c>
      <c r="D500" s="246">
        <v>2</v>
      </c>
      <c r="E500" s="246">
        <v>180</v>
      </c>
      <c r="F500" s="193" t="s">
        <v>983</v>
      </c>
    </row>
    <row r="501" spans="1:6" hidden="1" x14ac:dyDescent="0.25">
      <c r="A501" s="326">
        <v>45658</v>
      </c>
      <c r="B501" s="324" t="s">
        <v>1411</v>
      </c>
      <c r="C501" s="320" t="s">
        <v>490</v>
      </c>
      <c r="D501" s="246">
        <v>1</v>
      </c>
      <c r="E501" s="246">
        <v>20</v>
      </c>
      <c r="F501" s="193" t="s">
        <v>985</v>
      </c>
    </row>
    <row r="502" spans="1:6" ht="38.25" hidden="1" x14ac:dyDescent="0.25">
      <c r="A502" s="326">
        <v>45658</v>
      </c>
      <c r="B502" s="324" t="s">
        <v>1411</v>
      </c>
      <c r="C502" s="320" t="s">
        <v>491</v>
      </c>
      <c r="D502" s="126">
        <v>3</v>
      </c>
      <c r="E502" s="126">
        <v>47</v>
      </c>
      <c r="F502" s="193" t="s">
        <v>984</v>
      </c>
    </row>
    <row r="503" spans="1:6" ht="76.5" hidden="1" x14ac:dyDescent="0.25">
      <c r="A503" s="326">
        <v>45658</v>
      </c>
      <c r="B503" s="324" t="s">
        <v>1412</v>
      </c>
      <c r="C503" s="320" t="s">
        <v>1414</v>
      </c>
      <c r="D503" s="126">
        <v>6</v>
      </c>
      <c r="E503" s="126">
        <v>368</v>
      </c>
      <c r="F503" s="193" t="s">
        <v>992</v>
      </c>
    </row>
    <row r="504" spans="1:6" ht="140.25" hidden="1" x14ac:dyDescent="0.25">
      <c r="A504" s="326">
        <v>45658</v>
      </c>
      <c r="B504" s="324" t="s">
        <v>1412</v>
      </c>
      <c r="C504" s="320" t="s">
        <v>490</v>
      </c>
      <c r="D504" s="126">
        <v>2</v>
      </c>
      <c r="E504" s="126">
        <v>140</v>
      </c>
      <c r="F504" s="193" t="s">
        <v>996</v>
      </c>
    </row>
    <row r="505" spans="1:6" hidden="1" x14ac:dyDescent="0.25">
      <c r="A505" s="326">
        <v>45658</v>
      </c>
      <c r="B505" s="324" t="s">
        <v>1412</v>
      </c>
      <c r="C505" s="320" t="s">
        <v>491</v>
      </c>
      <c r="D505" s="126">
        <v>1</v>
      </c>
      <c r="E505" s="126">
        <v>60</v>
      </c>
      <c r="F505" s="193" t="s">
        <v>989</v>
      </c>
    </row>
    <row r="506" spans="1:6" hidden="1" x14ac:dyDescent="0.25">
      <c r="A506" s="326">
        <v>45658</v>
      </c>
      <c r="B506" s="324" t="s">
        <v>1413</v>
      </c>
      <c r="C506" s="320" t="s">
        <v>1414</v>
      </c>
      <c r="D506" s="126"/>
      <c r="E506" s="126"/>
      <c r="F506" s="180"/>
    </row>
    <row r="507" spans="1:6" hidden="1" x14ac:dyDescent="0.25">
      <c r="A507" s="326">
        <v>45658</v>
      </c>
      <c r="B507" s="324" t="s">
        <v>1413</v>
      </c>
      <c r="C507" s="320" t="s">
        <v>490</v>
      </c>
      <c r="D507" s="126"/>
      <c r="E507" s="126"/>
      <c r="F507" s="180"/>
    </row>
    <row r="508" spans="1:6" hidden="1" x14ac:dyDescent="0.25">
      <c r="A508" s="326">
        <v>45658</v>
      </c>
      <c r="B508" s="324" t="s">
        <v>1413</v>
      </c>
      <c r="C508" s="320" t="s">
        <v>491</v>
      </c>
      <c r="D508" s="126"/>
      <c r="E508" s="126"/>
      <c r="F508" s="180"/>
    </row>
    <row r="509" spans="1:6" hidden="1" x14ac:dyDescent="0.25">
      <c r="A509" s="326">
        <v>45689</v>
      </c>
      <c r="B509" s="324" t="s">
        <v>1401</v>
      </c>
      <c r="C509" s="320" t="s">
        <v>1414</v>
      </c>
      <c r="D509" s="126"/>
      <c r="E509" s="126"/>
      <c r="F509" s="180"/>
    </row>
    <row r="510" spans="1:6" hidden="1" x14ac:dyDescent="0.25">
      <c r="A510" s="326">
        <v>45689</v>
      </c>
      <c r="B510" s="324" t="s">
        <v>1401</v>
      </c>
      <c r="C510" s="320" t="s">
        <v>490</v>
      </c>
      <c r="D510" s="126"/>
      <c r="E510" s="126"/>
      <c r="F510" s="180"/>
    </row>
    <row r="511" spans="1:6" ht="38.25" hidden="1" x14ac:dyDescent="0.25">
      <c r="A511" s="326">
        <v>45689</v>
      </c>
      <c r="B511" s="324" t="s">
        <v>1401</v>
      </c>
      <c r="C511" s="320" t="s">
        <v>491</v>
      </c>
      <c r="D511" s="126">
        <v>3</v>
      </c>
      <c r="E511" s="126">
        <v>330</v>
      </c>
      <c r="F511" s="193" t="s">
        <v>1179</v>
      </c>
    </row>
    <row r="512" spans="1:6" ht="38.25" hidden="1" x14ac:dyDescent="0.25">
      <c r="A512" s="326">
        <v>45689</v>
      </c>
      <c r="B512" s="324" t="s">
        <v>1402</v>
      </c>
      <c r="C512" s="320" t="s">
        <v>1414</v>
      </c>
      <c r="D512" s="194">
        <v>2</v>
      </c>
      <c r="E512" s="194">
        <v>400</v>
      </c>
      <c r="F512" s="193" t="s">
        <v>1151</v>
      </c>
    </row>
    <row r="513" spans="1:6" ht="45" hidden="1" x14ac:dyDescent="0.25">
      <c r="A513" s="326">
        <v>45689</v>
      </c>
      <c r="B513" s="324" t="s">
        <v>1402</v>
      </c>
      <c r="C513" s="320" t="s">
        <v>490</v>
      </c>
      <c r="D513" s="126">
        <v>3</v>
      </c>
      <c r="E513" s="126">
        <v>175</v>
      </c>
      <c r="F513" s="314" t="s">
        <v>1152</v>
      </c>
    </row>
    <row r="514" spans="1:6" hidden="1" x14ac:dyDescent="0.25">
      <c r="A514" s="326">
        <v>45689</v>
      </c>
      <c r="B514" s="324" t="s">
        <v>1402</v>
      </c>
      <c r="C514" s="320" t="s">
        <v>491</v>
      </c>
      <c r="D514" s="126"/>
      <c r="E514" s="126"/>
      <c r="F514" s="180"/>
    </row>
    <row r="515" spans="1:6" ht="51" x14ac:dyDescent="0.25">
      <c r="A515" s="326">
        <v>45689</v>
      </c>
      <c r="B515" s="324" t="s">
        <v>1403</v>
      </c>
      <c r="C515" s="320" t="s">
        <v>1414</v>
      </c>
      <c r="D515" s="126">
        <v>3</v>
      </c>
      <c r="E515" s="126">
        <v>170</v>
      </c>
      <c r="F515" s="193" t="s">
        <v>1183</v>
      </c>
    </row>
    <row r="516" spans="1:6" ht="51" hidden="1" x14ac:dyDescent="0.25">
      <c r="A516" s="326">
        <v>45689</v>
      </c>
      <c r="B516" s="324" t="s">
        <v>1403</v>
      </c>
      <c r="C516" s="320" t="s">
        <v>490</v>
      </c>
      <c r="D516" s="126">
        <v>4</v>
      </c>
      <c r="E516" s="126">
        <v>320</v>
      </c>
      <c r="F516" s="193" t="s">
        <v>1184</v>
      </c>
    </row>
    <row r="517" spans="1:6" hidden="1" x14ac:dyDescent="0.25">
      <c r="A517" s="326">
        <v>45689</v>
      </c>
      <c r="B517" s="324" t="s">
        <v>1403</v>
      </c>
      <c r="C517" s="320" t="s">
        <v>491</v>
      </c>
      <c r="D517" s="126"/>
      <c r="E517" s="126"/>
      <c r="F517" s="180"/>
    </row>
    <row r="518" spans="1:6" ht="38.25" hidden="1" x14ac:dyDescent="0.25">
      <c r="A518" s="326">
        <v>45689</v>
      </c>
      <c r="B518" s="324" t="s">
        <v>1404</v>
      </c>
      <c r="C518" s="320" t="s">
        <v>1414</v>
      </c>
      <c r="D518" s="126">
        <v>3</v>
      </c>
      <c r="E518" s="126">
        <v>1250</v>
      </c>
      <c r="F518" s="193" t="s">
        <v>1189</v>
      </c>
    </row>
    <row r="519" spans="1:6" hidden="1" x14ac:dyDescent="0.25">
      <c r="A519" s="326">
        <v>45689</v>
      </c>
      <c r="B519" s="324" t="s">
        <v>1404</v>
      </c>
      <c r="C519" s="320" t="s">
        <v>490</v>
      </c>
      <c r="D519" s="126">
        <v>1</v>
      </c>
      <c r="E519" s="126">
        <v>20</v>
      </c>
      <c r="F519" s="193" t="s">
        <v>1191</v>
      </c>
    </row>
    <row r="520" spans="1:6" ht="38.25" hidden="1" x14ac:dyDescent="0.25">
      <c r="A520" s="326">
        <v>45689</v>
      </c>
      <c r="B520" s="324" t="s">
        <v>1404</v>
      </c>
      <c r="C520" s="320" t="s">
        <v>491</v>
      </c>
      <c r="D520" s="126">
        <v>3</v>
      </c>
      <c r="E520" s="126">
        <v>45</v>
      </c>
      <c r="F520" s="193" t="s">
        <v>1190</v>
      </c>
    </row>
    <row r="521" spans="1:6" ht="69" hidden="1" x14ac:dyDescent="0.25">
      <c r="A521" s="326">
        <v>45689</v>
      </c>
      <c r="B521" s="324" t="s">
        <v>1405</v>
      </c>
      <c r="C521" s="320" t="s">
        <v>1414</v>
      </c>
      <c r="D521" s="126">
        <v>4</v>
      </c>
      <c r="E521" s="126">
        <v>510</v>
      </c>
      <c r="F521" s="180" t="s">
        <v>1395</v>
      </c>
    </row>
    <row r="522" spans="1:6" hidden="1" x14ac:dyDescent="0.25">
      <c r="A522" s="326">
        <v>45689</v>
      </c>
      <c r="B522" s="324" t="s">
        <v>1405</v>
      </c>
      <c r="C522" s="320" t="s">
        <v>490</v>
      </c>
      <c r="D522" s="126">
        <v>1</v>
      </c>
      <c r="E522" s="126">
        <v>50</v>
      </c>
      <c r="F522" s="193" t="s">
        <v>1216</v>
      </c>
    </row>
    <row r="523" spans="1:6" ht="38.25" hidden="1" x14ac:dyDescent="0.25">
      <c r="A523" s="326">
        <v>45689</v>
      </c>
      <c r="B523" s="324" t="s">
        <v>1405</v>
      </c>
      <c r="C523" s="320" t="s">
        <v>491</v>
      </c>
      <c r="D523" s="126">
        <v>2</v>
      </c>
      <c r="E523" s="126">
        <v>35</v>
      </c>
      <c r="F523" s="193" t="s">
        <v>1217</v>
      </c>
    </row>
    <row r="524" spans="1:6" ht="204" hidden="1" x14ac:dyDescent="0.25">
      <c r="A524" s="326">
        <v>45689</v>
      </c>
      <c r="B524" s="324" t="s">
        <v>1406</v>
      </c>
      <c r="C524" s="320" t="s">
        <v>1414</v>
      </c>
      <c r="D524" s="126">
        <v>13</v>
      </c>
      <c r="E524" s="126">
        <v>937</v>
      </c>
      <c r="F524" s="193" t="s">
        <v>1099</v>
      </c>
    </row>
    <row r="525" spans="1:6" ht="51" hidden="1" x14ac:dyDescent="0.25">
      <c r="A525" s="326">
        <v>45689</v>
      </c>
      <c r="B525" s="324" t="s">
        <v>1406</v>
      </c>
      <c r="C525" s="320" t="s">
        <v>490</v>
      </c>
      <c r="D525" s="126">
        <v>3</v>
      </c>
      <c r="E525" s="126">
        <v>961</v>
      </c>
      <c r="F525" s="193" t="s">
        <v>1100</v>
      </c>
    </row>
    <row r="526" spans="1:6" ht="63.75" hidden="1" x14ac:dyDescent="0.25">
      <c r="A526" s="326">
        <v>45689</v>
      </c>
      <c r="B526" s="324" t="s">
        <v>1406</v>
      </c>
      <c r="C526" s="320" t="s">
        <v>491</v>
      </c>
      <c r="D526" s="126">
        <v>4</v>
      </c>
      <c r="E526" s="126">
        <v>257</v>
      </c>
      <c r="F526" s="193" t="s">
        <v>1101</v>
      </c>
    </row>
    <row r="527" spans="1:6" ht="204" hidden="1" x14ac:dyDescent="0.25">
      <c r="A527" s="326">
        <v>45689</v>
      </c>
      <c r="B527" s="324" t="s">
        <v>1407</v>
      </c>
      <c r="C527" s="320" t="s">
        <v>1414</v>
      </c>
      <c r="D527" s="126">
        <v>16</v>
      </c>
      <c r="E527" s="126">
        <v>1451</v>
      </c>
      <c r="F527" s="193" t="s">
        <v>1173</v>
      </c>
    </row>
    <row r="528" spans="1:6" hidden="1" x14ac:dyDescent="0.25">
      <c r="A528" s="326">
        <v>45689</v>
      </c>
      <c r="B528" s="324" t="s">
        <v>1407</v>
      </c>
      <c r="C528" s="320" t="s">
        <v>490</v>
      </c>
      <c r="D528" s="126"/>
      <c r="E528" s="126"/>
      <c r="F528" s="180"/>
    </row>
    <row r="529" spans="1:6" ht="293.25" hidden="1" x14ac:dyDescent="0.25">
      <c r="A529" s="326">
        <v>45689</v>
      </c>
      <c r="B529" s="324" t="s">
        <v>1407</v>
      </c>
      <c r="C529" s="320" t="s">
        <v>491</v>
      </c>
      <c r="D529" s="126">
        <v>22</v>
      </c>
      <c r="E529" s="126">
        <v>834</v>
      </c>
      <c r="F529" s="193" t="s">
        <v>1174</v>
      </c>
    </row>
    <row r="530" spans="1:6" ht="25.5" hidden="1" x14ac:dyDescent="0.25">
      <c r="A530" s="326">
        <v>45689</v>
      </c>
      <c r="B530" s="324" t="s">
        <v>1408</v>
      </c>
      <c r="C530" s="320" t="s">
        <v>1414</v>
      </c>
      <c r="D530" s="126">
        <v>2</v>
      </c>
      <c r="E530" s="126">
        <v>175</v>
      </c>
      <c r="F530" s="193" t="s">
        <v>1196</v>
      </c>
    </row>
    <row r="531" spans="1:6" ht="216.75" hidden="1" x14ac:dyDescent="0.25">
      <c r="A531" s="326">
        <v>45689</v>
      </c>
      <c r="B531" s="324" t="s">
        <v>1408</v>
      </c>
      <c r="C531" s="320" t="s">
        <v>490</v>
      </c>
      <c r="D531" s="126">
        <v>17</v>
      </c>
      <c r="E531" s="126">
        <v>330</v>
      </c>
      <c r="F531" s="193" t="s">
        <v>1195</v>
      </c>
    </row>
    <row r="532" spans="1:6" hidden="1" x14ac:dyDescent="0.25">
      <c r="A532" s="326">
        <v>45689</v>
      </c>
      <c r="B532" s="324" t="s">
        <v>1408</v>
      </c>
      <c r="C532" s="320" t="s">
        <v>491</v>
      </c>
      <c r="D532" s="126"/>
      <c r="E532" s="126"/>
      <c r="F532" s="180"/>
    </row>
    <row r="533" spans="1:6" ht="267.75" hidden="1" x14ac:dyDescent="0.25">
      <c r="A533" s="326">
        <v>45689</v>
      </c>
      <c r="B533" s="324" t="s">
        <v>1409</v>
      </c>
      <c r="C533" s="320" t="s">
        <v>1414</v>
      </c>
      <c r="D533" s="126">
        <v>19</v>
      </c>
      <c r="E533" s="126">
        <v>500</v>
      </c>
      <c r="F533" s="193" t="s">
        <v>1160</v>
      </c>
    </row>
    <row r="534" spans="1:6" hidden="1" x14ac:dyDescent="0.25">
      <c r="A534" s="326">
        <v>45689</v>
      </c>
      <c r="B534" s="324" t="s">
        <v>1409</v>
      </c>
      <c r="C534" s="320" t="s">
        <v>490</v>
      </c>
      <c r="D534" s="126"/>
      <c r="E534" s="126"/>
      <c r="F534" s="180"/>
    </row>
    <row r="535" spans="1:6" hidden="1" x14ac:dyDescent="0.25">
      <c r="A535" s="326">
        <v>45689</v>
      </c>
      <c r="B535" s="324" t="s">
        <v>1409</v>
      </c>
      <c r="C535" s="320" t="s">
        <v>491</v>
      </c>
      <c r="D535" s="126"/>
      <c r="E535" s="126"/>
      <c r="F535" s="180"/>
    </row>
    <row r="536" spans="1:6" ht="51" hidden="1" x14ac:dyDescent="0.25">
      <c r="A536" s="326">
        <v>45689</v>
      </c>
      <c r="B536" s="324" t="s">
        <v>1410</v>
      </c>
      <c r="C536" s="320" t="s">
        <v>1414</v>
      </c>
      <c r="D536" s="126">
        <v>4</v>
      </c>
      <c r="E536" s="126">
        <v>356</v>
      </c>
      <c r="F536" s="193" t="s">
        <v>1207</v>
      </c>
    </row>
    <row r="537" spans="1:6" ht="38.25" hidden="1" x14ac:dyDescent="0.25">
      <c r="A537" s="326">
        <v>45689</v>
      </c>
      <c r="B537" s="324" t="s">
        <v>1410</v>
      </c>
      <c r="C537" s="320" t="s">
        <v>490</v>
      </c>
      <c r="D537" s="126">
        <v>3</v>
      </c>
      <c r="E537" s="126">
        <v>167</v>
      </c>
      <c r="F537" s="193" t="s">
        <v>1208</v>
      </c>
    </row>
    <row r="538" spans="1:6" ht="51" hidden="1" x14ac:dyDescent="0.25">
      <c r="A538" s="326">
        <v>45689</v>
      </c>
      <c r="B538" s="324" t="s">
        <v>1410</v>
      </c>
      <c r="C538" s="320" t="s">
        <v>491</v>
      </c>
      <c r="D538" s="126">
        <v>4</v>
      </c>
      <c r="E538" s="126">
        <v>600</v>
      </c>
      <c r="F538" s="193" t="s">
        <v>1209</v>
      </c>
    </row>
    <row r="539" spans="1:6" hidden="1" x14ac:dyDescent="0.25">
      <c r="A539" s="326">
        <v>45689</v>
      </c>
      <c r="B539" s="324" t="s">
        <v>1411</v>
      </c>
      <c r="C539" s="320" t="s">
        <v>1414</v>
      </c>
      <c r="D539" s="246">
        <v>1</v>
      </c>
      <c r="E539" s="246">
        <v>120</v>
      </c>
      <c r="F539" s="193" t="s">
        <v>1224</v>
      </c>
    </row>
    <row r="540" spans="1:6" hidden="1" x14ac:dyDescent="0.25">
      <c r="A540" s="326">
        <v>45689</v>
      </c>
      <c r="B540" s="324" t="s">
        <v>1411</v>
      </c>
      <c r="C540" s="320" t="s">
        <v>490</v>
      </c>
      <c r="D540" s="246"/>
      <c r="E540" s="246"/>
      <c r="F540" s="180"/>
    </row>
    <row r="541" spans="1:6" hidden="1" x14ac:dyDescent="0.25">
      <c r="A541" s="326">
        <v>45689</v>
      </c>
      <c r="B541" s="324" t="s">
        <v>1411</v>
      </c>
      <c r="C541" s="320" t="s">
        <v>491</v>
      </c>
      <c r="D541" s="126">
        <v>1</v>
      </c>
      <c r="E541" s="126">
        <v>10</v>
      </c>
      <c r="F541" s="193" t="s">
        <v>1225</v>
      </c>
    </row>
    <row r="542" spans="1:6" ht="63.75" hidden="1" x14ac:dyDescent="0.25">
      <c r="A542" s="326">
        <v>45689</v>
      </c>
      <c r="B542" s="324" t="s">
        <v>1412</v>
      </c>
      <c r="C542" s="320" t="s">
        <v>1414</v>
      </c>
      <c r="D542" s="126">
        <v>4</v>
      </c>
      <c r="E542" s="126">
        <v>266</v>
      </c>
      <c r="F542" s="193" t="s">
        <v>1397</v>
      </c>
    </row>
    <row r="543" spans="1:6" ht="156" hidden="1" x14ac:dyDescent="0.25">
      <c r="A543" s="326">
        <v>45689</v>
      </c>
      <c r="B543" s="324" t="s">
        <v>1412</v>
      </c>
      <c r="C543" s="320" t="s">
        <v>490</v>
      </c>
      <c r="D543" s="126">
        <v>11</v>
      </c>
      <c r="E543" s="126">
        <v>447</v>
      </c>
      <c r="F543" s="201" t="s">
        <v>1396</v>
      </c>
    </row>
    <row r="544" spans="1:6" ht="38.25" hidden="1" x14ac:dyDescent="0.25">
      <c r="A544" s="326">
        <v>45689</v>
      </c>
      <c r="B544" s="324" t="s">
        <v>1412</v>
      </c>
      <c r="C544" s="320" t="s">
        <v>491</v>
      </c>
      <c r="D544" s="126">
        <v>2</v>
      </c>
      <c r="E544" s="126">
        <v>80</v>
      </c>
      <c r="F544" s="193" t="s">
        <v>1116</v>
      </c>
    </row>
    <row r="545" spans="1:6" ht="89.25" hidden="1" x14ac:dyDescent="0.25">
      <c r="A545" s="326">
        <v>45689</v>
      </c>
      <c r="B545" s="324" t="s">
        <v>1413</v>
      </c>
      <c r="C545" s="320" t="s">
        <v>1414</v>
      </c>
      <c r="D545" s="126">
        <v>6</v>
      </c>
      <c r="E545" s="126">
        <v>500</v>
      </c>
      <c r="F545" s="193" t="s">
        <v>1145</v>
      </c>
    </row>
    <row r="546" spans="1:6" hidden="1" x14ac:dyDescent="0.25">
      <c r="A546" s="326">
        <v>45689</v>
      </c>
      <c r="B546" s="324" t="s">
        <v>1413</v>
      </c>
      <c r="C546" s="320" t="s">
        <v>490</v>
      </c>
      <c r="D546" s="126"/>
      <c r="E546" s="126"/>
      <c r="F546" s="180"/>
    </row>
    <row r="547" spans="1:6" ht="25.5" hidden="1" x14ac:dyDescent="0.25">
      <c r="A547" s="326">
        <v>45689</v>
      </c>
      <c r="B547" s="324" t="s">
        <v>1413</v>
      </c>
      <c r="C547" s="320" t="s">
        <v>491</v>
      </c>
      <c r="D547" s="126">
        <v>2</v>
      </c>
      <c r="E547" s="126">
        <v>55</v>
      </c>
      <c r="F547" s="193" t="s">
        <v>1144</v>
      </c>
    </row>
    <row r="548" spans="1:6" hidden="1" x14ac:dyDescent="0.25">
      <c r="A548" s="326">
        <v>45717</v>
      </c>
      <c r="B548" s="324" t="s">
        <v>1401</v>
      </c>
      <c r="C548" s="320" t="s">
        <v>1414</v>
      </c>
      <c r="D548" s="126"/>
      <c r="E548" s="126"/>
      <c r="F548" s="180"/>
    </row>
    <row r="549" spans="1:6" ht="25.5" hidden="1" x14ac:dyDescent="0.25">
      <c r="A549" s="326">
        <v>45717</v>
      </c>
      <c r="B549" s="324" t="s">
        <v>1401</v>
      </c>
      <c r="C549" s="320" t="s">
        <v>490</v>
      </c>
      <c r="D549" s="126">
        <v>2</v>
      </c>
      <c r="E549" s="126">
        <v>160</v>
      </c>
      <c r="F549" s="193" t="s">
        <v>1337</v>
      </c>
    </row>
    <row r="550" spans="1:6" ht="89.25" hidden="1" x14ac:dyDescent="0.25">
      <c r="A550" s="326">
        <v>45717</v>
      </c>
      <c r="B550" s="324" t="s">
        <v>1401</v>
      </c>
      <c r="C550" s="320" t="s">
        <v>491</v>
      </c>
      <c r="D550" s="126">
        <v>7</v>
      </c>
      <c r="E550" s="126">
        <v>182</v>
      </c>
      <c r="F550" s="193" t="s">
        <v>1336</v>
      </c>
    </row>
    <row r="551" spans="1:6" ht="20.25" hidden="1" x14ac:dyDescent="0.25">
      <c r="A551" s="326">
        <v>45717</v>
      </c>
      <c r="B551" s="324" t="s">
        <v>1402</v>
      </c>
      <c r="C551" s="320" t="s">
        <v>1414</v>
      </c>
      <c r="D551" s="194"/>
      <c r="E551" s="194"/>
      <c r="F551" s="40"/>
    </row>
    <row r="552" spans="1:6" ht="89.25" hidden="1" x14ac:dyDescent="0.25">
      <c r="A552" s="326">
        <v>45717</v>
      </c>
      <c r="B552" s="324" t="s">
        <v>1402</v>
      </c>
      <c r="C552" s="320" t="s">
        <v>490</v>
      </c>
      <c r="D552" s="126">
        <v>7</v>
      </c>
      <c r="E552" s="126">
        <v>56</v>
      </c>
      <c r="F552" s="193" t="s">
        <v>1274</v>
      </c>
    </row>
    <row r="553" spans="1:6" hidden="1" x14ac:dyDescent="0.25">
      <c r="A553" s="326">
        <v>45717</v>
      </c>
      <c r="B553" s="324" t="s">
        <v>1402</v>
      </c>
      <c r="C553" s="320" t="s">
        <v>491</v>
      </c>
      <c r="D553" s="126"/>
      <c r="E553" s="126"/>
      <c r="F553" s="180"/>
    </row>
    <row r="554" spans="1:6" ht="51" x14ac:dyDescent="0.25">
      <c r="A554" s="326">
        <v>45717</v>
      </c>
      <c r="B554" s="324" t="s">
        <v>1403</v>
      </c>
      <c r="C554" s="320" t="s">
        <v>1414</v>
      </c>
      <c r="D554" s="126">
        <v>4</v>
      </c>
      <c r="E554" s="126">
        <v>770</v>
      </c>
      <c r="F554" s="193" t="s">
        <v>1303</v>
      </c>
    </row>
    <row r="555" spans="1:6" ht="63.75" hidden="1" x14ac:dyDescent="0.25">
      <c r="A555" s="326">
        <v>45717</v>
      </c>
      <c r="B555" s="324" t="s">
        <v>1403</v>
      </c>
      <c r="C555" s="320" t="s">
        <v>490</v>
      </c>
      <c r="D555" s="126">
        <v>5</v>
      </c>
      <c r="E555" s="126">
        <v>815</v>
      </c>
      <c r="F555" s="193" t="s">
        <v>1304</v>
      </c>
    </row>
    <row r="556" spans="1:6" ht="63.75" hidden="1" x14ac:dyDescent="0.25">
      <c r="A556" s="326">
        <v>45717</v>
      </c>
      <c r="B556" s="324" t="s">
        <v>1403</v>
      </c>
      <c r="C556" s="320" t="s">
        <v>491</v>
      </c>
      <c r="D556" s="126">
        <v>4</v>
      </c>
      <c r="E556" s="126">
        <v>75</v>
      </c>
      <c r="F556" s="193" t="s">
        <v>1305</v>
      </c>
    </row>
    <row r="557" spans="1:6" ht="63.75" hidden="1" x14ac:dyDescent="0.25">
      <c r="A557" s="326">
        <v>45717</v>
      </c>
      <c r="B557" s="324" t="s">
        <v>1404</v>
      </c>
      <c r="C557" s="320" t="s">
        <v>1414</v>
      </c>
      <c r="D557" s="126">
        <v>4</v>
      </c>
      <c r="E557" s="126">
        <v>385</v>
      </c>
      <c r="F557" s="193" t="s">
        <v>1315</v>
      </c>
    </row>
    <row r="558" spans="1:6" ht="76.5" hidden="1" x14ac:dyDescent="0.25">
      <c r="A558" s="326">
        <v>45717</v>
      </c>
      <c r="B558" s="324" t="s">
        <v>1404</v>
      </c>
      <c r="C558" s="320" t="s">
        <v>490</v>
      </c>
      <c r="D558" s="126">
        <v>6</v>
      </c>
      <c r="E558" s="126">
        <v>340</v>
      </c>
      <c r="F558" s="193" t="s">
        <v>1316</v>
      </c>
    </row>
    <row r="559" spans="1:6" ht="280.5" hidden="1" x14ac:dyDescent="0.25">
      <c r="A559" s="326">
        <v>45717</v>
      </c>
      <c r="B559" s="324" t="s">
        <v>1404</v>
      </c>
      <c r="C559" s="320" t="s">
        <v>491</v>
      </c>
      <c r="D559" s="126">
        <v>21</v>
      </c>
      <c r="E559" s="126">
        <v>910</v>
      </c>
      <c r="F559" s="193" t="s">
        <v>1317</v>
      </c>
    </row>
    <row r="560" spans="1:6" ht="63.75" hidden="1" x14ac:dyDescent="0.25">
      <c r="A560" s="326">
        <v>45717</v>
      </c>
      <c r="B560" s="324" t="s">
        <v>1405</v>
      </c>
      <c r="C560" s="320" t="s">
        <v>1414</v>
      </c>
      <c r="D560" s="126">
        <v>5</v>
      </c>
      <c r="E560" s="126">
        <v>185</v>
      </c>
      <c r="F560" s="193" t="s">
        <v>1347</v>
      </c>
    </row>
    <row r="561" spans="1:6" ht="25.5" hidden="1" x14ac:dyDescent="0.25">
      <c r="A561" s="326">
        <v>45717</v>
      </c>
      <c r="B561" s="324" t="s">
        <v>1405</v>
      </c>
      <c r="C561" s="320" t="s">
        <v>490</v>
      </c>
      <c r="D561" s="126">
        <v>2</v>
      </c>
      <c r="E561" s="126">
        <v>200</v>
      </c>
      <c r="F561" s="193" t="s">
        <v>1348</v>
      </c>
    </row>
    <row r="562" spans="1:6" hidden="1" x14ac:dyDescent="0.25">
      <c r="A562" s="326">
        <v>45717</v>
      </c>
      <c r="B562" s="324" t="s">
        <v>1405</v>
      </c>
      <c r="C562" s="320" t="s">
        <v>491</v>
      </c>
      <c r="D562" s="126">
        <v>1</v>
      </c>
      <c r="E562" s="126">
        <v>35</v>
      </c>
      <c r="F562" s="193" t="s">
        <v>1349</v>
      </c>
    </row>
    <row r="563" spans="1:6" ht="114.75" hidden="1" x14ac:dyDescent="0.25">
      <c r="A563" s="326">
        <v>45717</v>
      </c>
      <c r="B563" s="324" t="s">
        <v>1406</v>
      </c>
      <c r="C563" s="320" t="s">
        <v>1414</v>
      </c>
      <c r="D563" s="126">
        <v>9</v>
      </c>
      <c r="E563" s="126">
        <v>580</v>
      </c>
      <c r="F563" s="193" t="s">
        <v>1385</v>
      </c>
    </row>
    <row r="564" spans="1:6" ht="51" hidden="1" x14ac:dyDescent="0.25">
      <c r="A564" s="326">
        <v>45717</v>
      </c>
      <c r="B564" s="324" t="s">
        <v>1406</v>
      </c>
      <c r="C564" s="320" t="s">
        <v>490</v>
      </c>
      <c r="D564" s="126">
        <v>4</v>
      </c>
      <c r="E564" s="126">
        <v>221</v>
      </c>
      <c r="F564" s="193" t="s">
        <v>1386</v>
      </c>
    </row>
    <row r="565" spans="1:6" ht="114.75" hidden="1" x14ac:dyDescent="0.25">
      <c r="A565" s="326">
        <v>45717</v>
      </c>
      <c r="B565" s="324" t="s">
        <v>1406</v>
      </c>
      <c r="C565" s="320" t="s">
        <v>491</v>
      </c>
      <c r="D565" s="126">
        <v>8</v>
      </c>
      <c r="E565" s="126">
        <v>426</v>
      </c>
      <c r="F565" s="193" t="s">
        <v>1387</v>
      </c>
    </row>
    <row r="566" spans="1:6" ht="216.75" hidden="1" x14ac:dyDescent="0.25">
      <c r="A566" s="326">
        <v>45717</v>
      </c>
      <c r="B566" s="324" t="s">
        <v>1407</v>
      </c>
      <c r="C566" s="320" t="s">
        <v>1414</v>
      </c>
      <c r="D566" s="126">
        <v>15</v>
      </c>
      <c r="E566" s="126">
        <v>2675</v>
      </c>
      <c r="F566" s="193" t="s">
        <v>1266</v>
      </c>
    </row>
    <row r="567" spans="1:6" ht="63.75" hidden="1" x14ac:dyDescent="0.25">
      <c r="A567" s="326">
        <v>45717</v>
      </c>
      <c r="B567" s="324" t="s">
        <v>1407</v>
      </c>
      <c r="C567" s="320" t="s">
        <v>490</v>
      </c>
      <c r="D567" s="126">
        <v>5</v>
      </c>
      <c r="E567" s="126">
        <v>208</v>
      </c>
      <c r="F567" s="286" t="s">
        <v>1268</v>
      </c>
    </row>
    <row r="568" spans="1:6" ht="369.75" hidden="1" x14ac:dyDescent="0.25">
      <c r="A568" s="326">
        <v>45717</v>
      </c>
      <c r="B568" s="324" t="s">
        <v>1407</v>
      </c>
      <c r="C568" s="320" t="s">
        <v>491</v>
      </c>
      <c r="D568" s="126">
        <v>29</v>
      </c>
      <c r="E568" s="126">
        <v>2008</v>
      </c>
      <c r="F568" s="286" t="s">
        <v>1267</v>
      </c>
    </row>
    <row r="569" spans="1:6" hidden="1" x14ac:dyDescent="0.25">
      <c r="A569" s="326">
        <v>45717</v>
      </c>
      <c r="B569" s="324" t="s">
        <v>1408</v>
      </c>
      <c r="C569" s="320" t="s">
        <v>1414</v>
      </c>
      <c r="D569" s="126">
        <v>1</v>
      </c>
      <c r="E569" s="126">
        <v>100</v>
      </c>
      <c r="F569" s="193" t="s">
        <v>1389</v>
      </c>
    </row>
    <row r="570" spans="1:6" ht="114.75" hidden="1" x14ac:dyDescent="0.25">
      <c r="A570" s="326">
        <v>45717</v>
      </c>
      <c r="B570" s="324" t="s">
        <v>1408</v>
      </c>
      <c r="C570" s="320" t="s">
        <v>490</v>
      </c>
      <c r="D570" s="126">
        <v>9</v>
      </c>
      <c r="E570" s="126">
        <v>195</v>
      </c>
      <c r="F570" s="193" t="s">
        <v>1388</v>
      </c>
    </row>
    <row r="571" spans="1:6" hidden="1" x14ac:dyDescent="0.25">
      <c r="A571" s="326">
        <v>45717</v>
      </c>
      <c r="B571" s="324" t="s">
        <v>1408</v>
      </c>
      <c r="C571" s="320" t="s">
        <v>491</v>
      </c>
      <c r="D571" s="126"/>
      <c r="E571" s="126"/>
      <c r="F571" s="180"/>
    </row>
    <row r="572" spans="1:6" ht="76.5" hidden="1" x14ac:dyDescent="0.25">
      <c r="A572" s="326">
        <v>45717</v>
      </c>
      <c r="B572" s="324" t="s">
        <v>1409</v>
      </c>
      <c r="C572" s="320" t="s">
        <v>1414</v>
      </c>
      <c r="D572" s="126">
        <v>5</v>
      </c>
      <c r="E572" s="126">
        <v>370</v>
      </c>
      <c r="F572" s="193" t="s">
        <v>1330</v>
      </c>
    </row>
    <row r="573" spans="1:6" ht="89.25" hidden="1" x14ac:dyDescent="0.25">
      <c r="A573" s="326">
        <v>45717</v>
      </c>
      <c r="B573" s="324" t="s">
        <v>1409</v>
      </c>
      <c r="C573" s="320" t="s">
        <v>490</v>
      </c>
      <c r="D573" s="126">
        <v>6</v>
      </c>
      <c r="E573" s="126">
        <v>280</v>
      </c>
      <c r="F573" s="193" t="s">
        <v>1331</v>
      </c>
    </row>
    <row r="574" spans="1:6" hidden="1" x14ac:dyDescent="0.25">
      <c r="A574" s="326">
        <v>45717</v>
      </c>
      <c r="B574" s="324" t="s">
        <v>1409</v>
      </c>
      <c r="C574" s="320" t="s">
        <v>491</v>
      </c>
      <c r="D574" s="126"/>
      <c r="E574" s="126"/>
      <c r="F574" s="180"/>
    </row>
    <row r="575" spans="1:6" ht="63.75" hidden="1" x14ac:dyDescent="0.25">
      <c r="A575" s="326">
        <v>45717</v>
      </c>
      <c r="B575" s="324" t="s">
        <v>1410</v>
      </c>
      <c r="C575" s="320" t="s">
        <v>1414</v>
      </c>
      <c r="D575" s="126">
        <v>5</v>
      </c>
      <c r="E575" s="126">
        <v>1015</v>
      </c>
      <c r="F575" s="193" t="s">
        <v>1298</v>
      </c>
    </row>
    <row r="576" spans="1:6" ht="204" hidden="1" x14ac:dyDescent="0.25">
      <c r="A576" s="326">
        <v>45717</v>
      </c>
      <c r="B576" s="324" t="s">
        <v>1410</v>
      </c>
      <c r="C576" s="320" t="s">
        <v>490</v>
      </c>
      <c r="D576" s="126">
        <v>11</v>
      </c>
      <c r="E576" s="126">
        <v>1220</v>
      </c>
      <c r="F576" s="193" t="s">
        <v>1299</v>
      </c>
    </row>
    <row r="577" spans="1:6" ht="51" hidden="1" x14ac:dyDescent="0.25">
      <c r="A577" s="326">
        <v>45717</v>
      </c>
      <c r="B577" s="324" t="s">
        <v>1410</v>
      </c>
      <c r="C577" s="320" t="s">
        <v>491</v>
      </c>
      <c r="D577" s="126">
        <v>3</v>
      </c>
      <c r="E577" s="126">
        <v>92</v>
      </c>
      <c r="F577" s="193" t="s">
        <v>1300</v>
      </c>
    </row>
    <row r="578" spans="1:6" ht="63.75" hidden="1" x14ac:dyDescent="0.25">
      <c r="A578" s="326">
        <v>45717</v>
      </c>
      <c r="B578" s="324" t="s">
        <v>1411</v>
      </c>
      <c r="C578" s="320" t="s">
        <v>1414</v>
      </c>
      <c r="D578" s="194">
        <v>4</v>
      </c>
      <c r="E578" s="194">
        <v>490</v>
      </c>
      <c r="F578" s="193" t="s">
        <v>1323</v>
      </c>
    </row>
    <row r="579" spans="1:6" ht="25.5" hidden="1" x14ac:dyDescent="0.25">
      <c r="A579" s="326">
        <v>45717</v>
      </c>
      <c r="B579" s="324" t="s">
        <v>1411</v>
      </c>
      <c r="C579" s="320" t="s">
        <v>490</v>
      </c>
      <c r="D579" s="194">
        <v>2</v>
      </c>
      <c r="E579" s="194">
        <v>190</v>
      </c>
      <c r="F579" s="193" t="s">
        <v>1324</v>
      </c>
    </row>
    <row r="580" spans="1:6" hidden="1" x14ac:dyDescent="0.25">
      <c r="A580" s="326">
        <v>45717</v>
      </c>
      <c r="B580" s="324" t="s">
        <v>1411</v>
      </c>
      <c r="C580" s="320" t="s">
        <v>491</v>
      </c>
      <c r="D580" s="126">
        <v>1</v>
      </c>
      <c r="E580" s="126">
        <v>5</v>
      </c>
      <c r="F580" s="193" t="s">
        <v>1325</v>
      </c>
    </row>
    <row r="581" spans="1:6" ht="51" hidden="1" x14ac:dyDescent="0.25">
      <c r="A581" s="326">
        <v>45717</v>
      </c>
      <c r="B581" s="324" t="s">
        <v>1412</v>
      </c>
      <c r="C581" s="320" t="s">
        <v>1414</v>
      </c>
      <c r="D581" s="126">
        <v>4</v>
      </c>
      <c r="E581" s="126">
        <v>165</v>
      </c>
      <c r="F581" s="193" t="s">
        <v>1360</v>
      </c>
    </row>
    <row r="582" spans="1:6" ht="242.25" hidden="1" x14ac:dyDescent="0.25">
      <c r="A582" s="326">
        <v>45717</v>
      </c>
      <c r="B582" s="324" t="s">
        <v>1412</v>
      </c>
      <c r="C582" s="320" t="s">
        <v>490</v>
      </c>
      <c r="D582" s="126">
        <v>18</v>
      </c>
      <c r="E582" s="126">
        <v>410</v>
      </c>
      <c r="F582" s="193" t="s">
        <v>1361</v>
      </c>
    </row>
    <row r="583" spans="1:6" hidden="1" x14ac:dyDescent="0.25">
      <c r="A583" s="326">
        <v>45717</v>
      </c>
      <c r="B583" s="324" t="s">
        <v>1412</v>
      </c>
      <c r="C583" s="320" t="s">
        <v>491</v>
      </c>
      <c r="D583" s="126"/>
      <c r="E583" s="126"/>
      <c r="F583" s="180"/>
    </row>
    <row r="584" spans="1:6" ht="127.5" hidden="1" x14ac:dyDescent="0.25">
      <c r="A584" s="340">
        <v>45717</v>
      </c>
      <c r="B584" s="341" t="s">
        <v>1413</v>
      </c>
      <c r="C584" s="320" t="s">
        <v>1414</v>
      </c>
      <c r="D584" s="126">
        <v>9</v>
      </c>
      <c r="E584" s="126">
        <v>1530</v>
      </c>
      <c r="F584" s="193" t="s">
        <v>1289</v>
      </c>
    </row>
    <row r="585" spans="1:6" ht="63.75" hidden="1" x14ac:dyDescent="0.25">
      <c r="A585" s="340">
        <v>45717</v>
      </c>
      <c r="B585" s="341" t="s">
        <v>1413</v>
      </c>
      <c r="C585" s="320" t="s">
        <v>490</v>
      </c>
      <c r="D585" s="126">
        <v>5</v>
      </c>
      <c r="E585" s="126">
        <v>185</v>
      </c>
      <c r="F585" s="193" t="s">
        <v>1291</v>
      </c>
    </row>
    <row r="586" spans="1:6" hidden="1" x14ac:dyDescent="0.25">
      <c r="A586" s="340">
        <v>45717</v>
      </c>
      <c r="B586" s="341" t="s">
        <v>1413</v>
      </c>
      <c r="C586" s="320" t="s">
        <v>491</v>
      </c>
      <c r="D586" s="126">
        <v>1</v>
      </c>
      <c r="E586" s="126">
        <v>5</v>
      </c>
      <c r="F586" s="193" t="s">
        <v>1290</v>
      </c>
    </row>
    <row r="587" spans="1:6" hidden="1" x14ac:dyDescent="0.25">
      <c r="A587" s="332"/>
      <c r="B587" s="330" t="s">
        <v>1413</v>
      </c>
      <c r="C587" s="238" t="s">
        <v>491</v>
      </c>
      <c r="D587" s="126">
        <v>1</v>
      </c>
      <c r="E587" s="126">
        <v>4</v>
      </c>
      <c r="F587" s="180" t="s">
        <v>756</v>
      </c>
    </row>
  </sheetData>
  <autoFilter ref="A1:F587" xr:uid="{00000000-0009-0000-0000-000021000000}">
    <filterColumn colId="0">
      <filters>
        <dateGroupItem year="2025" dateTimeGrouping="year"/>
      </filters>
    </filterColumn>
    <filterColumn colId="1">
      <filters>
        <filter val="UKI"/>
      </filters>
    </filterColumn>
    <filterColumn colId="2">
      <filters>
        <filter val="MOCK  DRILL"/>
      </filters>
    </filterColumn>
  </autoFilter>
  <pageMargins left="0.7" right="0.7" top="0.75" bottom="0.75" header="0.3" footer="0.3"/>
  <pageSetup paperSize="9"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58"/>
  <sheetViews>
    <sheetView topLeftCell="A29" workbookViewId="0">
      <selection activeCell="M32" sqref="M32"/>
    </sheetView>
  </sheetViews>
  <sheetFormatPr defaultRowHeight="15" x14ac:dyDescent="0.25"/>
  <cols>
    <col min="1" max="1" width="6.28515625" customWidth="1"/>
    <col min="2" max="2" width="13.28515625" bestFit="1" customWidth="1"/>
    <col min="3" max="3" width="15.5703125" customWidth="1"/>
    <col min="4" max="4" width="11.7109375" bestFit="1" customWidth="1"/>
    <col min="5" max="5" width="13.42578125" customWidth="1"/>
    <col min="7" max="7" width="12.7109375" customWidth="1"/>
    <col min="9" max="9" width="13.7109375" customWidth="1"/>
    <col min="11" max="11" width="10.5703125" customWidth="1"/>
  </cols>
  <sheetData>
    <row r="1" spans="1:11" ht="18.75" x14ac:dyDescent="0.25">
      <c r="A1" s="502" t="s">
        <v>1239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</row>
    <row r="2" spans="1:11" ht="93.75" x14ac:dyDescent="0.25">
      <c r="A2" s="126" t="s">
        <v>211</v>
      </c>
      <c r="B2" s="153" t="s">
        <v>1</v>
      </c>
      <c r="C2" s="153" t="s">
        <v>182</v>
      </c>
      <c r="D2" s="126" t="s">
        <v>208</v>
      </c>
      <c r="E2" s="126" t="s">
        <v>209</v>
      </c>
      <c r="F2" s="126" t="s">
        <v>210</v>
      </c>
      <c r="G2" s="126" t="s">
        <v>212</v>
      </c>
      <c r="H2" s="126" t="s">
        <v>213</v>
      </c>
      <c r="I2" s="126" t="s">
        <v>214</v>
      </c>
      <c r="J2" s="126" t="s">
        <v>215</v>
      </c>
      <c r="K2" s="126" t="s">
        <v>216</v>
      </c>
    </row>
    <row r="3" spans="1:11" ht="18.75" x14ac:dyDescent="0.25">
      <c r="A3" s="126">
        <v>1</v>
      </c>
      <c r="B3" s="503" t="s">
        <v>16</v>
      </c>
      <c r="C3" s="153" t="s">
        <v>17</v>
      </c>
      <c r="D3" s="126">
        <v>6</v>
      </c>
      <c r="E3" s="126" t="s">
        <v>18</v>
      </c>
      <c r="F3" s="126" t="s">
        <v>18</v>
      </c>
      <c r="G3" s="126">
        <v>33</v>
      </c>
      <c r="H3" s="126" t="s">
        <v>18</v>
      </c>
      <c r="I3" s="126" t="s">
        <v>18</v>
      </c>
      <c r="J3" s="126" t="s">
        <v>18</v>
      </c>
      <c r="K3" s="126" t="s">
        <v>18</v>
      </c>
    </row>
    <row r="4" spans="1:11" ht="18.75" x14ac:dyDescent="0.25">
      <c r="A4" s="126">
        <v>2</v>
      </c>
      <c r="B4" s="503"/>
      <c r="C4" s="153" t="s">
        <v>19</v>
      </c>
      <c r="D4" s="126">
        <v>2</v>
      </c>
      <c r="E4" s="126" t="s">
        <v>18</v>
      </c>
      <c r="F4" s="126" t="s">
        <v>18</v>
      </c>
      <c r="G4" s="126">
        <v>5</v>
      </c>
      <c r="H4" s="126" t="s">
        <v>18</v>
      </c>
      <c r="I4" s="126" t="s">
        <v>18</v>
      </c>
      <c r="J4" s="126" t="s">
        <v>18</v>
      </c>
      <c r="K4" s="126" t="s">
        <v>18</v>
      </c>
    </row>
    <row r="5" spans="1:11" ht="18.75" x14ac:dyDescent="0.25">
      <c r="A5" s="126"/>
      <c r="B5" s="153"/>
      <c r="C5" s="153" t="s">
        <v>102</v>
      </c>
      <c r="D5" s="368">
        <f>SUM(D3:D4)</f>
        <v>8</v>
      </c>
      <c r="E5" s="368">
        <f t="shared" ref="E5:K5" si="0">SUM(E3:E4)</f>
        <v>0</v>
      </c>
      <c r="F5" s="368">
        <f t="shared" si="0"/>
        <v>0</v>
      </c>
      <c r="G5" s="368">
        <f t="shared" si="0"/>
        <v>38</v>
      </c>
      <c r="H5" s="368">
        <f t="shared" si="0"/>
        <v>0</v>
      </c>
      <c r="I5" s="368">
        <f t="shared" si="0"/>
        <v>0</v>
      </c>
      <c r="J5" s="368">
        <f t="shared" si="0"/>
        <v>0</v>
      </c>
      <c r="K5" s="368">
        <f t="shared" si="0"/>
        <v>0</v>
      </c>
    </row>
    <row r="6" spans="1:11" ht="18.75" x14ac:dyDescent="0.25">
      <c r="A6" s="126">
        <v>3</v>
      </c>
      <c r="B6" s="153" t="s">
        <v>20</v>
      </c>
      <c r="C6" s="153" t="s">
        <v>20</v>
      </c>
      <c r="D6" s="126">
        <v>8</v>
      </c>
      <c r="E6" s="126" t="s">
        <v>18</v>
      </c>
      <c r="F6" s="126" t="s">
        <v>18</v>
      </c>
      <c r="G6" s="126">
        <v>8</v>
      </c>
      <c r="H6" s="126" t="s">
        <v>18</v>
      </c>
      <c r="I6" s="126" t="s">
        <v>18</v>
      </c>
      <c r="J6" s="126" t="s">
        <v>18</v>
      </c>
      <c r="K6" s="126" t="s">
        <v>18</v>
      </c>
    </row>
    <row r="7" spans="1:11" ht="18.75" x14ac:dyDescent="0.25">
      <c r="A7" s="126">
        <v>4</v>
      </c>
      <c r="B7" s="503" t="s">
        <v>21</v>
      </c>
      <c r="C7" s="153" t="s">
        <v>21</v>
      </c>
      <c r="D7" s="126">
        <v>3</v>
      </c>
      <c r="E7" s="126" t="s">
        <v>18</v>
      </c>
      <c r="F7" s="126">
        <v>15</v>
      </c>
      <c r="G7" s="126">
        <v>16</v>
      </c>
      <c r="H7" s="126" t="s">
        <v>18</v>
      </c>
      <c r="I7" s="126" t="s">
        <v>18</v>
      </c>
      <c r="J7" s="126" t="s">
        <v>18</v>
      </c>
      <c r="K7" s="126" t="s">
        <v>18</v>
      </c>
    </row>
    <row r="8" spans="1:11" ht="18.75" x14ac:dyDescent="0.25">
      <c r="A8" s="126">
        <v>5</v>
      </c>
      <c r="B8" s="503"/>
      <c r="C8" s="153" t="s">
        <v>22</v>
      </c>
      <c r="D8" s="126">
        <v>2</v>
      </c>
      <c r="E8" s="126" t="s">
        <v>18</v>
      </c>
      <c r="F8" s="126" t="s">
        <v>18</v>
      </c>
      <c r="G8" s="126">
        <v>40</v>
      </c>
      <c r="H8" s="126" t="s">
        <v>18</v>
      </c>
      <c r="I8" s="126" t="s">
        <v>18</v>
      </c>
      <c r="J8" s="126" t="s">
        <v>18</v>
      </c>
      <c r="K8" s="126" t="s">
        <v>18</v>
      </c>
    </row>
    <row r="9" spans="1:11" ht="18.75" x14ac:dyDescent="0.25">
      <c r="A9" s="126">
        <v>5</v>
      </c>
      <c r="B9" s="503"/>
      <c r="C9" s="153" t="s">
        <v>163</v>
      </c>
      <c r="D9" s="126" t="s">
        <v>18</v>
      </c>
      <c r="E9" s="126">
        <v>4</v>
      </c>
      <c r="F9" s="126">
        <v>4</v>
      </c>
      <c r="G9" s="126">
        <v>11</v>
      </c>
      <c r="H9" s="126" t="s">
        <v>18</v>
      </c>
      <c r="I9" s="126" t="s">
        <v>18</v>
      </c>
      <c r="J9" s="126" t="s">
        <v>18</v>
      </c>
      <c r="K9" s="126" t="s">
        <v>18</v>
      </c>
    </row>
    <row r="10" spans="1:11" ht="18.75" x14ac:dyDescent="0.25">
      <c r="A10" s="126"/>
      <c r="B10" s="153"/>
      <c r="C10" s="153" t="s">
        <v>102</v>
      </c>
      <c r="D10" s="368">
        <f>SUM(D7:D9)</f>
        <v>5</v>
      </c>
      <c r="E10" s="368">
        <f t="shared" ref="E10:K10" si="1">SUM(E7:E9)</f>
        <v>4</v>
      </c>
      <c r="F10" s="368">
        <f t="shared" si="1"/>
        <v>19</v>
      </c>
      <c r="G10" s="368">
        <f t="shared" si="1"/>
        <v>67</v>
      </c>
      <c r="H10" s="368">
        <f t="shared" si="1"/>
        <v>0</v>
      </c>
      <c r="I10" s="368">
        <f t="shared" si="1"/>
        <v>0</v>
      </c>
      <c r="J10" s="368">
        <f t="shared" si="1"/>
        <v>0</v>
      </c>
      <c r="K10" s="368">
        <f t="shared" si="1"/>
        <v>0</v>
      </c>
    </row>
    <row r="11" spans="1:11" ht="18.75" x14ac:dyDescent="0.25">
      <c r="A11" s="126">
        <v>6</v>
      </c>
      <c r="B11" s="503" t="s">
        <v>23</v>
      </c>
      <c r="C11" s="153" t="s">
        <v>23</v>
      </c>
      <c r="D11" s="126">
        <v>2</v>
      </c>
      <c r="E11" s="126">
        <v>7</v>
      </c>
      <c r="F11" s="126">
        <v>7</v>
      </c>
      <c r="G11" s="126">
        <v>2</v>
      </c>
      <c r="H11" s="126" t="s">
        <v>18</v>
      </c>
      <c r="I11" s="126" t="s">
        <v>18</v>
      </c>
      <c r="J11" s="126" t="s">
        <v>18</v>
      </c>
      <c r="K11" s="126" t="s">
        <v>18</v>
      </c>
    </row>
    <row r="12" spans="1:11" ht="18.75" x14ac:dyDescent="0.25">
      <c r="A12" s="126"/>
      <c r="B12" s="503"/>
      <c r="C12" s="153" t="s">
        <v>821</v>
      </c>
      <c r="D12" s="126">
        <v>1</v>
      </c>
      <c r="E12" s="126" t="s">
        <v>18</v>
      </c>
      <c r="F12" s="126" t="s">
        <v>18</v>
      </c>
      <c r="G12" s="126">
        <v>4</v>
      </c>
      <c r="H12" s="126"/>
      <c r="I12" s="126"/>
      <c r="J12" s="126"/>
      <c r="K12" s="126"/>
    </row>
    <row r="13" spans="1:11" ht="37.5" x14ac:dyDescent="0.25">
      <c r="A13" s="126">
        <v>7</v>
      </c>
      <c r="B13" s="503"/>
      <c r="C13" s="153" t="s">
        <v>320</v>
      </c>
      <c r="D13" s="126">
        <v>1</v>
      </c>
      <c r="E13" s="126" t="s">
        <v>18</v>
      </c>
      <c r="F13" s="126" t="s">
        <v>18</v>
      </c>
      <c r="G13" s="126">
        <v>9</v>
      </c>
      <c r="H13" s="126" t="s">
        <v>18</v>
      </c>
      <c r="I13" s="126" t="s">
        <v>18</v>
      </c>
      <c r="J13" s="126" t="s">
        <v>18</v>
      </c>
      <c r="K13" s="126" t="s">
        <v>18</v>
      </c>
    </row>
    <row r="14" spans="1:11" ht="18.75" x14ac:dyDescent="0.25">
      <c r="A14" s="126"/>
      <c r="B14" s="153"/>
      <c r="C14" s="153" t="s">
        <v>102</v>
      </c>
      <c r="D14" s="368">
        <f>SUM(D11:D13)</f>
        <v>4</v>
      </c>
      <c r="E14" s="368">
        <f t="shared" ref="E14:K14" si="2">SUM(E11:E13)</f>
        <v>7</v>
      </c>
      <c r="F14" s="368">
        <f t="shared" si="2"/>
        <v>7</v>
      </c>
      <c r="G14" s="368">
        <f t="shared" si="2"/>
        <v>15</v>
      </c>
      <c r="H14" s="368">
        <f t="shared" si="2"/>
        <v>0</v>
      </c>
      <c r="I14" s="368">
        <f t="shared" si="2"/>
        <v>0</v>
      </c>
      <c r="J14" s="368">
        <f t="shared" si="2"/>
        <v>0</v>
      </c>
      <c r="K14" s="368">
        <f t="shared" si="2"/>
        <v>0</v>
      </c>
    </row>
    <row r="15" spans="1:11" ht="18.75" x14ac:dyDescent="0.25">
      <c r="A15" s="126">
        <v>8</v>
      </c>
      <c r="B15" s="503" t="s">
        <v>25</v>
      </c>
      <c r="C15" s="153" t="s">
        <v>26</v>
      </c>
      <c r="D15" s="126">
        <v>7</v>
      </c>
      <c r="E15" s="126" t="s">
        <v>18</v>
      </c>
      <c r="F15" s="126" t="s">
        <v>18</v>
      </c>
      <c r="G15" s="126">
        <v>3</v>
      </c>
      <c r="H15" s="126" t="s">
        <v>18</v>
      </c>
      <c r="I15" s="126" t="s">
        <v>18</v>
      </c>
      <c r="J15" s="126" t="s">
        <v>18</v>
      </c>
      <c r="K15" s="126" t="s">
        <v>18</v>
      </c>
    </row>
    <row r="16" spans="1:11" ht="18.75" x14ac:dyDescent="0.25">
      <c r="A16" s="126"/>
      <c r="B16" s="503"/>
      <c r="C16" s="153" t="s">
        <v>27</v>
      </c>
      <c r="D16" s="126">
        <v>5</v>
      </c>
      <c r="E16" s="126">
        <v>5</v>
      </c>
      <c r="F16" s="126" t="s">
        <v>18</v>
      </c>
      <c r="G16" s="126">
        <v>4</v>
      </c>
      <c r="H16" s="126" t="s">
        <v>18</v>
      </c>
      <c r="I16" s="126" t="s">
        <v>18</v>
      </c>
      <c r="J16" s="126" t="s">
        <v>18</v>
      </c>
      <c r="K16" s="126" t="s">
        <v>18</v>
      </c>
    </row>
    <row r="17" spans="1:11" ht="18.75" x14ac:dyDescent="0.25">
      <c r="A17" s="126">
        <v>9</v>
      </c>
      <c r="B17" s="503"/>
      <c r="C17" s="153" t="s">
        <v>342</v>
      </c>
      <c r="D17" s="126">
        <v>1</v>
      </c>
      <c r="E17" s="126" t="s">
        <v>18</v>
      </c>
      <c r="F17" s="126" t="s">
        <v>18</v>
      </c>
      <c r="G17" s="126">
        <v>3</v>
      </c>
      <c r="H17" s="126" t="s">
        <v>18</v>
      </c>
      <c r="I17" s="126" t="s">
        <v>18</v>
      </c>
      <c r="J17" s="126" t="s">
        <v>18</v>
      </c>
      <c r="K17" s="126" t="s">
        <v>18</v>
      </c>
    </row>
    <row r="18" spans="1:11" ht="18.75" x14ac:dyDescent="0.25">
      <c r="A18" s="126"/>
      <c r="B18" s="355"/>
      <c r="C18" s="153" t="s">
        <v>102</v>
      </c>
      <c r="D18" s="368">
        <f>SUM(D15:D17)</f>
        <v>13</v>
      </c>
      <c r="E18" s="368">
        <f t="shared" ref="E18:K18" si="3">SUM(E15:E17)</f>
        <v>5</v>
      </c>
      <c r="F18" s="368">
        <f t="shared" si="3"/>
        <v>0</v>
      </c>
      <c r="G18" s="368">
        <f t="shared" si="3"/>
        <v>10</v>
      </c>
      <c r="H18" s="368">
        <f t="shared" si="3"/>
        <v>0</v>
      </c>
      <c r="I18" s="368">
        <f t="shared" si="3"/>
        <v>0</v>
      </c>
      <c r="J18" s="368">
        <f t="shared" si="3"/>
        <v>0</v>
      </c>
      <c r="K18" s="368">
        <f t="shared" si="3"/>
        <v>0</v>
      </c>
    </row>
    <row r="19" spans="1:11" ht="18.75" x14ac:dyDescent="0.25">
      <c r="A19" s="126">
        <v>10</v>
      </c>
      <c r="B19" s="626" t="s">
        <v>28</v>
      </c>
      <c r="C19" s="153" t="s">
        <v>29</v>
      </c>
      <c r="D19" s="126">
        <v>25</v>
      </c>
      <c r="E19" s="126">
        <v>22</v>
      </c>
      <c r="F19" s="126">
        <v>4</v>
      </c>
      <c r="G19" s="126" t="s">
        <v>18</v>
      </c>
      <c r="H19" s="126" t="s">
        <v>18</v>
      </c>
      <c r="I19" s="126" t="s">
        <v>18</v>
      </c>
      <c r="J19" s="126" t="s">
        <v>18</v>
      </c>
      <c r="K19" s="126" t="s">
        <v>18</v>
      </c>
    </row>
    <row r="20" spans="1:11" ht="18.75" x14ac:dyDescent="0.25">
      <c r="A20" s="126">
        <v>11</v>
      </c>
      <c r="B20" s="492"/>
      <c r="C20" s="153" t="s">
        <v>30</v>
      </c>
      <c r="D20" s="126">
        <v>2</v>
      </c>
      <c r="E20" s="126" t="s">
        <v>18</v>
      </c>
      <c r="F20" s="126" t="s">
        <v>18</v>
      </c>
      <c r="G20" s="126">
        <v>7</v>
      </c>
      <c r="H20" s="126" t="s">
        <v>18</v>
      </c>
      <c r="I20" s="126" t="s">
        <v>18</v>
      </c>
      <c r="J20" s="126" t="s">
        <v>18</v>
      </c>
      <c r="K20" s="126" t="s">
        <v>18</v>
      </c>
    </row>
    <row r="21" spans="1:11" ht="18.75" x14ac:dyDescent="0.25">
      <c r="A21" s="126">
        <v>12</v>
      </c>
      <c r="B21" s="492"/>
      <c r="C21" s="153" t="s">
        <v>31</v>
      </c>
      <c r="D21" s="126">
        <v>12</v>
      </c>
      <c r="E21" s="126">
        <v>5</v>
      </c>
      <c r="F21" s="126" t="s">
        <v>18</v>
      </c>
      <c r="G21" s="126" t="s">
        <v>18</v>
      </c>
      <c r="H21" s="126" t="s">
        <v>18</v>
      </c>
      <c r="I21" s="126" t="s">
        <v>18</v>
      </c>
      <c r="J21" s="126" t="s">
        <v>18</v>
      </c>
      <c r="K21" s="126" t="s">
        <v>18</v>
      </c>
    </row>
    <row r="22" spans="1:11" ht="18.75" x14ac:dyDescent="0.25">
      <c r="A22" s="126">
        <v>13</v>
      </c>
      <c r="B22" s="492"/>
      <c r="C22" s="153" t="s">
        <v>32</v>
      </c>
      <c r="D22" s="126">
        <v>7</v>
      </c>
      <c r="E22" s="126">
        <v>5</v>
      </c>
      <c r="F22" s="126" t="s">
        <v>18</v>
      </c>
      <c r="G22" s="126">
        <v>10</v>
      </c>
      <c r="H22" s="126" t="s">
        <v>18</v>
      </c>
      <c r="I22" s="126" t="s">
        <v>18</v>
      </c>
      <c r="J22" s="126" t="s">
        <v>18</v>
      </c>
      <c r="K22" s="126" t="s">
        <v>18</v>
      </c>
    </row>
    <row r="23" spans="1:11" ht="18.75" x14ac:dyDescent="0.25">
      <c r="A23" s="126">
        <v>14</v>
      </c>
      <c r="B23" s="493"/>
      <c r="C23" s="153" t="s">
        <v>343</v>
      </c>
      <c r="D23" s="126">
        <v>1</v>
      </c>
      <c r="E23" s="126" t="s">
        <v>18</v>
      </c>
      <c r="F23" s="126" t="s">
        <v>18</v>
      </c>
      <c r="G23" s="126">
        <v>7</v>
      </c>
      <c r="H23" s="126" t="s">
        <v>18</v>
      </c>
      <c r="I23" s="126" t="s">
        <v>18</v>
      </c>
      <c r="J23" s="126" t="s">
        <v>18</v>
      </c>
      <c r="K23" s="126" t="s">
        <v>18</v>
      </c>
    </row>
    <row r="24" spans="1:11" ht="18.75" x14ac:dyDescent="0.25">
      <c r="A24" s="126"/>
      <c r="B24" s="354"/>
      <c r="C24" s="153" t="s">
        <v>102</v>
      </c>
      <c r="D24" s="368">
        <f>SUM(D19:D23)</f>
        <v>47</v>
      </c>
      <c r="E24" s="368">
        <f t="shared" ref="E24:K24" si="4">SUM(E19:E23)</f>
        <v>32</v>
      </c>
      <c r="F24" s="368">
        <f t="shared" si="4"/>
        <v>4</v>
      </c>
      <c r="G24" s="368">
        <f t="shared" si="4"/>
        <v>24</v>
      </c>
      <c r="H24" s="368">
        <f t="shared" si="4"/>
        <v>0</v>
      </c>
      <c r="I24" s="368">
        <f t="shared" si="4"/>
        <v>0</v>
      </c>
      <c r="J24" s="368">
        <f t="shared" si="4"/>
        <v>0</v>
      </c>
      <c r="K24" s="368">
        <f t="shared" si="4"/>
        <v>0</v>
      </c>
    </row>
    <row r="25" spans="1:11" ht="18.75" x14ac:dyDescent="0.25">
      <c r="A25" s="126">
        <v>15</v>
      </c>
      <c r="B25" s="626" t="s">
        <v>127</v>
      </c>
      <c r="C25" s="153" t="s">
        <v>33</v>
      </c>
      <c r="D25" s="126">
        <v>2</v>
      </c>
      <c r="E25" s="126">
        <v>66</v>
      </c>
      <c r="F25" s="126" t="s">
        <v>18</v>
      </c>
      <c r="G25" s="126">
        <v>16</v>
      </c>
      <c r="H25" s="126" t="s">
        <v>18</v>
      </c>
      <c r="I25" s="126" t="s">
        <v>18</v>
      </c>
      <c r="J25" s="126" t="s">
        <v>18</v>
      </c>
      <c r="K25" s="126" t="s">
        <v>18</v>
      </c>
    </row>
    <row r="26" spans="1:11" ht="18.75" x14ac:dyDescent="0.25">
      <c r="A26" s="126">
        <v>14</v>
      </c>
      <c r="B26" s="492"/>
      <c r="C26" s="153" t="s">
        <v>34</v>
      </c>
      <c r="D26" s="126">
        <v>16</v>
      </c>
      <c r="E26" s="126">
        <v>11</v>
      </c>
      <c r="F26" s="126">
        <v>4</v>
      </c>
      <c r="G26" s="126">
        <v>4</v>
      </c>
      <c r="H26" s="126" t="s">
        <v>18</v>
      </c>
      <c r="I26" s="126" t="s">
        <v>18</v>
      </c>
      <c r="J26" s="126" t="s">
        <v>18</v>
      </c>
      <c r="K26" s="126" t="s">
        <v>18</v>
      </c>
    </row>
    <row r="27" spans="1:11" ht="18.75" x14ac:dyDescent="0.25">
      <c r="A27" s="126">
        <v>17</v>
      </c>
      <c r="B27" s="492"/>
      <c r="C27" s="153" t="s">
        <v>35</v>
      </c>
      <c r="D27" s="126">
        <v>9</v>
      </c>
      <c r="E27" s="126">
        <v>3</v>
      </c>
      <c r="F27" s="126">
        <v>1</v>
      </c>
      <c r="G27" s="126">
        <v>20</v>
      </c>
      <c r="H27" s="126" t="s">
        <v>18</v>
      </c>
      <c r="I27" s="126" t="s">
        <v>18</v>
      </c>
      <c r="J27" s="126" t="s">
        <v>18</v>
      </c>
      <c r="K27" s="126" t="s">
        <v>18</v>
      </c>
    </row>
    <row r="28" spans="1:11" ht="18.75" x14ac:dyDescent="0.25">
      <c r="A28" s="126">
        <v>18</v>
      </c>
      <c r="B28" s="492"/>
      <c r="C28" s="153" t="s">
        <v>36</v>
      </c>
      <c r="D28" s="126">
        <v>22</v>
      </c>
      <c r="E28" s="126" t="s">
        <v>18</v>
      </c>
      <c r="F28" s="126" t="s">
        <v>18</v>
      </c>
      <c r="G28" s="126">
        <v>32</v>
      </c>
      <c r="H28" s="126">
        <v>22</v>
      </c>
      <c r="I28" s="126" t="s">
        <v>18</v>
      </c>
      <c r="J28" s="126" t="s">
        <v>18</v>
      </c>
      <c r="K28" s="126" t="s">
        <v>18</v>
      </c>
    </row>
    <row r="29" spans="1:11" ht="18.75" x14ac:dyDescent="0.25">
      <c r="A29" s="126">
        <v>19</v>
      </c>
      <c r="B29" s="492"/>
      <c r="C29" s="153" t="s">
        <v>37</v>
      </c>
      <c r="D29" s="126">
        <v>3</v>
      </c>
      <c r="E29" s="126" t="s">
        <v>18</v>
      </c>
      <c r="F29" s="126" t="s">
        <v>18</v>
      </c>
      <c r="G29" s="126">
        <v>6</v>
      </c>
      <c r="H29" s="126">
        <v>2</v>
      </c>
      <c r="I29" s="126" t="s">
        <v>18</v>
      </c>
      <c r="J29" s="126" t="s">
        <v>18</v>
      </c>
      <c r="K29" s="126" t="s">
        <v>18</v>
      </c>
    </row>
    <row r="30" spans="1:11" ht="18.75" x14ac:dyDescent="0.25">
      <c r="A30" s="126"/>
      <c r="B30" s="493"/>
      <c r="C30" s="153" t="s">
        <v>141</v>
      </c>
      <c r="D30" s="126">
        <v>2</v>
      </c>
      <c r="E30" s="126" t="s">
        <v>18</v>
      </c>
      <c r="F30" s="126" t="s">
        <v>18</v>
      </c>
      <c r="G30" s="126" t="s">
        <v>18</v>
      </c>
      <c r="H30" s="126" t="s">
        <v>18</v>
      </c>
      <c r="I30" s="126" t="s">
        <v>18</v>
      </c>
      <c r="J30" s="126" t="s">
        <v>18</v>
      </c>
      <c r="K30" s="126" t="s">
        <v>18</v>
      </c>
    </row>
    <row r="31" spans="1:11" ht="18.75" x14ac:dyDescent="0.25">
      <c r="A31" s="126"/>
      <c r="B31" s="254"/>
      <c r="C31" s="153" t="s">
        <v>102</v>
      </c>
      <c r="D31" s="368">
        <f>SUM(D25:D30)</f>
        <v>54</v>
      </c>
      <c r="E31" s="368">
        <f t="shared" ref="E31:K31" si="5">SUM(E25:E30)</f>
        <v>80</v>
      </c>
      <c r="F31" s="368">
        <f t="shared" si="5"/>
        <v>5</v>
      </c>
      <c r="G31" s="368">
        <f t="shared" si="5"/>
        <v>78</v>
      </c>
      <c r="H31" s="368">
        <f t="shared" si="5"/>
        <v>24</v>
      </c>
      <c r="I31" s="368">
        <f t="shared" si="5"/>
        <v>0</v>
      </c>
      <c r="J31" s="368">
        <f t="shared" si="5"/>
        <v>0</v>
      </c>
      <c r="K31" s="368">
        <f t="shared" si="5"/>
        <v>0</v>
      </c>
    </row>
    <row r="32" spans="1:11" ht="18.75" x14ac:dyDescent="0.25">
      <c r="A32" s="126">
        <v>20</v>
      </c>
      <c r="B32" s="503" t="s">
        <v>38</v>
      </c>
      <c r="C32" s="153" t="s">
        <v>38</v>
      </c>
      <c r="D32" s="126">
        <v>32</v>
      </c>
      <c r="E32" s="126" t="s">
        <v>18</v>
      </c>
      <c r="F32" s="126" t="s">
        <v>18</v>
      </c>
      <c r="G32" s="126">
        <v>22</v>
      </c>
      <c r="H32" s="126" t="s">
        <v>18</v>
      </c>
      <c r="I32" s="126" t="s">
        <v>18</v>
      </c>
      <c r="J32" s="126" t="s">
        <v>18</v>
      </c>
      <c r="K32" s="126" t="s">
        <v>18</v>
      </c>
    </row>
    <row r="33" spans="1:11" ht="18.75" x14ac:dyDescent="0.25">
      <c r="A33" s="126">
        <v>21</v>
      </c>
      <c r="B33" s="503"/>
      <c r="C33" s="153" t="s">
        <v>39</v>
      </c>
      <c r="D33" s="126">
        <v>18</v>
      </c>
      <c r="E33" s="126">
        <v>1</v>
      </c>
      <c r="F33" s="126" t="s">
        <v>18</v>
      </c>
      <c r="G33" s="126">
        <v>17</v>
      </c>
      <c r="H33" s="126" t="s">
        <v>18</v>
      </c>
      <c r="I33" s="126" t="s">
        <v>18</v>
      </c>
      <c r="J33" s="126" t="s">
        <v>18</v>
      </c>
      <c r="K33" s="126" t="s">
        <v>18</v>
      </c>
    </row>
    <row r="34" spans="1:11" ht="18.75" x14ac:dyDescent="0.25">
      <c r="A34" s="126"/>
      <c r="B34" s="153"/>
      <c r="C34" s="153"/>
      <c r="D34" s="368">
        <f>SUM(D32:D33)</f>
        <v>50</v>
      </c>
      <c r="E34" s="368">
        <f t="shared" ref="E34:K34" si="6">SUM(E32:E33)</f>
        <v>1</v>
      </c>
      <c r="F34" s="368">
        <f t="shared" si="6"/>
        <v>0</v>
      </c>
      <c r="G34" s="368">
        <f t="shared" si="6"/>
        <v>39</v>
      </c>
      <c r="H34" s="368">
        <f t="shared" si="6"/>
        <v>0</v>
      </c>
      <c r="I34" s="368">
        <f t="shared" si="6"/>
        <v>0</v>
      </c>
      <c r="J34" s="368">
        <f t="shared" si="6"/>
        <v>0</v>
      </c>
      <c r="K34" s="368">
        <f t="shared" si="6"/>
        <v>0</v>
      </c>
    </row>
    <row r="35" spans="1:11" ht="18.75" x14ac:dyDescent="0.25">
      <c r="A35" s="126">
        <v>22</v>
      </c>
      <c r="B35" s="503" t="s">
        <v>88</v>
      </c>
      <c r="C35" s="153" t="s">
        <v>88</v>
      </c>
      <c r="D35" s="126">
        <v>2</v>
      </c>
      <c r="E35" s="126">
        <v>2</v>
      </c>
      <c r="F35" s="126" t="s">
        <v>18</v>
      </c>
      <c r="G35" s="126">
        <v>24</v>
      </c>
      <c r="H35" s="126" t="s">
        <v>18</v>
      </c>
      <c r="I35" s="126" t="s">
        <v>18</v>
      </c>
      <c r="J35" s="126" t="s">
        <v>18</v>
      </c>
      <c r="K35" s="126" t="s">
        <v>18</v>
      </c>
    </row>
    <row r="36" spans="1:11" ht="18.75" x14ac:dyDescent="0.25">
      <c r="A36" s="126">
        <v>23</v>
      </c>
      <c r="B36" s="503"/>
      <c r="C36" s="153" t="s">
        <v>41</v>
      </c>
      <c r="D36" s="126" t="s">
        <v>18</v>
      </c>
      <c r="E36" s="126" t="s">
        <v>18</v>
      </c>
      <c r="F36" s="126" t="s">
        <v>18</v>
      </c>
      <c r="G36" s="126" t="s">
        <v>18</v>
      </c>
      <c r="H36" s="126" t="s">
        <v>18</v>
      </c>
      <c r="I36" s="126" t="s">
        <v>18</v>
      </c>
      <c r="J36" s="126" t="s">
        <v>18</v>
      </c>
      <c r="K36" s="126" t="s">
        <v>18</v>
      </c>
    </row>
    <row r="37" spans="1:11" ht="18.75" x14ac:dyDescent="0.25">
      <c r="A37" s="126">
        <v>24</v>
      </c>
      <c r="B37" s="503"/>
      <c r="C37" s="153" t="s">
        <v>42</v>
      </c>
      <c r="D37" s="126" t="s">
        <v>18</v>
      </c>
      <c r="E37" s="126" t="s">
        <v>18</v>
      </c>
      <c r="F37" s="126" t="s">
        <v>18</v>
      </c>
      <c r="G37" s="126" t="s">
        <v>18</v>
      </c>
      <c r="H37" s="126" t="s">
        <v>18</v>
      </c>
      <c r="I37" s="126" t="s">
        <v>18</v>
      </c>
      <c r="J37" s="126" t="s">
        <v>18</v>
      </c>
      <c r="K37" s="126" t="s">
        <v>18</v>
      </c>
    </row>
    <row r="38" spans="1:11" ht="18.75" x14ac:dyDescent="0.25">
      <c r="A38" s="126"/>
      <c r="B38" s="153"/>
      <c r="C38" s="153" t="s">
        <v>102</v>
      </c>
      <c r="D38" s="368">
        <f>SUM(D35:D37)</f>
        <v>2</v>
      </c>
      <c r="E38" s="368">
        <f t="shared" ref="E38:K38" si="7">SUM(E35:E37)</f>
        <v>2</v>
      </c>
      <c r="F38" s="368">
        <f t="shared" si="7"/>
        <v>0</v>
      </c>
      <c r="G38" s="368">
        <f t="shared" si="7"/>
        <v>24</v>
      </c>
      <c r="H38" s="368">
        <f t="shared" si="7"/>
        <v>0</v>
      </c>
      <c r="I38" s="368">
        <f t="shared" si="7"/>
        <v>0</v>
      </c>
      <c r="J38" s="368">
        <f t="shared" si="7"/>
        <v>0</v>
      </c>
      <c r="K38" s="368">
        <f t="shared" si="7"/>
        <v>0</v>
      </c>
    </row>
    <row r="39" spans="1:11" ht="18.75" x14ac:dyDescent="0.25">
      <c r="A39" s="126"/>
      <c r="B39" s="503" t="s">
        <v>43</v>
      </c>
      <c r="C39" s="153" t="s">
        <v>43</v>
      </c>
      <c r="D39" s="126">
        <v>2</v>
      </c>
      <c r="E39" s="126" t="s">
        <v>18</v>
      </c>
      <c r="F39" s="126" t="s">
        <v>18</v>
      </c>
      <c r="G39" s="126">
        <v>7</v>
      </c>
      <c r="H39" s="126" t="s">
        <v>18</v>
      </c>
      <c r="I39" s="126" t="s">
        <v>18</v>
      </c>
      <c r="J39" s="126" t="s">
        <v>18</v>
      </c>
      <c r="K39" s="126" t="s">
        <v>18</v>
      </c>
    </row>
    <row r="40" spans="1:11" ht="18.75" x14ac:dyDescent="0.25">
      <c r="A40" s="126">
        <v>25</v>
      </c>
      <c r="B40" s="503"/>
      <c r="C40" s="153" t="s">
        <v>44</v>
      </c>
      <c r="D40" s="126">
        <v>3</v>
      </c>
      <c r="E40" s="126" t="s">
        <v>18</v>
      </c>
      <c r="F40" s="126" t="s">
        <v>18</v>
      </c>
      <c r="G40" s="126">
        <v>16</v>
      </c>
      <c r="H40" s="126" t="s">
        <v>18</v>
      </c>
      <c r="I40" s="126" t="s">
        <v>18</v>
      </c>
      <c r="J40" s="126" t="s">
        <v>18</v>
      </c>
      <c r="K40" s="126" t="s">
        <v>18</v>
      </c>
    </row>
    <row r="41" spans="1:11" ht="18.75" x14ac:dyDescent="0.25">
      <c r="A41" s="126">
        <v>26</v>
      </c>
      <c r="B41" s="503"/>
      <c r="C41" s="153" t="s">
        <v>45</v>
      </c>
      <c r="D41" s="126" t="s">
        <v>18</v>
      </c>
      <c r="E41" s="126" t="s">
        <v>18</v>
      </c>
      <c r="F41" s="126" t="s">
        <v>18</v>
      </c>
      <c r="G41" s="126">
        <v>14</v>
      </c>
      <c r="H41" s="126" t="s">
        <v>18</v>
      </c>
      <c r="I41" s="126" t="s">
        <v>18</v>
      </c>
      <c r="J41" s="126" t="s">
        <v>18</v>
      </c>
      <c r="K41" s="126" t="s">
        <v>18</v>
      </c>
    </row>
    <row r="42" spans="1:11" ht="18.75" x14ac:dyDescent="0.25">
      <c r="A42" s="126"/>
      <c r="B42" s="153"/>
      <c r="C42" s="153"/>
      <c r="D42" s="368">
        <f>SUM(D39:D41)</f>
        <v>5</v>
      </c>
      <c r="E42" s="368">
        <f t="shared" ref="E42:K42" si="8">SUM(E39:E41)</f>
        <v>0</v>
      </c>
      <c r="F42" s="368">
        <f t="shared" si="8"/>
        <v>0</v>
      </c>
      <c r="G42" s="368">
        <f t="shared" si="8"/>
        <v>37</v>
      </c>
      <c r="H42" s="368">
        <f t="shared" si="8"/>
        <v>0</v>
      </c>
      <c r="I42" s="368">
        <f t="shared" si="8"/>
        <v>0</v>
      </c>
      <c r="J42" s="368">
        <f t="shared" si="8"/>
        <v>0</v>
      </c>
      <c r="K42" s="368">
        <f t="shared" si="8"/>
        <v>0</v>
      </c>
    </row>
    <row r="43" spans="1:11" ht="18.75" x14ac:dyDescent="0.25">
      <c r="A43" s="263">
        <v>27</v>
      </c>
      <c r="B43" s="503" t="s">
        <v>46</v>
      </c>
      <c r="C43" s="264" t="s">
        <v>47</v>
      </c>
      <c r="D43" s="263">
        <v>15</v>
      </c>
      <c r="E43" s="263" t="s">
        <v>18</v>
      </c>
      <c r="F43" s="263" t="s">
        <v>18</v>
      </c>
      <c r="G43" s="263">
        <v>38</v>
      </c>
      <c r="H43" s="263" t="s">
        <v>18</v>
      </c>
      <c r="I43" s="263" t="s">
        <v>18</v>
      </c>
      <c r="J43" s="263" t="s">
        <v>18</v>
      </c>
      <c r="K43" s="263" t="s">
        <v>18</v>
      </c>
    </row>
    <row r="44" spans="1:11" ht="18.75" x14ac:dyDescent="0.25">
      <c r="A44" s="126">
        <v>28</v>
      </c>
      <c r="B44" s="503"/>
      <c r="C44" s="153" t="s">
        <v>48</v>
      </c>
      <c r="D44" s="126" t="s">
        <v>18</v>
      </c>
      <c r="E44" s="126" t="s">
        <v>18</v>
      </c>
      <c r="F44" s="126" t="s">
        <v>18</v>
      </c>
      <c r="G44" s="126" t="s">
        <v>18</v>
      </c>
      <c r="H44" s="126" t="s">
        <v>18</v>
      </c>
      <c r="I44" s="126" t="s">
        <v>18</v>
      </c>
      <c r="J44" s="126" t="s">
        <v>18</v>
      </c>
      <c r="K44" s="126" t="s">
        <v>18</v>
      </c>
    </row>
    <row r="45" spans="1:11" ht="18.75" x14ac:dyDescent="0.25">
      <c r="A45" s="126"/>
      <c r="B45" s="153"/>
      <c r="C45" s="153" t="s">
        <v>102</v>
      </c>
      <c r="D45" s="368">
        <f>SUM(D43:D44)</f>
        <v>15</v>
      </c>
      <c r="E45" s="368">
        <f t="shared" ref="E45:K45" si="9">SUM(E43:E44)</f>
        <v>0</v>
      </c>
      <c r="F45" s="368">
        <f t="shared" si="9"/>
        <v>0</v>
      </c>
      <c r="G45" s="368">
        <f t="shared" si="9"/>
        <v>38</v>
      </c>
      <c r="H45" s="368">
        <f t="shared" si="9"/>
        <v>0</v>
      </c>
      <c r="I45" s="368">
        <f t="shared" si="9"/>
        <v>0</v>
      </c>
      <c r="J45" s="368">
        <f t="shared" si="9"/>
        <v>0</v>
      </c>
      <c r="K45" s="368">
        <f t="shared" si="9"/>
        <v>0</v>
      </c>
    </row>
    <row r="46" spans="1:11" ht="18.75" x14ac:dyDescent="0.25">
      <c r="A46" s="126">
        <v>29</v>
      </c>
      <c r="B46" s="503" t="s">
        <v>49</v>
      </c>
      <c r="C46" s="153" t="s">
        <v>49</v>
      </c>
      <c r="D46" s="126">
        <v>54</v>
      </c>
      <c r="E46" s="126">
        <v>12</v>
      </c>
      <c r="F46" s="126">
        <v>17</v>
      </c>
      <c r="G46" s="126">
        <v>83</v>
      </c>
      <c r="H46" s="126" t="s">
        <v>18</v>
      </c>
      <c r="I46" s="126">
        <v>1</v>
      </c>
      <c r="J46" s="126">
        <v>1</v>
      </c>
      <c r="K46" s="126" t="s">
        <v>18</v>
      </c>
    </row>
    <row r="47" spans="1:11" ht="18.75" x14ac:dyDescent="0.25">
      <c r="A47" s="126">
        <v>30</v>
      </c>
      <c r="B47" s="503"/>
      <c r="C47" s="153" t="s">
        <v>50</v>
      </c>
      <c r="D47" s="126">
        <v>15</v>
      </c>
      <c r="E47" s="126">
        <v>1</v>
      </c>
      <c r="F47" s="126" t="s">
        <v>18</v>
      </c>
      <c r="G47" s="126" t="s">
        <v>18</v>
      </c>
      <c r="H47" s="126" t="s">
        <v>18</v>
      </c>
      <c r="I47" s="126" t="s">
        <v>18</v>
      </c>
      <c r="J47" s="126" t="s">
        <v>18</v>
      </c>
      <c r="K47" s="126" t="s">
        <v>18</v>
      </c>
    </row>
    <row r="48" spans="1:11" ht="18.75" x14ac:dyDescent="0.25">
      <c r="A48" s="126">
        <v>31</v>
      </c>
      <c r="B48" s="503"/>
      <c r="C48" s="153" t="s">
        <v>51</v>
      </c>
      <c r="D48" s="126">
        <v>18</v>
      </c>
      <c r="E48" s="126" t="s">
        <v>18</v>
      </c>
      <c r="F48" s="126" t="s">
        <v>18</v>
      </c>
      <c r="G48" s="126">
        <v>30</v>
      </c>
      <c r="H48" s="126" t="s">
        <v>18</v>
      </c>
      <c r="I48" s="126" t="s">
        <v>18</v>
      </c>
      <c r="J48" s="126" t="s">
        <v>18</v>
      </c>
      <c r="K48" s="126" t="s">
        <v>18</v>
      </c>
    </row>
    <row r="49" spans="1:11" ht="18.75" x14ac:dyDescent="0.25">
      <c r="A49" s="126"/>
      <c r="B49" s="153"/>
      <c r="C49" s="153" t="s">
        <v>102</v>
      </c>
      <c r="D49" s="368">
        <f>SUM(D46:D48)</f>
        <v>87</v>
      </c>
      <c r="E49" s="368">
        <f t="shared" ref="E49:K49" si="10">SUM(E46:E48)</f>
        <v>13</v>
      </c>
      <c r="F49" s="368">
        <f t="shared" si="10"/>
        <v>17</v>
      </c>
      <c r="G49" s="368">
        <f t="shared" si="10"/>
        <v>113</v>
      </c>
      <c r="H49" s="368">
        <f t="shared" si="10"/>
        <v>0</v>
      </c>
      <c r="I49" s="368">
        <f t="shared" si="10"/>
        <v>1</v>
      </c>
      <c r="J49" s="368">
        <f t="shared" si="10"/>
        <v>1</v>
      </c>
      <c r="K49" s="368">
        <f t="shared" si="10"/>
        <v>0</v>
      </c>
    </row>
    <row r="50" spans="1:11" ht="18.75" x14ac:dyDescent="0.25">
      <c r="A50" s="126">
        <v>32</v>
      </c>
      <c r="B50" s="503" t="s">
        <v>52</v>
      </c>
      <c r="C50" s="153" t="s">
        <v>53</v>
      </c>
      <c r="D50" s="126">
        <v>23</v>
      </c>
      <c r="E50" s="126">
        <v>22</v>
      </c>
      <c r="F50" s="126">
        <v>20</v>
      </c>
      <c r="G50" s="126">
        <v>38</v>
      </c>
      <c r="H50" s="126">
        <v>15</v>
      </c>
      <c r="I50" s="126" t="s">
        <v>18</v>
      </c>
      <c r="J50" s="126" t="s">
        <v>18</v>
      </c>
      <c r="K50" s="126" t="s">
        <v>18</v>
      </c>
    </row>
    <row r="51" spans="1:11" ht="18.75" x14ac:dyDescent="0.25">
      <c r="A51" s="126">
        <v>33</v>
      </c>
      <c r="B51" s="503"/>
      <c r="C51" s="153" t="s">
        <v>54</v>
      </c>
      <c r="D51" s="126">
        <v>12</v>
      </c>
      <c r="E51" s="126">
        <v>2</v>
      </c>
      <c r="F51" s="126" t="s">
        <v>18</v>
      </c>
      <c r="G51" s="126">
        <v>8</v>
      </c>
      <c r="H51" s="126" t="s">
        <v>18</v>
      </c>
      <c r="I51" s="126" t="s">
        <v>18</v>
      </c>
      <c r="J51" s="126" t="s">
        <v>18</v>
      </c>
      <c r="K51" s="126" t="s">
        <v>18</v>
      </c>
    </row>
    <row r="52" spans="1:11" ht="18.75" x14ac:dyDescent="0.25">
      <c r="A52" s="126">
        <v>34</v>
      </c>
      <c r="B52" s="503"/>
      <c r="C52" s="153" t="s">
        <v>55</v>
      </c>
      <c r="D52" s="126">
        <v>23</v>
      </c>
      <c r="E52" s="126">
        <v>6</v>
      </c>
      <c r="F52" s="126" t="s">
        <v>18</v>
      </c>
      <c r="G52" s="126">
        <v>15</v>
      </c>
      <c r="H52" s="126" t="s">
        <v>18</v>
      </c>
      <c r="I52" s="126" t="s">
        <v>18</v>
      </c>
      <c r="J52" s="126" t="s">
        <v>18</v>
      </c>
      <c r="K52" s="126" t="s">
        <v>18</v>
      </c>
    </row>
    <row r="53" spans="1:11" ht="18.75" x14ac:dyDescent="0.25">
      <c r="A53" s="126">
        <v>3</v>
      </c>
      <c r="B53" s="503"/>
      <c r="C53" s="153" t="s">
        <v>56</v>
      </c>
      <c r="D53" s="126">
        <v>11</v>
      </c>
      <c r="E53" s="126">
        <v>1</v>
      </c>
      <c r="F53" s="126" t="s">
        <v>18</v>
      </c>
      <c r="G53" s="126">
        <v>7</v>
      </c>
      <c r="H53" s="126">
        <v>7</v>
      </c>
      <c r="I53" s="126" t="s">
        <v>18</v>
      </c>
      <c r="J53" s="126" t="s">
        <v>18</v>
      </c>
      <c r="K53" s="126" t="s">
        <v>18</v>
      </c>
    </row>
    <row r="54" spans="1:11" ht="18.75" x14ac:dyDescent="0.25">
      <c r="A54" s="126">
        <v>36</v>
      </c>
      <c r="B54" s="503"/>
      <c r="C54" s="153" t="s">
        <v>57</v>
      </c>
      <c r="D54" s="126">
        <v>4</v>
      </c>
      <c r="E54" s="126" t="s">
        <v>18</v>
      </c>
      <c r="F54" s="126">
        <v>5</v>
      </c>
      <c r="G54" s="126">
        <v>12</v>
      </c>
      <c r="H54" s="126">
        <v>4</v>
      </c>
      <c r="I54" s="126" t="s">
        <v>18</v>
      </c>
      <c r="J54" s="126" t="s">
        <v>18</v>
      </c>
      <c r="K54" s="126" t="s">
        <v>18</v>
      </c>
    </row>
    <row r="55" spans="1:11" ht="18.75" x14ac:dyDescent="0.25">
      <c r="A55" s="126">
        <v>37</v>
      </c>
      <c r="B55" s="503"/>
      <c r="C55" s="153" t="s">
        <v>58</v>
      </c>
      <c r="D55" s="126">
        <v>1</v>
      </c>
      <c r="E55" s="126" t="s">
        <v>18</v>
      </c>
      <c r="F55" s="126" t="s">
        <v>18</v>
      </c>
      <c r="G55" s="126">
        <v>7</v>
      </c>
      <c r="H55" s="126" t="s">
        <v>18</v>
      </c>
      <c r="I55" s="126" t="s">
        <v>18</v>
      </c>
      <c r="J55" s="126" t="s">
        <v>18</v>
      </c>
      <c r="K55" s="126" t="s">
        <v>18</v>
      </c>
    </row>
    <row r="56" spans="1:11" ht="18.75" x14ac:dyDescent="0.25">
      <c r="A56" s="126">
        <v>38</v>
      </c>
      <c r="B56" s="503"/>
      <c r="C56" s="153" t="s">
        <v>59</v>
      </c>
      <c r="D56" s="126">
        <v>1</v>
      </c>
      <c r="E56" s="126">
        <v>4</v>
      </c>
      <c r="F56" s="126" t="s">
        <v>18</v>
      </c>
      <c r="G56" s="126">
        <v>7</v>
      </c>
      <c r="H56" s="126" t="s">
        <v>18</v>
      </c>
      <c r="I56" s="126" t="s">
        <v>18</v>
      </c>
      <c r="J56" s="126" t="s">
        <v>18</v>
      </c>
      <c r="K56" s="126" t="s">
        <v>18</v>
      </c>
    </row>
    <row r="57" spans="1:11" ht="18.75" x14ac:dyDescent="0.25">
      <c r="A57" s="126"/>
      <c r="B57" s="153"/>
      <c r="C57" s="153" t="s">
        <v>102</v>
      </c>
      <c r="D57" s="368">
        <f>SUM(D50:D56)</f>
        <v>75</v>
      </c>
      <c r="E57" s="368">
        <f t="shared" ref="E57:K57" si="11">SUM(E50:E56)</f>
        <v>35</v>
      </c>
      <c r="F57" s="368">
        <f t="shared" si="11"/>
        <v>25</v>
      </c>
      <c r="G57" s="368">
        <f t="shared" si="11"/>
        <v>94</v>
      </c>
      <c r="H57" s="368">
        <f t="shared" si="11"/>
        <v>26</v>
      </c>
      <c r="I57" s="368">
        <f t="shared" si="11"/>
        <v>0</v>
      </c>
      <c r="J57" s="368">
        <f t="shared" si="11"/>
        <v>0</v>
      </c>
      <c r="K57" s="368">
        <f t="shared" si="11"/>
        <v>0</v>
      </c>
    </row>
    <row r="58" spans="1:11" ht="18.75" x14ac:dyDescent="0.25">
      <c r="A58" s="126"/>
      <c r="B58" s="153"/>
      <c r="C58" s="153" t="s">
        <v>771</v>
      </c>
      <c r="D58" s="380">
        <v>373</v>
      </c>
      <c r="E58" s="380">
        <v>179</v>
      </c>
      <c r="F58" s="380">
        <v>77</v>
      </c>
      <c r="G58" s="380">
        <v>585</v>
      </c>
      <c r="H58" s="380">
        <v>50</v>
      </c>
      <c r="I58" s="380">
        <v>1</v>
      </c>
      <c r="J58" s="380">
        <v>1</v>
      </c>
      <c r="K58" s="380">
        <f t="shared" ref="K58" si="12">SUM(K3:K56)</f>
        <v>0</v>
      </c>
    </row>
  </sheetData>
  <mergeCells count="13">
    <mergeCell ref="B50:B56"/>
    <mergeCell ref="B25:B30"/>
    <mergeCell ref="B32:B33"/>
    <mergeCell ref="B35:B37"/>
    <mergeCell ref="B39:B41"/>
    <mergeCell ref="B43:B44"/>
    <mergeCell ref="B46:B48"/>
    <mergeCell ref="B19:B23"/>
    <mergeCell ref="A1:K1"/>
    <mergeCell ref="B3:B4"/>
    <mergeCell ref="B7:B9"/>
    <mergeCell ref="B11:B13"/>
    <mergeCell ref="B15:B17"/>
  </mergeCells>
  <pageMargins left="0.19685039370078741" right="0.70866141732283472" top="0.35433070866141736" bottom="0.39370078740157483" header="0.31496062992125984" footer="0.31496062992125984"/>
  <pageSetup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6"/>
  <sheetViews>
    <sheetView zoomScale="160" zoomScaleNormal="160" workbookViewId="0">
      <selection activeCell="K2" sqref="K2"/>
    </sheetView>
  </sheetViews>
  <sheetFormatPr defaultRowHeight="15" x14ac:dyDescent="0.25"/>
  <cols>
    <col min="3" max="3" width="9.85546875" bestFit="1" customWidth="1"/>
    <col min="4" max="4" width="12.140625" customWidth="1"/>
    <col min="6" max="6" width="11.42578125" customWidth="1"/>
    <col min="8" max="8" width="12.140625" customWidth="1"/>
  </cols>
  <sheetData>
    <row r="1" spans="1:8" x14ac:dyDescent="0.25">
      <c r="A1" s="658" t="s">
        <v>1570</v>
      </c>
      <c r="B1" s="658"/>
      <c r="C1" s="658"/>
      <c r="D1" s="658"/>
      <c r="E1" s="658"/>
      <c r="F1" s="658"/>
      <c r="G1" s="658"/>
      <c r="H1" s="658"/>
    </row>
    <row r="2" spans="1:8" ht="30" x14ac:dyDescent="0.25">
      <c r="A2" s="248" t="s">
        <v>1571</v>
      </c>
      <c r="B2" s="248" t="s">
        <v>1572</v>
      </c>
      <c r="C2" s="248" t="s">
        <v>1572</v>
      </c>
      <c r="D2" s="248" t="s">
        <v>1573</v>
      </c>
      <c r="E2" s="248" t="s">
        <v>1574</v>
      </c>
      <c r="F2" s="248" t="s">
        <v>1573</v>
      </c>
      <c r="G2" s="248" t="s">
        <v>653</v>
      </c>
      <c r="H2" s="248" t="s">
        <v>1573</v>
      </c>
    </row>
    <row r="3" spans="1:8" x14ac:dyDescent="0.25">
      <c r="A3" s="37">
        <v>1</v>
      </c>
      <c r="B3" s="37" t="s">
        <v>1408</v>
      </c>
      <c r="C3" s="405">
        <v>25</v>
      </c>
      <c r="D3" s="37">
        <v>2185</v>
      </c>
      <c r="E3" s="405">
        <v>32</v>
      </c>
      <c r="F3" s="406">
        <v>761</v>
      </c>
      <c r="G3" s="405">
        <v>0</v>
      </c>
      <c r="H3" s="406">
        <v>0</v>
      </c>
    </row>
    <row r="4" spans="1:8" x14ac:dyDescent="0.25">
      <c r="A4" s="37">
        <v>2</v>
      </c>
      <c r="B4" s="37" t="s">
        <v>1409</v>
      </c>
      <c r="C4" s="405">
        <v>12</v>
      </c>
      <c r="D4" s="37">
        <v>2431</v>
      </c>
      <c r="E4" s="405">
        <v>33</v>
      </c>
      <c r="F4" s="406">
        <v>4986</v>
      </c>
      <c r="G4" s="405">
        <v>1</v>
      </c>
      <c r="H4" s="406">
        <v>10</v>
      </c>
    </row>
    <row r="5" spans="1:8" x14ac:dyDescent="0.25">
      <c r="A5" s="37">
        <v>3</v>
      </c>
      <c r="B5" s="37" t="s">
        <v>1401</v>
      </c>
      <c r="C5" s="405">
        <v>14</v>
      </c>
      <c r="D5" s="37">
        <v>1651</v>
      </c>
      <c r="E5" s="405">
        <v>16</v>
      </c>
      <c r="F5" s="406">
        <v>1857</v>
      </c>
      <c r="G5" s="405">
        <v>40</v>
      </c>
      <c r="H5" s="406">
        <v>1764</v>
      </c>
    </row>
    <row r="6" spans="1:8" x14ac:dyDescent="0.25">
      <c r="A6" s="37">
        <v>4</v>
      </c>
      <c r="B6" s="37" t="s">
        <v>1410</v>
      </c>
      <c r="C6" s="405">
        <v>32</v>
      </c>
      <c r="D6" s="37">
        <v>4822</v>
      </c>
      <c r="E6" s="405">
        <v>16</v>
      </c>
      <c r="F6" s="406">
        <v>1107</v>
      </c>
      <c r="G6" s="405">
        <v>3</v>
      </c>
      <c r="H6" s="406">
        <v>170</v>
      </c>
    </row>
    <row r="7" spans="1:8" x14ac:dyDescent="0.25">
      <c r="A7" s="37">
        <v>5</v>
      </c>
      <c r="B7" s="37" t="s">
        <v>1407</v>
      </c>
      <c r="C7" s="405">
        <v>67</v>
      </c>
      <c r="D7" s="37">
        <v>12392</v>
      </c>
      <c r="E7" s="405">
        <v>95</v>
      </c>
      <c r="F7" s="406">
        <v>7173</v>
      </c>
      <c r="G7" s="405">
        <v>195</v>
      </c>
      <c r="H7" s="406">
        <v>3462</v>
      </c>
    </row>
    <row r="8" spans="1:8" x14ac:dyDescent="0.25">
      <c r="A8" s="37">
        <v>6</v>
      </c>
      <c r="B8" s="37" t="s">
        <v>1406</v>
      </c>
      <c r="C8" s="405">
        <v>157</v>
      </c>
      <c r="D8" s="37">
        <v>15905</v>
      </c>
      <c r="E8" s="405">
        <v>46</v>
      </c>
      <c r="F8" s="406">
        <v>7281</v>
      </c>
      <c r="G8" s="405">
        <v>14</v>
      </c>
      <c r="H8" s="406">
        <v>2495</v>
      </c>
    </row>
    <row r="9" spans="1:8" x14ac:dyDescent="0.25">
      <c r="A9" s="37">
        <v>7</v>
      </c>
      <c r="B9" s="37" t="s">
        <v>1452</v>
      </c>
      <c r="C9" s="405">
        <v>60</v>
      </c>
      <c r="D9" s="37">
        <v>5360</v>
      </c>
      <c r="E9" s="405">
        <v>91</v>
      </c>
      <c r="F9" s="406">
        <v>8283</v>
      </c>
      <c r="G9" s="405">
        <v>7</v>
      </c>
      <c r="H9" s="406">
        <v>1580</v>
      </c>
    </row>
    <row r="10" spans="1:8" x14ac:dyDescent="0.25">
      <c r="A10" s="37">
        <v>8</v>
      </c>
      <c r="B10" s="37" t="s">
        <v>1411</v>
      </c>
      <c r="C10" s="405">
        <v>13</v>
      </c>
      <c r="D10" s="37">
        <v>1365</v>
      </c>
      <c r="E10" s="405">
        <v>7</v>
      </c>
      <c r="F10" s="406">
        <v>563</v>
      </c>
      <c r="G10" s="405">
        <v>9</v>
      </c>
      <c r="H10" s="406">
        <v>113</v>
      </c>
    </row>
    <row r="11" spans="1:8" x14ac:dyDescent="0.25">
      <c r="A11" s="37">
        <v>9</v>
      </c>
      <c r="B11" s="37" t="s">
        <v>1404</v>
      </c>
      <c r="C11" s="405">
        <v>17</v>
      </c>
      <c r="D11" s="37">
        <v>2492</v>
      </c>
      <c r="E11" s="405">
        <v>14</v>
      </c>
      <c r="F11" s="406">
        <v>1143</v>
      </c>
      <c r="G11" s="405">
        <v>29</v>
      </c>
      <c r="H11" s="406">
        <v>1352</v>
      </c>
    </row>
    <row r="12" spans="1:8" x14ac:dyDescent="0.25">
      <c r="A12" s="37">
        <v>10</v>
      </c>
      <c r="B12" s="37" t="s">
        <v>1402</v>
      </c>
      <c r="C12" s="405">
        <v>4</v>
      </c>
      <c r="D12" s="37">
        <v>665</v>
      </c>
      <c r="E12" s="405">
        <v>12</v>
      </c>
      <c r="F12" s="406">
        <v>1295</v>
      </c>
      <c r="G12" s="405">
        <v>2</v>
      </c>
      <c r="H12" s="406">
        <v>350</v>
      </c>
    </row>
    <row r="13" spans="1:8" x14ac:dyDescent="0.25">
      <c r="A13" s="37">
        <v>11</v>
      </c>
      <c r="B13" s="37" t="s">
        <v>1405</v>
      </c>
      <c r="C13" s="405">
        <v>26</v>
      </c>
      <c r="D13" s="37">
        <v>1603</v>
      </c>
      <c r="E13" s="405">
        <v>29</v>
      </c>
      <c r="F13" s="406">
        <v>3275</v>
      </c>
      <c r="G13" s="405">
        <v>42</v>
      </c>
      <c r="H13" s="406">
        <v>1151</v>
      </c>
    </row>
    <row r="14" spans="1:8" x14ac:dyDescent="0.25">
      <c r="A14" s="37">
        <v>12</v>
      </c>
      <c r="B14" s="37" t="s">
        <v>1575</v>
      </c>
      <c r="C14" s="405">
        <v>52</v>
      </c>
      <c r="D14" s="37">
        <v>5838</v>
      </c>
      <c r="E14" s="405">
        <v>63</v>
      </c>
      <c r="F14" s="406">
        <v>4937</v>
      </c>
      <c r="G14" s="405">
        <v>53</v>
      </c>
      <c r="H14" s="406">
        <v>1268</v>
      </c>
    </row>
    <row r="15" spans="1:8" x14ac:dyDescent="0.25">
      <c r="A15" s="37">
        <v>13</v>
      </c>
      <c r="B15" s="37" t="s">
        <v>1403</v>
      </c>
      <c r="C15" s="405">
        <v>24</v>
      </c>
      <c r="D15" s="37">
        <v>4909</v>
      </c>
      <c r="E15" s="405">
        <v>17</v>
      </c>
      <c r="F15" s="406">
        <v>2311</v>
      </c>
      <c r="G15" s="405">
        <v>0</v>
      </c>
      <c r="H15" s="406">
        <v>0</v>
      </c>
    </row>
    <row r="16" spans="1:8" x14ac:dyDescent="0.25">
      <c r="A16" s="37"/>
      <c r="B16" s="37" t="s">
        <v>334</v>
      </c>
      <c r="C16" s="405">
        <f>SUM(C3:C15)</f>
        <v>503</v>
      </c>
      <c r="D16" s="37">
        <f t="shared" ref="D16:H16" si="0">SUM(D3:D15)</f>
        <v>61618</v>
      </c>
      <c r="E16" s="405">
        <f t="shared" si="0"/>
        <v>471</v>
      </c>
      <c r="F16" s="37">
        <f t="shared" si="0"/>
        <v>44972</v>
      </c>
      <c r="G16" s="405">
        <f t="shared" si="0"/>
        <v>395</v>
      </c>
      <c r="H16" s="37">
        <f t="shared" si="0"/>
        <v>13715</v>
      </c>
    </row>
    <row r="21" spans="1:8" x14ac:dyDescent="0.25">
      <c r="A21" s="658" t="s">
        <v>1576</v>
      </c>
      <c r="B21" s="658"/>
      <c r="C21" s="658"/>
      <c r="D21" s="658"/>
      <c r="E21" s="658"/>
      <c r="F21" s="658"/>
      <c r="G21" s="658"/>
      <c r="H21" s="658"/>
    </row>
    <row r="22" spans="1:8" ht="30" x14ac:dyDescent="0.25">
      <c r="A22" s="248" t="s">
        <v>1571</v>
      </c>
      <c r="B22" s="248" t="s">
        <v>1572</v>
      </c>
      <c r="C22" s="248" t="s">
        <v>1572</v>
      </c>
      <c r="D22" s="248" t="s">
        <v>1573</v>
      </c>
      <c r="E22" s="248" t="s">
        <v>1574</v>
      </c>
      <c r="F22" s="248" t="s">
        <v>1573</v>
      </c>
      <c r="G22" s="248" t="s">
        <v>653</v>
      </c>
      <c r="H22" s="248" t="s">
        <v>1573</v>
      </c>
    </row>
    <row r="23" spans="1:8" x14ac:dyDescent="0.25">
      <c r="A23" s="37">
        <v>1</v>
      </c>
      <c r="B23" s="37" t="s">
        <v>1408</v>
      </c>
      <c r="C23" s="405">
        <v>96</v>
      </c>
      <c r="D23" s="37">
        <v>375</v>
      </c>
      <c r="E23" s="37">
        <v>43</v>
      </c>
      <c r="F23" s="37">
        <v>1000</v>
      </c>
      <c r="G23" s="405">
        <v>45</v>
      </c>
      <c r="H23" s="406">
        <v>0</v>
      </c>
    </row>
    <row r="24" spans="1:8" x14ac:dyDescent="0.25">
      <c r="A24" s="37">
        <v>2</v>
      </c>
      <c r="B24" s="37" t="s">
        <v>1409</v>
      </c>
      <c r="C24" s="405">
        <v>20</v>
      </c>
      <c r="D24" s="37">
        <v>1148</v>
      </c>
      <c r="E24" s="37">
        <v>59</v>
      </c>
      <c r="F24" s="37">
        <v>560</v>
      </c>
      <c r="G24" s="405">
        <v>12</v>
      </c>
      <c r="H24" s="406">
        <v>0</v>
      </c>
    </row>
    <row r="25" spans="1:8" x14ac:dyDescent="0.25">
      <c r="A25" s="37">
        <v>3</v>
      </c>
      <c r="B25" s="37" t="s">
        <v>1401</v>
      </c>
      <c r="C25" s="405">
        <v>6</v>
      </c>
      <c r="D25" s="37">
        <v>600</v>
      </c>
      <c r="E25" s="37">
        <v>23</v>
      </c>
      <c r="F25" s="37">
        <v>165</v>
      </c>
      <c r="G25" s="405">
        <v>21</v>
      </c>
      <c r="H25" s="406">
        <v>857</v>
      </c>
    </row>
    <row r="26" spans="1:8" x14ac:dyDescent="0.25">
      <c r="A26" s="37">
        <v>4</v>
      </c>
      <c r="B26" s="37" t="s">
        <v>1410</v>
      </c>
      <c r="C26" s="405">
        <v>23</v>
      </c>
      <c r="D26" s="37">
        <v>1975</v>
      </c>
      <c r="E26" s="37">
        <v>29</v>
      </c>
      <c r="F26" s="37">
        <v>1534</v>
      </c>
      <c r="G26" s="405">
        <v>25</v>
      </c>
      <c r="H26" s="406">
        <v>785</v>
      </c>
    </row>
    <row r="27" spans="1:8" x14ac:dyDescent="0.25">
      <c r="A27" s="37">
        <v>5</v>
      </c>
      <c r="B27" s="37" t="s">
        <v>1407</v>
      </c>
      <c r="C27" s="405">
        <v>77</v>
      </c>
      <c r="D27" s="37">
        <v>5643</v>
      </c>
      <c r="E27" s="37">
        <v>280</v>
      </c>
      <c r="F27" s="37">
        <v>407</v>
      </c>
      <c r="G27" s="405">
        <v>125</v>
      </c>
      <c r="H27" s="406">
        <v>3334</v>
      </c>
    </row>
    <row r="28" spans="1:8" x14ac:dyDescent="0.25">
      <c r="A28" s="37">
        <v>6</v>
      </c>
      <c r="B28" s="37" t="s">
        <v>1406</v>
      </c>
      <c r="C28" s="405">
        <v>74</v>
      </c>
      <c r="D28" s="37">
        <v>3480</v>
      </c>
      <c r="E28" s="37">
        <v>38</v>
      </c>
      <c r="F28" s="37">
        <v>1319</v>
      </c>
      <c r="G28" s="405">
        <v>49</v>
      </c>
      <c r="H28" s="406">
        <v>1666</v>
      </c>
    </row>
    <row r="29" spans="1:8" x14ac:dyDescent="0.25">
      <c r="A29" s="37">
        <v>7</v>
      </c>
      <c r="B29" s="37" t="s">
        <v>1452</v>
      </c>
      <c r="C29" s="405">
        <v>22</v>
      </c>
      <c r="D29" s="37">
        <v>1799</v>
      </c>
      <c r="E29" s="37">
        <v>68</v>
      </c>
      <c r="F29" s="37">
        <v>997</v>
      </c>
      <c r="G29" s="405">
        <v>59</v>
      </c>
      <c r="H29" s="406">
        <v>265</v>
      </c>
    </row>
    <row r="30" spans="1:8" x14ac:dyDescent="0.25">
      <c r="A30" s="37">
        <v>8</v>
      </c>
      <c r="B30" s="37" t="s">
        <v>1411</v>
      </c>
      <c r="C30" s="405">
        <v>20</v>
      </c>
      <c r="D30" s="37">
        <v>790</v>
      </c>
      <c r="E30" s="37">
        <v>43</v>
      </c>
      <c r="F30" s="37">
        <v>210</v>
      </c>
      <c r="G30" s="405">
        <v>68</v>
      </c>
      <c r="H30" s="406">
        <v>62</v>
      </c>
    </row>
    <row r="31" spans="1:8" x14ac:dyDescent="0.25">
      <c r="A31" s="37">
        <v>9</v>
      </c>
      <c r="B31" s="37" t="s">
        <v>1404</v>
      </c>
      <c r="C31" s="405">
        <v>21</v>
      </c>
      <c r="D31" s="37">
        <v>1845</v>
      </c>
      <c r="E31" s="37">
        <v>21</v>
      </c>
      <c r="F31" s="37">
        <v>679</v>
      </c>
      <c r="G31" s="405">
        <v>7</v>
      </c>
      <c r="H31" s="406">
        <v>1156</v>
      </c>
    </row>
    <row r="32" spans="1:8" x14ac:dyDescent="0.25">
      <c r="A32" s="37">
        <v>10</v>
      </c>
      <c r="B32" s="37" t="s">
        <v>1402</v>
      </c>
      <c r="C32" s="405">
        <v>12</v>
      </c>
      <c r="D32" s="37">
        <v>815</v>
      </c>
      <c r="E32" s="37">
        <v>24</v>
      </c>
      <c r="F32" s="37">
        <v>261</v>
      </c>
      <c r="G32" s="405">
        <v>20</v>
      </c>
      <c r="H32" s="406">
        <v>0</v>
      </c>
    </row>
    <row r="33" spans="1:8" x14ac:dyDescent="0.25">
      <c r="A33" s="37">
        <v>11</v>
      </c>
      <c r="B33" s="37" t="s">
        <v>1405</v>
      </c>
      <c r="C33" s="405">
        <v>17</v>
      </c>
      <c r="D33" s="37">
        <v>780</v>
      </c>
      <c r="E33" s="37">
        <v>8</v>
      </c>
      <c r="F33" s="37">
        <v>540</v>
      </c>
      <c r="G33" s="405">
        <v>17</v>
      </c>
      <c r="H33" s="406">
        <v>225</v>
      </c>
    </row>
    <row r="34" spans="1:8" x14ac:dyDescent="0.25">
      <c r="A34" s="37">
        <v>12</v>
      </c>
      <c r="B34" s="37" t="s">
        <v>1575</v>
      </c>
      <c r="C34" s="405">
        <v>106</v>
      </c>
      <c r="D34" s="37">
        <v>3030</v>
      </c>
      <c r="E34" s="37">
        <v>56</v>
      </c>
      <c r="F34" s="37">
        <v>185</v>
      </c>
      <c r="G34" s="405">
        <v>49</v>
      </c>
      <c r="H34" s="406">
        <v>185</v>
      </c>
    </row>
    <row r="35" spans="1:8" x14ac:dyDescent="0.25">
      <c r="A35" s="37">
        <v>13</v>
      </c>
      <c r="B35" s="37" t="s">
        <v>1403</v>
      </c>
      <c r="C35" s="405">
        <v>25</v>
      </c>
      <c r="D35" s="37">
        <v>1505</v>
      </c>
      <c r="E35" s="37">
        <v>32</v>
      </c>
      <c r="F35" s="37">
        <v>1675</v>
      </c>
      <c r="G35" s="405">
        <v>28</v>
      </c>
      <c r="H35" s="406">
        <v>225</v>
      </c>
    </row>
    <row r="36" spans="1:8" x14ac:dyDescent="0.25">
      <c r="A36" s="37"/>
      <c r="B36" s="37" t="s">
        <v>334</v>
      </c>
      <c r="C36" s="37">
        <f>SUM(C23:C35)</f>
        <v>519</v>
      </c>
      <c r="D36" s="37">
        <f t="shared" ref="D36:H36" si="1">SUM(D23:D35)</f>
        <v>23785</v>
      </c>
      <c r="E36" s="37">
        <f t="shared" si="1"/>
        <v>724</v>
      </c>
      <c r="F36" s="37">
        <f t="shared" si="1"/>
        <v>9532</v>
      </c>
      <c r="G36" s="37">
        <f t="shared" si="1"/>
        <v>525</v>
      </c>
      <c r="H36" s="37">
        <f t="shared" si="1"/>
        <v>8760</v>
      </c>
    </row>
  </sheetData>
  <mergeCells count="2">
    <mergeCell ref="A1:H1"/>
    <mergeCell ref="A2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15</vt:i4>
      </vt:variant>
    </vt:vector>
  </HeadingPairs>
  <TitlesOfParts>
    <vt:vector size="52" baseType="lpstr">
      <vt:lpstr>Karmik</vt:lpstr>
      <vt:lpstr>Sheet6</vt:lpstr>
      <vt:lpstr>Fire 25</vt:lpstr>
      <vt:lpstr>bachav</vt:lpstr>
      <vt:lpstr>Pantion</vt:lpstr>
      <vt:lpstr>Forest </vt:lpstr>
      <vt:lpstr>Cumm Fire audit </vt:lpstr>
      <vt:lpstr>Fire Audit</vt:lpstr>
      <vt:lpstr>NOC</vt:lpstr>
      <vt:lpstr>17-18-19-20-21</vt:lpstr>
      <vt:lpstr>Drill (E)</vt:lpstr>
      <vt:lpstr>Drill</vt:lpstr>
      <vt:lpstr>Bhawan</vt:lpstr>
      <vt:lpstr>Bhumi </vt:lpstr>
      <vt:lpstr>niriksan</vt:lpstr>
      <vt:lpstr>Reward</vt:lpstr>
      <vt:lpstr>Punishment</vt:lpstr>
      <vt:lpstr>VVIP</vt:lpstr>
      <vt:lpstr>Hydremt</vt:lpstr>
      <vt:lpstr>vehicle</vt:lpstr>
      <vt:lpstr>wireless set</vt:lpstr>
      <vt:lpstr>manak Vehicle</vt:lpstr>
      <vt:lpstr>Sheet10</vt:lpstr>
      <vt:lpstr>jan 24 to apr 24</vt:lpstr>
      <vt:lpstr>Sheet4</vt:lpstr>
      <vt:lpstr>Sheet13</vt:lpstr>
      <vt:lpstr>Sheet15</vt:lpstr>
      <vt:lpstr>Sheet16</vt:lpstr>
      <vt:lpstr>Sheet17</vt:lpstr>
      <vt:lpstr>Sheet1</vt:lpstr>
      <vt:lpstr>Sheet5 (4)</vt:lpstr>
      <vt:lpstr>Sheet3</vt:lpstr>
      <vt:lpstr>Sheet5 (3)</vt:lpstr>
      <vt:lpstr>Sheet5 (2)</vt:lpstr>
      <vt:lpstr>Sheet5</vt:lpstr>
      <vt:lpstr>Sheet2</vt:lpstr>
      <vt:lpstr>2024 &amp;  apr 2025 upto APR 25 md</vt:lpstr>
      <vt:lpstr>bachav!Print_Titles</vt:lpstr>
      <vt:lpstr>Bhawan!Print_Titles</vt:lpstr>
      <vt:lpstr>'Bhumi '!Print_Titles</vt:lpstr>
      <vt:lpstr>Drill!Print_Titles</vt:lpstr>
      <vt:lpstr>'Drill (E)'!Print_Titles</vt:lpstr>
      <vt:lpstr>'Fire 25'!Print_Titles</vt:lpstr>
      <vt:lpstr>'Fire Audit'!Print_Titles</vt:lpstr>
      <vt:lpstr>'Forest '!Print_Titles</vt:lpstr>
      <vt:lpstr>Hydremt!Print_Titles</vt:lpstr>
      <vt:lpstr>Karmik!Print_Titles</vt:lpstr>
      <vt:lpstr>NOC!Print_Titles</vt:lpstr>
      <vt:lpstr>Sheet2!Print_Titles</vt:lpstr>
      <vt:lpstr>vehicle!Print_Titles</vt:lpstr>
      <vt:lpstr>VVIP!Print_Titles</vt:lpstr>
      <vt:lpstr>'wireless set'!Print_Titles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2025-06-18T11:42:28Z</dcterms:modified>
</cp:coreProperties>
</file>